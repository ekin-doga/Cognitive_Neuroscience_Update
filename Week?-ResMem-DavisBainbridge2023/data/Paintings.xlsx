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Trent\Dropbox\My PC (DESKTOP-NMME0N3)\Desktop\U Chicago\Brainbridge Lab\Art Memorability Project\Master Lists\"/>
    </mc:Choice>
  </mc:AlternateContent>
  <xr:revisionPtr revIDLastSave="0" documentId="13_ncr:1_{9B4DF50B-80F1-4BFF-946B-51E6A3752258}" xr6:coauthVersionLast="47" xr6:coauthVersionMax="47" xr10:uidLastSave="{00000000-0000-0000-0000-000000000000}"/>
  <bookViews>
    <workbookView xWindow="-98" yWindow="-98" windowWidth="22695" windowHeight="14595" xr2:uid="{00000000-000D-0000-FFFF-FFFF00000000}"/>
  </bookViews>
  <sheets>
    <sheet name="Sheet5"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2" i="6" l="1"/>
  <c r="M591" i="6"/>
  <c r="M3054" i="6"/>
  <c r="M1289" i="6"/>
  <c r="M169" i="6"/>
  <c r="M354" i="6"/>
  <c r="M1776" i="6"/>
  <c r="M3279" i="6"/>
  <c r="M687" i="6"/>
  <c r="M1882" i="6"/>
  <c r="M2505" i="6"/>
  <c r="M2033" i="6"/>
  <c r="M403" i="6"/>
  <c r="M2453" i="6"/>
  <c r="M1705" i="6"/>
  <c r="M1228" i="6"/>
  <c r="M3354" i="6"/>
  <c r="M1805" i="6"/>
  <c r="M1078" i="6"/>
  <c r="M1883" i="6"/>
  <c r="M2012" i="6"/>
  <c r="M295" i="6"/>
  <c r="M547" i="6"/>
  <c r="M3750" i="6"/>
  <c r="M599" i="6"/>
  <c r="M3836" i="6"/>
  <c r="M253" i="6"/>
  <c r="M327" i="6"/>
  <c r="M1449" i="6"/>
  <c r="M1806" i="6"/>
  <c r="M1290" i="6"/>
  <c r="M404" i="6"/>
  <c r="M3234" i="6"/>
  <c r="M688" i="6"/>
  <c r="M2782" i="6"/>
  <c r="M3340" i="6"/>
  <c r="M3443" i="6"/>
  <c r="M2945" i="6"/>
  <c r="M3989" i="6"/>
  <c r="M3237" i="6"/>
  <c r="M3394" i="6"/>
  <c r="M689" i="6"/>
  <c r="M2043" i="6"/>
  <c r="M1544" i="6"/>
  <c r="M600" i="6"/>
  <c r="M1601" i="6"/>
  <c r="M1446" i="6"/>
  <c r="M3824" i="6"/>
  <c r="M1655" i="6"/>
  <c r="M1982" i="6"/>
  <c r="M1884" i="6"/>
  <c r="M254" i="6"/>
  <c r="M1439" i="6"/>
  <c r="M1291" i="6"/>
  <c r="M690" i="6"/>
  <c r="M1885" i="6"/>
  <c r="M2857" i="6"/>
  <c r="M3906" i="6"/>
  <c r="M1777" i="6"/>
  <c r="M1697" i="6"/>
  <c r="M1801" i="6"/>
  <c r="M3444" i="6"/>
  <c r="M528" i="6"/>
  <c r="M691" i="6"/>
  <c r="M3778" i="6"/>
  <c r="M893" i="6"/>
  <c r="M131" i="6"/>
  <c r="M1192" i="6"/>
  <c r="M1193" i="6"/>
  <c r="M328" i="6"/>
  <c r="M3445" i="6"/>
  <c r="M3596" i="6"/>
  <c r="M1470" i="6"/>
  <c r="M3570" i="6"/>
  <c r="M1229" i="6"/>
  <c r="M2946" i="6"/>
  <c r="M1194" i="6"/>
  <c r="M798" i="6"/>
  <c r="M1952" i="6"/>
  <c r="M1983" i="6"/>
  <c r="M2232" i="6"/>
  <c r="M2925" i="6"/>
  <c r="M2761" i="6"/>
  <c r="M3809" i="6"/>
  <c r="M2506" i="6"/>
  <c r="M1953" i="6"/>
  <c r="M3328" i="6"/>
  <c r="M1807" i="6"/>
  <c r="M1808" i="6"/>
  <c r="M1886" i="6"/>
  <c r="M3561" i="6"/>
  <c r="M1384" i="6"/>
  <c r="M362" i="6"/>
  <c r="M405" i="6"/>
  <c r="M2450" i="6"/>
  <c r="M3055" i="6"/>
  <c r="M3220" i="6"/>
  <c r="M35" i="6"/>
  <c r="M3346" i="6"/>
  <c r="M2571" i="6"/>
  <c r="M1656" i="6"/>
  <c r="M129" i="6"/>
  <c r="M1809" i="6"/>
  <c r="M1041" i="6"/>
  <c r="M1887" i="6"/>
  <c r="M2137" i="6"/>
  <c r="M3855" i="6"/>
  <c r="M2695" i="6"/>
  <c r="M3612" i="6"/>
  <c r="M1788" i="6"/>
  <c r="M1735" i="6"/>
  <c r="M2008" i="6"/>
  <c r="M1471" i="6"/>
  <c r="M3395" i="6"/>
  <c r="M864" i="6"/>
  <c r="M1657" i="6"/>
  <c r="M2111" i="6"/>
  <c r="M1472" i="6"/>
  <c r="M894" i="6"/>
  <c r="M2484" i="6"/>
  <c r="M2572" i="6"/>
  <c r="M574" i="6"/>
  <c r="M3597" i="6"/>
  <c r="M1755" i="6"/>
  <c r="M972" i="6"/>
  <c r="M3194" i="6"/>
  <c r="M821" i="6"/>
  <c r="M692" i="6"/>
  <c r="M456" i="6"/>
  <c r="M3356" i="6"/>
  <c r="M4004" i="6"/>
  <c r="M3329" i="6"/>
  <c r="M457" i="6"/>
  <c r="M1473" i="6"/>
  <c r="M3017" i="6"/>
  <c r="M1954" i="6"/>
  <c r="M3501" i="6"/>
  <c r="M2138" i="6"/>
  <c r="M1810" i="6"/>
  <c r="M2858" i="6"/>
  <c r="M1153" i="6"/>
  <c r="M458" i="6"/>
  <c r="M3446" i="6"/>
  <c r="M2457" i="6"/>
  <c r="M7" i="6"/>
  <c r="M222" i="6"/>
  <c r="M3760" i="6"/>
  <c r="M1401" i="6"/>
  <c r="M2233" i="6"/>
  <c r="M363" i="6"/>
  <c r="M3655" i="6"/>
  <c r="M242" i="6"/>
  <c r="M1292" i="6"/>
  <c r="M3924" i="6"/>
  <c r="M2810" i="6"/>
  <c r="M406" i="6"/>
  <c r="M3729" i="6"/>
  <c r="M3369" i="6"/>
  <c r="M3280" i="6"/>
  <c r="M1545" i="6"/>
  <c r="M3238" i="6"/>
  <c r="M693" i="6"/>
  <c r="M329" i="6"/>
  <c r="M773" i="6"/>
  <c r="M2139" i="6"/>
  <c r="M2958" i="6"/>
  <c r="M3990" i="6"/>
  <c r="M895" i="6"/>
  <c r="M1112" i="6"/>
  <c r="M1789" i="6"/>
  <c r="M3056" i="6"/>
  <c r="M601" i="6"/>
  <c r="M2507" i="6"/>
  <c r="M1230" i="6"/>
  <c r="M2140" i="6"/>
  <c r="M602" i="6"/>
  <c r="M2508" i="6"/>
  <c r="M3281" i="6"/>
  <c r="M330" i="6"/>
  <c r="M1079" i="6"/>
  <c r="M1984" i="6"/>
  <c r="M3370" i="6"/>
  <c r="M1094" i="6"/>
  <c r="M2859" i="6"/>
  <c r="M2973" i="6"/>
  <c r="M1767" i="6"/>
  <c r="M1231" i="6"/>
  <c r="M1365" i="6"/>
  <c r="M3626" i="6"/>
  <c r="M255" i="6"/>
  <c r="M1474" i="6"/>
  <c r="M3541" i="6"/>
  <c r="M197" i="6"/>
  <c r="M1080" i="6"/>
  <c r="M3942" i="6"/>
  <c r="M2141" i="6"/>
  <c r="M1095" i="6"/>
  <c r="M407" i="6"/>
  <c r="M2234" i="6"/>
  <c r="M2362" i="6"/>
  <c r="M388" i="6"/>
  <c r="M1811" i="6"/>
  <c r="M1415" i="6"/>
  <c r="M694" i="6"/>
  <c r="M2573" i="6"/>
  <c r="M3119" i="6"/>
  <c r="M3396" i="6"/>
  <c r="M2574" i="6"/>
  <c r="M2458" i="6"/>
  <c r="M3282" i="6"/>
  <c r="M2142" i="6"/>
  <c r="M973" i="6"/>
  <c r="M2143" i="6"/>
  <c r="M2459" i="6"/>
  <c r="M3598" i="6"/>
  <c r="M1475" i="6"/>
  <c r="M2509" i="6"/>
  <c r="M2081" i="6"/>
  <c r="M603" i="6"/>
  <c r="M1416" i="6"/>
  <c r="M1096" i="6"/>
  <c r="M1476" i="6"/>
  <c r="M2762" i="6"/>
  <c r="M3547" i="6"/>
  <c r="M2434" i="6"/>
  <c r="M2753" i="6"/>
  <c r="M2235" i="6"/>
  <c r="M3627" i="6"/>
  <c r="M1452" i="6"/>
  <c r="M2763" i="6"/>
  <c r="M1756" i="6"/>
  <c r="M3018" i="6"/>
  <c r="M2034" i="6"/>
  <c r="M896" i="6"/>
  <c r="M1195" i="6"/>
  <c r="M1812" i="6"/>
  <c r="M170" i="6"/>
  <c r="M1888" i="6"/>
  <c r="M2575" i="6"/>
  <c r="M3229" i="6"/>
  <c r="M3057" i="6"/>
  <c r="M1450" i="6"/>
  <c r="M1985" i="6"/>
  <c r="M3767" i="6"/>
  <c r="M21" i="6"/>
  <c r="M2368" i="6"/>
  <c r="M2576" i="6"/>
  <c r="M2384" i="6"/>
  <c r="M64" i="6"/>
  <c r="M2144" i="6"/>
  <c r="M3736" i="6"/>
  <c r="M2860" i="6"/>
  <c r="M1232" i="6"/>
  <c r="M1196" i="6"/>
  <c r="M1293" i="6"/>
  <c r="M2400" i="6"/>
  <c r="M171" i="6"/>
  <c r="M296" i="6"/>
  <c r="M2577" i="6"/>
  <c r="M2460" i="6"/>
  <c r="M2757" i="6"/>
  <c r="M2423" i="6"/>
  <c r="M2145" i="6"/>
  <c r="M1658" i="6"/>
  <c r="M2764" i="6"/>
  <c r="M2146" i="6"/>
  <c r="M1813" i="6"/>
  <c r="M1698" i="6"/>
  <c r="M2236" i="6"/>
  <c r="M1757" i="6"/>
  <c r="M3166" i="6"/>
  <c r="M2667" i="6"/>
  <c r="M2082" i="6"/>
  <c r="M3656" i="6"/>
  <c r="M1889" i="6"/>
  <c r="M695" i="6"/>
  <c r="M846" i="6"/>
  <c r="M2947" i="6"/>
  <c r="M2013" i="6"/>
  <c r="M537" i="6"/>
  <c r="M1233" i="6"/>
  <c r="M3704" i="6"/>
  <c r="M2740" i="6"/>
  <c r="M3945" i="6"/>
  <c r="M1067" i="6"/>
  <c r="M247" i="6"/>
  <c r="M2109" i="6"/>
  <c r="M1890" i="6"/>
  <c r="M2948" i="6"/>
  <c r="M2926" i="6"/>
  <c r="M2237" i="6"/>
  <c r="M865" i="6"/>
  <c r="M370" i="6"/>
  <c r="M3058" i="6"/>
  <c r="M3613" i="6"/>
  <c r="M1440" i="6"/>
  <c r="M1814" i="6"/>
  <c r="M2578" i="6"/>
  <c r="M2656" i="6"/>
  <c r="M1427" i="6"/>
  <c r="M2238" i="6"/>
  <c r="M1602" i="6"/>
  <c r="M1124" i="6"/>
  <c r="M1758" i="6"/>
  <c r="M1347" i="6"/>
  <c r="M3019" i="6"/>
  <c r="M592" i="6"/>
  <c r="M401" i="6"/>
  <c r="M2029" i="6"/>
  <c r="M604" i="6"/>
  <c r="M3628" i="6"/>
  <c r="M1815" i="6"/>
  <c r="M3900" i="6"/>
  <c r="M2147" i="6"/>
  <c r="M408" i="6"/>
  <c r="M575" i="6"/>
  <c r="M1428" i="6"/>
  <c r="M2239" i="6"/>
  <c r="M1294" i="6"/>
  <c r="M3239" i="6"/>
  <c r="M1154" i="6"/>
  <c r="M2385" i="6"/>
  <c r="M2117" i="6"/>
  <c r="M3629" i="6"/>
  <c r="M297" i="6"/>
  <c r="M88" i="6"/>
  <c r="M2811" i="6"/>
  <c r="M1385" i="6"/>
  <c r="M3195" i="6"/>
  <c r="M774" i="6"/>
  <c r="M3741" i="6"/>
  <c r="M2148" i="6"/>
  <c r="M3210" i="6"/>
  <c r="M2386" i="6"/>
  <c r="M1348" i="6"/>
  <c r="M3283" i="6"/>
  <c r="M1197" i="6"/>
  <c r="M799" i="6"/>
  <c r="M3155" i="6"/>
  <c r="M1068" i="6"/>
  <c r="M1891" i="6"/>
  <c r="M2083" i="6"/>
  <c r="M605" i="6"/>
  <c r="M2995" i="6"/>
  <c r="M606" i="6"/>
  <c r="M2980" i="6"/>
  <c r="M3727" i="6"/>
  <c r="M866" i="6"/>
  <c r="M546" i="6"/>
  <c r="M1150" i="6"/>
  <c r="M1429" i="6"/>
  <c r="M1155" i="6"/>
  <c r="M298" i="6"/>
  <c r="M2912" i="6"/>
  <c r="M2387" i="6"/>
  <c r="M2133" i="6"/>
  <c r="M1892" i="6"/>
  <c r="M3391" i="6"/>
  <c r="M696" i="6"/>
  <c r="M3577" i="6"/>
  <c r="M3502" i="6"/>
  <c r="M3828" i="6"/>
  <c r="M2118" i="6"/>
  <c r="M3397" i="6"/>
  <c r="M1659" i="6"/>
  <c r="M36" i="6"/>
  <c r="M3657" i="6"/>
  <c r="M548" i="6"/>
  <c r="M3371" i="6"/>
  <c r="M1477" i="6"/>
  <c r="M2783" i="6"/>
  <c r="M172" i="6"/>
  <c r="M1699" i="6"/>
  <c r="M1295" i="6"/>
  <c r="M2435" i="6"/>
  <c r="M3284" i="6"/>
  <c r="M1156" i="6"/>
  <c r="M2084" i="6"/>
  <c r="M3204" i="6"/>
  <c r="M3398" i="6"/>
  <c r="M2861" i="6"/>
  <c r="M1893" i="6"/>
  <c r="M2388" i="6"/>
  <c r="M1038" i="6"/>
  <c r="M1660" i="6"/>
  <c r="M79" i="6"/>
  <c r="M1661" i="6"/>
  <c r="M1546" i="6"/>
  <c r="M549" i="6"/>
  <c r="M3837" i="6"/>
  <c r="M1736" i="6"/>
  <c r="M2510" i="6"/>
  <c r="M1768" i="6"/>
  <c r="M1081" i="6"/>
  <c r="M509" i="6"/>
  <c r="M1478" i="6"/>
  <c r="M3768" i="6"/>
  <c r="M114" i="6"/>
  <c r="M3822" i="6"/>
  <c r="M2718" i="6"/>
  <c r="M2719" i="6"/>
  <c r="M1296" i="6"/>
  <c r="M1737" i="6"/>
  <c r="M1297" i="6"/>
  <c r="M2051" i="6"/>
  <c r="M763" i="6"/>
  <c r="M3957" i="6"/>
  <c r="M1479" i="6"/>
  <c r="M1547" i="6"/>
  <c r="M3726" i="6"/>
  <c r="M3363" i="6"/>
  <c r="M2959" i="6"/>
  <c r="M897" i="6"/>
  <c r="M3856" i="6"/>
  <c r="M3347" i="6"/>
  <c r="M1157" i="6"/>
  <c r="M1234" i="6"/>
  <c r="M3742" i="6"/>
  <c r="M2038" i="6"/>
  <c r="M3565" i="6"/>
  <c r="M409" i="6"/>
  <c r="M3658" i="6"/>
  <c r="M2974" i="6"/>
  <c r="M3447" i="6"/>
  <c r="M2812" i="6"/>
  <c r="M793" i="6"/>
  <c r="M3098" i="6"/>
  <c r="M2240" i="6"/>
  <c r="M3099" i="6"/>
  <c r="M331" i="6"/>
  <c r="M3894" i="6"/>
  <c r="M3120" i="6"/>
  <c r="M3121" i="6"/>
  <c r="M2511" i="6"/>
  <c r="M3930" i="6"/>
  <c r="M2981" i="6"/>
  <c r="M1706" i="6"/>
  <c r="M2424" i="6"/>
  <c r="M13" i="6"/>
  <c r="M697" i="6"/>
  <c r="M3399" i="6"/>
  <c r="M1548" i="6"/>
  <c r="M85" i="6"/>
  <c r="M837" i="6"/>
  <c r="M867" i="6"/>
  <c r="M1298" i="6"/>
  <c r="M1417" i="6"/>
  <c r="M510" i="6"/>
  <c r="M3020" i="6"/>
  <c r="M2927" i="6"/>
  <c r="M3021" i="6"/>
  <c r="M410" i="6"/>
  <c r="M392" i="6"/>
  <c r="M2389" i="6"/>
  <c r="M1662" i="6"/>
  <c r="M1453" i="6"/>
  <c r="M3240" i="6"/>
  <c r="M1746" i="6"/>
  <c r="M3330" i="6"/>
  <c r="M2241" i="6"/>
  <c r="M2579" i="6"/>
  <c r="M2928" i="6"/>
  <c r="M3015" i="6"/>
  <c r="M2982" i="6"/>
  <c r="M550" i="6"/>
  <c r="M130" i="6"/>
  <c r="M1759" i="6"/>
  <c r="M3285" i="6"/>
  <c r="M1603" i="6"/>
  <c r="M1235" i="6"/>
  <c r="M2862" i="6"/>
  <c r="M3503" i="6"/>
  <c r="M80" i="6"/>
  <c r="M3386" i="6"/>
  <c r="M1894" i="6"/>
  <c r="M2949" i="6"/>
  <c r="M1604" i="6"/>
  <c r="M2784" i="6"/>
  <c r="M3946" i="6"/>
  <c r="M2709" i="6"/>
  <c r="M1113" i="6"/>
  <c r="M3534" i="6"/>
  <c r="M139" i="6"/>
  <c r="M332" i="6"/>
  <c r="M1158" i="6"/>
  <c r="M3022" i="6"/>
  <c r="M1236" i="6"/>
  <c r="M974" i="6"/>
  <c r="M1448" i="6"/>
  <c r="M2863" i="6"/>
  <c r="M3059" i="6"/>
  <c r="M1373" i="6"/>
  <c r="M223" i="6"/>
  <c r="M1816" i="6"/>
  <c r="M3156" i="6"/>
  <c r="M785" i="6"/>
  <c r="M1198" i="6"/>
  <c r="M2242" i="6"/>
  <c r="M1456" i="6"/>
  <c r="M1817" i="6"/>
  <c r="M2996" i="6"/>
  <c r="M1895" i="6"/>
  <c r="M299" i="6"/>
  <c r="M831" i="6"/>
  <c r="M3060" i="6"/>
  <c r="M2243" i="6"/>
  <c r="M1480" i="6"/>
  <c r="M3515" i="6"/>
  <c r="M3779" i="6"/>
  <c r="M1137" i="6"/>
  <c r="M2960" i="6"/>
  <c r="M1430" i="6"/>
  <c r="M1896" i="6"/>
  <c r="M1343" i="6"/>
  <c r="M2580" i="6"/>
  <c r="M2149" i="6"/>
  <c r="M3937" i="6"/>
  <c r="M234" i="6"/>
  <c r="M3780" i="6"/>
  <c r="M3448" i="6"/>
  <c r="M898" i="6"/>
  <c r="M333" i="6"/>
  <c r="M1897" i="6"/>
  <c r="M2696" i="6"/>
  <c r="M3659" i="6"/>
  <c r="M2684" i="6"/>
  <c r="M1039" i="6"/>
  <c r="M2950" i="6"/>
  <c r="M3023" i="6"/>
  <c r="M2765" i="6"/>
  <c r="M411" i="6"/>
  <c r="M3024" i="6"/>
  <c r="M3331" i="6"/>
  <c r="M3781" i="6"/>
  <c r="M1299" i="6"/>
  <c r="M899" i="6"/>
  <c r="M2461" i="6"/>
  <c r="M2014" i="6"/>
  <c r="M248" i="6"/>
  <c r="M900" i="6"/>
  <c r="M3372" i="6"/>
  <c r="M2462" i="6"/>
  <c r="M1726" i="6"/>
  <c r="M3200" i="6"/>
  <c r="M3449" i="6"/>
  <c r="M1818" i="6"/>
  <c r="M3241" i="6"/>
  <c r="M1728" i="6"/>
  <c r="M901" i="6"/>
  <c r="M2150" i="6"/>
  <c r="M975" i="6"/>
  <c r="M3450" i="6"/>
  <c r="M1769" i="6"/>
  <c r="M2644" i="6"/>
  <c r="M235" i="6"/>
  <c r="M2813" i="6"/>
  <c r="M3242" i="6"/>
  <c r="M841" i="6"/>
  <c r="M1069" i="6"/>
  <c r="M2581" i="6"/>
  <c r="M2649" i="6"/>
  <c r="M1549" i="6"/>
  <c r="M140" i="6"/>
  <c r="M3907" i="6"/>
  <c r="M2814" i="6"/>
  <c r="M3579" i="6"/>
  <c r="M976" i="6"/>
  <c r="M3504" i="6"/>
  <c r="M2244" i="6"/>
  <c r="M1663" i="6"/>
  <c r="M2245" i="6"/>
  <c r="M1143" i="6"/>
  <c r="M2645" i="6"/>
  <c r="M3743" i="6"/>
  <c r="M1386" i="6"/>
  <c r="M3451" i="6"/>
  <c r="M2463" i="6"/>
  <c r="M551" i="6"/>
  <c r="M1457" i="6"/>
  <c r="M1664" i="6"/>
  <c r="M2681" i="6"/>
  <c r="M352" i="6"/>
  <c r="M3316" i="6"/>
  <c r="M3548" i="6"/>
  <c r="M977" i="6"/>
  <c r="M1159" i="6"/>
  <c r="M3452" i="6"/>
  <c r="M698" i="6"/>
  <c r="M902" i="6"/>
  <c r="M1796" i="6"/>
  <c r="M1665" i="6"/>
  <c r="M1363" i="6"/>
  <c r="M1374" i="6"/>
  <c r="M3373" i="6"/>
  <c r="M3286" i="6"/>
  <c r="M2151" i="6"/>
  <c r="M1898" i="6"/>
  <c r="M412" i="6"/>
  <c r="M2815" i="6"/>
  <c r="M847" i="6"/>
  <c r="M1053" i="6"/>
  <c r="M1955" i="6"/>
  <c r="M699" i="6"/>
  <c r="M3987" i="6"/>
  <c r="M700" i="6"/>
  <c r="M89" i="6"/>
  <c r="M1141" i="6"/>
  <c r="M1300" i="6"/>
  <c r="M3235" i="6"/>
  <c r="M3332" i="6"/>
  <c r="M3535" i="6"/>
  <c r="M3744" i="6"/>
  <c r="M2582" i="6"/>
  <c r="M1550" i="6"/>
  <c r="M3400" i="6"/>
  <c r="M3769" i="6"/>
  <c r="M3516" i="6"/>
  <c r="M978" i="6"/>
  <c r="M527" i="6"/>
  <c r="M2152" i="6"/>
  <c r="M2864" i="6"/>
  <c r="M3453" i="6"/>
  <c r="M1301" i="6"/>
  <c r="M3517" i="6"/>
  <c r="M2700" i="6"/>
  <c r="M775" i="6"/>
  <c r="M3454" i="6"/>
  <c r="M3243" i="6"/>
  <c r="M2785" i="6"/>
  <c r="M1986" i="6"/>
  <c r="M3317" i="6"/>
  <c r="M2689" i="6"/>
  <c r="M3455" i="6"/>
  <c r="M5" i="6"/>
  <c r="M2865" i="6"/>
  <c r="M3456" i="6"/>
  <c r="M701" i="6"/>
  <c r="M1551" i="6"/>
  <c r="M364" i="6"/>
  <c r="M979" i="6"/>
  <c r="M2512" i="6"/>
  <c r="M805" i="6"/>
  <c r="M1786" i="6"/>
  <c r="M3287" i="6"/>
  <c r="M1237" i="6"/>
  <c r="M2246" i="6"/>
  <c r="M2816" i="6"/>
  <c r="M2913" i="6"/>
  <c r="M135" i="6"/>
  <c r="M702" i="6"/>
  <c r="M37" i="6"/>
  <c r="M3244" i="6"/>
  <c r="M3582" i="6"/>
  <c r="M256" i="6"/>
  <c r="M2247" i="6"/>
  <c r="M2401" i="6"/>
  <c r="M413" i="6"/>
  <c r="M2153" i="6"/>
  <c r="M2583" i="6"/>
  <c r="M1160" i="6"/>
  <c r="M3025" i="6"/>
  <c r="M3374" i="6"/>
  <c r="M3691" i="6"/>
  <c r="M2668" i="6"/>
  <c r="M34" i="6"/>
  <c r="M703" i="6"/>
  <c r="M3844" i="6"/>
  <c r="M786" i="6"/>
  <c r="M1481" i="6"/>
  <c r="M3005" i="6"/>
  <c r="M459" i="6"/>
  <c r="M1097" i="6"/>
  <c r="M868" i="6"/>
  <c r="M162" i="6"/>
  <c r="M2654" i="6"/>
  <c r="M2154" i="6"/>
  <c r="M3157" i="6"/>
  <c r="M3245" i="6"/>
  <c r="M511" i="6"/>
  <c r="M2766" i="6"/>
  <c r="M3993" i="6"/>
  <c r="M3599" i="6"/>
  <c r="M1666" i="6"/>
  <c r="M1402" i="6"/>
  <c r="M2452" i="6"/>
  <c r="M704" i="6"/>
  <c r="M3810" i="6"/>
  <c r="M2513" i="6"/>
  <c r="M2720" i="6"/>
  <c r="M2961" i="6"/>
  <c r="M2514" i="6"/>
  <c r="M3974" i="6"/>
  <c r="M3732" i="6"/>
  <c r="M3660" i="6"/>
  <c r="M2379" i="6"/>
  <c r="M3770" i="6"/>
  <c r="M1366" i="6"/>
  <c r="M1482" i="6"/>
  <c r="M3100" i="6"/>
  <c r="M38" i="6"/>
  <c r="M2866" i="6"/>
  <c r="M3967" i="6"/>
  <c r="M980" i="6"/>
  <c r="M1302" i="6"/>
  <c r="M414" i="6"/>
  <c r="M2584" i="6"/>
  <c r="M3288" i="6"/>
  <c r="M1667" i="6"/>
  <c r="M2005" i="6"/>
  <c r="M3246" i="6"/>
  <c r="M3457" i="6"/>
  <c r="M2867" i="6"/>
  <c r="M2669" i="6"/>
  <c r="M2447" i="6"/>
  <c r="M705" i="6"/>
  <c r="M1899" i="6"/>
  <c r="M300" i="6"/>
  <c r="M1375" i="6"/>
  <c r="M3247" i="6"/>
  <c r="M2710" i="6"/>
  <c r="M1303" i="6"/>
  <c r="M3555" i="6"/>
  <c r="M1956" i="6"/>
  <c r="M3401" i="6"/>
  <c r="M3895" i="6"/>
  <c r="M415" i="6"/>
  <c r="M3935" i="6"/>
  <c r="M1199" i="6"/>
  <c r="M2951" i="6"/>
  <c r="M257" i="6"/>
  <c r="M2248" i="6"/>
  <c r="M3458" i="6"/>
  <c r="M2155" i="6"/>
  <c r="M3360" i="6"/>
  <c r="M1605" i="6"/>
  <c r="M2962" i="6"/>
  <c r="M794" i="6"/>
  <c r="M764" i="6"/>
  <c r="M1418" i="6"/>
  <c r="M355" i="6"/>
  <c r="M607" i="6"/>
  <c r="M1804" i="6"/>
  <c r="M90" i="6"/>
  <c r="M3213" i="6"/>
  <c r="M2052" i="6"/>
  <c r="M3122" i="6"/>
  <c r="M608" i="6"/>
  <c r="M3505" i="6"/>
  <c r="M1819" i="6"/>
  <c r="M1719" i="6"/>
  <c r="M3172" i="6"/>
  <c r="M903" i="6"/>
  <c r="M1238" i="6"/>
  <c r="M3947" i="6"/>
  <c r="M281" i="6"/>
  <c r="M1738" i="6"/>
  <c r="M3536" i="6"/>
  <c r="M609" i="6"/>
  <c r="M2106" i="6"/>
  <c r="M3402" i="6"/>
  <c r="M334" i="6"/>
  <c r="M2115" i="6"/>
  <c r="M1900" i="6"/>
  <c r="M3333" i="6"/>
  <c r="M2053" i="6"/>
  <c r="M3929" i="6"/>
  <c r="M869" i="6"/>
  <c r="M151" i="6"/>
  <c r="M765" i="6"/>
  <c r="M3971" i="6"/>
  <c r="M1987" i="6"/>
  <c r="M2686" i="6"/>
  <c r="M2737" i="6"/>
  <c r="M3795" i="6"/>
  <c r="M2657" i="6"/>
  <c r="M3230" i="6"/>
  <c r="M1304" i="6"/>
  <c r="M416" i="6"/>
  <c r="M1988" i="6"/>
  <c r="M236" i="6"/>
  <c r="M2440" i="6"/>
  <c r="M1239" i="6"/>
  <c r="M3459" i="6"/>
  <c r="M706" i="6"/>
  <c r="M3364" i="6"/>
  <c r="M417" i="6"/>
  <c r="M552" i="6"/>
  <c r="M3123" i="6"/>
  <c r="M2249" i="6"/>
  <c r="M3061" i="6"/>
  <c r="M1483" i="6"/>
  <c r="M2430" i="6"/>
  <c r="M1043" i="6"/>
  <c r="M2085" i="6"/>
  <c r="M2347" i="6"/>
  <c r="M1305" i="6"/>
  <c r="M3" i="6"/>
  <c r="M1901" i="6"/>
  <c r="M1957" i="6"/>
  <c r="M20" i="6"/>
  <c r="M2868" i="6"/>
  <c r="M1552" i="6"/>
  <c r="M1668" i="6"/>
  <c r="M3289" i="6"/>
  <c r="M870" i="6"/>
  <c r="M2054" i="6"/>
  <c r="M301" i="6"/>
  <c r="M1606" i="6"/>
  <c r="M379" i="6"/>
  <c r="M1458" i="6"/>
  <c r="M3782" i="6"/>
  <c r="M904" i="6"/>
  <c r="M3124" i="6"/>
  <c r="M588" i="6"/>
  <c r="M1306" i="6"/>
  <c r="M115" i="6"/>
  <c r="M3948" i="6"/>
  <c r="M981" i="6"/>
  <c r="M795" i="6"/>
  <c r="M3357" i="6"/>
  <c r="M2963" i="6"/>
  <c r="M460" i="6"/>
  <c r="M610" i="6"/>
  <c r="M905" i="6"/>
  <c r="M365" i="6"/>
  <c r="M258" i="6"/>
  <c r="M1902" i="6"/>
  <c r="M2585" i="6"/>
  <c r="M243" i="6"/>
  <c r="M1240" i="6"/>
  <c r="M173" i="6"/>
  <c r="M2044" i="6"/>
  <c r="M3148" i="6"/>
  <c r="M3334" i="6"/>
  <c r="M2515" i="6"/>
  <c r="M1431" i="6"/>
  <c r="M3845" i="6"/>
  <c r="M39" i="6"/>
  <c r="M553" i="6"/>
  <c r="M91" i="6"/>
  <c r="M2485" i="6"/>
  <c r="M2729" i="6"/>
  <c r="M2690" i="6"/>
  <c r="M3290" i="6"/>
  <c r="M1794" i="6"/>
  <c r="M2929" i="6"/>
  <c r="M418" i="6"/>
  <c r="M776" i="6"/>
  <c r="M461" i="6"/>
  <c r="M462" i="6"/>
  <c r="M3007" i="6"/>
  <c r="M906" i="6"/>
  <c r="M3518" i="6"/>
  <c r="M3403" i="6"/>
  <c r="M1820" i="6"/>
  <c r="M128" i="6"/>
  <c r="M3205" i="6"/>
  <c r="M3846" i="6"/>
  <c r="M419" i="6"/>
  <c r="M24" i="6"/>
  <c r="M1049" i="6"/>
  <c r="M3125" i="6"/>
  <c r="M2464" i="6"/>
  <c r="M2516" i="6"/>
  <c r="M611" i="6"/>
  <c r="M92" i="6"/>
  <c r="M1484" i="6"/>
  <c r="M3847" i="6"/>
  <c r="M420" i="6"/>
  <c r="M1485" i="6"/>
  <c r="M1098" i="6"/>
  <c r="M2348" i="6"/>
  <c r="M2517" i="6"/>
  <c r="M791" i="6"/>
  <c r="M1307" i="6"/>
  <c r="M3817" i="6"/>
  <c r="M1903" i="6"/>
  <c r="M3791" i="6"/>
  <c r="M554" i="6"/>
  <c r="M399" i="6"/>
  <c r="M1200" i="6"/>
  <c r="M1904" i="6"/>
  <c r="M3701" i="6"/>
  <c r="M2983" i="6"/>
  <c r="M2373" i="6"/>
  <c r="M174" i="6"/>
  <c r="M1486" i="6"/>
  <c r="M2687" i="6"/>
  <c r="M2767" i="6"/>
  <c r="M1082" i="6"/>
  <c r="M3745" i="6"/>
  <c r="M210" i="6"/>
  <c r="M2869" i="6"/>
  <c r="M2586" i="6"/>
  <c r="M1201" i="6"/>
  <c r="M3886" i="6"/>
  <c r="M3943" i="6"/>
  <c r="M2250" i="6"/>
  <c r="M2030" i="6"/>
  <c r="M2870" i="6"/>
  <c r="M3173" i="6"/>
  <c r="M3361" i="6"/>
  <c r="M1308" i="6"/>
  <c r="M3630" i="6"/>
  <c r="M3460" i="6"/>
  <c r="M3404" i="6"/>
  <c r="M2754" i="6"/>
  <c r="M40" i="6"/>
  <c r="M2518" i="6"/>
  <c r="M1958" i="6"/>
  <c r="M3949" i="6"/>
  <c r="M612" i="6"/>
  <c r="M3975" i="6"/>
  <c r="M613" i="6"/>
  <c r="M2817" i="6"/>
  <c r="M3405" i="6"/>
  <c r="M2251" i="6"/>
  <c r="M259" i="6"/>
  <c r="M260" i="6"/>
  <c r="M1044" i="6"/>
  <c r="M3751" i="6"/>
  <c r="M1202" i="6"/>
  <c r="M538" i="6"/>
  <c r="M707" i="6"/>
  <c r="M2156" i="6"/>
  <c r="M2786" i="6"/>
  <c r="M2930" i="6"/>
  <c r="M2787" i="6"/>
  <c r="M366" i="6"/>
  <c r="M2343" i="6"/>
  <c r="M2650" i="6"/>
  <c r="M2252" i="6"/>
  <c r="M3631" i="6"/>
  <c r="M1070" i="6"/>
  <c r="M3174" i="6"/>
  <c r="M3461" i="6"/>
  <c r="M1760" i="6"/>
  <c r="M1959" i="6"/>
  <c r="M614" i="6"/>
  <c r="M2031" i="6"/>
  <c r="M302" i="6"/>
  <c r="M86" i="6"/>
  <c r="M1376" i="6"/>
  <c r="M3000" i="6"/>
  <c r="M3196" i="6"/>
  <c r="M2519" i="6"/>
  <c r="M93" i="6"/>
  <c r="M3062" i="6"/>
  <c r="M1821" i="6"/>
  <c r="M3101" i="6"/>
  <c r="M1403" i="6"/>
  <c r="M2520" i="6"/>
  <c r="M3462" i="6"/>
  <c r="M2035" i="6"/>
  <c r="M1161" i="6"/>
  <c r="M1905" i="6"/>
  <c r="M3857" i="6"/>
  <c r="M3175" i="6"/>
  <c r="M497" i="6"/>
  <c r="M1042" i="6"/>
  <c r="M2992" i="6"/>
  <c r="M3248" i="6"/>
  <c r="M4014" i="6"/>
  <c r="M3752" i="6"/>
  <c r="M982" i="6"/>
  <c r="M148" i="6"/>
  <c r="M1241" i="6"/>
  <c r="M1822" i="6"/>
  <c r="M2402" i="6"/>
  <c r="M2439" i="6"/>
  <c r="M2984" i="6"/>
  <c r="M2086" i="6"/>
  <c r="M1607" i="6"/>
  <c r="M708" i="6"/>
  <c r="M1669" i="6"/>
  <c r="M2818" i="6"/>
  <c r="M3318" i="6"/>
  <c r="M3661" i="6"/>
  <c r="M2369" i="6"/>
  <c r="M1707" i="6"/>
  <c r="M3186" i="6"/>
  <c r="M1906" i="6"/>
  <c r="M1144" i="6"/>
  <c r="M2697" i="6"/>
  <c r="M2670" i="6"/>
  <c r="M1203" i="6"/>
  <c r="M198" i="6"/>
  <c r="M1907" i="6"/>
  <c r="M335" i="6"/>
  <c r="M3319" i="6"/>
  <c r="M2486" i="6"/>
  <c r="M3375" i="6"/>
  <c r="M2357" i="6"/>
  <c r="M555" i="6"/>
  <c r="M907" i="6"/>
  <c r="M3341" i="6"/>
  <c r="M908" i="6"/>
  <c r="M3146" i="6"/>
  <c r="M2730" i="6"/>
  <c r="M3632" i="6"/>
  <c r="M3249" i="6"/>
  <c r="M2819" i="6"/>
  <c r="M1147" i="6"/>
  <c r="M1204" i="6"/>
  <c r="M3291" i="6"/>
  <c r="M380" i="6"/>
  <c r="M152" i="6"/>
  <c r="M3662" i="6"/>
  <c r="M615" i="6"/>
  <c r="M3149" i="6"/>
  <c r="M199" i="6"/>
  <c r="M1487" i="6"/>
  <c r="M2587" i="6"/>
  <c r="M3011" i="6"/>
  <c r="M2788" i="6"/>
  <c r="M1729" i="6"/>
  <c r="M616" i="6"/>
  <c r="M909" i="6"/>
  <c r="M2371" i="6"/>
  <c r="M224" i="6"/>
  <c r="M2157" i="6"/>
  <c r="M303" i="6"/>
  <c r="M2009" i="6"/>
  <c r="M1720" i="6"/>
  <c r="M2390" i="6"/>
  <c r="M175" i="6"/>
  <c r="M3914" i="6"/>
  <c r="M983" i="6"/>
  <c r="M1770" i="6"/>
  <c r="M910" i="6"/>
  <c r="M65" i="6"/>
  <c r="M3692" i="6"/>
  <c r="M463" i="6"/>
  <c r="M617" i="6"/>
  <c r="M539" i="6"/>
  <c r="M153" i="6"/>
  <c r="M1372" i="6"/>
  <c r="M2116" i="6"/>
  <c r="M2487" i="6"/>
  <c r="M2158" i="6"/>
  <c r="M3365" i="6"/>
  <c r="M1309" i="6"/>
  <c r="M792" i="6"/>
  <c r="M2918" i="6"/>
  <c r="M618" i="6"/>
  <c r="M3406" i="6"/>
  <c r="M3250" i="6"/>
  <c r="M1387" i="6"/>
  <c r="M3251" i="6"/>
  <c r="M3335" i="6"/>
  <c r="M2521" i="6"/>
  <c r="M3463" i="6"/>
  <c r="M1608" i="6"/>
  <c r="M351" i="6"/>
  <c r="M619" i="6"/>
  <c r="M3348" i="6"/>
  <c r="M8" i="6"/>
  <c r="M2522" i="6"/>
  <c r="M1778" i="6"/>
  <c r="M1553" i="6"/>
  <c r="M3102" i="6"/>
  <c r="M1554" i="6"/>
  <c r="M984" i="6"/>
  <c r="M304" i="6"/>
  <c r="M2442" i="6"/>
  <c r="M464" i="6"/>
  <c r="M2159" i="6"/>
  <c r="M2588" i="6"/>
  <c r="M2403" i="6"/>
  <c r="M1823" i="6"/>
  <c r="M2871" i="6"/>
  <c r="M2872" i="6"/>
  <c r="M2160" i="6"/>
  <c r="M3187" i="6"/>
  <c r="M985" i="6"/>
  <c r="M2820" i="6"/>
  <c r="M1908" i="6"/>
  <c r="M2941" i="6"/>
  <c r="M1824" i="6"/>
  <c r="M3252" i="6"/>
  <c r="M3994" i="6"/>
  <c r="M3320" i="6"/>
  <c r="M1465" i="6"/>
  <c r="M1609" i="6"/>
  <c r="M176" i="6"/>
  <c r="M1441" i="6"/>
  <c r="M2253" i="6"/>
  <c r="M1488" i="6"/>
  <c r="M1162" i="6"/>
  <c r="M1489" i="6"/>
  <c r="M1490" i="6"/>
  <c r="M3150" i="6"/>
  <c r="M2671" i="6"/>
  <c r="M3566" i="6"/>
  <c r="M1491" i="6"/>
  <c r="M2488" i="6"/>
  <c r="M3168" i="6"/>
  <c r="M3761" i="6"/>
  <c r="M2755" i="6"/>
  <c r="M2789" i="6"/>
  <c r="M2964" i="6"/>
  <c r="M1242" i="6"/>
  <c r="M2161" i="6"/>
  <c r="M1825" i="6"/>
  <c r="M3983" i="6"/>
  <c r="M3783" i="6"/>
  <c r="M540" i="6"/>
  <c r="M2162" i="6"/>
  <c r="M154" i="6"/>
  <c r="M2489" i="6"/>
  <c r="M1050" i="6"/>
  <c r="M3464" i="6"/>
  <c r="M3925" i="6"/>
  <c r="M1708" i="6"/>
  <c r="M498" i="6"/>
  <c r="M381" i="6"/>
  <c r="M382" i="6"/>
  <c r="M2873" i="6"/>
  <c r="M371" i="6"/>
  <c r="M421" i="6"/>
  <c r="M1138" i="6"/>
  <c r="M3342" i="6"/>
  <c r="M1826" i="6"/>
  <c r="M1377" i="6"/>
  <c r="M986" i="6"/>
  <c r="M2254" i="6"/>
  <c r="M3870" i="6"/>
  <c r="M709" i="6"/>
  <c r="M2163" i="6"/>
  <c r="M2589" i="6"/>
  <c r="M1099" i="6"/>
  <c r="M3970" i="6"/>
  <c r="M3253" i="6"/>
  <c r="M2024" i="6"/>
  <c r="M987" i="6"/>
  <c r="M1670" i="6"/>
  <c r="M200" i="6"/>
  <c r="M2255" i="6"/>
  <c r="M282" i="6"/>
  <c r="M1114" i="6"/>
  <c r="M163" i="6"/>
  <c r="M871" i="6"/>
  <c r="M3103" i="6"/>
  <c r="M2256" i="6"/>
  <c r="M246" i="6"/>
  <c r="M2490" i="6"/>
  <c r="M1771" i="6"/>
  <c r="M3223" i="6"/>
  <c r="M3292" i="6"/>
  <c r="M911" i="6"/>
  <c r="M1610" i="6"/>
  <c r="M3407" i="6"/>
  <c r="M2768" i="6"/>
  <c r="M912" i="6"/>
  <c r="M3871" i="6"/>
  <c r="M3708" i="6"/>
  <c r="M2965" i="6"/>
  <c r="M3063" i="6"/>
  <c r="M2821" i="6"/>
  <c r="M2164" i="6"/>
  <c r="M710" i="6"/>
  <c r="M143" i="6"/>
  <c r="M2119" i="6"/>
  <c r="M2822" i="6"/>
  <c r="M1163" i="6"/>
  <c r="M2749" i="6"/>
  <c r="M3762" i="6"/>
  <c r="M3753" i="6"/>
  <c r="M3754" i="6"/>
  <c r="M3931" i="6"/>
  <c r="M1555" i="6"/>
  <c r="M201" i="6"/>
  <c r="M988" i="6"/>
  <c r="M3254" i="6"/>
  <c r="M1310" i="6"/>
  <c r="M2105" i="6"/>
  <c r="M620" i="6"/>
  <c r="M3506" i="6"/>
  <c r="M800" i="6"/>
  <c r="M283" i="6"/>
  <c r="M216" i="6"/>
  <c r="M3126" i="6"/>
  <c r="M2465" i="6"/>
  <c r="M3176" i="6"/>
  <c r="M1083" i="6"/>
  <c r="M2523" i="6"/>
  <c r="M177" i="6"/>
  <c r="M766" i="6"/>
  <c r="M3170" i="6"/>
  <c r="M1556" i="6"/>
  <c r="M806" i="6"/>
  <c r="M2769" i="6"/>
  <c r="M217" i="6"/>
  <c r="M1164" i="6"/>
  <c r="M1311" i="6"/>
  <c r="M3838" i="6"/>
  <c r="M711" i="6"/>
  <c r="M3633" i="6"/>
  <c r="M261" i="6"/>
  <c r="M3002" i="6"/>
  <c r="M2120" i="6"/>
  <c r="M1442" i="6"/>
  <c r="M621" i="6"/>
  <c r="M305" i="6"/>
  <c r="M1827" i="6"/>
  <c r="M2823" i="6"/>
  <c r="M1492" i="6"/>
  <c r="M2824" i="6"/>
  <c r="M1125" i="6"/>
  <c r="M2966" i="6"/>
  <c r="M1243" i="6"/>
  <c r="M2257" i="6"/>
  <c r="M2258" i="6"/>
  <c r="M3556" i="6"/>
  <c r="M3026" i="6"/>
  <c r="M3585" i="6"/>
  <c r="M1455" i="6"/>
  <c r="M2259" i="6"/>
  <c r="M1671" i="6"/>
  <c r="M807" i="6"/>
  <c r="M3663" i="6"/>
  <c r="M872" i="6"/>
  <c r="M2404" i="6"/>
  <c r="M2260" i="6"/>
  <c r="M3600" i="6"/>
  <c r="M306" i="6"/>
  <c r="M3188" i="6"/>
  <c r="M2711" i="6"/>
  <c r="M422" i="6"/>
  <c r="M4002" i="6"/>
  <c r="M2770" i="6"/>
  <c r="M237" i="6"/>
  <c r="M3614" i="6"/>
  <c r="M465" i="6"/>
  <c r="M1244" i="6"/>
  <c r="M1828" i="6"/>
  <c r="M2015" i="6"/>
  <c r="M913" i="6"/>
  <c r="M3884" i="6"/>
  <c r="M3932" i="6"/>
  <c r="M712" i="6"/>
  <c r="M2874" i="6"/>
  <c r="M466" i="6"/>
  <c r="M262" i="6"/>
  <c r="M225" i="6"/>
  <c r="M41" i="6"/>
  <c r="M2825" i="6"/>
  <c r="M1611" i="6"/>
  <c r="M1165" i="6"/>
  <c r="M1115" i="6"/>
  <c r="M499" i="6"/>
  <c r="M1057" i="6"/>
  <c r="M2165" i="6"/>
  <c r="M2826" i="6"/>
  <c r="M1960" i="6"/>
  <c r="M622" i="6"/>
  <c r="M1779" i="6"/>
  <c r="M2261" i="6"/>
  <c r="M1312" i="6"/>
  <c r="M3216" i="6"/>
  <c r="M1961" i="6"/>
  <c r="M1493" i="6"/>
  <c r="M623" i="6"/>
  <c r="M3163" i="6"/>
  <c r="M828" i="6"/>
  <c r="M3601" i="6"/>
  <c r="M2967" i="6"/>
  <c r="M1388" i="6"/>
  <c r="M914" i="6"/>
  <c r="M2701" i="6"/>
  <c r="M3664" i="6"/>
  <c r="M3255" i="6"/>
  <c r="M1245" i="6"/>
  <c r="M2875" i="6"/>
  <c r="M3104" i="6"/>
  <c r="M3737" i="6"/>
  <c r="M238" i="6"/>
  <c r="M989" i="6"/>
  <c r="M576" i="6"/>
  <c r="M250" i="6"/>
  <c r="M1612" i="6"/>
  <c r="M2087" i="6"/>
  <c r="M3177" i="6"/>
  <c r="M3995" i="6"/>
  <c r="M2524" i="6"/>
  <c r="M624" i="6"/>
  <c r="M1989" i="6"/>
  <c r="M1829" i="6"/>
  <c r="M2944" i="6"/>
  <c r="M1404" i="6"/>
  <c r="M3665" i="6"/>
  <c r="M1557" i="6"/>
  <c r="M3953" i="6"/>
  <c r="M3189" i="6"/>
  <c r="M42" i="6"/>
  <c r="M3362" i="6"/>
  <c r="M625" i="6"/>
  <c r="M146" i="6"/>
  <c r="M1205" i="6"/>
  <c r="M423" i="6"/>
  <c r="M3887" i="6"/>
  <c r="M2931" i="6"/>
  <c r="M3805" i="6"/>
  <c r="M2827" i="6"/>
  <c r="M2055" i="6"/>
  <c r="M2262" i="6"/>
  <c r="M424" i="6"/>
  <c r="M1613" i="6"/>
  <c r="M1830" i="6"/>
  <c r="M1349" i="6"/>
  <c r="M1246" i="6"/>
  <c r="M512" i="6"/>
  <c r="M3158" i="6"/>
  <c r="M178" i="6"/>
  <c r="M4012" i="6"/>
  <c r="M3574" i="6"/>
  <c r="M1494" i="6"/>
  <c r="M1614" i="6"/>
  <c r="M3908" i="6"/>
  <c r="M307" i="6"/>
  <c r="M713" i="6"/>
  <c r="M284" i="6"/>
  <c r="M990" i="6"/>
  <c r="M3581" i="6"/>
  <c r="M2771" i="6"/>
  <c r="M848" i="6"/>
  <c r="M226" i="6"/>
  <c r="M991" i="6"/>
  <c r="M285" i="6"/>
  <c r="M3293" i="6"/>
  <c r="M2374" i="6"/>
  <c r="M1730" i="6"/>
  <c r="M2876" i="6"/>
  <c r="M1700" i="6"/>
  <c r="M14" i="6"/>
  <c r="M2702" i="6"/>
  <c r="M3256" i="6"/>
  <c r="M2380" i="6"/>
  <c r="M626" i="6"/>
  <c r="M1672" i="6"/>
  <c r="M2040" i="6"/>
  <c r="M3955" i="6"/>
  <c r="M627" i="6"/>
  <c r="M1206" i="6"/>
  <c r="M3634" i="6"/>
  <c r="M1389" i="6"/>
  <c r="M782" i="6"/>
  <c r="M3818" i="6"/>
  <c r="M915" i="6"/>
  <c r="M2590" i="6"/>
  <c r="M2263" i="6"/>
  <c r="M714" i="6"/>
  <c r="M1909" i="6"/>
  <c r="M3814" i="6"/>
  <c r="M3697" i="6"/>
  <c r="M263" i="6"/>
  <c r="M3206" i="6"/>
  <c r="M1725" i="6"/>
  <c r="M2264" i="6"/>
  <c r="M1739" i="6"/>
  <c r="M1558" i="6"/>
  <c r="M1378" i="6"/>
  <c r="M3465" i="6"/>
  <c r="M1615" i="6"/>
  <c r="M3408" i="6"/>
  <c r="M2933" i="6"/>
  <c r="M308" i="6"/>
  <c r="M66" i="6"/>
  <c r="M3956" i="6"/>
  <c r="M2877" i="6"/>
  <c r="M3746" i="6"/>
  <c r="M3197" i="6"/>
  <c r="M69" i="6"/>
  <c r="M1616" i="6"/>
  <c r="M1058" i="6"/>
  <c r="M808" i="6"/>
  <c r="M286" i="6"/>
  <c r="M2088" i="6"/>
  <c r="M218" i="6"/>
  <c r="M3915" i="6"/>
  <c r="M2056" i="6"/>
  <c r="M116" i="6"/>
  <c r="M2016" i="6"/>
  <c r="M2166" i="6"/>
  <c r="M2443" i="6"/>
  <c r="M2167" i="6"/>
  <c r="M556" i="6"/>
  <c r="M873" i="6"/>
  <c r="M1962" i="6"/>
  <c r="M3294" i="6"/>
  <c r="M557" i="6"/>
  <c r="M3466" i="6"/>
  <c r="M2790" i="6"/>
  <c r="M2942" i="6"/>
  <c r="M628" i="6"/>
  <c r="M4007" i="6"/>
  <c r="M1731" i="6"/>
  <c r="M1166" i="6"/>
  <c r="M1247" i="6"/>
  <c r="M715" i="6"/>
  <c r="M309" i="6"/>
  <c r="M1084" i="6"/>
  <c r="M2265" i="6"/>
  <c r="M3105" i="6"/>
  <c r="M3343" i="6"/>
  <c r="M916" i="6"/>
  <c r="M3784" i="6"/>
  <c r="M3321" i="6"/>
  <c r="M838" i="6"/>
  <c r="M2934" i="6"/>
  <c r="M310" i="6"/>
  <c r="M777" i="6"/>
  <c r="M2658" i="6"/>
  <c r="M2791" i="6"/>
  <c r="M2721" i="6"/>
  <c r="M3819" i="6"/>
  <c r="M2028" i="6"/>
  <c r="M3567" i="6"/>
  <c r="M2878" i="6"/>
  <c r="M2266" i="6"/>
  <c r="M1405" i="6"/>
  <c r="M716" i="6"/>
  <c r="M3693" i="6"/>
  <c r="M992" i="6"/>
  <c r="M2525" i="6"/>
  <c r="M3006" i="6"/>
  <c r="M2107" i="6"/>
  <c r="M2703" i="6"/>
  <c r="M3257" i="6"/>
  <c r="M467" i="6"/>
  <c r="M3409" i="6"/>
  <c r="M917" i="6"/>
  <c r="M2491" i="6"/>
  <c r="M717" i="6"/>
  <c r="M2267" i="6"/>
  <c r="M2952" i="6"/>
  <c r="M2418" i="6"/>
  <c r="M629" i="6"/>
  <c r="M3106" i="6"/>
  <c r="M3295" i="6"/>
  <c r="M1617" i="6"/>
  <c r="M3635" i="6"/>
  <c r="M1466" i="6"/>
  <c r="M336" i="6"/>
  <c r="M3829" i="6"/>
  <c r="M2168" i="6"/>
  <c r="M3686" i="6"/>
  <c r="M558" i="6"/>
  <c r="M3296" i="6"/>
  <c r="M2169" i="6"/>
  <c r="M1990" i="6"/>
  <c r="M94" i="6"/>
  <c r="M2968" i="6"/>
  <c r="M1963" i="6"/>
  <c r="M2448" i="6"/>
  <c r="M95" i="6"/>
  <c r="M2358" i="6"/>
  <c r="M3376" i="6"/>
  <c r="M630" i="6"/>
  <c r="M3322" i="6"/>
  <c r="M1167" i="6"/>
  <c r="M164" i="6"/>
  <c r="M2045" i="6"/>
  <c r="M2672" i="6"/>
  <c r="M1248" i="6"/>
  <c r="M3950" i="6"/>
  <c r="M1495" i="6"/>
  <c r="M1168" i="6"/>
  <c r="M3507" i="6"/>
  <c r="M1910" i="6"/>
  <c r="M1673" i="6"/>
  <c r="M3980" i="6"/>
  <c r="M918" i="6"/>
  <c r="M1911" i="6"/>
  <c r="M3991" i="6"/>
  <c r="M245" i="6"/>
  <c r="M500" i="6"/>
  <c r="M209" i="6"/>
  <c r="M2935" i="6"/>
  <c r="M1368" i="6"/>
  <c r="M2526" i="6"/>
  <c r="M1390" i="6"/>
  <c r="M2124" i="6"/>
  <c r="M3712" i="6"/>
  <c r="M1496" i="6"/>
  <c r="M3064" i="6"/>
  <c r="M577" i="6"/>
  <c r="M2089" i="6"/>
  <c r="M1912" i="6"/>
  <c r="M2449" i="6"/>
  <c r="M1747" i="6"/>
  <c r="M3848" i="6"/>
  <c r="M1249" i="6"/>
  <c r="M2914" i="6"/>
  <c r="M3258" i="6"/>
  <c r="M3467" i="6"/>
  <c r="M3858" i="6"/>
  <c r="M83" i="6"/>
  <c r="M2454" i="6"/>
  <c r="M1618" i="6"/>
  <c r="M2466" i="6"/>
  <c r="M874" i="6"/>
  <c r="M3968" i="6"/>
  <c r="M2036" i="6"/>
  <c r="M1250" i="6"/>
  <c r="M718" i="6"/>
  <c r="M631" i="6"/>
  <c r="M384" i="6"/>
  <c r="M2268" i="6"/>
  <c r="M2975" i="6"/>
  <c r="M1379" i="6"/>
  <c r="M3151" i="6"/>
  <c r="M3888" i="6"/>
  <c r="M3201" i="6"/>
  <c r="M1785" i="6"/>
  <c r="M2391" i="6"/>
  <c r="M2372" i="6"/>
  <c r="M3127" i="6"/>
  <c r="M1831" i="6"/>
  <c r="M1689" i="6"/>
  <c r="M3557" i="6"/>
  <c r="M3027" i="6"/>
  <c r="M2828" i="6"/>
  <c r="M993" i="6"/>
  <c r="M3028" i="6"/>
  <c r="M1169" i="6"/>
  <c r="M2829" i="6"/>
  <c r="M719" i="6"/>
  <c r="M1559" i="6"/>
  <c r="M2744" i="6"/>
  <c r="M720" i="6"/>
  <c r="M3259" i="6"/>
  <c r="M3615" i="6"/>
  <c r="M3107" i="6"/>
  <c r="M1832" i="6"/>
  <c r="M2527" i="6"/>
  <c r="M3839" i="6"/>
  <c r="M337" i="6"/>
  <c r="M1085" i="6"/>
  <c r="M3785" i="6"/>
  <c r="M402" i="6"/>
  <c r="M875" i="6"/>
  <c r="M2359" i="6"/>
  <c r="M3128" i="6"/>
  <c r="M3410" i="6"/>
  <c r="M3666" i="6"/>
  <c r="M2591" i="6"/>
  <c r="M541" i="6"/>
  <c r="M3575" i="6"/>
  <c r="M1619" i="6"/>
  <c r="M2170" i="6"/>
  <c r="M2451" i="6"/>
  <c r="M214" i="6"/>
  <c r="M2090" i="6"/>
  <c r="M994" i="6"/>
  <c r="M9" i="6"/>
  <c r="M513" i="6"/>
  <c r="M3231" i="6"/>
  <c r="M3859" i="6"/>
  <c r="M919" i="6"/>
  <c r="M1560" i="6"/>
  <c r="M920" i="6"/>
  <c r="M43" i="6"/>
  <c r="M2919" i="6"/>
  <c r="M425" i="6"/>
  <c r="M1391" i="6"/>
  <c r="M1251" i="6"/>
  <c r="M2010" i="6"/>
  <c r="M1086" i="6"/>
  <c r="M3377" i="6"/>
  <c r="M3771" i="6"/>
  <c r="M96" i="6"/>
  <c r="M3129" i="6"/>
  <c r="M2269" i="6"/>
  <c r="M3227" i="6"/>
  <c r="M3586" i="6"/>
  <c r="M3508" i="6"/>
  <c r="M514" i="6"/>
  <c r="M2375" i="6"/>
  <c r="M1207" i="6"/>
  <c r="M2467" i="6"/>
  <c r="M2985" i="6"/>
  <c r="M426" i="6"/>
  <c r="M427" i="6"/>
  <c r="M849" i="6"/>
  <c r="M2528" i="6"/>
  <c r="M1313" i="6"/>
  <c r="M2270" i="6"/>
  <c r="M3190" i="6"/>
  <c r="M809" i="6"/>
  <c r="M1561" i="6"/>
  <c r="M3029" i="6"/>
  <c r="M2436" i="6"/>
  <c r="M1497" i="6"/>
  <c r="M921" i="6"/>
  <c r="M468" i="6"/>
  <c r="M2468" i="6"/>
  <c r="M559" i="6"/>
  <c r="M3602" i="6"/>
  <c r="M2349" i="6"/>
  <c r="M3164" i="6"/>
  <c r="M2057" i="6"/>
  <c r="M822" i="6"/>
  <c r="M1314" i="6"/>
  <c r="M578" i="6"/>
  <c r="M1170" i="6"/>
  <c r="M721" i="6"/>
  <c r="M3940" i="6"/>
  <c r="M2091" i="6"/>
  <c r="M3260" i="6"/>
  <c r="M3065" i="6"/>
  <c r="M3207" i="6"/>
  <c r="M832" i="6"/>
  <c r="M2879" i="6"/>
  <c r="M1116" i="6"/>
  <c r="M1674" i="6"/>
  <c r="M179" i="6"/>
  <c r="M3030" i="6"/>
  <c r="M2125" i="6"/>
  <c r="M1562" i="6"/>
  <c r="M2271" i="6"/>
  <c r="M632" i="6"/>
  <c r="M3031" i="6"/>
  <c r="M3152" i="6"/>
  <c r="M3714" i="6"/>
  <c r="M3013" i="6"/>
  <c r="M515" i="6"/>
  <c r="M1498" i="6"/>
  <c r="M3883" i="6"/>
  <c r="M1499" i="6"/>
  <c r="M2392" i="6"/>
  <c r="M2592" i="6"/>
  <c r="M17" i="6"/>
  <c r="M922" i="6"/>
  <c r="M1358" i="6"/>
  <c r="M3898" i="6"/>
  <c r="M211" i="6"/>
  <c r="M1913" i="6"/>
  <c r="M2092" i="6"/>
  <c r="M2529" i="6"/>
  <c r="M2593" i="6"/>
  <c r="M10" i="6"/>
  <c r="M3772" i="6"/>
  <c r="M2880" i="6"/>
  <c r="M2393" i="6"/>
  <c r="M1100" i="6"/>
  <c r="M516" i="6"/>
  <c r="M923" i="6"/>
  <c r="M3066" i="6"/>
  <c r="M529" i="6"/>
  <c r="M2830" i="6"/>
  <c r="M2425" i="6"/>
  <c r="M3549" i="6"/>
  <c r="M311" i="6"/>
  <c r="M796" i="6"/>
  <c r="M1134" i="6"/>
  <c r="M3468" i="6"/>
  <c r="M2659" i="6"/>
  <c r="M428" i="6"/>
  <c r="M3872" i="6"/>
  <c r="M995" i="6"/>
  <c r="M924" i="6"/>
  <c r="M1833" i="6"/>
  <c r="M3806" i="6"/>
  <c r="M2093" i="6"/>
  <c r="M30" i="6"/>
  <c r="M1252" i="6"/>
  <c r="M1126" i="6"/>
  <c r="M2171" i="6"/>
  <c r="M996" i="6"/>
  <c r="M2530" i="6"/>
  <c r="M97" i="6"/>
  <c r="M2531" i="6"/>
  <c r="M312" i="6"/>
  <c r="M44" i="6"/>
  <c r="M117" i="6"/>
  <c r="M560" i="6"/>
  <c r="M722" i="6"/>
  <c r="M2058" i="6"/>
  <c r="M1692" i="6"/>
  <c r="M1748" i="6"/>
  <c r="M393" i="6"/>
  <c r="M1101" i="6"/>
  <c r="M2360" i="6"/>
  <c r="M1732" i="6"/>
  <c r="M2172" i="6"/>
  <c r="M3542" i="6"/>
  <c r="M2173" i="6"/>
  <c r="M2272" i="6"/>
  <c r="M2273" i="6"/>
  <c r="M3171" i="6"/>
  <c r="M3067" i="6"/>
  <c r="M55" i="6"/>
  <c r="M3590" i="6"/>
  <c r="M1500" i="6"/>
  <c r="M180" i="6"/>
  <c r="M3378" i="6"/>
  <c r="M1802" i="6"/>
  <c r="M2792" i="6"/>
  <c r="M3798" i="6"/>
  <c r="M1392" i="6"/>
  <c r="M3068" i="6"/>
  <c r="M2426" i="6"/>
  <c r="M633" i="6"/>
  <c r="M3860" i="6"/>
  <c r="M2017" i="6"/>
  <c r="M3108" i="6"/>
  <c r="M98" i="6"/>
  <c r="M2793" i="6"/>
  <c r="M1620" i="6"/>
  <c r="M1563" i="6"/>
  <c r="M2018" i="6"/>
  <c r="M2881" i="6"/>
  <c r="M2882" i="6"/>
  <c r="M2594" i="6"/>
  <c r="M3261" i="6"/>
  <c r="M593" i="6"/>
  <c r="M2469" i="6"/>
  <c r="M3411" i="6"/>
  <c r="M2920" i="6"/>
  <c r="M3799" i="6"/>
  <c r="M2274" i="6"/>
  <c r="M1353" i="6"/>
  <c r="M227" i="6"/>
  <c r="M3222" i="6"/>
  <c r="M997" i="6"/>
  <c r="M850" i="6"/>
  <c r="M1780" i="6"/>
  <c r="M155" i="6"/>
  <c r="M3130" i="6"/>
  <c r="M1564" i="6"/>
  <c r="M2041" i="6"/>
  <c r="M2059" i="6"/>
  <c r="M2706" i="6"/>
  <c r="M998" i="6"/>
  <c r="M1761" i="6"/>
  <c r="M1208" i="6"/>
  <c r="M3131" i="6"/>
  <c r="M2831" i="6"/>
  <c r="M3689" i="6"/>
  <c r="M1171" i="6"/>
  <c r="M251" i="6"/>
  <c r="M2060" i="6"/>
  <c r="M1117" i="6"/>
  <c r="M429" i="6"/>
  <c r="M1140" i="6"/>
  <c r="M2134" i="6"/>
  <c r="M2883" i="6"/>
  <c r="M925" i="6"/>
  <c r="M2884" i="6"/>
  <c r="M2999" i="6"/>
  <c r="M1315" i="6"/>
  <c r="M1565" i="6"/>
  <c r="M1419" i="6"/>
  <c r="M1118" i="6"/>
  <c r="M3709" i="6"/>
  <c r="M2381" i="6"/>
  <c r="M1316" i="6"/>
  <c r="M2094" i="6"/>
  <c r="M3800" i="6"/>
  <c r="M149" i="6"/>
  <c r="M208" i="6"/>
  <c r="M2275" i="6"/>
  <c r="M389" i="6"/>
  <c r="M1059" i="6"/>
  <c r="M3934" i="6"/>
  <c r="M2595" i="6"/>
  <c r="M2174" i="6"/>
  <c r="M2794" i="6"/>
  <c r="M215" i="6"/>
  <c r="M338" i="6"/>
  <c r="M3349" i="6"/>
  <c r="M723" i="6"/>
  <c r="M4006" i="6"/>
  <c r="M2596" i="6"/>
  <c r="M3773" i="6"/>
  <c r="M3916" i="6"/>
  <c r="M1501" i="6"/>
  <c r="M2405" i="6"/>
  <c r="M2751" i="6"/>
  <c r="M999" i="6"/>
  <c r="M76" i="6"/>
  <c r="M2361" i="6"/>
  <c r="M3008" i="6"/>
  <c r="M1834" i="6"/>
  <c r="M3636" i="6"/>
  <c r="M634" i="6"/>
  <c r="M2006" i="6"/>
  <c r="M3412" i="6"/>
  <c r="M202" i="6"/>
  <c r="M2121" i="6"/>
  <c r="M2061" i="6"/>
  <c r="M6" i="6"/>
  <c r="M1350" i="6"/>
  <c r="M3159" i="6"/>
  <c r="M2885" i="6"/>
  <c r="M2532" i="6"/>
  <c r="M3413" i="6"/>
  <c r="M228" i="6"/>
  <c r="M3519" i="6"/>
  <c r="M1317" i="6"/>
  <c r="M834" i="6"/>
  <c r="M926" i="6"/>
  <c r="M3981" i="6"/>
  <c r="M1380" i="6"/>
  <c r="M56" i="6"/>
  <c r="M2915" i="6"/>
  <c r="M2276" i="6"/>
  <c r="M589" i="6"/>
  <c r="M876" i="6"/>
  <c r="M3358" i="6"/>
  <c r="M1406" i="6"/>
  <c r="M1835" i="6"/>
  <c r="M3520" i="6"/>
  <c r="M635" i="6"/>
  <c r="M1709" i="6"/>
  <c r="M2688" i="6"/>
  <c r="M1914" i="6"/>
  <c r="M2832" i="6"/>
  <c r="M1420" i="6"/>
  <c r="M1772" i="6"/>
  <c r="M1991" i="6"/>
  <c r="M851" i="6"/>
  <c r="M430" i="6"/>
  <c r="M3667" i="6"/>
  <c r="M1749" i="6"/>
  <c r="M636" i="6"/>
  <c r="M3297" i="6"/>
  <c r="M2976" i="6"/>
  <c r="M927" i="6"/>
  <c r="M1127" i="6"/>
  <c r="M3521" i="6"/>
  <c r="M3109" i="6"/>
  <c r="M1836" i="6"/>
  <c r="M1253" i="6"/>
  <c r="M1502" i="6"/>
  <c r="M3167" i="6"/>
  <c r="M181" i="6"/>
  <c r="M2795" i="6"/>
  <c r="M2772" i="6"/>
  <c r="M3032" i="6"/>
  <c r="M1792" i="6"/>
  <c r="M3603" i="6"/>
  <c r="M724" i="6"/>
  <c r="M928" i="6"/>
  <c r="M1119" i="6"/>
  <c r="M2492" i="6"/>
  <c r="M3735" i="6"/>
  <c r="M3543" i="6"/>
  <c r="M1503" i="6"/>
  <c r="M2277" i="6"/>
  <c r="M2597" i="6"/>
  <c r="M596" i="6"/>
  <c r="M3861" i="6"/>
  <c r="M1071" i="6"/>
  <c r="M579" i="6"/>
  <c r="M517" i="6"/>
  <c r="M4015" i="6"/>
  <c r="M3033" i="6"/>
  <c r="M3816" i="6"/>
  <c r="M829" i="6"/>
  <c r="M1102" i="6"/>
  <c r="M3262" i="6"/>
  <c r="M827" i="6"/>
  <c r="M118" i="6"/>
  <c r="M3705" i="6"/>
  <c r="M3591" i="6"/>
  <c r="M1621" i="6"/>
  <c r="M768" i="6"/>
  <c r="M3522" i="6"/>
  <c r="M3509" i="6"/>
  <c r="M3469" i="6"/>
  <c r="M212" i="6"/>
  <c r="M1915" i="6"/>
  <c r="M3523" i="6"/>
  <c r="M778" i="6"/>
  <c r="M2886" i="6"/>
  <c r="M3069" i="6"/>
  <c r="M2406" i="6"/>
  <c r="M2833" i="6"/>
  <c r="M929" i="6"/>
  <c r="M3604" i="6"/>
  <c r="M1622" i="6"/>
  <c r="M1623" i="6"/>
  <c r="M2175" i="6"/>
  <c r="M1065" i="6"/>
  <c r="M1916" i="6"/>
  <c r="M1917" i="6"/>
  <c r="M203" i="6"/>
  <c r="M313" i="6"/>
  <c r="M469" i="6"/>
  <c r="M1209" i="6"/>
  <c r="M2598" i="6"/>
  <c r="M229" i="6"/>
  <c r="M314" i="6"/>
  <c r="M3637" i="6"/>
  <c r="M3728" i="6"/>
  <c r="M779" i="6"/>
  <c r="M1000" i="6"/>
  <c r="M287" i="6"/>
  <c r="M3713" i="6"/>
  <c r="M1837" i="6"/>
  <c r="M18" i="6"/>
  <c r="M2834" i="6"/>
  <c r="M2533" i="6"/>
  <c r="M3668" i="6"/>
  <c r="M3638" i="6"/>
  <c r="M2534" i="6"/>
  <c r="M3070" i="6"/>
  <c r="M4011" i="6"/>
  <c r="M1838" i="6"/>
  <c r="M470" i="6"/>
  <c r="M3110" i="6"/>
  <c r="M810" i="6"/>
  <c r="M1318" i="6"/>
  <c r="M1172" i="6"/>
  <c r="M1992" i="6"/>
  <c r="M1319" i="6"/>
  <c r="M31" i="6"/>
  <c r="M471" i="6"/>
  <c r="M2019" i="6"/>
  <c r="M2887" i="6"/>
  <c r="M339" i="6"/>
  <c r="M3071" i="6"/>
  <c r="M1918" i="6"/>
  <c r="M1432" i="6"/>
  <c r="M3849" i="6"/>
  <c r="M1964" i="6"/>
  <c r="M2278" i="6"/>
  <c r="M3072" i="6"/>
  <c r="M584" i="6"/>
  <c r="M2176" i="6"/>
  <c r="M2177" i="6"/>
  <c r="M1001" i="6"/>
  <c r="M930" i="6"/>
  <c r="M1740" i="6"/>
  <c r="M315" i="6"/>
  <c r="M1504" i="6"/>
  <c r="M2752" i="6"/>
  <c r="M931" i="6"/>
  <c r="M1173" i="6"/>
  <c r="M3669" i="6"/>
  <c r="M561" i="6"/>
  <c r="M3414" i="6"/>
  <c r="M316" i="6"/>
  <c r="M2704" i="6"/>
  <c r="M1407" i="6"/>
  <c r="M3073" i="6"/>
  <c r="M637" i="6"/>
  <c r="M811" i="6"/>
  <c r="M2178" i="6"/>
  <c r="M2773" i="6"/>
  <c r="M182" i="6"/>
  <c r="M2470" i="6"/>
  <c r="M2986" i="6"/>
  <c r="M3034" i="6"/>
  <c r="M2179" i="6"/>
  <c r="M842" i="6"/>
  <c r="M1505" i="6"/>
  <c r="M400" i="6"/>
  <c r="M3698" i="6"/>
  <c r="M3862" i="6"/>
  <c r="M3616" i="6"/>
  <c r="M1254" i="6"/>
  <c r="M2599" i="6"/>
  <c r="M1060" i="6"/>
  <c r="M2705" i="6"/>
  <c r="M3996" i="6"/>
  <c r="M725" i="6"/>
  <c r="M3687" i="6"/>
  <c r="M3670" i="6"/>
  <c r="M1624" i="6"/>
  <c r="M1002" i="6"/>
  <c r="M3976" i="6"/>
  <c r="M1421" i="6"/>
  <c r="M45" i="6"/>
  <c r="M2600" i="6"/>
  <c r="M3583" i="6"/>
  <c r="M2953" i="6"/>
  <c r="M1051" i="6"/>
  <c r="M932" i="6"/>
  <c r="M288" i="6"/>
  <c r="M3763" i="6"/>
  <c r="M3954" i="6"/>
  <c r="M2180" i="6"/>
  <c r="M1174" i="6"/>
  <c r="M1003" i="6"/>
  <c r="M2535" i="6"/>
  <c r="M3074" i="6"/>
  <c r="M356" i="6"/>
  <c r="M340" i="6"/>
  <c r="M3379" i="6"/>
  <c r="M358" i="6"/>
  <c r="M2382" i="6"/>
  <c r="M933" i="6"/>
  <c r="M1120" i="6"/>
  <c r="M1128" i="6"/>
  <c r="M1839" i="6"/>
  <c r="M3510" i="6"/>
  <c r="M2181" i="6"/>
  <c r="M472" i="6"/>
  <c r="M2444" i="6"/>
  <c r="M3415" i="6"/>
  <c r="M1506" i="6"/>
  <c r="M3470" i="6"/>
  <c r="M1566" i="6"/>
  <c r="M2370" i="6"/>
  <c r="M3717" i="6"/>
  <c r="M3786" i="6"/>
  <c r="M2394" i="6"/>
  <c r="M530" i="6"/>
  <c r="M46" i="6"/>
  <c r="M3298" i="6"/>
  <c r="M3639" i="6"/>
  <c r="M3985" i="6"/>
  <c r="M3299" i="6"/>
  <c r="M3263" i="6"/>
  <c r="M156" i="6"/>
  <c r="M397" i="6"/>
  <c r="M526" i="6"/>
  <c r="M264" i="6"/>
  <c r="M2536" i="6"/>
  <c r="M3592" i="6"/>
  <c r="M2651" i="6"/>
  <c r="M2350" i="6"/>
  <c r="M2493" i="6"/>
  <c r="M2279" i="6"/>
  <c r="M812" i="6"/>
  <c r="M1255" i="6"/>
  <c r="M3774" i="6"/>
  <c r="M1567" i="6"/>
  <c r="M1919" i="6"/>
  <c r="M3416" i="6"/>
  <c r="M1175" i="6"/>
  <c r="M1210" i="6"/>
  <c r="M1750" i="6"/>
  <c r="M3035" i="6"/>
  <c r="M2471" i="6"/>
  <c r="M265" i="6"/>
  <c r="M3417" i="6"/>
  <c r="M835" i="6"/>
  <c r="M1625" i="6"/>
  <c r="M1256" i="6"/>
  <c r="M638" i="6"/>
  <c r="M1176" i="6"/>
  <c r="M99" i="6"/>
  <c r="M2731" i="6"/>
  <c r="M3471" i="6"/>
  <c r="M1004" i="6"/>
  <c r="M639" i="6"/>
  <c r="M3003" i="6"/>
  <c r="M2445" i="6"/>
  <c r="M289" i="6"/>
  <c r="M2537" i="6"/>
  <c r="M77" i="6"/>
  <c r="M562" i="6"/>
  <c r="M4013" i="6"/>
  <c r="M2601" i="6"/>
  <c r="M2707" i="6"/>
  <c r="M2062" i="6"/>
  <c r="M3418" i="6"/>
  <c r="M852" i="6"/>
  <c r="M1568" i="6"/>
  <c r="M3730" i="6"/>
  <c r="M3004" i="6"/>
  <c r="M2280" i="6"/>
  <c r="M3132" i="6"/>
  <c r="M1569" i="6"/>
  <c r="M3863" i="6"/>
  <c r="M1751" i="6"/>
  <c r="M2182" i="6"/>
  <c r="M801" i="6"/>
  <c r="M640" i="6"/>
  <c r="M3731" i="6"/>
  <c r="M641" i="6"/>
  <c r="M726" i="6"/>
  <c r="M3191" i="6"/>
  <c r="M1840" i="6"/>
  <c r="M1965" i="6"/>
  <c r="M2796" i="6"/>
  <c r="M1781" i="6"/>
  <c r="M2538" i="6"/>
  <c r="M563" i="6"/>
  <c r="M3472" i="6"/>
  <c r="M2673" i="6"/>
  <c r="M3178" i="6"/>
  <c r="M3982" i="6"/>
  <c r="M3961" i="6"/>
  <c r="M642" i="6"/>
  <c r="M3473" i="6"/>
  <c r="M473" i="6"/>
  <c r="M2888" i="6"/>
  <c r="M2539" i="6"/>
  <c r="M1211" i="6"/>
  <c r="M2954" i="6"/>
  <c r="M32" i="6"/>
  <c r="M2540" i="6"/>
  <c r="M2183" i="6"/>
  <c r="M3889" i="6"/>
  <c r="M934" i="6"/>
  <c r="M1459" i="6"/>
  <c r="M1626" i="6"/>
  <c r="M3350" i="6"/>
  <c r="M1433" i="6"/>
  <c r="M3830" i="6"/>
  <c r="M2977" i="6"/>
  <c r="M2646" i="6"/>
  <c r="M372" i="6"/>
  <c r="M3300" i="6"/>
  <c r="M2602" i="6"/>
  <c r="M317" i="6"/>
  <c r="M2407" i="6"/>
  <c r="M1066" i="6"/>
  <c r="M1451" i="6"/>
  <c r="M3890" i="6"/>
  <c r="M3111" i="6"/>
  <c r="M4016" i="6"/>
  <c r="M1627" i="6"/>
  <c r="M2063" i="6"/>
  <c r="M1005" i="6"/>
  <c r="M2281" i="6"/>
  <c r="M3351" i="6"/>
  <c r="M2446" i="6"/>
  <c r="M3688" i="6"/>
  <c r="M2282" i="6"/>
  <c r="M2184" i="6"/>
  <c r="M1257" i="6"/>
  <c r="M1920" i="6"/>
  <c r="M2494" i="6"/>
  <c r="M2712" i="6"/>
  <c r="M1993" i="6"/>
  <c r="M2283" i="6"/>
  <c r="M2363" i="6"/>
  <c r="M2284" i="6"/>
  <c r="M3352" i="6"/>
  <c r="M266" i="6"/>
  <c r="M727" i="6"/>
  <c r="M3558" i="6"/>
  <c r="M3392" i="6"/>
  <c r="M431" i="6"/>
  <c r="M2285" i="6"/>
  <c r="M2774" i="6"/>
  <c r="M1841" i="6"/>
  <c r="M165" i="6"/>
  <c r="M877" i="6"/>
  <c r="M100" i="6"/>
  <c r="M2064" i="6"/>
  <c r="M3036" i="6"/>
  <c r="M1994" i="6"/>
  <c r="M432" i="6"/>
  <c r="M2286" i="6"/>
  <c r="M398" i="6"/>
  <c r="M3380" i="6"/>
  <c r="M1842" i="6"/>
  <c r="M3419" i="6"/>
  <c r="M3892" i="6"/>
  <c r="M341" i="6"/>
  <c r="M1628" i="6"/>
  <c r="M728" i="6"/>
  <c r="M47" i="6"/>
  <c r="M3301" i="6"/>
  <c r="M3617" i="6"/>
  <c r="M3224" i="6"/>
  <c r="M3576" i="6"/>
  <c r="M1087" i="6"/>
  <c r="M1258" i="6"/>
  <c r="M2287" i="6"/>
  <c r="M2736" i="6"/>
  <c r="M28" i="6"/>
  <c r="M1259" i="6"/>
  <c r="M1675" i="6"/>
  <c r="M1921" i="6"/>
  <c r="M2495" i="6"/>
  <c r="M542" i="6"/>
  <c r="M1676" i="6"/>
  <c r="M1006" i="6"/>
  <c r="M853" i="6"/>
  <c r="M1320" i="6"/>
  <c r="M1321" i="6"/>
  <c r="M3694" i="6"/>
  <c r="M1322" i="6"/>
  <c r="M1064" i="6"/>
  <c r="M2603" i="6"/>
  <c r="M3831" i="6"/>
  <c r="M3016" i="6"/>
  <c r="M183" i="6"/>
  <c r="M474" i="6"/>
  <c r="M2889" i="6"/>
  <c r="M3811" i="6"/>
  <c r="M2835" i="6"/>
  <c r="M3344" i="6"/>
  <c r="M3226" i="6"/>
  <c r="M3323" i="6"/>
  <c r="M580" i="6"/>
  <c r="M1177" i="6"/>
  <c r="M1922" i="6"/>
  <c r="M3179" i="6"/>
  <c r="M184" i="6"/>
  <c r="M3217" i="6"/>
  <c r="M2890" i="6"/>
  <c r="M2288" i="6"/>
  <c r="M2738" i="6"/>
  <c r="M3511" i="6"/>
  <c r="M3671" i="6"/>
  <c r="M2604" i="6"/>
  <c r="M3559" i="6"/>
  <c r="M71" i="6"/>
  <c r="M101" i="6"/>
  <c r="M433" i="6"/>
  <c r="M3160" i="6"/>
  <c r="M1570" i="6"/>
  <c r="M3264" i="6"/>
  <c r="M3695" i="6"/>
  <c r="M1088" i="6"/>
  <c r="M787" i="6"/>
  <c r="M267" i="6"/>
  <c r="M1571" i="6"/>
  <c r="M3474" i="6"/>
  <c r="M1629" i="6"/>
  <c r="M2185" i="6"/>
  <c r="M2472" i="6"/>
  <c r="M1260" i="6"/>
  <c r="M2095" i="6"/>
  <c r="M1741" i="6"/>
  <c r="M1507" i="6"/>
  <c r="M2351" i="6"/>
  <c r="M1923" i="6"/>
  <c r="M3605" i="6"/>
  <c r="M2046" i="6"/>
  <c r="M136" i="6"/>
  <c r="M3832" i="6"/>
  <c r="M4020" i="6"/>
  <c r="M3420" i="6"/>
  <c r="M3475" i="6"/>
  <c r="M1966" i="6"/>
  <c r="M3901" i="6"/>
  <c r="M475" i="6"/>
  <c r="M1212" i="6"/>
  <c r="M3037" i="6"/>
  <c r="M935" i="6"/>
  <c r="M1007" i="6"/>
  <c r="M2797" i="6"/>
  <c r="M643" i="6"/>
  <c r="M2836" i="6"/>
  <c r="M1213" i="6"/>
  <c r="M3550" i="6"/>
  <c r="M3699" i="6"/>
  <c r="M3562" i="6"/>
  <c r="M1408" i="6"/>
  <c r="M4005" i="6"/>
  <c r="M3787" i="6"/>
  <c r="M2541" i="6"/>
  <c r="M1572" i="6"/>
  <c r="M3938" i="6"/>
  <c r="M1323" i="6"/>
  <c r="M1630" i="6"/>
  <c r="M1742" i="6"/>
  <c r="M268" i="6"/>
  <c r="M1508" i="6"/>
  <c r="M2289" i="6"/>
  <c r="M802" i="6"/>
  <c r="M3381" i="6"/>
  <c r="M2049" i="6"/>
  <c r="M2605" i="6"/>
  <c r="M3747" i="6"/>
  <c r="M2290" i="6"/>
  <c r="M3820" i="6"/>
  <c r="M1045" i="6"/>
  <c r="M2131" i="6"/>
  <c r="M854" i="6"/>
  <c r="M2713" i="6"/>
  <c r="M3180" i="6"/>
  <c r="M3421" i="6"/>
  <c r="M3512" i="6"/>
  <c r="M1214" i="6"/>
  <c r="M1631" i="6"/>
  <c r="M1924" i="6"/>
  <c r="M2186" i="6"/>
  <c r="M729" i="6"/>
  <c r="M1967" i="6"/>
  <c r="M3075" i="6"/>
  <c r="M2291" i="6"/>
  <c r="M2542" i="6"/>
  <c r="M318" i="6"/>
  <c r="M3544" i="6"/>
  <c r="M3715" i="6"/>
  <c r="M2606" i="6"/>
  <c r="M476" i="6"/>
  <c r="M1843" i="6"/>
  <c r="M1261" i="6"/>
  <c r="M843" i="6"/>
  <c r="M1008" i="6"/>
  <c r="M1422" i="6"/>
  <c r="M878" i="6"/>
  <c r="M780" i="6"/>
  <c r="M1844" i="6"/>
  <c r="M1845" i="6"/>
  <c r="M2187" i="6"/>
  <c r="M2607" i="6"/>
  <c r="M813" i="6"/>
  <c r="M2292" i="6"/>
  <c r="M1103" i="6"/>
  <c r="M2837" i="6"/>
  <c r="M803" i="6"/>
  <c r="M477" i="6"/>
  <c r="M2188" i="6"/>
  <c r="M102" i="6"/>
  <c r="M478" i="6"/>
  <c r="M3716" i="6"/>
  <c r="M3864" i="6"/>
  <c r="M1364" i="6"/>
  <c r="M1509" i="6"/>
  <c r="M3997" i="6"/>
  <c r="M3718" i="6"/>
  <c r="M644" i="6"/>
  <c r="M1324" i="6"/>
  <c r="M3801" i="6"/>
  <c r="M1215" i="6"/>
  <c r="M3038" i="6"/>
  <c r="M1925" i="6"/>
  <c r="M1009" i="6"/>
  <c r="M1803" i="6"/>
  <c r="M2722" i="6"/>
  <c r="M1178" i="6"/>
  <c r="M3719" i="6"/>
  <c r="M166" i="6"/>
  <c r="M2126" i="6"/>
  <c r="M1393" i="6"/>
  <c r="M1573" i="6"/>
  <c r="M1121" i="6"/>
  <c r="M3076" i="6"/>
  <c r="M479" i="6"/>
  <c r="M1743" i="6"/>
  <c r="M3112" i="6"/>
  <c r="M3133" i="6"/>
  <c r="M1968" i="6"/>
  <c r="M2189" i="6"/>
  <c r="M3366" i="6"/>
  <c r="M3833" i="6"/>
  <c r="M3593" i="6"/>
  <c r="M936" i="6"/>
  <c r="M1216" i="6"/>
  <c r="M1926" i="6"/>
  <c r="M2190" i="6"/>
  <c r="M2191" i="6"/>
  <c r="M1367" i="6"/>
  <c r="M3302" i="6"/>
  <c r="M645" i="6"/>
  <c r="M2293" i="6"/>
  <c r="M4010" i="6"/>
  <c r="M2346" i="6"/>
  <c r="M2294" i="6"/>
  <c r="M2936" i="6"/>
  <c r="M319" i="6"/>
  <c r="M1782" i="6"/>
  <c r="M2608" i="6"/>
  <c r="M2096" i="6"/>
  <c r="M823" i="6"/>
  <c r="M3039" i="6"/>
  <c r="M3387" i="6"/>
  <c r="M2543" i="6"/>
  <c r="M1357" i="6"/>
  <c r="M2741" i="6"/>
  <c r="M2473" i="6"/>
  <c r="M730" i="6"/>
  <c r="M2891" i="6"/>
  <c r="M2192" i="6"/>
  <c r="M814" i="6"/>
  <c r="M3896" i="6"/>
  <c r="M1632" i="6"/>
  <c r="M230" i="6"/>
  <c r="M815" i="6"/>
  <c r="M2295" i="6"/>
  <c r="M2366" i="6"/>
  <c r="M3939" i="6"/>
  <c r="M1217" i="6"/>
  <c r="M1510" i="6"/>
  <c r="M1846" i="6"/>
  <c r="M1511" i="6"/>
  <c r="M1574" i="6"/>
  <c r="M1434" i="6"/>
  <c r="M1752" i="6"/>
  <c r="M3881" i="6"/>
  <c r="M1795" i="6"/>
  <c r="M3211" i="6"/>
  <c r="M480" i="6"/>
  <c r="M1010" i="6"/>
  <c r="M3926" i="6"/>
  <c r="M2609" i="6"/>
  <c r="M2097" i="6"/>
  <c r="M1927" i="6"/>
  <c r="M3265" i="6"/>
  <c r="M1847" i="6"/>
  <c r="M1928" i="6"/>
  <c r="M3882" i="6"/>
  <c r="M2610" i="6"/>
  <c r="M2496" i="6"/>
  <c r="M3147" i="6"/>
  <c r="M2647" i="6"/>
  <c r="M646" i="6"/>
  <c r="M3640" i="6"/>
  <c r="M3880" i="6"/>
  <c r="M3476" i="6"/>
  <c r="M434" i="6"/>
  <c r="M2364" i="6"/>
  <c r="M2296" i="6"/>
  <c r="M2798" i="6"/>
  <c r="M731" i="6"/>
  <c r="M22" i="6"/>
  <c r="M2474" i="6"/>
  <c r="M647" i="6"/>
  <c r="M3641" i="6"/>
  <c r="M836" i="6"/>
  <c r="M1848" i="6"/>
  <c r="M1969" i="6"/>
  <c r="M435" i="6"/>
  <c r="M732" i="6"/>
  <c r="M1995" i="6"/>
  <c r="M1762" i="6"/>
  <c r="M4021" i="6"/>
  <c r="M937" i="6"/>
  <c r="M320" i="6"/>
  <c r="M2611" i="6"/>
  <c r="M2799" i="6"/>
  <c r="M2193" i="6"/>
  <c r="M2743" i="6"/>
  <c r="M3266" i="6"/>
  <c r="M3267" i="6"/>
  <c r="M531" i="6"/>
  <c r="M938" i="6"/>
  <c r="M3642" i="6"/>
  <c r="M2838" i="6"/>
  <c r="M585" i="6"/>
  <c r="M2544" i="6"/>
  <c r="M3909" i="6"/>
  <c r="M4018" i="6"/>
  <c r="M3353" i="6"/>
  <c r="M3587" i="6"/>
  <c r="M1929" i="6"/>
  <c r="M290" i="6"/>
  <c r="M733" i="6"/>
  <c r="M844" i="6"/>
  <c r="M2745" i="6"/>
  <c r="M3303" i="6"/>
  <c r="M1145" i="6"/>
  <c r="M137" i="6"/>
  <c r="M1054" i="6"/>
  <c r="M1262" i="6"/>
  <c r="M1575" i="6"/>
  <c r="M3927" i="6"/>
  <c r="M3703" i="6"/>
  <c r="M2839" i="6"/>
  <c r="M1576" i="6"/>
  <c r="M648" i="6"/>
  <c r="M4003" i="6"/>
  <c r="M2194" i="6"/>
  <c r="M3477" i="6"/>
  <c r="M3702" i="6"/>
  <c r="M1512" i="6"/>
  <c r="M1849" i="6"/>
  <c r="M1577" i="6"/>
  <c r="M1135" i="6"/>
  <c r="M1394" i="6"/>
  <c r="M2840" i="6"/>
  <c r="M2127" i="6"/>
  <c r="M360" i="6"/>
  <c r="M1263" i="6"/>
  <c r="M1460" i="6"/>
  <c r="M3827" i="6"/>
  <c r="M1011" i="6"/>
  <c r="M3643" i="6"/>
  <c r="M231" i="6"/>
  <c r="M1970" i="6"/>
  <c r="M3644" i="6"/>
  <c r="M3958" i="6"/>
  <c r="M649" i="6"/>
  <c r="M3952" i="6"/>
  <c r="M650" i="6"/>
  <c r="M651" i="6"/>
  <c r="M1264" i="6"/>
  <c r="M3807" i="6"/>
  <c r="M2545" i="6"/>
  <c r="M939" i="6"/>
  <c r="M72" i="6"/>
  <c r="M1633" i="6"/>
  <c r="M1850" i="6"/>
  <c r="M3134" i="6"/>
  <c r="M2892" i="6"/>
  <c r="M3706" i="6"/>
  <c r="M2893" i="6"/>
  <c r="M1733" i="6"/>
  <c r="M2894" i="6"/>
  <c r="M291" i="6"/>
  <c r="M3385" i="6"/>
  <c r="M1851" i="6"/>
  <c r="M3422" i="6"/>
  <c r="M3423" i="6"/>
  <c r="M1104" i="6"/>
  <c r="M1799" i="6"/>
  <c r="M1409" i="6"/>
  <c r="M73" i="6"/>
  <c r="M2612" i="6"/>
  <c r="M734" i="6"/>
  <c r="M2546" i="6"/>
  <c r="M1852" i="6"/>
  <c r="M1351" i="6"/>
  <c r="M4008" i="6"/>
  <c r="M103" i="6"/>
  <c r="M1179" i="6"/>
  <c r="M1265" i="6"/>
  <c r="M1180" i="6"/>
  <c r="M3594" i="6"/>
  <c r="M1359" i="6"/>
  <c r="M586" i="6"/>
  <c r="M3153" i="6"/>
  <c r="M269" i="6"/>
  <c r="M1578" i="6"/>
  <c r="M3135" i="6"/>
  <c r="M1853" i="6"/>
  <c r="M1148" i="6"/>
  <c r="M3815" i="6"/>
  <c r="M2916" i="6"/>
  <c r="M532" i="6"/>
  <c r="M1854" i="6"/>
  <c r="M2841" i="6"/>
  <c r="M3965" i="6"/>
  <c r="M2842" i="6"/>
  <c r="M1218" i="6"/>
  <c r="M1579" i="6"/>
  <c r="M2895" i="6"/>
  <c r="M2065" i="6"/>
  <c r="M3755" i="6"/>
  <c r="M67" i="6"/>
  <c r="M2896" i="6"/>
  <c r="M3578" i="6"/>
  <c r="M1753" i="6"/>
  <c r="M3113" i="6"/>
  <c r="M940" i="6"/>
  <c r="M2714" i="6"/>
  <c r="M2297" i="6"/>
  <c r="M2383" i="6"/>
  <c r="M1146" i="6"/>
  <c r="M3738" i="6"/>
  <c r="M2748" i="6"/>
  <c r="M855" i="6"/>
  <c r="M3748" i="6"/>
  <c r="M1744" i="6"/>
  <c r="M3794" i="6"/>
  <c r="M270" i="6"/>
  <c r="M2843" i="6"/>
  <c r="M3944" i="6"/>
  <c r="M1734" i="6"/>
  <c r="M1052" i="6"/>
  <c r="M2742" i="6"/>
  <c r="M856" i="6"/>
  <c r="M3672" i="6"/>
  <c r="M57" i="6"/>
  <c r="M185" i="6"/>
  <c r="M2547" i="6"/>
  <c r="M2800" i="6"/>
  <c r="M518" i="6"/>
  <c r="M3424" i="6"/>
  <c r="M3169" i="6"/>
  <c r="M2987" i="6"/>
  <c r="M3723" i="6"/>
  <c r="M3606" i="6"/>
  <c r="M501" i="6"/>
  <c r="M3478" i="6"/>
  <c r="M652" i="6"/>
  <c r="M1580" i="6"/>
  <c r="M204" i="6"/>
  <c r="M1105" i="6"/>
  <c r="M3984" i="6"/>
  <c r="M941" i="6"/>
  <c r="M3077" i="6"/>
  <c r="M2098" i="6"/>
  <c r="M2099" i="6"/>
  <c r="M3202" i="6"/>
  <c r="M1930" i="6"/>
  <c r="M3796" i="6"/>
  <c r="M119" i="6"/>
  <c r="M342" i="6"/>
  <c r="M1461" i="6"/>
  <c r="M3551" i="6"/>
  <c r="M2429" i="6"/>
  <c r="M3645" i="6"/>
  <c r="M1513" i="6"/>
  <c r="M3850" i="6"/>
  <c r="M2066" i="6"/>
  <c r="M2298" i="6"/>
  <c r="M25" i="6"/>
  <c r="M502" i="6"/>
  <c r="M2937" i="6"/>
  <c r="M1266" i="6"/>
  <c r="M1462" i="6"/>
  <c r="M271" i="6"/>
  <c r="M3834" i="6"/>
  <c r="M3388" i="6"/>
  <c r="M1581" i="6"/>
  <c r="M292" i="6"/>
  <c r="M11" i="6"/>
  <c r="M3673" i="6"/>
  <c r="M3114" i="6"/>
  <c r="M1701" i="6"/>
  <c r="M3962" i="6"/>
  <c r="M1855" i="6"/>
  <c r="M2419" i="6"/>
  <c r="M1763" i="6"/>
  <c r="M3181" i="6"/>
  <c r="M1996" i="6"/>
  <c r="M3793" i="6"/>
  <c r="M1582" i="6"/>
  <c r="M1931" i="6"/>
  <c r="M2195" i="6"/>
  <c r="M2128" i="6"/>
  <c r="M104" i="6"/>
  <c r="M1710" i="6"/>
  <c r="M2108" i="6"/>
  <c r="M3382" i="6"/>
  <c r="M3524" i="6"/>
  <c r="M353" i="6"/>
  <c r="M2196" i="6"/>
  <c r="M2548" i="6"/>
  <c r="M3425" i="6"/>
  <c r="M3040" i="6"/>
  <c r="M3840" i="6"/>
  <c r="M1790" i="6"/>
  <c r="M3545" i="6"/>
  <c r="M3646" i="6"/>
  <c r="M1932" i="6"/>
  <c r="M2732" i="6"/>
  <c r="M3905" i="6"/>
  <c r="M1933" i="6"/>
  <c r="M3268" i="6"/>
  <c r="M481" i="6"/>
  <c r="M1435" i="6"/>
  <c r="M1856" i="6"/>
  <c r="M2938" i="6"/>
  <c r="M29" i="6"/>
  <c r="M879" i="6"/>
  <c r="M1514" i="6"/>
  <c r="M2955" i="6"/>
  <c r="M3324" i="6"/>
  <c r="M2613" i="6"/>
  <c r="M2299" i="6"/>
  <c r="M2691" i="6"/>
  <c r="M788" i="6"/>
  <c r="M2698" i="6"/>
  <c r="M105" i="6"/>
  <c r="M3136" i="6"/>
  <c r="M1089" i="6"/>
  <c r="M735" i="6"/>
  <c r="M942" i="6"/>
  <c r="M2897" i="6"/>
  <c r="M27" i="6"/>
  <c r="M2300" i="6"/>
  <c r="M1012" i="6"/>
  <c r="M2067" i="6"/>
  <c r="M2614" i="6"/>
  <c r="M736" i="6"/>
  <c r="M2431" i="6"/>
  <c r="M1219" i="6"/>
  <c r="M2301" i="6"/>
  <c r="M1515" i="6"/>
  <c r="M3383" i="6"/>
  <c r="M3788" i="6"/>
  <c r="M3426" i="6"/>
  <c r="M2129" i="6"/>
  <c r="M1971" i="6"/>
  <c r="M3749" i="6"/>
  <c r="M1677" i="6"/>
  <c r="M564" i="6"/>
  <c r="M3336" i="6"/>
  <c r="M3724" i="6"/>
  <c r="M2302" i="6"/>
  <c r="M1711" i="6"/>
  <c r="M3269" i="6"/>
  <c r="M2497" i="6"/>
  <c r="M1181" i="6"/>
  <c r="M293" i="6"/>
  <c r="M74" i="6"/>
  <c r="M3851" i="6"/>
  <c r="M2303" i="6"/>
  <c r="M3875" i="6"/>
  <c r="M1267" i="6"/>
  <c r="M590" i="6"/>
  <c r="M1693" i="6"/>
  <c r="M2068" i="6"/>
  <c r="M3764" i="6"/>
  <c r="M2498" i="6"/>
  <c r="M482" i="6"/>
  <c r="M2197" i="6"/>
  <c r="M3571" i="6"/>
  <c r="M1516" i="6"/>
  <c r="M3182" i="6"/>
  <c r="M3775" i="6"/>
  <c r="M3337" i="6"/>
  <c r="M343" i="6"/>
  <c r="M3674" i="6"/>
  <c r="M2615" i="6"/>
  <c r="M2616" i="6"/>
  <c r="M1517" i="6"/>
  <c r="M1857" i="6"/>
  <c r="M3389" i="6"/>
  <c r="M3879" i="6"/>
  <c r="M1046" i="6"/>
  <c r="M321" i="6"/>
  <c r="M2723" i="6"/>
  <c r="M1220" i="6"/>
  <c r="M737" i="6"/>
  <c r="M653" i="6"/>
  <c r="M1934" i="6"/>
  <c r="M2549" i="6"/>
  <c r="M943" i="6"/>
  <c r="M1129" i="6"/>
  <c r="M2550" i="6"/>
  <c r="M1454" i="6"/>
  <c r="M2395" i="6"/>
  <c r="M1072" i="6"/>
  <c r="M2801" i="6"/>
  <c r="M1325" i="6"/>
  <c r="M483" i="6"/>
  <c r="M3479" i="6"/>
  <c r="M944" i="6"/>
  <c r="M1634" i="6"/>
  <c r="M738" i="6"/>
  <c r="M3675" i="6"/>
  <c r="M503" i="6"/>
  <c r="M106" i="6"/>
  <c r="M3865" i="6"/>
  <c r="M2969" i="6"/>
  <c r="M3525" i="6"/>
  <c r="M654" i="6"/>
  <c r="M3526" i="6"/>
  <c r="M1518" i="6"/>
  <c r="M3618" i="6"/>
  <c r="M1678" i="6"/>
  <c r="M1635" i="6"/>
  <c r="M1754" i="6"/>
  <c r="M3233" i="6"/>
  <c r="M3480" i="6"/>
  <c r="M2756" i="6"/>
  <c r="M4" i="6"/>
  <c r="M3936" i="6"/>
  <c r="M3966" i="6"/>
  <c r="M880" i="6"/>
  <c r="M2475" i="6"/>
  <c r="M3078" i="6"/>
  <c r="M2551" i="6"/>
  <c r="M3690" i="6"/>
  <c r="M2898" i="6"/>
  <c r="M3963" i="6"/>
  <c r="M1636" i="6"/>
  <c r="M3192" i="6"/>
  <c r="M2988" i="6"/>
  <c r="M344" i="6"/>
  <c r="M3481" i="6"/>
  <c r="M345" i="6"/>
  <c r="M4009" i="6"/>
  <c r="M655" i="6"/>
  <c r="M739" i="6"/>
  <c r="M3161" i="6"/>
  <c r="M2617" i="6"/>
  <c r="M1013" i="6"/>
  <c r="M3079" i="6"/>
  <c r="M1519" i="6"/>
  <c r="M1326" i="6"/>
  <c r="M1142" i="6"/>
  <c r="M48" i="6"/>
  <c r="M740" i="6"/>
  <c r="M1858" i="6"/>
  <c r="M3972" i="6"/>
  <c r="M789" i="6"/>
  <c r="M3390" i="6"/>
  <c r="M1182" i="6"/>
  <c r="M3676" i="6"/>
  <c r="M219" i="6"/>
  <c r="M945" i="6"/>
  <c r="M2655" i="6"/>
  <c r="M565" i="6"/>
  <c r="M2304" i="6"/>
  <c r="M881" i="6"/>
  <c r="M2618" i="6"/>
  <c r="M1410" i="6"/>
  <c r="M49" i="6"/>
  <c r="M3325" i="6"/>
  <c r="M3427" i="6"/>
  <c r="M484" i="6"/>
  <c r="M504" i="6"/>
  <c r="M2619" i="6"/>
  <c r="M1679" i="6"/>
  <c r="M505" i="6"/>
  <c r="M1268" i="6"/>
  <c r="M3866" i="6"/>
  <c r="M3080" i="6"/>
  <c r="M2939" i="6"/>
  <c r="M3588" i="6"/>
  <c r="M3482" i="6"/>
  <c r="M2899" i="6"/>
  <c r="M2802" i="6"/>
  <c r="M1139" i="6"/>
  <c r="M3756" i="6"/>
  <c r="M120" i="6"/>
  <c r="M882" i="6"/>
  <c r="M346" i="6"/>
  <c r="M524" i="6"/>
  <c r="M2198" i="6"/>
  <c r="M2844" i="6"/>
  <c r="M2552" i="6"/>
  <c r="M385" i="6"/>
  <c r="M566" i="6"/>
  <c r="M3236" i="6"/>
  <c r="M2674" i="6"/>
  <c r="M3041" i="6"/>
  <c r="M3218" i="6"/>
  <c r="M3733" i="6"/>
  <c r="M656" i="6"/>
  <c r="M436" i="6"/>
  <c r="M367" i="6"/>
  <c r="M1327" i="6"/>
  <c r="M2032" i="6"/>
  <c r="M946" i="6"/>
  <c r="M3428" i="6"/>
  <c r="M2305" i="6"/>
  <c r="M239" i="6"/>
  <c r="M3532" i="6"/>
  <c r="M3988" i="6"/>
  <c r="M3483" i="6"/>
  <c r="M2724" i="6"/>
  <c r="M1014" i="6"/>
  <c r="M741" i="6"/>
  <c r="M3042" i="6"/>
  <c r="M2069" i="6"/>
  <c r="M1106" i="6"/>
  <c r="M2900" i="6"/>
  <c r="M1015" i="6"/>
  <c r="M1520" i="6"/>
  <c r="M3951" i="6"/>
  <c r="M1859" i="6"/>
  <c r="M3917" i="6"/>
  <c r="M3977" i="6"/>
  <c r="M2376" i="6"/>
  <c r="M1395" i="6"/>
  <c r="M1360" i="6"/>
  <c r="M3270" i="6"/>
  <c r="M437" i="6"/>
  <c r="M1221" i="6"/>
  <c r="M244" i="6"/>
  <c r="M3580" i="6"/>
  <c r="M2499" i="6"/>
  <c r="M2620" i="6"/>
  <c r="M3304" i="6"/>
  <c r="M3429" i="6"/>
  <c r="M742" i="6"/>
  <c r="M1370" i="6"/>
  <c r="M438" i="6"/>
  <c r="M1972" i="6"/>
  <c r="M1583" i="6"/>
  <c r="M2993" i="6"/>
  <c r="M3137" i="6"/>
  <c r="M1016" i="6"/>
  <c r="M141" i="6"/>
  <c r="M657" i="6"/>
  <c r="M3804" i="6"/>
  <c r="M3193" i="6"/>
  <c r="M1637" i="6"/>
  <c r="M1423" i="6"/>
  <c r="M1090" i="6"/>
  <c r="M1183" i="6"/>
  <c r="M1345" i="6"/>
  <c r="M50" i="6"/>
  <c r="M2070" i="6"/>
  <c r="M1047" i="6"/>
  <c r="M947" i="6"/>
  <c r="M1638" i="6"/>
  <c r="M2652" i="6"/>
  <c r="M1639" i="6"/>
  <c r="M781" i="6"/>
  <c r="M2476" i="6"/>
  <c r="M4022" i="6"/>
  <c r="M1860" i="6"/>
  <c r="M1328" i="6"/>
  <c r="M3537" i="6"/>
  <c r="M2943" i="6"/>
  <c r="M2420" i="6"/>
  <c r="M1017" i="6"/>
  <c r="M3978" i="6"/>
  <c r="M2477" i="6"/>
  <c r="M2970" i="6"/>
  <c r="M1329" i="6"/>
  <c r="M1712" i="6"/>
  <c r="M485" i="6"/>
  <c r="M743" i="6"/>
  <c r="M3214" i="6"/>
  <c r="M272" i="6"/>
  <c r="M2306" i="6"/>
  <c r="M147" i="6"/>
  <c r="M533" i="6"/>
  <c r="M1521" i="6"/>
  <c r="M2971" i="6"/>
  <c r="M2621" i="6"/>
  <c r="M81" i="6"/>
  <c r="M2100" i="6"/>
  <c r="M439" i="6"/>
  <c r="M78" i="6"/>
  <c r="M1018" i="6"/>
  <c r="M1184" i="6"/>
  <c r="M1861" i="6"/>
  <c r="M2307" i="6"/>
  <c r="M1354" i="6"/>
  <c r="M3533" i="6"/>
  <c r="M2199" i="6"/>
  <c r="M2308" i="6"/>
  <c r="M186" i="6"/>
  <c r="M1269" i="6"/>
  <c r="M3910" i="6"/>
  <c r="M3964" i="6"/>
  <c r="M1584" i="6"/>
  <c r="M3430" i="6"/>
  <c r="M2660" i="6"/>
  <c r="M1107" i="6"/>
  <c r="M2500" i="6"/>
  <c r="M3560" i="6"/>
  <c r="M1585" i="6"/>
  <c r="M744" i="6"/>
  <c r="M1586" i="6"/>
  <c r="M2675" i="6"/>
  <c r="M543" i="6"/>
  <c r="M1997" i="6"/>
  <c r="M2683" i="6"/>
  <c r="M2775" i="6"/>
  <c r="M440" i="6"/>
  <c r="M273" i="6"/>
  <c r="M745" i="6"/>
  <c r="M506" i="6"/>
  <c r="M3208" i="6"/>
  <c r="M2135" i="6"/>
  <c r="M3573" i="6"/>
  <c r="M3647" i="6"/>
  <c r="M2901" i="6"/>
  <c r="M1330" i="6"/>
  <c r="M3009" i="6"/>
  <c r="M1522" i="6"/>
  <c r="M857" i="6"/>
  <c r="M1935" i="6"/>
  <c r="M1073" i="6"/>
  <c r="M2661" i="6"/>
  <c r="M3338" i="6"/>
  <c r="M1973" i="6"/>
  <c r="M519" i="6"/>
  <c r="M3792" i="6"/>
  <c r="M3043" i="6"/>
  <c r="M1436" i="6"/>
  <c r="M3765" i="6"/>
  <c r="M1713" i="6"/>
  <c r="M1019" i="6"/>
  <c r="M3812" i="6"/>
  <c r="M441" i="6"/>
  <c r="M3619" i="6"/>
  <c r="M2112" i="6"/>
  <c r="M442" i="6"/>
  <c r="M658" i="6"/>
  <c r="M1222" i="6"/>
  <c r="M2200" i="6"/>
  <c r="M3620" i="6"/>
  <c r="M443" i="6"/>
  <c r="M486" i="6"/>
  <c r="M1523" i="6"/>
  <c r="M1381" i="6"/>
  <c r="M1640" i="6"/>
  <c r="M3484" i="6"/>
  <c r="M3867" i="6"/>
  <c r="M51" i="6"/>
  <c r="M746" i="6"/>
  <c r="M3648" i="6"/>
  <c r="M359" i="6"/>
  <c r="M3271" i="6"/>
  <c r="M3485" i="6"/>
  <c r="M948" i="6"/>
  <c r="M121" i="6"/>
  <c r="M3720" i="6"/>
  <c r="M84" i="6"/>
  <c r="M2309" i="6"/>
  <c r="M2708" i="6"/>
  <c r="M3552" i="6"/>
  <c r="M3162" i="6"/>
  <c r="M1587" i="6"/>
  <c r="M3513" i="6"/>
  <c r="M2071" i="6"/>
  <c r="M2478" i="6"/>
  <c r="M3825" i="6"/>
  <c r="M2622" i="6"/>
  <c r="M1690" i="6"/>
  <c r="M3959" i="6"/>
  <c r="M1524" i="6"/>
  <c r="M2072" i="6"/>
  <c r="M2344" i="6"/>
  <c r="M187" i="6"/>
  <c r="M883" i="6"/>
  <c r="M534" i="6"/>
  <c r="M157" i="6"/>
  <c r="M2623" i="6"/>
  <c r="M2201" i="6"/>
  <c r="M3431" i="6"/>
  <c r="M1800" i="6"/>
  <c r="M3081" i="6"/>
  <c r="M3922" i="6"/>
  <c r="M1525" i="6"/>
  <c r="M1526" i="6"/>
  <c r="M1727" i="6"/>
  <c r="M1936" i="6"/>
  <c r="M1527" i="6"/>
  <c r="M487" i="6"/>
  <c r="M3138" i="6"/>
  <c r="M567" i="6"/>
  <c r="M3139" i="6"/>
  <c r="M2553" i="6"/>
  <c r="M3649" i="6"/>
  <c r="M2554" i="6"/>
  <c r="M3305" i="6"/>
  <c r="M1714" i="6"/>
  <c r="M2662" i="6"/>
  <c r="M3272" i="6"/>
  <c r="M1055" i="6"/>
  <c r="M3776" i="6"/>
  <c r="M659" i="6"/>
  <c r="M3841" i="6"/>
  <c r="M747" i="6"/>
  <c r="M347" i="6"/>
  <c r="M167" i="6"/>
  <c r="M3486" i="6"/>
  <c r="M949" i="6"/>
  <c r="M2776" i="6"/>
  <c r="M1270" i="6"/>
  <c r="M950" i="6"/>
  <c r="M951" i="6"/>
  <c r="M3802" i="6"/>
  <c r="M3044" i="6"/>
  <c r="M361" i="6"/>
  <c r="M1331" i="6"/>
  <c r="M3998" i="6"/>
  <c r="M232" i="6"/>
  <c r="M2989" i="6"/>
  <c r="M1937" i="6"/>
  <c r="M188" i="6"/>
  <c r="M952" i="6"/>
  <c r="M3384" i="6"/>
  <c r="M2777" i="6"/>
  <c r="M568" i="6"/>
  <c r="M220" i="6"/>
  <c r="M233" i="6"/>
  <c r="M2408" i="6"/>
  <c r="M3045" i="6"/>
  <c r="M1091" i="6"/>
  <c r="M3082" i="6"/>
  <c r="M660" i="6"/>
  <c r="M3911" i="6"/>
  <c r="M2073" i="6"/>
  <c r="M1271" i="6"/>
  <c r="M386" i="6"/>
  <c r="M3140" i="6"/>
  <c r="M3797" i="6"/>
  <c r="M3868" i="6"/>
  <c r="M373" i="6"/>
  <c r="M383" i="6"/>
  <c r="M2479" i="6"/>
  <c r="M2310" i="6"/>
  <c r="M824" i="6"/>
  <c r="M1272" i="6"/>
  <c r="M3487" i="6"/>
  <c r="M3432" i="6"/>
  <c r="M748" i="6"/>
  <c r="M1185" i="6"/>
  <c r="M1056" i="6"/>
  <c r="M1332" i="6"/>
  <c r="M390" i="6"/>
  <c r="M1528" i="6"/>
  <c r="M2202" i="6"/>
  <c r="M122" i="6"/>
  <c r="M594" i="6"/>
  <c r="M3650" i="6"/>
  <c r="M1695" i="6"/>
  <c r="M3273" i="6"/>
  <c r="M3538" i="6"/>
  <c r="M132" i="6"/>
  <c r="M3083" i="6"/>
  <c r="M749" i="6"/>
  <c r="M661" i="6"/>
  <c r="M2203" i="6"/>
  <c r="M1724" i="6"/>
  <c r="M2624" i="6"/>
  <c r="M2311" i="6"/>
  <c r="M2803" i="6"/>
  <c r="M2396" i="6"/>
  <c r="M2050" i="6"/>
  <c r="M189" i="6"/>
  <c r="M2204" i="6"/>
  <c r="M3274" i="6"/>
  <c r="M662" i="6"/>
  <c r="M2312" i="6"/>
  <c r="M2845" i="6"/>
  <c r="M1382" i="6"/>
  <c r="M1396" i="6"/>
  <c r="M3433" i="6"/>
  <c r="M507" i="6"/>
  <c r="M1680" i="6"/>
  <c r="M1344" i="6"/>
  <c r="M2846" i="6"/>
  <c r="M2778" i="6"/>
  <c r="M2625" i="6"/>
  <c r="M1681" i="6"/>
  <c r="M2205" i="6"/>
  <c r="M3842" i="6"/>
  <c r="M2555" i="6"/>
  <c r="M2847" i="6"/>
  <c r="M830" i="6"/>
  <c r="M663" i="6"/>
  <c r="M1529" i="6"/>
  <c r="M1715" i="6"/>
  <c r="M52" i="6"/>
  <c r="M3326" i="6"/>
  <c r="M3183" i="6"/>
  <c r="M3677" i="6"/>
  <c r="M168" i="6"/>
  <c r="M75" i="6"/>
  <c r="M664" i="6"/>
  <c r="M1530" i="6"/>
  <c r="M3225" i="6"/>
  <c r="M2113" i="6"/>
  <c r="M1974" i="6"/>
  <c r="M1355" i="6"/>
  <c r="M190" i="6"/>
  <c r="M665" i="6"/>
  <c r="M444" i="6"/>
  <c r="M3589" i="6"/>
  <c r="M666" i="6"/>
  <c r="M2437" i="6"/>
  <c r="M3084" i="6"/>
  <c r="M2715" i="6"/>
  <c r="M2556" i="6"/>
  <c r="M1862" i="6"/>
  <c r="M488" i="6"/>
  <c r="M1531" i="6"/>
  <c r="M3912" i="6"/>
  <c r="M3085" i="6"/>
  <c r="M845" i="6"/>
  <c r="M1532" i="6"/>
  <c r="M3434" i="6"/>
  <c r="M3710" i="6"/>
  <c r="M3813" i="6"/>
  <c r="M3046" i="6"/>
  <c r="M520" i="6"/>
  <c r="M535" i="6"/>
  <c r="M1371" i="6"/>
  <c r="M1641" i="6"/>
  <c r="M1411" i="6"/>
  <c r="M489" i="6"/>
  <c r="M2313" i="6"/>
  <c r="M1020" i="6"/>
  <c r="M790" i="6"/>
  <c r="M1447" i="6"/>
  <c r="M1076" i="6"/>
  <c r="M2206" i="6"/>
  <c r="M2626" i="6"/>
  <c r="M2716" i="6"/>
  <c r="M3115" i="6"/>
  <c r="M3275" i="6"/>
  <c r="M138" i="6"/>
  <c r="M2207" i="6"/>
  <c r="M1764" i="6"/>
  <c r="M769" i="6"/>
  <c r="M1424" i="6"/>
  <c r="M2208" i="6"/>
  <c r="M667" i="6"/>
  <c r="M1642" i="6"/>
  <c r="M2725" i="6"/>
  <c r="M191" i="6"/>
  <c r="M1223" i="6"/>
  <c r="M1021" i="6"/>
  <c r="M1022" i="6"/>
  <c r="M858" i="6"/>
  <c r="M1938" i="6"/>
  <c r="M249" i="6"/>
  <c r="M508" i="6"/>
  <c r="M953" i="6"/>
  <c r="M2314" i="6"/>
  <c r="M3539" i="6"/>
  <c r="M2779" i="6"/>
  <c r="M1063" i="6"/>
  <c r="M490" i="6"/>
  <c r="M1863" i="6"/>
  <c r="M2679" i="6"/>
  <c r="M2804" i="6"/>
  <c r="M2074" i="6"/>
  <c r="M445" i="6"/>
  <c r="M816" i="6"/>
  <c r="M884" i="6"/>
  <c r="M1797" i="6"/>
  <c r="M2047" i="6"/>
  <c r="M954" i="6"/>
  <c r="M3355" i="6"/>
  <c r="M1023" i="6"/>
  <c r="M3047" i="6"/>
  <c r="M1998" i="6"/>
  <c r="M1588" i="6"/>
  <c r="M2427" i="6"/>
  <c r="M1136" i="6"/>
  <c r="M1975" i="6"/>
  <c r="M3893" i="6"/>
  <c r="M3918" i="6"/>
  <c r="M1048" i="6"/>
  <c r="M668" i="6"/>
  <c r="M2692" i="6"/>
  <c r="M859" i="6"/>
  <c r="M1108" i="6"/>
  <c r="M2739" i="6"/>
  <c r="M1273" i="6"/>
  <c r="M2726" i="6"/>
  <c r="M144" i="6"/>
  <c r="M3651" i="6"/>
  <c r="M446" i="6"/>
  <c r="M1864" i="6"/>
  <c r="M2377" i="6"/>
  <c r="M1865" i="6"/>
  <c r="M2011" i="6"/>
  <c r="M1716" i="6"/>
  <c r="M1061" i="6"/>
  <c r="M1077" i="6"/>
  <c r="M2780" i="6"/>
  <c r="M2315" i="6"/>
  <c r="M1691" i="6"/>
  <c r="M2209" i="6"/>
  <c r="M3086" i="6"/>
  <c r="M525" i="6"/>
  <c r="M581" i="6"/>
  <c r="M2210" i="6"/>
  <c r="M1589" i="6"/>
  <c r="M3876" i="6"/>
  <c r="M2733" i="6"/>
  <c r="M1939" i="6"/>
  <c r="M3572" i="6"/>
  <c r="M955" i="6"/>
  <c r="M1412" i="6"/>
  <c r="M2075" i="6"/>
  <c r="M1866" i="6"/>
  <c r="M1024" i="6"/>
  <c r="M669" i="6"/>
  <c r="M956" i="6"/>
  <c r="M2781" i="6"/>
  <c r="M322" i="6"/>
  <c r="M3621" i="6"/>
  <c r="M770" i="6"/>
  <c r="M3999" i="6"/>
  <c r="M447" i="6"/>
  <c r="M1867" i="6"/>
  <c r="M2760" i="6"/>
  <c r="M2365" i="6"/>
  <c r="M3488" i="6"/>
  <c r="M252" i="6"/>
  <c r="M1868" i="6"/>
  <c r="M2627" i="6"/>
  <c r="M2409" i="6"/>
  <c r="M145" i="6"/>
  <c r="M1361" i="6"/>
  <c r="M1186" i="6"/>
  <c r="M2025" i="6"/>
  <c r="M1413" i="6"/>
  <c r="M3087" i="6"/>
  <c r="M3116" i="6"/>
  <c r="M2663" i="6"/>
  <c r="M3345" i="6"/>
  <c r="M3877" i="6"/>
  <c r="M3891" i="6"/>
  <c r="M817" i="6"/>
  <c r="M2628" i="6"/>
  <c r="M3489" i="6"/>
  <c r="M957" i="6"/>
  <c r="M3154" i="6"/>
  <c r="M2848" i="6"/>
  <c r="M750" i="6"/>
  <c r="M1869" i="6"/>
  <c r="M2020" i="6"/>
  <c r="M1187" i="6"/>
  <c r="M2316" i="6"/>
  <c r="M274" i="6"/>
  <c r="M2441" i="6"/>
  <c r="M2629" i="6"/>
  <c r="M2956" i="6"/>
  <c r="M751" i="6"/>
  <c r="M2410" i="6"/>
  <c r="M448" i="6"/>
  <c r="M2557" i="6"/>
  <c r="M1976" i="6"/>
  <c r="M123" i="6"/>
  <c r="M1074" i="6"/>
  <c r="M1109" i="6"/>
  <c r="M3367" i="6"/>
  <c r="M670" i="6"/>
  <c r="M2676" i="6"/>
  <c r="M1783" i="6"/>
  <c r="M1999" i="6"/>
  <c r="M3973" i="6"/>
  <c r="M2727" i="6"/>
  <c r="M2902" i="6"/>
  <c r="M1333" i="6"/>
  <c r="M1467" i="6"/>
  <c r="M2317" i="6"/>
  <c r="M1977" i="6"/>
  <c r="M1590" i="6"/>
  <c r="M1533" i="6"/>
  <c r="M1383" i="6"/>
  <c r="M2432" i="6"/>
  <c r="M2076" i="6"/>
  <c r="M1643" i="6"/>
  <c r="M582" i="6"/>
  <c r="M3919" i="6"/>
  <c r="M2000" i="6"/>
  <c r="M2352" i="6"/>
  <c r="M3490" i="6"/>
  <c r="M3048" i="6"/>
  <c r="M2805" i="6"/>
  <c r="M3568" i="6"/>
  <c r="M374" i="6"/>
  <c r="M2558" i="6"/>
  <c r="M2759" i="6"/>
  <c r="M1274" i="6"/>
  <c r="M3339" i="6"/>
  <c r="M348" i="6"/>
  <c r="M2630" i="6"/>
  <c r="M1717" i="6"/>
  <c r="M2114" i="6"/>
  <c r="M783" i="6"/>
  <c r="M3491" i="6"/>
  <c r="M3607" i="6"/>
  <c r="M449" i="6"/>
  <c r="M58" i="6"/>
  <c r="M2806" i="6"/>
  <c r="M1591" i="6"/>
  <c r="M2048" i="6"/>
  <c r="M3492" i="6"/>
  <c r="M2211" i="6"/>
  <c r="M2480" i="6"/>
  <c r="M2903" i="6"/>
  <c r="M2136" i="6"/>
  <c r="M3012" i="6"/>
  <c r="M2212" i="6"/>
  <c r="M1534" i="6"/>
  <c r="M133" i="6"/>
  <c r="M1718" i="6"/>
  <c r="M3306" i="6"/>
  <c r="M2631" i="6"/>
  <c r="M2428" i="6"/>
  <c r="M752" i="6"/>
  <c r="M3435" i="6"/>
  <c r="M2699" i="6"/>
  <c r="M375" i="6"/>
  <c r="M1075" i="6"/>
  <c r="M536" i="6"/>
  <c r="M3823" i="6"/>
  <c r="M2411" i="6"/>
  <c r="M2021" i="6"/>
  <c r="M1721" i="6"/>
  <c r="M3307" i="6"/>
  <c r="M2481" i="6"/>
  <c r="M323" i="6"/>
  <c r="M3393" i="6"/>
  <c r="M3141" i="6"/>
  <c r="M2007" i="6"/>
  <c r="M53" i="6"/>
  <c r="M368" i="6"/>
  <c r="M3088" i="6"/>
  <c r="M1682" i="6"/>
  <c r="M1275" i="6"/>
  <c r="M275" i="6"/>
  <c r="M2318" i="6"/>
  <c r="M1765" i="6"/>
  <c r="M1766" i="6"/>
  <c r="M671" i="6"/>
  <c r="M107" i="6"/>
  <c r="M3142" i="6"/>
  <c r="M2433" i="6"/>
  <c r="M1334" i="6"/>
  <c r="M2632" i="6"/>
  <c r="M3622" i="6"/>
  <c r="M753" i="6"/>
  <c r="M450" i="6"/>
  <c r="M1025" i="6"/>
  <c r="M1683" i="6"/>
  <c r="M1130" i="6"/>
  <c r="M1592" i="6"/>
  <c r="M3368" i="6"/>
  <c r="M2482" i="6"/>
  <c r="M491" i="6"/>
  <c r="M1593" i="6"/>
  <c r="M2397" i="6"/>
  <c r="M19" i="6"/>
  <c r="M2734" i="6"/>
  <c r="M3049" i="6"/>
  <c r="M3852" i="6"/>
  <c r="M2904" i="6"/>
  <c r="M276" i="6"/>
  <c r="M2633" i="6"/>
  <c r="M26" i="6"/>
  <c r="M2213" i="6"/>
  <c r="M2990" i="6"/>
  <c r="M885" i="6"/>
  <c r="M1188" i="6"/>
  <c r="M1940" i="6"/>
  <c r="M3221" i="6"/>
  <c r="M3757" i="6"/>
  <c r="M3089" i="6"/>
  <c r="M1870" i="6"/>
  <c r="M2559" i="6"/>
  <c r="M2022" i="6"/>
  <c r="M387" i="6"/>
  <c r="M1437" i="6"/>
  <c r="M3436" i="6"/>
  <c r="M1722" i="6"/>
  <c r="M2214" i="6"/>
  <c r="M3928" i="6"/>
  <c r="M2501" i="6"/>
  <c r="M3050" i="6"/>
  <c r="M3090" i="6"/>
  <c r="M3527" i="6"/>
  <c r="M2215" i="6"/>
  <c r="M521" i="6"/>
  <c r="M3308" i="6"/>
  <c r="M1397" i="6"/>
  <c r="M12" i="6"/>
  <c r="M2319" i="6"/>
  <c r="M1026" i="6"/>
  <c r="M2693" i="6"/>
  <c r="M1276" i="6"/>
  <c r="M1027" i="6"/>
  <c r="M1941" i="6"/>
  <c r="M2412" i="6"/>
  <c r="M1942" i="6"/>
  <c r="M1871" i="6"/>
  <c r="M3276" i="6"/>
  <c r="M378" i="6"/>
  <c r="M2932" i="6"/>
  <c r="M860" i="6"/>
  <c r="M3652" i="6"/>
  <c r="M150" i="6"/>
  <c r="M1644" i="6"/>
  <c r="M59" i="6"/>
  <c r="M2634" i="6"/>
  <c r="M3091" i="6"/>
  <c r="M2735" i="6"/>
  <c r="M2680" i="6"/>
  <c r="M3232" i="6"/>
  <c r="M1335" i="6"/>
  <c r="M240" i="6"/>
  <c r="M1793" i="6"/>
  <c r="M569" i="6"/>
  <c r="M3553" i="6"/>
  <c r="M192" i="6"/>
  <c r="M68" i="6"/>
  <c r="M158" i="6"/>
  <c r="M754" i="6"/>
  <c r="M2077" i="6"/>
  <c r="M60" i="6"/>
  <c r="M1787" i="6"/>
  <c r="M2216" i="6"/>
  <c r="M1684" i="6"/>
  <c r="M2560" i="6"/>
  <c r="M213" i="6"/>
  <c r="M958" i="6"/>
  <c r="M1645" i="6"/>
  <c r="M3117" i="6"/>
  <c r="M2849" i="6"/>
  <c r="M3198" i="6"/>
  <c r="M1872" i="6"/>
  <c r="M1277" i="6"/>
  <c r="M1943" i="6"/>
  <c r="M2320" i="6"/>
  <c r="M2905" i="6"/>
  <c r="M1791" i="6"/>
  <c r="M3528" i="6"/>
  <c r="M193" i="6"/>
  <c r="M3165" i="6"/>
  <c r="M2807" i="6"/>
  <c r="M2438" i="6"/>
  <c r="M3979" i="6"/>
  <c r="M3437" i="6"/>
  <c r="M2664" i="6"/>
  <c r="M1685" i="6"/>
  <c r="M861" i="6"/>
  <c r="M672" i="6"/>
  <c r="M2217" i="6"/>
  <c r="M1594" i="6"/>
  <c r="M205" i="6"/>
  <c r="M1028" i="6"/>
  <c r="M2101" i="6"/>
  <c r="M1978" i="6"/>
  <c r="M1535" i="6"/>
  <c r="M3595" i="6"/>
  <c r="M3903" i="6"/>
  <c r="M207" i="6"/>
  <c r="M16" i="6"/>
  <c r="M1944" i="6"/>
  <c r="M1979" i="6"/>
  <c r="M1029" i="6"/>
  <c r="M2972" i="6"/>
  <c r="M2850" i="6"/>
  <c r="M673" i="6"/>
  <c r="M771" i="6"/>
  <c r="M2398" i="6"/>
  <c r="M2421" i="6"/>
  <c r="M1336" i="6"/>
  <c r="M2102" i="6"/>
  <c r="M1151" i="6"/>
  <c r="M1646" i="6"/>
  <c r="M3493" i="6"/>
  <c r="M839" i="6"/>
  <c r="M2677" i="6"/>
  <c r="M1414" i="6"/>
  <c r="M2747" i="6"/>
  <c r="M1536" i="6"/>
  <c r="M1647" i="6"/>
  <c r="M755" i="6"/>
  <c r="M3923" i="6"/>
  <c r="M1278" i="6"/>
  <c r="M2218" i="6"/>
  <c r="M3092" i="6"/>
  <c r="M1773" i="6"/>
  <c r="M570" i="6"/>
  <c r="M2219" i="6"/>
  <c r="M1224" i="6"/>
  <c r="M2413" i="6"/>
  <c r="M3608" i="6"/>
  <c r="M2414" i="6"/>
  <c r="M2635" i="6"/>
  <c r="M797" i="6"/>
  <c r="M1945" i="6"/>
  <c r="M959" i="6"/>
  <c r="M2220" i="6"/>
  <c r="M3584" i="6"/>
  <c r="M756" i="6"/>
  <c r="M2026" i="6"/>
  <c r="M3093" i="6"/>
  <c r="M2728" i="6"/>
  <c r="M2906" i="6"/>
  <c r="M2321" i="6"/>
  <c r="M3094" i="6"/>
  <c r="M1648" i="6"/>
  <c r="M2636" i="6"/>
  <c r="M674" i="6"/>
  <c r="M2637" i="6"/>
  <c r="M2027" i="6"/>
  <c r="M451" i="6"/>
  <c r="M1189" i="6"/>
  <c r="M452" i="6"/>
  <c r="M2750" i="6"/>
  <c r="M1279" i="6"/>
  <c r="M1443" i="6"/>
  <c r="M886" i="6"/>
  <c r="M1649" i="6"/>
  <c r="M1352" i="6"/>
  <c r="M124" i="6"/>
  <c r="M33" i="6"/>
  <c r="M1696" i="6"/>
  <c r="M2415" i="6"/>
  <c r="M2353" i="6"/>
  <c r="M960" i="6"/>
  <c r="M757" i="6"/>
  <c r="M1650" i="6"/>
  <c r="M221" i="6"/>
  <c r="M1190" i="6"/>
  <c r="M1342" i="6"/>
  <c r="M2455" i="6"/>
  <c r="M2851" i="6"/>
  <c r="M3696" i="6"/>
  <c r="M3734" i="6"/>
  <c r="M887" i="6"/>
  <c r="M784" i="6"/>
  <c r="M2322" i="6"/>
  <c r="M1651" i="6"/>
  <c r="M675" i="6"/>
  <c r="M1030" i="6"/>
  <c r="M3215" i="6"/>
  <c r="M1652" i="6"/>
  <c r="M676" i="6"/>
  <c r="M453" i="6"/>
  <c r="M1873" i="6"/>
  <c r="M1398" i="6"/>
  <c r="M3095" i="6"/>
  <c r="M1874" i="6"/>
  <c r="M758" i="6"/>
  <c r="M961" i="6"/>
  <c r="M759" i="6"/>
  <c r="M3843" i="6"/>
  <c r="M3969" i="6"/>
  <c r="M454" i="6"/>
  <c r="M2001" i="6"/>
  <c r="M2039" i="6"/>
  <c r="M2323" i="6"/>
  <c r="M3438" i="6"/>
  <c r="M862" i="6"/>
  <c r="M522" i="6"/>
  <c r="M1031" i="6"/>
  <c r="M159" i="6"/>
  <c r="M2078" i="6"/>
  <c r="M1702" i="6"/>
  <c r="M1280" i="6"/>
  <c r="M2221" i="6"/>
  <c r="M1980" i="6"/>
  <c r="M1875" i="6"/>
  <c r="M2921" i="6"/>
  <c r="M2324" i="6"/>
  <c r="M962" i="6"/>
  <c r="M3920" i="6"/>
  <c r="M3685" i="6"/>
  <c r="M1798" i="6"/>
  <c r="M1346" i="6"/>
  <c r="M3010" i="6"/>
  <c r="M1281" i="6"/>
  <c r="M2023" i="6"/>
  <c r="M3609" i="6"/>
  <c r="M1399" i="6"/>
  <c r="M1225" i="6"/>
  <c r="M3960" i="6"/>
  <c r="M818" i="6"/>
  <c r="M1110" i="6"/>
  <c r="M4019" i="6"/>
  <c r="M2694" i="6"/>
  <c r="M2997" i="6"/>
  <c r="M2717" i="6"/>
  <c r="M2852" i="6"/>
  <c r="M544" i="6"/>
  <c r="M3899" i="6"/>
  <c r="M3821" i="6"/>
  <c r="M2638" i="6"/>
  <c r="M3739" i="6"/>
  <c r="M2222" i="6"/>
  <c r="M1356" i="6"/>
  <c r="M963" i="6"/>
  <c r="M2994" i="6"/>
  <c r="M3721" i="6"/>
  <c r="M394" i="6"/>
  <c r="M492" i="6"/>
  <c r="M2639" i="6"/>
  <c r="M1032" i="6"/>
  <c r="M1191" i="6"/>
  <c r="M3554" i="6"/>
  <c r="M2648" i="6"/>
  <c r="M2957" i="6"/>
  <c r="M1595" i="6"/>
  <c r="M3853" i="6"/>
  <c r="M1468" i="6"/>
  <c r="M1400" i="6"/>
  <c r="M160" i="6"/>
  <c r="M294" i="6"/>
  <c r="M1282" i="6"/>
  <c r="M3904" i="6"/>
  <c r="M2103" i="6"/>
  <c r="M3986" i="6"/>
  <c r="M2502" i="6"/>
  <c r="M3933" i="6"/>
  <c r="M888" i="6"/>
  <c r="M2325" i="6"/>
  <c r="M1463" i="6"/>
  <c r="M3209" i="6"/>
  <c r="M2907" i="6"/>
  <c r="M804" i="6"/>
  <c r="M2561" i="6"/>
  <c r="M3529" i="6"/>
  <c r="M3184" i="6"/>
  <c r="M3439" i="6"/>
  <c r="M767" i="6"/>
  <c r="M1703" i="6"/>
  <c r="M2562" i="6"/>
  <c r="M840" i="6"/>
  <c r="M1686" i="6"/>
  <c r="M1946" i="6"/>
  <c r="M455" i="6"/>
  <c r="M1425" i="6"/>
  <c r="M125" i="6"/>
  <c r="M3277" i="6"/>
  <c r="M571" i="6"/>
  <c r="M127" i="6"/>
  <c r="M3440" i="6"/>
  <c r="M1033" i="6"/>
  <c r="M3678" i="6"/>
  <c r="M2917" i="6"/>
  <c r="M3514" i="6"/>
  <c r="M108" i="6"/>
  <c r="M4001" i="6"/>
  <c r="M277" i="6"/>
  <c r="M1131" i="6"/>
  <c r="M819" i="6"/>
  <c r="M1947" i="6"/>
  <c r="M2563" i="6"/>
  <c r="M3758" i="6"/>
  <c r="M3610" i="6"/>
  <c r="M3623" i="6"/>
  <c r="M2422" i="6"/>
  <c r="M1034" i="6"/>
  <c r="M3679" i="6"/>
  <c r="M1152" i="6"/>
  <c r="M376" i="6"/>
  <c r="M3569" i="6"/>
  <c r="M1283" i="6"/>
  <c r="M1653" i="6"/>
  <c r="M4017" i="6"/>
  <c r="M2037" i="6"/>
  <c r="M1948" i="6"/>
  <c r="M2223" i="6"/>
  <c r="M1774" i="6"/>
  <c r="M3873" i="6"/>
  <c r="M2326" i="6"/>
  <c r="M3725" i="6"/>
  <c r="M3808" i="6"/>
  <c r="M2678" i="6"/>
  <c r="M1537" i="6"/>
  <c r="M2224" i="6"/>
  <c r="M677" i="6"/>
  <c r="M964" i="6"/>
  <c r="M2922" i="6"/>
  <c r="M678" i="6"/>
  <c r="M1596" i="6"/>
  <c r="M760" i="6"/>
  <c r="M965" i="6"/>
  <c r="M3309" i="6"/>
  <c r="M278" i="6"/>
  <c r="M206" i="6"/>
  <c r="M134" i="6"/>
  <c r="M545" i="6"/>
  <c r="M2940" i="6"/>
  <c r="M3096" i="6"/>
  <c r="M2327" i="6"/>
  <c r="M2042" i="6"/>
  <c r="M1723" i="6"/>
  <c r="M1464" i="6"/>
  <c r="M825" i="6"/>
  <c r="M142" i="6"/>
  <c r="M3097" i="6"/>
  <c r="M3759" i="6"/>
  <c r="M2456" i="6"/>
  <c r="M2130" i="6"/>
  <c r="M2132" i="6"/>
  <c r="M1876" i="6"/>
  <c r="M2002" i="6"/>
  <c r="M357" i="6"/>
  <c r="M61" i="6"/>
  <c r="M54" i="6"/>
  <c r="M279" i="6"/>
  <c r="M241" i="6"/>
  <c r="M395" i="6"/>
  <c r="M3530" i="6"/>
  <c r="M2225" i="6"/>
  <c r="M1337" i="6"/>
  <c r="M3653" i="6"/>
  <c r="M2564" i="6"/>
  <c r="M1062" i="6"/>
  <c r="M2565" i="6"/>
  <c r="M2808" i="6"/>
  <c r="M1597" i="6"/>
  <c r="M2923" i="6"/>
  <c r="M324" i="6"/>
  <c r="M23" i="6"/>
  <c r="M2328" i="6"/>
  <c r="M369" i="6"/>
  <c r="M966" i="6"/>
  <c r="M3803" i="6"/>
  <c r="M826" i="6"/>
  <c r="M2746" i="6"/>
  <c r="M3902" i="6"/>
  <c r="M679" i="6"/>
  <c r="M2653" i="6"/>
  <c r="M3001" i="6"/>
  <c r="M3494" i="6"/>
  <c r="M2354" i="6"/>
  <c r="M126" i="6"/>
  <c r="M1469" i="6"/>
  <c r="M194" i="6"/>
  <c r="M3913" i="6"/>
  <c r="M680" i="6"/>
  <c r="M3874" i="6"/>
  <c r="M681" i="6"/>
  <c r="M2329" i="6"/>
  <c r="M587" i="6"/>
  <c r="M1284" i="6"/>
  <c r="M493" i="6"/>
  <c r="M3199" i="6"/>
  <c r="M2226" i="6"/>
  <c r="M325" i="6"/>
  <c r="M3212" i="6"/>
  <c r="M2416" i="6"/>
  <c r="M2566" i="6"/>
  <c r="M109" i="6"/>
  <c r="M2503" i="6"/>
  <c r="M2483" i="6"/>
  <c r="M863" i="6"/>
  <c r="M1538" i="6"/>
  <c r="M889" i="6"/>
  <c r="M2330" i="6"/>
  <c r="M2331" i="6"/>
  <c r="M2924" i="6"/>
  <c r="M1687" i="6"/>
  <c r="M1035" i="6"/>
  <c r="M1784" i="6"/>
  <c r="M572" i="6"/>
  <c r="M967" i="6"/>
  <c r="M3654" i="6"/>
  <c r="M2640" i="6"/>
  <c r="M2332" i="6"/>
  <c r="M1285" i="6"/>
  <c r="M1122" i="6"/>
  <c r="M3540" i="6"/>
  <c r="M1111" i="6"/>
  <c r="M3143" i="6"/>
  <c r="M1036" i="6"/>
  <c r="M3680" i="6"/>
  <c r="M3878" i="6"/>
  <c r="M2355" i="6"/>
  <c r="M3495" i="6"/>
  <c r="M391" i="6"/>
  <c r="M3707" i="6"/>
  <c r="M1037" i="6"/>
  <c r="M3531" i="6"/>
  <c r="M3310" i="6"/>
  <c r="M772" i="6"/>
  <c r="M968" i="6"/>
  <c r="M2567" i="6"/>
  <c r="M110" i="6"/>
  <c r="M3992" i="6"/>
  <c r="M494" i="6"/>
  <c r="M111" i="6"/>
  <c r="M3777" i="6"/>
  <c r="M583" i="6"/>
  <c r="M1286" i="6"/>
  <c r="M2682" i="6"/>
  <c r="M1287" i="6"/>
  <c r="M969" i="6"/>
  <c r="M1369" i="6"/>
  <c r="M2568" i="6"/>
  <c r="M1654" i="6"/>
  <c r="M2998" i="6"/>
  <c r="M1123" i="6"/>
  <c r="M2333" i="6"/>
  <c r="M1040" i="6"/>
  <c r="M2122" i="6"/>
  <c r="M2227" i="6"/>
  <c r="M2978" i="6"/>
  <c r="M2079" i="6"/>
  <c r="M3885" i="6"/>
  <c r="M3496" i="6"/>
  <c r="M3681" i="6"/>
  <c r="M3051" i="6"/>
  <c r="M3497" i="6"/>
  <c r="M1949" i="6"/>
  <c r="M2569" i="6"/>
  <c r="M349" i="6"/>
  <c r="M3682" i="6"/>
  <c r="M682" i="6"/>
  <c r="M2665" i="6"/>
  <c r="M2123" i="6"/>
  <c r="M1688" i="6"/>
  <c r="M3563" i="6"/>
  <c r="M1444" i="6"/>
  <c r="M2334" i="6"/>
  <c r="M3203" i="6"/>
  <c r="M2504" i="6"/>
  <c r="M1539" i="6"/>
  <c r="M970" i="6"/>
  <c r="M3311" i="6"/>
  <c r="M1226" i="6"/>
  <c r="M3498" i="6"/>
  <c r="M3327" i="6"/>
  <c r="M3052" i="6"/>
  <c r="M1132" i="6"/>
  <c r="M1598" i="6"/>
  <c r="M1338" i="6"/>
  <c r="M1426" i="6"/>
  <c r="M3722" i="6"/>
  <c r="M3499" i="6"/>
  <c r="M2908" i="6"/>
  <c r="M3897" i="6"/>
  <c r="M3118" i="6"/>
  <c r="M326" i="6"/>
  <c r="M3941" i="6"/>
  <c r="M3564" i="6"/>
  <c r="M2080" i="6"/>
  <c r="M195" i="6"/>
  <c r="M2335" i="6"/>
  <c r="M573" i="6"/>
  <c r="M2909" i="6"/>
  <c r="M3144" i="6"/>
  <c r="M1092" i="6"/>
  <c r="M3185" i="6"/>
  <c r="M3683" i="6"/>
  <c r="M2228" i="6"/>
  <c r="M597" i="6"/>
  <c r="M1704" i="6"/>
  <c r="M1133" i="6"/>
  <c r="M3228" i="6"/>
  <c r="M3766" i="6"/>
  <c r="M1093" i="6"/>
  <c r="M377" i="6"/>
  <c r="M1981" i="6"/>
  <c r="M683" i="6"/>
  <c r="M1339" i="6"/>
  <c r="M1950" i="6"/>
  <c r="M1599" i="6"/>
  <c r="M112" i="6"/>
  <c r="M280" i="6"/>
  <c r="M1877" i="6"/>
  <c r="M3869" i="6"/>
  <c r="M82" i="6"/>
  <c r="M833" i="6"/>
  <c r="M2641" i="6"/>
  <c r="M15" i="6"/>
  <c r="M3611" i="6"/>
  <c r="M2853" i="6"/>
  <c r="M1878" i="6"/>
  <c r="M3546" i="6"/>
  <c r="M2356" i="6"/>
  <c r="M684" i="6"/>
  <c r="M3053" i="6"/>
  <c r="M2642" i="6"/>
  <c r="M3624" i="6"/>
  <c r="M1288" i="6"/>
  <c r="M3278" i="6"/>
  <c r="M196" i="6"/>
  <c r="M3441" i="6"/>
  <c r="M2336" i="6"/>
  <c r="M2643" i="6"/>
  <c r="M2367" i="6"/>
  <c r="M2666" i="6"/>
  <c r="M890" i="6"/>
  <c r="M820" i="6"/>
  <c r="M1879" i="6"/>
  <c r="M2229" i="6"/>
  <c r="M2910" i="6"/>
  <c r="M2854" i="6"/>
  <c r="M1600" i="6"/>
  <c r="M3711" i="6"/>
  <c r="M3826" i="6"/>
  <c r="M1340" i="6"/>
  <c r="M2809" i="6"/>
  <c r="M2337" i="6"/>
  <c r="M685" i="6"/>
  <c r="M1775" i="6"/>
  <c r="M762" i="6"/>
  <c r="M3684" i="6"/>
  <c r="M1540" i="6"/>
  <c r="M1227" i="6"/>
  <c r="M686" i="6"/>
  <c r="M1445" i="6"/>
  <c r="M62" i="6"/>
  <c r="M2570" i="6"/>
  <c r="M2230" i="6"/>
  <c r="M3921" i="6"/>
  <c r="M113" i="6"/>
  <c r="M1880" i="6"/>
  <c r="M1541" i="6"/>
  <c r="M2758" i="6"/>
  <c r="M2338" i="6"/>
  <c r="M70" i="6"/>
  <c r="M3312" i="6"/>
  <c r="M3313" i="6"/>
  <c r="M2339" i="6"/>
  <c r="M1542" i="6"/>
  <c r="M3145" i="6"/>
  <c r="M3625" i="6"/>
  <c r="M2855" i="6"/>
  <c r="M2231" i="6"/>
  <c r="M2378" i="6"/>
  <c r="M3314" i="6"/>
  <c r="M1745" i="6"/>
  <c r="M3700" i="6"/>
  <c r="M2003" i="6"/>
  <c r="M2340" i="6"/>
  <c r="M2004" i="6"/>
  <c r="M4000" i="6"/>
  <c r="M2399" i="6"/>
  <c r="M761" i="6"/>
  <c r="M63" i="6"/>
  <c r="M2104" i="6"/>
  <c r="M2341" i="6"/>
  <c r="M3442" i="6"/>
  <c r="M3219" i="6"/>
  <c r="M1881" i="6"/>
  <c r="M396" i="6"/>
  <c r="M2685" i="6"/>
  <c r="M3740" i="6"/>
  <c r="M3789" i="6"/>
  <c r="M1149" i="6"/>
  <c r="M2342" i="6"/>
  <c r="M891" i="6"/>
  <c r="M971" i="6"/>
  <c r="M3500" i="6"/>
  <c r="M1694" i="6"/>
  <c r="M523" i="6"/>
  <c r="M2991" i="6"/>
  <c r="M3790" i="6"/>
  <c r="M495" i="6"/>
  <c r="M3315" i="6"/>
  <c r="M595" i="6"/>
  <c r="M1543" i="6"/>
  <c r="M3835" i="6"/>
  <c r="M3359" i="6"/>
  <c r="M161" i="6"/>
  <c r="M2911" i="6"/>
  <c r="M1951" i="6"/>
  <c r="M1341" i="6"/>
  <c r="M2110" i="6"/>
  <c r="M1362" i="6"/>
  <c r="M3854" i="6"/>
  <c r="M350" i="6"/>
  <c r="M1438" i="6"/>
  <c r="M2856" i="6"/>
  <c r="M496" i="6"/>
  <c r="M87" i="6"/>
  <c r="M892" i="6"/>
  <c r="M2979" i="6"/>
  <c r="M3014" i="6"/>
  <c r="M2417" i="6"/>
  <c r="M2345" i="6"/>
  <c r="M598" i="6"/>
</calcChain>
</file>

<file path=xl/sharedStrings.xml><?xml version="1.0" encoding="utf-8"?>
<sst xmlns="http://schemas.openxmlformats.org/spreadsheetml/2006/main" count="20745" uniqueCount="14718">
  <si>
    <t>Oil and tempera on canvas</t>
  </si>
  <si>
    <t>Kurt Seligmann</t>
  </si>
  <si>
    <t>Surrealism</t>
  </si>
  <si>
    <t>Ancient Roman</t>
  </si>
  <si>
    <t>South Asian</t>
  </si>
  <si>
    <t>Himalayan</t>
  </si>
  <si>
    <t>Studies of Pierre Renoir; His Mother, Aline Charigot; Nudes; and Landscape</t>
  </si>
  <si>
    <t>Oil on canvas</t>
  </si>
  <si>
    <t>Pierre-Auguste Renoir</t>
  </si>
  <si>
    <t>Impressionism</t>
  </si>
  <si>
    <t>bda9058b-5be6-37d0-e5a6-926584540757</t>
  </si>
  <si>
    <t>Untitled</t>
  </si>
  <si>
    <t>Federico Barocci</t>
  </si>
  <si>
    <t>Japanese (culture or style)</t>
  </si>
  <si>
    <t>Self-Portrait</t>
  </si>
  <si>
    <t>21st Century</t>
  </si>
  <si>
    <t>Unknown artist</t>
  </si>
  <si>
    <t>20th Century</t>
  </si>
  <si>
    <t>William Bailey</t>
  </si>
  <si>
    <t>Gino Severini</t>
  </si>
  <si>
    <t>Study</t>
  </si>
  <si>
    <t>Artist unknown</t>
  </si>
  <si>
    <t>Alexander at the Tomb of Cyrus the Great</t>
  </si>
  <si>
    <t>Pierre Henri de Valenciennes</t>
  </si>
  <si>
    <t>oil on canvas</t>
  </si>
  <si>
    <t>7403cc73-8d41-1464-18df-4b6e89affff0</t>
  </si>
  <si>
    <t>Mount Athos Carved as a Monument to Alexander the Great</t>
  </si>
  <si>
    <t>6f00201c-5257-3e7f-a399-e70da5cdadab</t>
  </si>
  <si>
    <t>Jack Tworkov</t>
  </si>
  <si>
    <t>William T. Wiley</t>
  </si>
  <si>
    <t>The City Mandala</t>
  </si>
  <si>
    <t>Gouache, with touches of graphite, on cream cardboard</t>
  </si>
  <si>
    <t>Horia Damian</t>
  </si>
  <si>
    <t>da4ecac6-5023-7afd-413a-b766cbbb9380</t>
  </si>
  <si>
    <t>San Francisco Project</t>
  </si>
  <si>
    <t>Gouache and graphite on ivory wood-pulp laminate board</t>
  </si>
  <si>
    <t>8e2c5882-c396-ed7f-853d-f00b83e44141</t>
  </si>
  <si>
    <t>19th century</t>
  </si>
  <si>
    <t>Dancing Girl</t>
  </si>
  <si>
    <t>Oil on cloth</t>
  </si>
  <si>
    <t>Paul Klee</t>
  </si>
  <si>
    <t>c96955c7-879a-8ace-12a0-a416c4d264fe</t>
  </si>
  <si>
    <t>Stack of Wheat (Thaw, Sunset)</t>
  </si>
  <si>
    <t>Claude Monet</t>
  </si>
  <si>
    <t>8bd40b36-43ea-8b02-d76a-b325962b86db</t>
  </si>
  <si>
    <t>Modernism</t>
  </si>
  <si>
    <t>17th Century</t>
  </si>
  <si>
    <t>Spain</t>
  </si>
  <si>
    <t>Daisies</t>
  </si>
  <si>
    <t>Henri Matisse</t>
  </si>
  <si>
    <t>1693f1ff-40a4-e0e2-16cd-3d8d055dc266</t>
  </si>
  <si>
    <t>Two Candles (Zwei Kerzen)</t>
  </si>
  <si>
    <t>Gerhard Richter</t>
  </si>
  <si>
    <t>de1e2f41-8bbc-4530-7d63-e9cbcae88de7</t>
  </si>
  <si>
    <t>Richard John Haas</t>
  </si>
  <si>
    <t>Oil and ink on canvas</t>
  </si>
  <si>
    <t>bauhaus</t>
  </si>
  <si>
    <t>82f79520-a9cc-921f-c5b0-c652dae7155c</t>
  </si>
  <si>
    <t>Acrylic on hardboard</t>
  </si>
  <si>
    <t>Acrylic on canvas</t>
  </si>
  <si>
    <t>Leon Golub</t>
  </si>
  <si>
    <t>contemporary</t>
  </si>
  <si>
    <t>Ellsworth Kelly</t>
  </si>
  <si>
    <t>Robert Rauschenberg</t>
  </si>
  <si>
    <t>Tobias and the Angel</t>
  </si>
  <si>
    <t>Gustave Moreau</t>
  </si>
  <si>
    <t>Hilaire Germain Edgar Degas</t>
  </si>
  <si>
    <t>John Steuart Curry</t>
  </si>
  <si>
    <t>Auguste Rodin</t>
  </si>
  <si>
    <t>Adam and Eve</t>
  </si>
  <si>
    <t>Heinrich Campendonk</t>
  </si>
  <si>
    <t>Hans Bellmer</t>
  </si>
  <si>
    <t>Composition</t>
  </si>
  <si>
    <t>Thomas Eakins</t>
  </si>
  <si>
    <t>PietÃ </t>
  </si>
  <si>
    <t>Oil on panel</t>
  </si>
  <si>
    <t>Luis de Morales</t>
  </si>
  <si>
    <t>003117ac-f7f8-c1c8-317b-88e3f990d712</t>
  </si>
  <si>
    <t>Saint Francis</t>
  </si>
  <si>
    <t>Peter Paul Rubens</t>
  </si>
  <si>
    <t>8df04a6e-cc79-491b-86d4-388c2b33d888</t>
  </si>
  <si>
    <t>The Adoration of the Christ Child</t>
  </si>
  <si>
    <t>Jacob Cornelisz. van Oostsanen</t>
  </si>
  <si>
    <t>d87c4fc3-f14f-f509-bb8e-89d3803ae9fb</t>
  </si>
  <si>
    <t>Saint Catherine</t>
  </si>
  <si>
    <t>Jean Bellegambe</t>
  </si>
  <si>
    <t>c9fc58cb-18a5-5009-1a6b-90e5a7483798</t>
  </si>
  <si>
    <t>Saint Barbara</t>
  </si>
  <si>
    <t>5f374b65-1f25-6034-af57-385d80ed302e</t>
  </si>
  <si>
    <t>Giafar</t>
  </si>
  <si>
    <t>Alfred Dedreux</t>
  </si>
  <si>
    <t>d6f23c25-7075-ac62-6a35-84ca0b06ce6e</t>
  </si>
  <si>
    <t>Chariot Race</t>
  </si>
  <si>
    <t>Oil on cradled panel</t>
  </si>
  <si>
    <t>e728fa6d-c643-2b68-133d-74770ded12ef</t>
  </si>
  <si>
    <t>Odalisque</t>
  </si>
  <si>
    <t>Jules Joseph Lefebvre</t>
  </si>
  <si>
    <t>488e2088-06a5-6811-78b4-56d736a25019</t>
  </si>
  <si>
    <t>African Chief</t>
  </si>
  <si>
    <t>Mariano Fortuny y Marsal</t>
  </si>
  <si>
    <t>c54a8b04-9034-37cf-6dbc-13a4f6f17706</t>
  </si>
  <si>
    <t>e27256e4-2ecc-7aeb-a5ac-ec1ed3e88630</t>
  </si>
  <si>
    <t>Saint Peter Martyr Exorcizing a Woman Possessed by a Devil</t>
  </si>
  <si>
    <t>Tempera on panel</t>
  </si>
  <si>
    <t>Antonio Vivarini</t>
  </si>
  <si>
    <t>4c673558-2a11-d484-fd72-026e7618bcfd</t>
  </si>
  <si>
    <t>Venetian scene, San Trovato</t>
  </si>
  <si>
    <t>Gonzalo Bilbao y Martinez</t>
  </si>
  <si>
    <t>0ada3c07-da75-7a0a-87d0-1fb4566e49af</t>
  </si>
  <si>
    <t>The Apotheosis of the Hero</t>
  </si>
  <si>
    <t>Follower of Peter Paul Rubens</t>
  </si>
  <si>
    <t>e540512e-7bb1-e713-4ef9-fdea43ebbcd3</t>
  </si>
  <si>
    <t>Mark Rothko</t>
  </si>
  <si>
    <t>Beach at Cabasson (Baigne-Cul)</t>
  </si>
  <si>
    <t>Henri Edmond Cross</t>
  </si>
  <si>
    <t>Post-Impressionism</t>
  </si>
  <si>
    <t>16e53257-ade2-4f5d-3521-2bc9666bc4cf</t>
  </si>
  <si>
    <t>Islamic</t>
  </si>
  <si>
    <t>Shah Inayat Allah of Sind with his Musician Makkhu and his Attendant Shaykh Qiyam al-Din, page from the Fraser Album</t>
  </si>
  <si>
    <t>Opaque watercolor on paper</t>
  </si>
  <si>
    <t>3fbc2de3-cb50-7423-4e40-bfe4845fe71d</t>
  </si>
  <si>
    <t>Fragment</t>
  </si>
  <si>
    <t>The Coast of Labrador</t>
  </si>
  <si>
    <t>William Bradford</t>
  </si>
  <si>
    <t>4c5abec2-d94f-9afa-b689-de4dc93791f2</t>
  </si>
  <si>
    <t>Folk Art</t>
  </si>
  <si>
    <t>Jasper Johns</t>
  </si>
  <si>
    <t>Lovis Corinth</t>
  </si>
  <si>
    <t>Maurice Denis</t>
  </si>
  <si>
    <t>Color woodblock print; chuban</t>
  </si>
  <si>
    <t>Chinese (culture or style)</t>
  </si>
  <si>
    <t>New York</t>
  </si>
  <si>
    <t>Pencil and watercolor on paper</t>
  </si>
  <si>
    <t>Pablo Picasso</t>
  </si>
  <si>
    <t>Cubism</t>
  </si>
  <si>
    <t>Jan Both</t>
  </si>
  <si>
    <t>Grant Wood</t>
  </si>
  <si>
    <t>Mother and Child</t>
  </si>
  <si>
    <t>Newport</t>
  </si>
  <si>
    <t>Martin Johnson Heade</t>
  </si>
  <si>
    <t>Untitled XI</t>
  </si>
  <si>
    <t>Oil on linen</t>
  </si>
  <si>
    <t>Willem de Kooning</t>
  </si>
  <si>
    <t>5b47411e-93d7-580f-be82-d122d7a525e0</t>
  </si>
  <si>
    <t>Georgia O'Keeffe</t>
  </si>
  <si>
    <t>Letter of Congratulations to Karna Martensdottir</t>
  </si>
  <si>
    <t>Watercolor, over graphite, heightened with gum arabic, on cream wove paper</t>
  </si>
  <si>
    <t>233ae246-19f8-298c-cdab-29d62f051ea6</t>
  </si>
  <si>
    <t>David Hockney</t>
  </si>
  <si>
    <t>Pop Art</t>
  </si>
  <si>
    <t>Oyvind FahlstrÃ¶m</t>
  </si>
  <si>
    <t>Paula Rension Gerard</t>
  </si>
  <si>
    <t>Emil Armin</t>
  </si>
  <si>
    <t>Ed Paschke</t>
  </si>
  <si>
    <t>The Raising of Lazarus</t>
  </si>
  <si>
    <t>Pen and brown ink with brush and watercolor, heightened with white gouache, and squared in graphite, on cream laid paper, laid down on cream laid card</t>
  </si>
  <si>
    <t>Benjamin West</t>
  </si>
  <si>
    <t>8290b54f-c9b4-b3ca-83d7-ddbd255af6a5</t>
  </si>
  <si>
    <t>Paris</t>
  </si>
  <si>
    <t>Ink and wash on paper</t>
  </si>
  <si>
    <t>Ink and watercolor on paper</t>
  </si>
  <si>
    <t>Paul Durbin McCurry</t>
  </si>
  <si>
    <t>Junior Problem Student Project, Gothic Fireplace, Preliminary Study</t>
  </si>
  <si>
    <t>b6b7aff9-5fff-ace3-8ec0-a57d1baf756b</t>
  </si>
  <si>
    <t>Watercolor over traces of graphite on cream wove paper</t>
  </si>
  <si>
    <t>George Fred Keck</t>
  </si>
  <si>
    <t>avant-garde</t>
  </si>
  <si>
    <t>Unknown</t>
  </si>
  <si>
    <t>Naples</t>
  </si>
  <si>
    <t>Adam and Eve in Paradise</t>
  </si>
  <si>
    <t>Francesco Solimena</t>
  </si>
  <si>
    <t>d39cc144-3e37-7fdf-a16b-c983218d82f7</t>
  </si>
  <si>
    <t>Jean Dubuffet</t>
  </si>
  <si>
    <t>Man Wearing a Straw Hat</t>
  </si>
  <si>
    <t>Watercolor with graphite on white wove paper</t>
  </si>
  <si>
    <t>fffee8a1-cbdb-bd77-4742-f66a03ebe45a</t>
  </si>
  <si>
    <t>Alex Katz</t>
  </si>
  <si>
    <t>Philip Pearlstein</t>
  </si>
  <si>
    <t>Anne-Louis Girodet de Roussy-Trioson</t>
  </si>
  <si>
    <t>Summer Night in Arizona</t>
  </si>
  <si>
    <t>Max Ernst</t>
  </si>
  <si>
    <t>097b24de-79b9-a5a1-57f3-9e7545dc4319</t>
  </si>
  <si>
    <t>Ascot</t>
  </si>
  <si>
    <t>Watercolor and gouache, over graphite on off-white watercolor paper</t>
  </si>
  <si>
    <t>Raoul Dufy</t>
  </si>
  <si>
    <t>ee24e74f-2a20-21c6-76b4-a3458a1a70cf</t>
  </si>
  <si>
    <t>Two Girls in a Garden</t>
  </si>
  <si>
    <t>Karl Schmidt-Rottluff</t>
  </si>
  <si>
    <t>26793502-8f66-ad1f-2d88-78e8b1014ba9</t>
  </si>
  <si>
    <t>Glittering, the Being</t>
  </si>
  <si>
    <t>Matta</t>
  </si>
  <si>
    <t>1866ea09-4fc4-4272-ad60-28595393b8e3</t>
  </si>
  <si>
    <t>Frederic Remington</t>
  </si>
  <si>
    <t>Max Herrmann-Neisse</t>
  </si>
  <si>
    <t>Ludwig Meidner</t>
  </si>
  <si>
    <t>e5860322-e716-4079-c895-79450c9168cd</t>
  </si>
  <si>
    <t>Rest on the Flight into Egypt</t>
  </si>
  <si>
    <t>Jean Charles Cazin</t>
  </si>
  <si>
    <t>55e859bd-b34e-a580-bbe4-8da923ecc445</t>
  </si>
  <si>
    <t>Fritz Glarner</t>
  </si>
  <si>
    <t>Jacques Villon</t>
  </si>
  <si>
    <t>Virgin and Child</t>
  </si>
  <si>
    <t>Tempera and oil on panel, gold ground, arched top</t>
  </si>
  <si>
    <t>Unknown Central Italian</t>
  </si>
  <si>
    <t>16369b49-adca-a356-5aa1-7265fd45870e</t>
  </si>
  <si>
    <t>Assumption of the Virgin</t>
  </si>
  <si>
    <t>Marcellus Koffermans</t>
  </si>
  <si>
    <t>2f7bd26c-ffdf-0b4a-f1e2-8acd09554023</t>
  </si>
  <si>
    <t>Mother and Two Children with Still Life</t>
  </si>
  <si>
    <t>Adriaan de Lelie</t>
  </si>
  <si>
    <t>fd8ca91a-497c-6619-648c-f0f8fa116bfd</t>
  </si>
  <si>
    <t>The Beheading of Saint John the Baptist</t>
  </si>
  <si>
    <t>Tempera and oil on panel</t>
  </si>
  <si>
    <t>Master Palanquinos</t>
  </si>
  <si>
    <t>956d658b-a59f-ee53-19eb-db81e526df36</t>
  </si>
  <si>
    <t>Saint Anthony Abbot and Saint Paul the Hermit Fed by the Raven</t>
  </si>
  <si>
    <t>Oil on panel
Harding #1207</t>
  </si>
  <si>
    <t>RusiÃ±ol Master</t>
  </si>
  <si>
    <t>dce925a0-e19a-8d7b-851d-a64a5edbcd88</t>
  </si>
  <si>
    <t>25 5/16 x 21 1/2" (64.2 x 54 cm)</t>
  </si>
  <si>
    <t>Saint Anthony Abbot Tormented by Demons</t>
  </si>
  <si>
    <t>Oil on panel
Harding #1209</t>
  </si>
  <si>
    <t>fd388bf1-5388-2993-9eca-3aa27948f134</t>
  </si>
  <si>
    <t>Saint Monica from an Augustinian altarpiece</t>
  </si>
  <si>
    <t>Venetian School</t>
  </si>
  <si>
    <t>af9fd892-6b39-27b9-0126-01de127c22a1</t>
  </si>
  <si>
    <t>Phaeton Driving the Chariot of Phoebus</t>
  </si>
  <si>
    <t>Tempera or distemper on canvas</t>
  </si>
  <si>
    <t>82b1ac6e-de4e-7e80-6bd8-e1f1bb0cb889</t>
  </si>
  <si>
    <t>Max Beckmann</t>
  </si>
  <si>
    <t>Antoine Louis Barye</t>
  </si>
  <si>
    <t>Twilight</t>
  </si>
  <si>
    <t>18th Century</t>
  </si>
  <si>
    <t>Adolph Gottlieb</t>
  </si>
  <si>
    <t>Seated Female Nude</t>
  </si>
  <si>
    <t>Richard Diebenkorn</t>
  </si>
  <si>
    <t>Laura Shechter</t>
  </si>
  <si>
    <t>Composition Red/White</t>
  </si>
  <si>
    <t>Gouache on paper</t>
  </si>
  <si>
    <t>Jiri Mrazek</t>
  </si>
  <si>
    <t>fd65fb44-1296-b351-32ae-81166621f8ef</t>
  </si>
  <si>
    <t>Composition Red, Blue, Yellow, White</t>
  </si>
  <si>
    <t>Gouache and pen and black ink on paper</t>
  </si>
  <si>
    <t>5216d71b-76bc-0163-4baf-6a07ff550a8b</t>
  </si>
  <si>
    <t>Richard Estes</t>
  </si>
  <si>
    <t>The Expulsion of Adam and Eve from Paradise</t>
  </si>
  <si>
    <t>91a0f717-5508-af8a-4cef-9cbbc790287d</t>
  </si>
  <si>
    <t>Michigan Avenue with View of the Art Institute</t>
  </si>
  <si>
    <t>52764c48-9195-66d3-4b13-388f5357933f</t>
  </si>
  <si>
    <t>Oil on wood</t>
  </si>
  <si>
    <t>Oil on board</t>
  </si>
  <si>
    <t>Amorosa Tropicalia</t>
  </si>
  <si>
    <t>Richard Maris Loving</t>
  </si>
  <si>
    <t>c29741f9-1859-a8b0-c30e-de9a9644f82b</t>
  </si>
  <si>
    <t>George Wesley Bellows</t>
  </si>
  <si>
    <t>Con brio</t>
  </si>
  <si>
    <t>Keith Morrison</t>
  </si>
  <si>
    <t>c14094a6-d0fb-26da-2a22-0b35cb43f6bd</t>
  </si>
  <si>
    <t>Seated Figure</t>
  </si>
  <si>
    <t>Henri de Toulouse-Lautrec</t>
  </si>
  <si>
    <t>Classical Landscape</t>
  </si>
  <si>
    <t>Pushing Sculpture</t>
  </si>
  <si>
    <t>Shaped canvas, photograph and acrylic paint</t>
  </si>
  <si>
    <t>Ger van Elk</t>
  </si>
  <si>
    <t>e0ce7910-d04a-39be-05e0-fff34dcbdba7</t>
  </si>
  <si>
    <t>Otium cum Dignitade</t>
  </si>
  <si>
    <t>Hans Hofmann</t>
  </si>
  <si>
    <t>12b68b79-ca4c-930d-0f05-1d329658e0df</t>
  </si>
  <si>
    <t>Painting</t>
  </si>
  <si>
    <t>Franz Kline</t>
  </si>
  <si>
    <t>54a90528-63ed-1591-e3eb-2113109fc747</t>
  </si>
  <si>
    <t>Curving Function Greenish Brown</t>
  </si>
  <si>
    <t>Oil on hardboard</t>
  </si>
  <si>
    <t>Georges Vantongerloo</t>
  </si>
  <si>
    <t>efcca127-2510-adce-9c80-ac933c37e1cd</t>
  </si>
  <si>
    <t>roman period (egyptian)</t>
  </si>
  <si>
    <t>The Adoration of the Magi in a Historiated Initial "E" from a Choirbook</t>
  </si>
  <si>
    <t>Manuscript cutting in tempera and gold leaf, with gothica textualis inscriptions in Latin in black ink, ruled in black and red ink, on parchment</t>
  </si>
  <si>
    <t>medieval</t>
  </si>
  <si>
    <t>1fc6b459-07c2-c452-cae5-dbed0b5fe2fe</t>
  </si>
  <si>
    <t>Saints Barbara, Catherine, Andrew, John the Baptist, Lawrence and Thomas Ã  Beckett in a Historiated Initial "E" from a Missal or Breviary</t>
  </si>
  <si>
    <t>Manuscript cutting in tempera and gold leaf, with gothica textualis inscriptions in Latin in brownish-black and red ink, on parchment</t>
  </si>
  <si>
    <t>07b07045-b279-2cd4-7637-f518c8ef078b</t>
  </si>
  <si>
    <t>Frederick William MacMonnies</t>
  </si>
  <si>
    <t>Realism</t>
  </si>
  <si>
    <t>Watercolor and pen and black ink on ivory wove paper</t>
  </si>
  <si>
    <t>The Storm</t>
  </si>
  <si>
    <t>Wifredo Lam</t>
  </si>
  <si>
    <t>Camille Pissarro</t>
  </si>
  <si>
    <t>Watercolor, gouache, pen and black ink, torn and pasted paper on cream wove paper</t>
  </si>
  <si>
    <t>5968f7e0-b3f3-6811-7500-14a350833a36</t>
  </si>
  <si>
    <t>David Young Cameron</t>
  </si>
  <si>
    <t>Saint Lucy</t>
  </si>
  <si>
    <t>Ellen Lanyon</t>
  </si>
  <si>
    <t>Abigail Chesebrough (Mrs. Alexander Grant)</t>
  </si>
  <si>
    <t>Joseph Blackburn</t>
  </si>
  <si>
    <t>513678a8-6b70-d2f4-addc-3640b0e1191f</t>
  </si>
  <si>
    <t>Portrait of a Man</t>
  </si>
  <si>
    <t>School of Anthonis Mor</t>
  </si>
  <si>
    <t>47a54a0c-99c2-7aa9-db29-8fbccac5f1e1</t>
  </si>
  <si>
    <t>Bathing Nymph</t>
  </si>
  <si>
    <t>08b2ede5-bf33-602a-f1eb-2e7510c1b3cd</t>
  </si>
  <si>
    <t>Clock</t>
  </si>
  <si>
    <t>Waterloo Bridge, Gray Weather</t>
  </si>
  <si>
    <t>6f61a6fc-dcd8-e801-0ad8-5f7e561d91b6</t>
  </si>
  <si>
    <t>Spring</t>
  </si>
  <si>
    <t>Pigment on cloth</t>
  </si>
  <si>
    <t>Jozef IsraÃ«ls</t>
  </si>
  <si>
    <t>Mephisto from the Opera Faust</t>
  </si>
  <si>
    <t>Adolphe Joseph Thomas Monticelli</t>
  </si>
  <si>
    <t>1a0b480a-7bb3-587a-2461-4cbd3ed2508d</t>
  </si>
  <si>
    <t>Laughter</t>
  </si>
  <si>
    <t>Gouache, over traces of graphite on cream wove paper</t>
  </si>
  <si>
    <t>Auguste Herbin</t>
  </si>
  <si>
    <t>8dfea635-644c-9969-e135-3e883e2e85f1</t>
  </si>
  <si>
    <t>Salvador DalÃ­</t>
  </si>
  <si>
    <t>Joyce Wahl Treiman</t>
  </si>
  <si>
    <t>Reclining Female Nude</t>
  </si>
  <si>
    <t>The Iron Passage</t>
  </si>
  <si>
    <t>Watercolor with black fiber-tipped pen, over graphite, on ivory wove paper</t>
  </si>
  <si>
    <t>98cc3601-0c57-fcb5-1230-c06a780ec195</t>
  </si>
  <si>
    <t>Pale Calm Low and Attractive</t>
  </si>
  <si>
    <t>569fa73e-901b-cbca-26da-89c163836866</t>
  </si>
  <si>
    <t>The Coronation of the Virgin, from a Book of Hours</t>
  </si>
  <si>
    <t>Manuscript cutting in tempera and liquid gold on parchment</t>
  </si>
  <si>
    <t>Willem Vrelant</t>
  </si>
  <si>
    <t>8c41c441-3e34-5a6e-f385-e98cf96e9b64</t>
  </si>
  <si>
    <t>The Mass of St. Gregory, from a Book of Hours</t>
  </si>
  <si>
    <t>65430d24-f2ef-f0dd-a33a-c7c57598c36a</t>
  </si>
  <si>
    <t>Eugene Berman</t>
  </si>
  <si>
    <t>Sherrie Levine</t>
  </si>
  <si>
    <t>Stacked Cow Skulls</t>
  </si>
  <si>
    <t>Sam Messer</t>
  </si>
  <si>
    <t>2d3b2405-4fa2-1e8d-0434-d0de8a3a5846</t>
  </si>
  <si>
    <t>William Kent</t>
  </si>
  <si>
    <t>Portrait of a Boy</t>
  </si>
  <si>
    <t>The Dance</t>
  </si>
  <si>
    <t>Port of Bordeaux</t>
  </si>
  <si>
    <t>Pierre Paul Prud'hon</t>
  </si>
  <si>
    <t>Bruce Nauman</t>
  </si>
  <si>
    <t>Richard Artschwager</t>
  </si>
  <si>
    <t>James McBey</t>
  </si>
  <si>
    <t>John Augur Holabird, Sr.</t>
  </si>
  <si>
    <t>Fish</t>
  </si>
  <si>
    <t>Shepard Alonzo Mount</t>
  </si>
  <si>
    <t>b0b87de8-dfad-ebe4-818b-80020c029a53</t>
  </si>
  <si>
    <t>The Order of the Angels (Die Ordnung der Engel)</t>
  </si>
  <si>
    <t>Oil, emulsion, shellac, straw, and lead on canvas</t>
  </si>
  <si>
    <t>Anselm Kiefer</t>
  </si>
  <si>
    <t>d46d69a1-9875-9004-c5c6-ede6896d872c</t>
  </si>
  <si>
    <t>Chuck Close</t>
  </si>
  <si>
    <t>Larry Rivers</t>
  </si>
  <si>
    <t>Two Washerwomen Crossing a Small Park in Paris</t>
  </si>
  <si>
    <t>2b70372d-bad1-edda-8169-f6478f73a5e1</t>
  </si>
  <si>
    <t>John Newton</t>
  </si>
  <si>
    <t>Thomas Hudson</t>
  </si>
  <si>
    <t>cc3626ba-c4cc-d7e7-e71b-00543fc9dbf3</t>
  </si>
  <si>
    <t>Oil on canvas on board</t>
  </si>
  <si>
    <t>Nativity</t>
  </si>
  <si>
    <t>The Crystal Palace</t>
  </si>
  <si>
    <t>Portrait of Mr. Bittermann</t>
  </si>
  <si>
    <t>Gouache and watercolor, with scraping, over graphite, on ivory wove paper</t>
  </si>
  <si>
    <t>Otto Dix</t>
  </si>
  <si>
    <t>5ef4c24c-dba6-7242-1708-8f767ca89e5d</t>
  </si>
  <si>
    <t>Untitled (Saxon Nose)</t>
  </si>
  <si>
    <t>Watercolor and graphite, with white, black and colored crayons, and black ink on off-white laid paper</t>
  </si>
  <si>
    <t>Georg Baselitz</t>
  </si>
  <si>
    <t>faef1d91-8eb7-0356-e49f-9833263482a2</t>
  </si>
  <si>
    <t>Tony Phillips</t>
  </si>
  <si>
    <t>The Artist's Mother-in-Law</t>
  </si>
  <si>
    <t>Gouache on cream wove paper</t>
  </si>
  <si>
    <t>Max Pechstein</t>
  </si>
  <si>
    <t>35e8c405-62d5-bf4f-2fb6-1390842374d1</t>
  </si>
  <si>
    <t>Alexandre Gabriel Decamps</t>
  </si>
  <si>
    <t>Martha Mayer Erlebacher</t>
  </si>
  <si>
    <t>Bill Vuksanovich</t>
  </si>
  <si>
    <t>Self-Portrait (No. 1)</t>
  </si>
  <si>
    <t>Oil and charcoal on hardboard</t>
  </si>
  <si>
    <t>Ivan Albright</t>
  </si>
  <si>
    <t>cb2a5848-c125-8a0f-d05c-eb958b6ba94f</t>
  </si>
  <si>
    <t>Self-Portrait (No. 2)</t>
  </si>
  <si>
    <t>237b40f0-4c66-7073-2848-c1a1be7f2d0e</t>
  </si>
  <si>
    <t>Self-Portrait (No. 3)</t>
  </si>
  <si>
    <t>f1884649-dc74-5885-ecb6-a50c5cb7fbc9</t>
  </si>
  <si>
    <t>Self-Portrait (No. 4)</t>
  </si>
  <si>
    <t>Charcoal, lithographic crayon, and pencil on hardboard</t>
  </si>
  <si>
    <t>54bf85b0-7d74-b37a-462d-a072439b165b</t>
  </si>
  <si>
    <t>Self-Portrait (No. 5)</t>
  </si>
  <si>
    <t>e25a910d-f8ed-34d3-dd37-6c83bbc22123</t>
  </si>
  <si>
    <t>Self-Portrait (No. 6)</t>
  </si>
  <si>
    <t>Charcoal on hardboard</t>
  </si>
  <si>
    <t>4d3b1a91-4928-8276-e04c-3bc1c0fb751c</t>
  </si>
  <si>
    <t>Self-Portrait (No. 7)</t>
  </si>
  <si>
    <t>92be3ee7-c277-23a2-62b5-a1db3d9d1830</t>
  </si>
  <si>
    <t>Self-Portrait (No. 8)</t>
  </si>
  <si>
    <t>Oil and graphite on hardboard</t>
  </si>
  <si>
    <t>fa91ef56-4966-eafb-ca91-ff9a2fca434f</t>
  </si>
  <si>
    <t>Self-Portrait (No. 10)</t>
  </si>
  <si>
    <t>644a2dc5-cb8b-1f3d-6d61-40f5686c3c5e</t>
  </si>
  <si>
    <t>Self-Portrait (No. 11)</t>
  </si>
  <si>
    <t>Charcoal and pastel on hardboard</t>
  </si>
  <si>
    <t>f585cf0c-8161-45e2-2367-fe79e8f8dd4d</t>
  </si>
  <si>
    <t>Self-Portrait (No. 12)</t>
  </si>
  <si>
    <t>80441fc3-1875-593e-72ab-2ce8d003259f</t>
  </si>
  <si>
    <t>Self-Portrait (No. 13)</t>
  </si>
  <si>
    <t>6dc1f7e0-37e4-137a-04f4-a3940a317420</t>
  </si>
  <si>
    <t>Self-Portrait (No. 14)</t>
  </si>
  <si>
    <t>Charcoal, white chalk, and colored pencil on hardboard</t>
  </si>
  <si>
    <t>da983b4b-3b34-4007-2488-93a59191d435</t>
  </si>
  <si>
    <t>Self-Portrait (No. 15)</t>
  </si>
  <si>
    <t>Charcoal, colored pencils, and black crayon on hardboard</t>
  </si>
  <si>
    <t>7fe66053-06cf-e765-27c3-fdff1b402acf</t>
  </si>
  <si>
    <t>Self-Portrait (No. 16)</t>
  </si>
  <si>
    <t>d618e310-7d27-ff22-e400-de8892b5befc</t>
  </si>
  <si>
    <t>Self-Portrait (No. 17)</t>
  </si>
  <si>
    <t>Charcoal, black crayon, and graphite on hardboard</t>
  </si>
  <si>
    <t>020ac0c4-bc6d-17a9-ad66-395411824d54</t>
  </si>
  <si>
    <t>Self-Portrait (No. 18)</t>
  </si>
  <si>
    <t>Colored pencil on hardboard</t>
  </si>
  <si>
    <t>3ff63396-f67a-15c8-8e0e-c0c68f2eb65d</t>
  </si>
  <si>
    <t>Self-Portrait (No. 19)</t>
  </si>
  <si>
    <t>Colored pencil and graphite on hardboard</t>
  </si>
  <si>
    <t>cd1c6936-b2b0-3d8f-5622-59d0f2d0d62e</t>
  </si>
  <si>
    <t>Self-Portrait (No. 20)</t>
  </si>
  <si>
    <t>Pastel, graphite, and colored pencil on hardboard</t>
  </si>
  <si>
    <t>976104ad-bdb4-52fa-1e26-ef2c9e9a4605</t>
  </si>
  <si>
    <t>Rue Winterbotham Carpenter</t>
  </si>
  <si>
    <t>Arthur Ambrose McEvoy</t>
  </si>
  <si>
    <t>35b30b33-55bb-33e0-614a-4eac485f4a14</t>
  </si>
  <si>
    <t>Erratic Exhilaration</t>
  </si>
  <si>
    <t>Ray Yoshida</t>
  </si>
  <si>
    <t>9f58fbdd-a5fb-ac05-b9a0-376c32cf16ed</t>
  </si>
  <si>
    <t>Adriaen van Ostade</t>
  </si>
  <si>
    <t>Ready for the Fiesta</t>
  </si>
  <si>
    <t>Oil on cardboard</t>
  </si>
  <si>
    <t>William Penhallow Henderson</t>
  </si>
  <si>
    <t>7d0ec6e2-fe80-c069-378d-c6a02c4073e9</t>
  </si>
  <si>
    <t>Marie Laurencin</t>
  </si>
  <si>
    <t>Head of a Woman</t>
  </si>
  <si>
    <t>Constantin Brancusi</t>
  </si>
  <si>
    <t>Mary Cassatt</t>
  </si>
  <si>
    <t>Marcel Duchamp</t>
  </si>
  <si>
    <t>Berthe Morisot</t>
  </si>
  <si>
    <t>Samuel A. Marx</t>
  </si>
  <si>
    <t>L'Inspiration</t>
  </si>
  <si>
    <t>Watercolor and gouache, with pen and blue ink, over traces of graphite, on ivory wove paper, wrapped and adhered on verso to wood pulp board</t>
  </si>
  <si>
    <t>e0002909-4bcc-1a96-ecda-2eebd30a3f61</t>
  </si>
  <si>
    <t>Floating in Spring on the River</t>
  </si>
  <si>
    <t>Handscroll; ink and colors on paper</t>
  </si>
  <si>
    <t>Zhu Renfeng</t>
  </si>
  <si>
    <t>a608ae06-f7d9-bca8-2e66-f61bbbf12eb8</t>
  </si>
  <si>
    <t>Watercolor on illustration board</t>
  </si>
  <si>
    <t>Seated Italian Peasant</t>
  </si>
  <si>
    <t>Watercolor, with black crayon and traces of pink gouache, over black chalk, on cream wove paper</t>
  </si>
  <si>
    <t>951ceff8-455d-7575-2e72-4737e20cc55d</t>
  </si>
  <si>
    <t>Mrs. Samuel Hall Williams (Abigail Swing)</t>
  </si>
  <si>
    <t>Oil on mahogany panel</t>
  </si>
  <si>
    <t>3db962fb-17bc-2788-3e1d-4adf15f2ba6d</t>
  </si>
  <si>
    <t>Anders Zorn</t>
  </si>
  <si>
    <t>Man Ray (Emmanuel Radnitzky)</t>
  </si>
  <si>
    <t>Paul Signac</t>
  </si>
  <si>
    <t>Jack Beal</t>
  </si>
  <si>
    <t>Louis Marcoussis</t>
  </si>
  <si>
    <t>Pigments and metallic paint on wood</t>
  </si>
  <si>
    <t>Irving Petlin</t>
  </si>
  <si>
    <t>Larry Poons</t>
  </si>
  <si>
    <t>76dbc190-65c9-65e0-2d88-1fb52ec86690</t>
  </si>
  <si>
    <t>E Special</t>
  </si>
  <si>
    <t>83dbec4a-ccf2-71f3-1c60-551065b8fd15</t>
  </si>
  <si>
    <t>Abstract Painting #11</t>
  </si>
  <si>
    <t>Ad Reinhardt</t>
  </si>
  <si>
    <t>aab2ccf0-0012-0c52-0ffe-9bab278e74c5</t>
  </si>
  <si>
    <t>William Havell</t>
  </si>
  <si>
    <t>Giovanni Benedetto Castiglione</t>
  </si>
  <si>
    <t>James Rosenquist</t>
  </si>
  <si>
    <t>Fjord</t>
  </si>
  <si>
    <t>Mel Bochner</t>
  </si>
  <si>
    <t>f93a800b-7f32-1c35-c44c-1b8189b32227</t>
  </si>
  <si>
    <t>Saint Helen Testing the True Cross</t>
  </si>
  <si>
    <t>Tintoretto</t>
  </si>
  <si>
    <t>90a2969d-542a-e97f-09dd-fa1310d91acf</t>
  </si>
  <si>
    <t>Samuel Fisher Bradford</t>
  </si>
  <si>
    <t>Rembrandt Peale</t>
  </si>
  <si>
    <t>3678b2ca-dc2c-793c-8b7b-684557bc882d</t>
  </si>
  <si>
    <t>Eric Fischl</t>
  </si>
  <si>
    <t>The Wind</t>
  </si>
  <si>
    <t>Spray enamel and modeling paste on tarpaulin</t>
  </si>
  <si>
    <t>Julian Schnabel</t>
  </si>
  <si>
    <t>5ed1b95b-0e0b-bb54-389c-c0493a27f4df</t>
  </si>
  <si>
    <t>Caliente</t>
  </si>
  <si>
    <t>72f0d7ee-878d-d9f9-4550-eb4417490e0d</t>
  </si>
  <si>
    <t>Frank Stella</t>
  </si>
  <si>
    <t>Rotterdam</t>
  </si>
  <si>
    <t>Markus LÃ¼pertz</t>
  </si>
  <si>
    <t>Frank Duveneck</t>
  </si>
  <si>
    <t>Arshile Gorky</t>
  </si>
  <si>
    <t>Watercolor with tempera and graphite on white wove paper</t>
  </si>
  <si>
    <t>f7c3e581-ea45-08b1-0afe-714ac3fbfb25</t>
  </si>
  <si>
    <t>Marc Chagall</t>
  </si>
  <si>
    <t>Abstract Composition</t>
  </si>
  <si>
    <t>Conrad Marca-Relli</t>
  </si>
  <si>
    <t>Black enamel paint on off-white wove paper</t>
  </si>
  <si>
    <t>248a28c1-1c2b-964a-9c61-712a8ee95ceb</t>
  </si>
  <si>
    <t>Coney Island</t>
  </si>
  <si>
    <t>Mrs. Sanford Robinson Gifford (Mary Cecilia Gifford)</t>
  </si>
  <si>
    <t>Oil on paper mounted on canvas</t>
  </si>
  <si>
    <t>Sanford Robinson Gifford</t>
  </si>
  <si>
    <t>76b3432d-6e5c-3748-b7a7-92e5f6b86bc1</t>
  </si>
  <si>
    <t>Moscow</t>
  </si>
  <si>
    <t>The Little Pond, Appledore</t>
  </si>
  <si>
    <t>Childe Hassam</t>
  </si>
  <si>
    <t>b4ee4891-5d7b-11ad-93df-2b64e34de991</t>
  </si>
  <si>
    <t>Oil on copper</t>
  </si>
  <si>
    <t>The Translation of the Ashes of Napoleon: 15 December, 1840</t>
  </si>
  <si>
    <t>Watercolor and gouache, with traces of graphite, on ivory wove paper</t>
  </si>
  <si>
    <t>b1b82f80-25e9-6540-52f1-386affaa1c20</t>
  </si>
  <si>
    <t>Constantin Guys</t>
  </si>
  <si>
    <t>Tom Wesselmann</t>
  </si>
  <si>
    <t>Houses on the Fox River, Illinois</t>
  </si>
  <si>
    <t>fbccf7dc-9251-6d0b-1c4b-ef7a08218f64</t>
  </si>
  <si>
    <t>Francis Piatek</t>
  </si>
  <si>
    <t>Pietro Longhi</t>
  </si>
  <si>
    <t>cb178a5a-6c55-c423-a186-d3d467a72f2f</t>
  </si>
  <si>
    <t>Georges Braque</t>
  </si>
  <si>
    <t>Maurice Utrillo</t>
  </si>
  <si>
    <t>Odilon Redon</t>
  </si>
  <si>
    <t>H. George Cohen</t>
  </si>
  <si>
    <t>James McNeill Whistler</t>
  </si>
  <si>
    <t>Painting for Eli</t>
  </si>
  <si>
    <t>Acrylic on canvas, wood (diptych)</t>
  </si>
  <si>
    <t>David Salle</t>
  </si>
  <si>
    <t>4c74ba21-3d43-854d-c860-ad5b8f207926</t>
  </si>
  <si>
    <t>Broadway</t>
  </si>
  <si>
    <t>William Conger</t>
  </si>
  <si>
    <t>acc3f149-7049-89c0-98bf-59c92f106c74</t>
  </si>
  <si>
    <t>Portrait of Madame Guerin</t>
  </si>
  <si>
    <t>Distemper on paper mounted on canvas</t>
  </si>
  <si>
    <t>f6cfc65e-8534-f83e-0bdc-024a970c7dc3</t>
  </si>
  <si>
    <t>Mountain Scene</t>
  </si>
  <si>
    <t>Torvalt Arnt Hoyer</t>
  </si>
  <si>
    <t>a2b2f2c1-ee0a-e2fc-9f8b-bcd96de9d42e</t>
  </si>
  <si>
    <t>Brooklyn Bridge</t>
  </si>
  <si>
    <t>Sarah Dupont</t>
  </si>
  <si>
    <t>Thomas Gainsborough</t>
  </si>
  <si>
    <t>d763c113-194b-62a5-3e39-e2b479c5df47</t>
  </si>
  <si>
    <t>Portrait of the Katchef Dahouth, Christian Mameluke</t>
  </si>
  <si>
    <t>87cb3fad-65e7-f5e7-291c-dca132489ec3</t>
  </si>
  <si>
    <t>La Bonne Aventure (The Fortune Teller)</t>
  </si>
  <si>
    <t>Jean-Baptiste Pater</t>
  </si>
  <si>
    <t>02f89de9-0b05-fb1c-fc15-bc48787debfb</t>
  </si>
  <si>
    <t>Jean-Baptiste Oudry</t>
  </si>
  <si>
    <t>Saint John the Baptist Preaching in the Desert</t>
  </si>
  <si>
    <t>Jean Baptiste Henri Deshays</t>
  </si>
  <si>
    <t>651f90ff-ddbd-9343-055b-0c07134c891c</t>
  </si>
  <si>
    <t>Two Marys Discover the Empty Tomb in a Historiated Initial â€œMâ€</t>
  </si>
  <si>
    <t>Manuscript cutting in tempera and gold leaf, and pen and black ink, on parchment, with gothica textura inscriptions in black ink, verso</t>
  </si>
  <si>
    <t>Bonifacio Bembo, workshop of</t>
  </si>
  <si>
    <t>2967e752-192b-ed64-4956-28c961094dab</t>
  </si>
  <si>
    <t>Julian Alden Weir</t>
  </si>
  <si>
    <t>Walter Ellison</t>
  </si>
  <si>
    <t>Jacopo Palma Il Giovane</t>
  </si>
  <si>
    <t>Anthony van Dyck</t>
  </si>
  <si>
    <t>Study for The Rock</t>
  </si>
  <si>
    <t>Peter Blume</t>
  </si>
  <si>
    <t>Portrait of a Young Woman</t>
  </si>
  <si>
    <t>Aert de Gelder</t>
  </si>
  <si>
    <t>9d2f074a-744d-3960-ed1b-0612af893cff</t>
  </si>
  <si>
    <t>Portrait of a Lady</t>
  </si>
  <si>
    <t>Frans Hals</t>
  </si>
  <si>
    <t>730ab90f-45c3-ca32-77d0-a43858cdbbab</t>
  </si>
  <si>
    <t>34 1/4 x 27 13/16 in. (86.5 x 70.7 cm)</t>
  </si>
  <si>
    <t>George Washington</t>
  </si>
  <si>
    <t>Brescia</t>
  </si>
  <si>
    <t>German School</t>
  </si>
  <si>
    <t>June Morning: Lake Orta</t>
  </si>
  <si>
    <t>Oliver Dennett Grover</t>
  </si>
  <si>
    <t>e88c48eb-a293-3401-03b8-b885e9e21bd3</t>
  </si>
  <si>
    <t>The Adoration of the Magi</t>
  </si>
  <si>
    <t>Saint Paul Preaching at Athens</t>
  </si>
  <si>
    <t>Bartholomeus Breenbergh</t>
  </si>
  <si>
    <t>Jan Lievens</t>
  </si>
  <si>
    <t>Pier Francesco Mola</t>
  </si>
  <si>
    <t>Frank Brangwyn</t>
  </si>
  <si>
    <t>Decorated Initial "A" with Grotesque and Flora from a Choir Book</t>
  </si>
  <si>
    <t>Manuscript cutting in tempera and gold leaf on vellum</t>
  </si>
  <si>
    <t>e36ddda3-4719-454f-2c39-28f566e2040f</t>
  </si>
  <si>
    <t>Decorated Initial "D" with Leaves and Two Balls from a Choir Book</t>
  </si>
  <si>
    <t>ac5803a0-aa72-3adc-26a6-5f8842c80b67</t>
  </si>
  <si>
    <t>Wallace L. DeWolf</t>
  </si>
  <si>
    <t>Maine Coast</t>
  </si>
  <si>
    <t>Frank Weston Benson</t>
  </si>
  <si>
    <t>Donald Shaw MacLaughlan</t>
  </si>
  <si>
    <t>Jean Louis Forain</t>
  </si>
  <si>
    <t>Support for Flagstone Anti-Form and Plow-Boy</t>
  </si>
  <si>
    <t>Watercolor and black fiber-tipped pen on cream wove paper</t>
  </si>
  <si>
    <t>136b0840-66c6-48e8-15d1-5826acf87f22</t>
  </si>
  <si>
    <t>Pushing It Like He Said, But Not Like He Wanted</t>
  </si>
  <si>
    <t>Watercolor and black fiber-tipped pen on ivory wove paper</t>
  </si>
  <si>
    <t>ddff311b-3391-accd-0cb9-33b541d4bc34</t>
  </si>
  <si>
    <t>Joseph Yoakum</t>
  </si>
  <si>
    <t>Clark and Lewis Mtn near Dover Alaska. in Head Point, of Continentel Divide across west Canada. into Montana u.s.a.</t>
  </si>
  <si>
    <t>Carbon transfer, blue ballpoint pen, graphite pencil, and colored pencil on tan wove paper</t>
  </si>
  <si>
    <t>5bf1656d-7dc0-f084-68af-20b26f731f76</t>
  </si>
  <si>
    <t>Florida Mountain Range near Deming Renchettes near Deming New Mexico</t>
  </si>
  <si>
    <t>Blue and black felt-tip pen, blue and black fountain pen, pastel, and colored pencil on ivory wove paper</t>
  </si>
  <si>
    <t>f0c297db-39a3-d299-f059-47e0dafb9e79</t>
  </si>
  <si>
    <t>New Orleans</t>
  </si>
  <si>
    <t>ARC</t>
  </si>
  <si>
    <t>Watercolor over graphite on white wove paper</t>
  </si>
  <si>
    <t>Rick Grafton</t>
  </si>
  <si>
    <t>6359d354-d48c-8824-938b-b66f678001ac</t>
  </si>
  <si>
    <t>Cy Twombly</t>
  </si>
  <si>
    <t>Robert Motherwell</t>
  </si>
  <si>
    <t>A la pintura: Blue 4</t>
  </si>
  <si>
    <t>A la pintura: Blue 5</t>
  </si>
  <si>
    <t>A la pintura: Red 1-3</t>
  </si>
  <si>
    <t>A la pintura: Red 8-11</t>
  </si>
  <si>
    <t>Red acrylic paint and graphite, with cut-and-pasted text, on white wove paper</t>
  </si>
  <si>
    <t>10d54275-5835-2586-0d1f-9b3eb75651e9</t>
  </si>
  <si>
    <t>A la pintura: White 7-9</t>
  </si>
  <si>
    <t>A la pintura: White 14-15</t>
  </si>
  <si>
    <t>Blue oil paint on white wove paper</t>
  </si>
  <si>
    <t>965840bd-53e9-f6d6-5413-922d66826604</t>
  </si>
  <si>
    <t>Watercolor in blue, with pinholes, on white wove paper</t>
  </si>
  <si>
    <t>2e2de279-7029-9213-4143-88d530577e28</t>
  </si>
  <si>
    <t>Watercolor in blue on white wove paper</t>
  </si>
  <si>
    <t>8e77fe17-a144-c882-3a0e-a062b2e699bd</t>
  </si>
  <si>
    <t>f2d46c5f-9dcc-17aa-d9a7-c1501568fb8d</t>
  </si>
  <si>
    <t>Paint and black lithographic crayon, with type in black and red, taped to white wove paper</t>
  </si>
  <si>
    <t>837c2448-fc84-bb31-dab2-1be2dd992134</t>
  </si>
  <si>
    <t>Near Lugano</t>
  </si>
  <si>
    <t>Acrylic on brownish-gray wove paper handmade by the artist</t>
  </si>
  <si>
    <t>Suzanne Martyl Langsdorf</t>
  </si>
  <si>
    <t>b1971704-62dc-f1ac-f585-d07419fec3bd</t>
  </si>
  <si>
    <t>Circus Abstraction</t>
  </si>
  <si>
    <t>Watercolor with graphite on cream wove paper</t>
  </si>
  <si>
    <t>William Sommer</t>
  </si>
  <si>
    <t>59c46635-ef0b-6c50-d545-0b1515e8ba66</t>
  </si>
  <si>
    <t>Abstraction with Hand</t>
  </si>
  <si>
    <t>Watercolor with charcoal on ivory wove paper</t>
  </si>
  <si>
    <t>8794bb24-ee54-100b-4d84-743e7cfdddd2</t>
  </si>
  <si>
    <t>Three Men Launching a Rowboat</t>
  </si>
  <si>
    <t>Watercolor on paper</t>
  </si>
  <si>
    <t>James Milton Sessions</t>
  </si>
  <si>
    <t>65a7e991-6083-e966-c734-0559ead85ce7</t>
  </si>
  <si>
    <t>Egypt Day and Night #109</t>
  </si>
  <si>
    <t>Watercolor with gouache on white wove paper</t>
  </si>
  <si>
    <t>Keith Achepohl</t>
  </si>
  <si>
    <t>630303b6-f723-a14c-f0ab-5a53350a8c05</t>
  </si>
  <si>
    <t>Four Men Planting a Tree</t>
  </si>
  <si>
    <t>Watercolor, with graphite, on paper</t>
  </si>
  <si>
    <t>Pravoslav KotÃ­k</t>
  </si>
  <si>
    <t>5adde73c-b70a-44c8-e9c8-cdb14c384144</t>
  </si>
  <si>
    <t>Village Landscape</t>
  </si>
  <si>
    <t>798a7631-0f63-ab17-0ac3-ba6c4dc705f8</t>
  </si>
  <si>
    <t>Composition with Four Figures</t>
  </si>
  <si>
    <t>2e1fe02e-eea7-e150-fc85-26ddb6be320a</t>
  </si>
  <si>
    <t>To Lee and Glynna</t>
  </si>
  <si>
    <t>Watercolor and perforations on paper</t>
  </si>
  <si>
    <t>8b9d755d-0a7a-2276-0195-4e671088ac8a</t>
  </si>
  <si>
    <t>Composition with Red Frame</t>
  </si>
  <si>
    <t>1a421903-15e7-a439-19d2-599ce734454b</t>
  </si>
  <si>
    <t>Decorated Initial "I" in Blue with Foliage and Four Balls, from a Choir Book</t>
  </si>
  <si>
    <t>97c33380-923f-52c4-0d94-453ab89680bc</t>
  </si>
  <si>
    <t>Decorated Initial "I" with Leaves from a Choir Book</t>
  </si>
  <si>
    <t>49e358fe-8295-09bf-1fc9-4fc8dc7c06c7</t>
  </si>
  <si>
    <t>Decorated Initial "A" in Pink with Six Leaves and Two Balls, from a Choir Book</t>
  </si>
  <si>
    <t>b7290449-f745-252b-d7cb-6f888a7eeb80</t>
  </si>
  <si>
    <t>Shepherds on Their Way to the Nativity from a Book of Hours</t>
  </si>
  <si>
    <t>Manuscript cutting in paint, brush and liquid gold and lead white on parchment, laid down on paper board</t>
  </si>
  <si>
    <t>Jean Poyet</t>
  </si>
  <si>
    <t>7bb8c5bd-9697-eba4-3b45-cafc07b23b66</t>
  </si>
  <si>
    <t>Coronation of the Virgin with Decorative Border from a Prayerbook</t>
  </si>
  <si>
    <t>Manuscript cutting in tempera, red, brown and black ink, gold paint and gold leaf, with Latin inscriptions in black ink, ruled in red, and further inscriptions and decorations, verso, on parchment</t>
  </si>
  <si>
    <t>d58bebce-56fa-3832-301b-89cd026b7073</t>
  </si>
  <si>
    <t>Angel Playing an Instrument in a Decorated Initial "R" with Flora, Fauna and Grotesque, from an Antiphonal</t>
  </si>
  <si>
    <t>Manuscript cutting in tempera and gold leaf, with Latin inscriptions in black and red ink, ruled in light brown, and with a separate cutting in tempera cut-and-tipped into the decorated letter, on parchment</t>
  </si>
  <si>
    <t>e69b9212-f74e-a8a8-5785-b820361b1f72</t>
  </si>
  <si>
    <t>Illuminated Jewish Marriage Contract Fragment in Aramaic</t>
  </si>
  <si>
    <t>Manuscript cutting in tempera and colored inks, with floral cutouts, and Hebraic inscriptions in brown and black inks, on vellum</t>
  </si>
  <si>
    <t>c4c0ecca-165c-6331-1211-6534a8b2fcd1</t>
  </si>
  <si>
    <t>Decorated Initial "B" with Border, probably copied from a Psalter in the British Library</t>
  </si>
  <si>
    <t>Tempera and gold leaf on vellum</t>
  </si>
  <si>
    <t>c36ea2f6-1c1f-7afb-c7af-723db5c98903</t>
  </si>
  <si>
    <t>Italian School</t>
  </si>
  <si>
    <t>Arched Bridge Across Seine River, Paris, France, Perspective</t>
  </si>
  <si>
    <t>25f8c9e6-c31f-0eb8-43e7-fa3c27688143</t>
  </si>
  <si>
    <t>Watercolor over graphite on paper</t>
  </si>
  <si>
    <t>Bairds Trogon</t>
  </si>
  <si>
    <t>Watercolor over touches of graphite on ivory wove paper</t>
  </si>
  <si>
    <t>Robert Lostutter</t>
  </si>
  <si>
    <t>35a6cf63-dc8f-364a-3ba3-de862c874588</t>
  </si>
  <si>
    <t>The Wardrobe Consultant</t>
  </si>
  <si>
    <t>Watercolor and gouache, with pen and black ink, on cream wove paper</t>
  </si>
  <si>
    <t>Nicolas Lavreince</t>
  </si>
  <si>
    <t>180bae8f-2656-c8f9-0cae-bf2b56979257</t>
  </si>
  <si>
    <t>Three Servant Women</t>
  </si>
  <si>
    <t>Pen and brown ink, with brush and watercolor, over graphite, on cream wove paper, laid down on ivory wove paper</t>
  </si>
  <si>
    <t>9e21e941-d2e3-6874-5e80-e471e9889c12</t>
  </si>
  <si>
    <t>Woman in Profile</t>
  </si>
  <si>
    <t>Pen and brown ink and watercolor, with blotting, on cream laid paper</t>
  </si>
  <si>
    <t>9b0d921f-1410-9614-8a99-d6826478d5e0</t>
  </si>
  <si>
    <t>Portrait of Luigi Edouardo Rossi, Count Pellegrino</t>
  </si>
  <si>
    <t>Follower of Jean Auguste Dominique Ingres</t>
  </si>
  <si>
    <t>b9800e22-0a17-9eb4-ab32-0a3117e9dda2</t>
  </si>
  <si>
    <t>Bailey's Beach, Newport, R.I.</t>
  </si>
  <si>
    <t>16facedd-c8c3-fbfc-a854-23c2d710a889</t>
  </si>
  <si>
    <t>Portrait of Elizabeth of Austria, Wife of King Charles IX of France</t>
  </si>
  <si>
    <t>da8bbe90-a4a4-a9a8-5b38-f64f6799e6a6</t>
  </si>
  <si>
    <t>Giovanni Domenico Tiepolo</t>
  </si>
  <si>
    <t>Jean Antoine Watteau</t>
  </si>
  <si>
    <t>f6eddea6-5789-b6f9-315c-50a08a7c4adc</t>
  </si>
  <si>
    <t>Mrs. Noah Smith and Family</t>
  </si>
  <si>
    <t>Ezra Ames</t>
  </si>
  <si>
    <t>68415b1d-baec-303a-1c09-4c6b7ccb575c</t>
  </si>
  <si>
    <t>Holy Family</t>
  </si>
  <si>
    <t>The Resurrection</t>
  </si>
  <si>
    <t>The Entombment</t>
  </si>
  <si>
    <t>Mosaic</t>
  </si>
  <si>
    <t>Jules Bastien-Lepage</t>
  </si>
  <si>
    <t>15 Years Magnified Through a Drop of Water</t>
  </si>
  <si>
    <t>Blue gouache, black fiber-tip pen, and graphite on white wove blotter paper</t>
  </si>
  <si>
    <t>1a9d79e5-ad71-0829-ff98-dbb55e43ce34</t>
  </si>
  <si>
    <t>Opaque watercolor and gold on paper</t>
  </si>
  <si>
    <t>Saint Jerome in Penitence</t>
  </si>
  <si>
    <t>Daniel Nikolaus Chodowiecki</t>
  </si>
  <si>
    <t>Giovanni Baglione</t>
  </si>
  <si>
    <t>Woman's Head</t>
  </si>
  <si>
    <t>Antoine Wiertz</t>
  </si>
  <si>
    <t>Claude Lorrain</t>
  </si>
  <si>
    <t>Guercino</t>
  </si>
  <si>
    <t>Tarquin and Lucretia</t>
  </si>
  <si>
    <t>Peter De Wint</t>
  </si>
  <si>
    <t>John Downman</t>
  </si>
  <si>
    <t>Faith</t>
  </si>
  <si>
    <t>Richard Wilson</t>
  </si>
  <si>
    <t>Abraham Jansz. van Diepenbeeck</t>
  </si>
  <si>
    <t>Entombment</t>
  </si>
  <si>
    <t>Nicolaes Berchem</t>
  </si>
  <si>
    <t>John Constable</t>
  </si>
  <si>
    <t>Giorgio Vasari</t>
  </si>
  <si>
    <t>Annunciation to the Shepherds</t>
  </si>
  <si>
    <t>Jacopo Bassano</t>
  </si>
  <si>
    <t>ec272cba-5f5c-dcc1-00e3-00dfdb042a52</t>
  </si>
  <si>
    <t>Near Newport</t>
  </si>
  <si>
    <t>John Frederick Kensett</t>
  </si>
  <si>
    <t>50f98ea2-ea74-d991-b2fc-ddbc616283bd</t>
  </si>
  <si>
    <t>Hanging scroll; ink and color on paper</t>
  </si>
  <si>
    <t>Georges Rouault</t>
  </si>
  <si>
    <t>Pierre Bonnard</t>
  </si>
  <si>
    <t>Man with a Pipe</t>
  </si>
  <si>
    <t>43bc66e2-95b2-fb3c-b9b1-232835bfd027</t>
  </si>
  <si>
    <t>Alberto Giacometti</t>
  </si>
  <si>
    <t>Marcel Gromaire</t>
  </si>
  <si>
    <t>Saint Benedict Presenting his Rule to Benedictine and Cistercian Monks in a Historiated Initial "O" from a Choirbook</t>
  </si>
  <si>
    <t>Manuscript cutting with tempera and gold leaf, with rounded gothica textualis inscriptions in black ink, ruled in red, on parchment</t>
  </si>
  <si>
    <t>Martino di Bartolomeo di Biagio</t>
  </si>
  <si>
    <t>54f0b704-7108-5b91-1d0f-585758267fb4</t>
  </si>
  <si>
    <t>Alexander Calder</t>
  </si>
  <si>
    <t>Abstraction: Background with Blue Cloudy Sky</t>
  </si>
  <si>
    <t>080c3376-0a60-6d09-f23b-449742a1efeb</t>
  </si>
  <si>
    <t>Juan Gris</t>
  </si>
  <si>
    <t>Sekino Jun'ichiro</t>
  </si>
  <si>
    <t>The Host</t>
  </si>
  <si>
    <t>Oil on masonite</t>
  </si>
  <si>
    <t>Gerald McLaughlin</t>
  </si>
  <si>
    <t>bfdd1e83-ccfd-ccae-7832-70aec91d7cee</t>
  </si>
  <si>
    <t>Jusepe de Ribera</t>
  </si>
  <si>
    <t>Vincent van Gogh</t>
  </si>
  <si>
    <t>92827fc4-78a3-a263-75a2-6470eabad38b</t>
  </si>
  <si>
    <t>Virgin and Child with the Young Saint John the Baptist</t>
  </si>
  <si>
    <t>5c9cfee1-4287-1494-dcf6-4a967c734a44</t>
  </si>
  <si>
    <t>Bruce Conner</t>
  </si>
  <si>
    <t>342b24da-c5a0-a781-44c9-1964ba40d086</t>
  </si>
  <si>
    <t>Donkey</t>
  </si>
  <si>
    <t>Head</t>
  </si>
  <si>
    <t>Color woodblock print; hosoban, benizuri-e</t>
  </si>
  <si>
    <t>Suzuki Harunobu</t>
  </si>
  <si>
    <t>Katsukawa Shunsho</t>
  </si>
  <si>
    <t>Thomas Couture</t>
  </si>
  <si>
    <t>Bathers</t>
  </si>
  <si>
    <t>5ec2faea-0636-15d9-9c95-2fd89f85196c</t>
  </si>
  <si>
    <t>Pieter Mulier, (il Cavaliere Tempesta)</t>
  </si>
  <si>
    <t>544b3f30-4860-73a1-1a04-c84d0dafd005</t>
  </si>
  <si>
    <t>Yacht Race</t>
  </si>
  <si>
    <t>Watercolor, over graphite, on ivory wove paper</t>
  </si>
  <si>
    <t>Maurice Brazil Prendergast</t>
  </si>
  <si>
    <t>549d921d-516b-ec59-2e30-3ca055f7b912</t>
  </si>
  <si>
    <t>Oeuf au Plat</t>
  </si>
  <si>
    <t>Gouache and brush and black ink on ivory wove paper</t>
  </si>
  <si>
    <t>8a23cba5-3f1b-0e38-3e28-d0c500e5cf30</t>
  </si>
  <si>
    <t>Josef Albers</t>
  </si>
  <si>
    <t>Blue Half Circle</t>
  </si>
  <si>
    <t>8f857cd0-d01e-f7bc-bf4e-c54a892eb222</t>
  </si>
  <si>
    <t>Abstraction</t>
  </si>
  <si>
    <t>Colored inks, with touches of silver metallic paint, on fabric</t>
  </si>
  <si>
    <t>Sam Gilliam</t>
  </si>
  <si>
    <t>1071228e-f1a1-bca3-8443-e6c31738d2d9</t>
  </si>
  <si>
    <t>Reclining Nude</t>
  </si>
  <si>
    <t>The Mediterranean Sky</t>
  </si>
  <si>
    <t>Oil paint with collaged paper on cream wove paper</t>
  </si>
  <si>
    <t>e07c2ac0-cd16-c921-073e-abf3b414406d</t>
  </si>
  <si>
    <t>Study #5 Mykonos</t>
  </si>
  <si>
    <t>Gouache and graphite on ivory wove paper</t>
  </si>
  <si>
    <t>Kestutis Edward Zapkus</t>
  </si>
  <si>
    <t>c0edf263-843d-f45f-6123-b2ae43e65bde</t>
  </si>
  <si>
    <t>Jean Baptiste Joseph Wicar</t>
  </si>
  <si>
    <t>Maine Landscape</t>
  </si>
  <si>
    <t>Watercolor over touches of charcoal on ivory watercolor paper</t>
  </si>
  <si>
    <t>William Zorach</t>
  </si>
  <si>
    <t>50ab50a3-a2d5-4a4a-1582-c4ace207542c</t>
  </si>
  <si>
    <t>Henri Cros</t>
  </si>
  <si>
    <t>Gabriel Jacques de Saint-Aubin</t>
  </si>
  <si>
    <t>Figure</t>
  </si>
  <si>
    <t>Joachim Beuckelaer</t>
  </si>
  <si>
    <t>11d1c6e6-f051-0a5e-5c7b-57f935b6d181</t>
  </si>
  <si>
    <t>From Brittany</t>
  </si>
  <si>
    <t>Watercolor, over graphite, on ivory laid paper</t>
  </si>
  <si>
    <t>696e8325-f66a-7804-2962-3d37961e2d39</t>
  </si>
  <si>
    <t>Pontormo, (Jacopo Carrucci)</t>
  </si>
  <si>
    <t>Hubert Robert</t>
  </si>
  <si>
    <t>Reminiscence of a Cathedral</t>
  </si>
  <si>
    <t>FrantiÅ¡ek Kupka</t>
  </si>
  <si>
    <t>567b2141-2556-c195-01fe-b47c6d1a63dc</t>
  </si>
  <si>
    <t>Tantric Temple Banner of a Dancing Goddess Flanked by Dakinis</t>
  </si>
  <si>
    <t>Pigment and black ink on cloth</t>
  </si>
  <si>
    <t>95707142-7ff9-4214-1cf8-ba305dfb1b3f</t>
  </si>
  <si>
    <t>Scatterlings</t>
  </si>
  <si>
    <t>Collage, watercolor, and crayons, with graphite, gouache, colored pencils, and touches of pen and black ink on cream wove paper</t>
  </si>
  <si>
    <t>Kurt Kemp</t>
  </si>
  <si>
    <t>61286f9b-7c46-0d99-023c-d47a541bad45</t>
  </si>
  <si>
    <t>Venus with Seashell</t>
  </si>
  <si>
    <t>133c982d-14df-386c-a1c1-c977fdce6f0b</t>
  </si>
  <si>
    <t>Portrait of Daniel Hudson Burnham</t>
  </si>
  <si>
    <t>Arvid Frederik Nyholm</t>
  </si>
  <si>
    <t>000a60f9-baa8-3f20-3357-690f6ca0803a</t>
  </si>
  <si>
    <t>Provincetown</t>
  </si>
  <si>
    <t>Green Sea</t>
  </si>
  <si>
    <t>Philip Guston</t>
  </si>
  <si>
    <t>a4565521-aba4-c1ff-1c77-f0c55c9d1aa9</t>
  </si>
  <si>
    <t>The Banks of the River Durance at Saint Paul</t>
  </si>
  <si>
    <t>Paul Camille Guigou</t>
  </si>
  <si>
    <t>c7686c63-3aca-64b6-6710-02f34ccd0767</t>
  </si>
  <si>
    <t>Luca Cambiaso</t>
  </si>
  <si>
    <t>Fruits and Stringed Instrument</t>
  </si>
  <si>
    <t>Oil and sand on canvas</t>
  </si>
  <si>
    <t>509e3a6c-a944-7424-7b42-9786b096a0a6</t>
  </si>
  <si>
    <t>Piet Mondrian</t>
  </si>
  <si>
    <t>Jackson Pollock</t>
  </si>
  <si>
    <t>Milton Avery</t>
  </si>
  <si>
    <t>Victor de Vasarely</t>
  </si>
  <si>
    <t>C. Earle Horter</t>
  </si>
  <si>
    <t>James Ensor</t>
  </si>
  <si>
    <t>Ange Laurent de Lalive de Jully</t>
  </si>
  <si>
    <t>Style of Jean Baptiste Greuze</t>
  </si>
  <si>
    <t>d65ca75a-3024-0a99-9ad6-8cbb7ba21817</t>
  </si>
  <si>
    <t>Screamin' Jay Hawkins</t>
  </si>
  <si>
    <t>Karl Wirsum</t>
  </si>
  <si>
    <t>408a289f-593e-6abc-33d5-7b4bccdec9be</t>
  </si>
  <si>
    <t>Eating Out</t>
  </si>
  <si>
    <t>Edouard Goerg</t>
  </si>
  <si>
    <t>89a21b2f-c010-1752-4273-65f95096f9f0</t>
  </si>
  <si>
    <t>Woman in Interior</t>
  </si>
  <si>
    <t>Gouache with pastel, watercolor, and charcoal on tan wove paper, laid down on canvas, wrapped around a stretcher</t>
  </si>
  <si>
    <t>2ece1308-12e3-1dea-6be2-6ede259c19bb</t>
  </si>
  <si>
    <t>Charles Rennie Mackintosh</t>
  </si>
  <si>
    <t>Brice Marden</t>
  </si>
  <si>
    <t>Valley of Aosta: Snowstorm, Avalanche, and Thunderstorm</t>
  </si>
  <si>
    <t>Joseph Mallord William Turner</t>
  </si>
  <si>
    <t>564e2e3f-eb93-88a7-d265-8fea006facff</t>
  </si>
  <si>
    <t>Ernst Ludwig Kirchner</t>
  </si>
  <si>
    <t>The Destroying Angel</t>
  </si>
  <si>
    <t>Paul Gauguin</t>
  </si>
  <si>
    <t>Harmonized Region</t>
  </si>
  <si>
    <t>Oil on burlap on cardboard</t>
  </si>
  <si>
    <t>121164aa-8901-e22a-4eb0-5cb329032b83</t>
  </si>
  <si>
    <t>Walter Shirlaw</t>
  </si>
  <si>
    <t>Mrs. Henry Hill (Anna Barrett)</t>
  </si>
  <si>
    <t>Pastel on paper mounted on linen</t>
  </si>
  <si>
    <t>John Singleton Copley</t>
  </si>
  <si>
    <t>0291ae9f-e025-39d5-69da-d28f5e3c14e1</t>
  </si>
  <si>
    <t>Polidoro da Caravaggio</t>
  </si>
  <si>
    <t>Julius Gari Melchers</t>
  </si>
  <si>
    <t>Portrait of Gwethalyn Jones</t>
  </si>
  <si>
    <t>Watercolor over graphite on gray wove paper (discolored to brown)</t>
  </si>
  <si>
    <t>8a40c91a-a3e7-c205-6092-d046e66ad371</t>
  </si>
  <si>
    <t>The Sacrifice of Polyxena</t>
  </si>
  <si>
    <t>Giulio Carpioni</t>
  </si>
  <si>
    <t>d0cbcbff-7858-c6a4-e12a-4b691f21ca6d</t>
  </si>
  <si>
    <t>The Temptation of Saint Jerome</t>
  </si>
  <si>
    <t>8b529ec9-7a47-28bf-8d09-3c993fa5d4aa</t>
  </si>
  <si>
    <t>Captain John Garish</t>
  </si>
  <si>
    <t>John Smibert</t>
  </si>
  <si>
    <t>ff9aca7d-dd52-0e40-22d0-53bcc058a73c</t>
  </si>
  <si>
    <t>Girolamo da Carpi</t>
  </si>
  <si>
    <t>Little Girl with Checkered Purse in Profile to the Left</t>
  </si>
  <si>
    <t>Graphite, pen and black ink, and watercolor, on cream wove paper (discolored)</t>
  </si>
  <si>
    <t>1df6e267-0c9d-a6da-e5d4-8e80b90488b8</t>
  </si>
  <si>
    <t>Standing Girl in Profile to Left with Whip and Toy Sleigh</t>
  </si>
  <si>
    <t>fc14d6db-b90a-3439-f426-ef9c8cdeeed9</t>
  </si>
  <si>
    <t>Max Kahn</t>
  </si>
  <si>
    <t>Hanging scroll; ink and colors on paper</t>
  </si>
  <si>
    <t>Jan van Scorel</t>
  </si>
  <si>
    <t>4eb368b5-3b66-ae2c-bd4a-2643015e05fc</t>
  </si>
  <si>
    <t>Portrait of a Woman</t>
  </si>
  <si>
    <t>Dutch School</t>
  </si>
  <si>
    <t>56909e17-e34d-9c18-d0b9-2a08ceff911c</t>
  </si>
  <si>
    <t>A Silver Morning</t>
  </si>
  <si>
    <t>George Inness</t>
  </si>
  <si>
    <t>faeeb5d7-0366-f3c4-5251-63cd5fdc9148</t>
  </si>
  <si>
    <t>Amedeo Modigliani</t>
  </si>
  <si>
    <t>Pig</t>
  </si>
  <si>
    <t>The Divers</t>
  </si>
  <si>
    <t>eb2cd58f-db63-0236-cebd-7ca8e63eda54</t>
  </si>
  <si>
    <t>George Grosz</t>
  </si>
  <si>
    <t>Lyonel Feininger</t>
  </si>
  <si>
    <t>Mater Dolorosa (Sorrowing Virgin)</t>
  </si>
  <si>
    <t>Dieric Bouts</t>
  </si>
  <si>
    <t>66c1797f-b87e-8736-cdf6-c490bd34863b</t>
  </si>
  <si>
    <t>Andrea del Sarto</t>
  </si>
  <si>
    <t>Pedro Pruna</t>
  </si>
  <si>
    <t>Marcellin Gilbert Desboutin</t>
  </si>
  <si>
    <t>Denis Auguste Marie Raffet</t>
  </si>
  <si>
    <t>George Cruikshank</t>
  </si>
  <si>
    <t>Saint Salvi Church, Albi</t>
  </si>
  <si>
    <t>Pierre Achille Poirot</t>
  </si>
  <si>
    <t>bbeaec43-6e1b-5c12-b0ea-9706784506be</t>
  </si>
  <si>
    <t>Ralph Elmer Clarkson</t>
  </si>
  <si>
    <t>Alessandro de' Medici</t>
  </si>
  <si>
    <t>2b751a0e-a492-7fa9-749c-6667cdd1c928</t>
  </si>
  <si>
    <t>The Adventures of Ulysses</t>
  </si>
  <si>
    <t>Apollonio di Giovanni</t>
  </si>
  <si>
    <t>2295d601-573b-72f8-9760-cfec0d116b48</t>
  </si>
  <si>
    <t>Venetian Glass Workers</t>
  </si>
  <si>
    <t>John Singer Sargent</t>
  </si>
  <si>
    <t>1e719328-278b-29cc-e750-149c1d003b41</t>
  </si>
  <si>
    <t>Samuel Palmer</t>
  </si>
  <si>
    <t>Mountain Landscape</t>
  </si>
  <si>
    <t>Joos de Momper, II</t>
  </si>
  <si>
    <t>e7d7ca13-6630-b5ba-69cc-48c126f14d5d</t>
  </si>
  <si>
    <t>Charles Emile Champmartin</t>
  </si>
  <si>
    <t>3ef09d92-f10b-f01f-515d-c69a0a3a3e92</t>
  </si>
  <si>
    <t>Diana and Actaeon</t>
  </si>
  <si>
    <t>7ee5e05c-9dfa-ef87-2dd9-2696da7dbc74</t>
  </si>
  <si>
    <t>Seated Bather</t>
  </si>
  <si>
    <t>c867cf86-9ad4-d720-8360-4064c317ab3c</t>
  </si>
  <si>
    <t>Album leaf; ink and colors on silk</t>
  </si>
  <si>
    <t>The Pine Tree, Small Point, Maine</t>
  </si>
  <si>
    <t>Watercolor with blotting, black pencil, and charcoal on moderately thick, slightly textured, off-white wove paper (trimmed top edge), in original frame</t>
  </si>
  <si>
    <t>John Marin</t>
  </si>
  <si>
    <t>c7683e10-efea-7769-4b81-8a9a90d8deef</t>
  </si>
  <si>
    <t>Tight-Rope Walker</t>
  </si>
  <si>
    <t>f67d49b0-90a6-7aa3-29ab-77e5d1e9fd9c</t>
  </si>
  <si>
    <t>Master of the 1540s</t>
  </si>
  <si>
    <t>1bdba183-8dfc-4e43-e8e2-70ad0e0f1647</t>
  </si>
  <si>
    <t>Portrait of a Gentleman</t>
  </si>
  <si>
    <t>4fad87cf-c7e8-ee73-8a06-17eaf6a99d23</t>
  </si>
  <si>
    <t>Titian</t>
  </si>
  <si>
    <t>e8344810-288f-ea60-6264-d7c785ffc097</t>
  </si>
  <si>
    <t>Portrait of a Sculptor</t>
  </si>
  <si>
    <t>Jean Baptiste Santerre</t>
  </si>
  <si>
    <t>f0fba705-6f01-14b0-87d2-b01be3390343</t>
  </si>
  <si>
    <t>Masquerade</t>
  </si>
  <si>
    <t>Grace Hartigan</t>
  </si>
  <si>
    <t>22761249-d2d1-7dbb-2251-041f818aae3c</t>
  </si>
  <si>
    <t>Mrs. Charles Gifford Dyer (Mary Anthony)</t>
  </si>
  <si>
    <t>59221fa2-45f9-5674-4fbd-9da3eb648d68</t>
  </si>
  <si>
    <t>Still Life, Migianella</t>
  </si>
  <si>
    <t>375dd6c4-efc1-3604-adca-4a7338933836</t>
  </si>
  <si>
    <t>Untitled #59</t>
  </si>
  <si>
    <t>Elmer Bischoff</t>
  </si>
  <si>
    <t>189f5632-275e-1cf1-697d-0599573a37dc</t>
  </si>
  <si>
    <t>The Checkered Tablecloth</t>
  </si>
  <si>
    <t>072c043b-f96b-06bd-fefd-1f60dabbd626</t>
  </si>
  <si>
    <t>Still Life with Onions</t>
  </si>
  <si>
    <t>Fernando Botero</t>
  </si>
  <si>
    <t>f204abea-ce74-40a1-f070-c44ce4c61311</t>
  </si>
  <si>
    <t>Still Life with Fruits and Stringed Instrument</t>
  </si>
  <si>
    <t>9620b92e-5e0a-cd3b-f71d-76364f8b70de</t>
  </si>
  <si>
    <t>a65a99ee-3114-9390-6513-cd9554a9d29b</t>
  </si>
  <si>
    <t>On the Threshold of Liberty</t>
  </si>
  <si>
    <t>65c4dc22-a1e9-3b36-ae62-0064c04eeb94</t>
  </si>
  <si>
    <t>5faa1c97-1e8d-b3b8-8aa9-208aab44e9f0</t>
  </si>
  <si>
    <t>The Two Philosophers</t>
  </si>
  <si>
    <t>85ddc062-0cc4-431f-679b-b9a139fba241</t>
  </si>
  <si>
    <t>Still Life with Flowers</t>
  </si>
  <si>
    <t>bdb9f780-83be-dd12-191d-54a77c5444ab</t>
  </si>
  <si>
    <t>Palm Tree, Barbados</t>
  </si>
  <si>
    <t>Joseph Stella</t>
  </si>
  <si>
    <t>7e1637fc-1b8f-fe01-e1de-b6d929ce8ffc</t>
  </si>
  <si>
    <t>Alexandre Vuillard</t>
  </si>
  <si>
    <t>Watercolor, with brush and brown ink, over traces of graphite on ivory wove paper, laid down on tan wood pulp card</t>
  </si>
  <si>
    <t>fca190bd-41b6-c916-992d-2fb3efe0bb03</t>
  </si>
  <si>
    <t>The Tree, Bare Island, Maine</t>
  </si>
  <si>
    <t>Watercolor with blotting, wiping, and touches of scraping, and charcoal, on moderately thick, moderately textured, off white wove paper (right and lower edges trimmed)</t>
  </si>
  <si>
    <t>b01bb548-dead-a606-ff90-b0be10e93d3b</t>
  </si>
  <si>
    <t>Orphist Composition with Disks</t>
  </si>
  <si>
    <t>Gouache, with touches of watercolor, over graphite, on tan laid paper</t>
  </si>
  <si>
    <t>5156e2d8-66b8-93c8-eb4f-08b26510d66f</t>
  </si>
  <si>
    <t>Giorgio de Chirico</t>
  </si>
  <si>
    <t>Street Scene</t>
  </si>
  <si>
    <t>Hiratsuka Un'ichi</t>
  </si>
  <si>
    <t>Composition in Brown</t>
  </si>
  <si>
    <t>Brown gouache on white wove paper</t>
  </si>
  <si>
    <t>R. G. Gillet</t>
  </si>
  <si>
    <t>193f501c-d953-1e78-b21c-91ec9a5212ef</t>
  </si>
  <si>
    <t>Still Life with Eggs and a Leg of Mutton</t>
  </si>
  <si>
    <t>French School</t>
  </si>
  <si>
    <t>37981a95-ee40-e075-07dc-bc7399ed487c</t>
  </si>
  <si>
    <t>The Procession</t>
  </si>
  <si>
    <t>Pen and black ink and watercolor, over graphite, on cream wove paper</t>
  </si>
  <si>
    <t>Oswaldo GuayasamÃ­n</t>
  </si>
  <si>
    <t>2fbef2b0-aaf0-cf7d-d0d0-21aedad0431f</t>
  </si>
  <si>
    <t>Hans Maler zu Schwaz</t>
  </si>
  <si>
    <t>The Fairies</t>
  </si>
  <si>
    <t>4d682c85-3e87-2998-5e66-6628d4ddf9f1</t>
  </si>
  <si>
    <t>Flowers and Fruit in a China Bowl</t>
  </si>
  <si>
    <t>605bbcdf-c437-89df-ca7c-7c68682086af</t>
  </si>
  <si>
    <t>Bowl of Fruit</t>
  </si>
  <si>
    <t>Marsden Hartley</t>
  </si>
  <si>
    <t>Te raau rahi (The Big Tree)</t>
  </si>
  <si>
    <t>Oil on jute canvas</t>
  </si>
  <si>
    <t>916405d1-1407-d90e-1be8-f8c77f26f546</t>
  </si>
  <si>
    <t>The Grand Canal, Venice</t>
  </si>
  <si>
    <t>Francesco Guardi</t>
  </si>
  <si>
    <t>f23f8a3b-66b8-9061-811c-c65dd0a32ebd</t>
  </si>
  <si>
    <t>YO + U</t>
  </si>
  <si>
    <t>6cbd513d-b486-5a67-f852-18af2ee32fcf</t>
  </si>
  <si>
    <t>5efa3af7-3e68-29c9-f63b-f4ca41951e22</t>
  </si>
  <si>
    <t>Divers on a Yellow Background</t>
  </si>
  <si>
    <t>fc248326-c193-c37d-e40e-40cbce487438</t>
  </si>
  <si>
    <t>Notre Dame de Paris</t>
  </si>
  <si>
    <t>Rufino Tamayo</t>
  </si>
  <si>
    <t>Maternity</t>
  </si>
  <si>
    <t>March 1955 (Campanile)</t>
  </si>
  <si>
    <t>Paint and graphite on carved fiberboard</t>
  </si>
  <si>
    <t>Ben Nicholson</t>
  </si>
  <si>
    <t>88613176-b818-40b0-fc55-840a6e8f7de7</t>
  </si>
  <si>
    <t>General of the First Empire Giving his Cavalry Orders to Charge</t>
  </si>
  <si>
    <t>Watercolor, with red chalk and graphite, on cream wove paper, laid down on cream board</t>
  </si>
  <si>
    <t>c5b116dc-8461-73f1-27f6-e6cad4d6f5fa</t>
  </si>
  <si>
    <t>Horse</t>
  </si>
  <si>
    <t>Giambattista Tiepolo</t>
  </si>
  <si>
    <t>Nubian Woman</t>
  </si>
  <si>
    <t>Jules Robert Auguste</t>
  </si>
  <si>
    <t>93d95655-0b4e-b5b4-36b5-5fe8f84d5549</t>
  </si>
  <si>
    <t>The Holy Family with Four Saints and a Female Donor</t>
  </si>
  <si>
    <t>Antonio Rimpatta</t>
  </si>
  <si>
    <t>ed291bcf-adaa-4acb-aafb-c092b0fd8351</t>
  </si>
  <si>
    <t>The Poet</t>
  </si>
  <si>
    <t>4dfea69e-e445-269a-3eba-0b37dd1e694f</t>
  </si>
  <si>
    <t>Sammy the Tailor.</t>
  </si>
  <si>
    <t>Oil on canvas
Man seated on a tailor's bench with his left leg crossed under his right holding a book with his left knee and left hand, and wearing a green kerchief; right arm extended to a quill in an ink pot; two papers pinned to wall at viewer's right; original frame; (frame;  SOC 4112 6/17/87) modern backing of painting mounted with two labels from frame (signs evident by light areas on frame);
Condition: (no retouching); relined</t>
  </si>
  <si>
    <t>Francis William Edmonds</t>
  </si>
  <si>
    <t>859934c0-4b8f-7a9e-0b33-8e2485c26ddb</t>
  </si>
  <si>
    <t>unframed: 9 3/4" x 11 3/4"  framed: H. 17" x  19"
24.8 x 29.9 cm; 43.2 x 48.3 cm</t>
  </si>
  <si>
    <t>Conflagration of the Masonic Hall, Chestnut Street, Philadelphia, Pennsylvania</t>
  </si>
  <si>
    <t>Samuel Jones</t>
  </si>
  <si>
    <t>50a9f07d-6b44-76e6-83b5-f36b82e5f91f</t>
  </si>
  <si>
    <t>The Annunciation</t>
  </si>
  <si>
    <t>Jean Auguste Dominique Ingres</t>
  </si>
  <si>
    <t>Stack of Wheat</t>
  </si>
  <si>
    <t>27c1d720-8ca5-79a4-5e51-530bf75c1591</t>
  </si>
  <si>
    <t>Nude Reclining</t>
  </si>
  <si>
    <t>Watercolor and graphite on ivory wove paper</t>
  </si>
  <si>
    <t>e2c9dea7-ed1b-ce85-7a08-5b48360f3bbe</t>
  </si>
  <si>
    <t>The Shanty, Tampa</t>
  </si>
  <si>
    <t>Watercolor and gouache, over graphite, on off-white paper</t>
  </si>
  <si>
    <t>Wilmot Emerton Heitland</t>
  </si>
  <si>
    <t>452d1ed7-970a-d3b8-28c9-8dbf889722ca</t>
  </si>
  <si>
    <t>Shenreddin and Nureddin in Egypt</t>
  </si>
  <si>
    <t>Gouache and watercolor, with gold metallic paint and graphite, on ivory wove paper, laid down on board</t>
  </si>
  <si>
    <t>Kay Rasmus Nielsen</t>
  </si>
  <si>
    <t>12640017-552f-83ff-72d0-c08a402581fd</t>
  </si>
  <si>
    <t>The Hippodrome, London</t>
  </si>
  <si>
    <t>Everett Shinn</t>
  </si>
  <si>
    <t>6f92b799-de7c-7603-3644-3934563703f2</t>
  </si>
  <si>
    <t>Walter Greaves</t>
  </si>
  <si>
    <t>Thomas Robert Way</t>
  </si>
  <si>
    <t>Giovanni Boldini</t>
  </si>
  <si>
    <t>The Gold Scab</t>
  </si>
  <si>
    <t>Watercolor and gouache, with charcoal, on gray-brown wove paper</t>
  </si>
  <si>
    <t>7f77597b-914d-3fc3-a349-2d8175405eed</t>
  </si>
  <si>
    <t>Diego Rivera</t>
  </si>
  <si>
    <t>Adoration of the Magi</t>
  </si>
  <si>
    <t>Watercolor, over graphite, on cream wove paper, laid down on gray wove paper</t>
  </si>
  <si>
    <t>Henry Alken</t>
  </si>
  <si>
    <t>Springtime</t>
  </si>
  <si>
    <t>William Michael Harnett</t>
  </si>
  <si>
    <t>The Seine at Vernonnet</t>
  </si>
  <si>
    <t>6f84b595-943b-b698-6c4d-79a27e4f7ee7</t>
  </si>
  <si>
    <t>Richard Aberle Florsheim</t>
  </si>
  <si>
    <t>Wet Sands, Bamburgh</t>
  </si>
  <si>
    <t>Watercolor, over traces of graphite, on ivory watercolor paper, laid down on board</t>
  </si>
  <si>
    <t>William Russell Flint</t>
  </si>
  <si>
    <t>6fb2caf4-626e-d72a-11fa-add7a1c7b35a</t>
  </si>
  <si>
    <t>Panthea, Cyrus, and Araspas</t>
  </si>
  <si>
    <t>Laurent de La Hyre</t>
  </si>
  <si>
    <t>cec52f00-87a3-1e81-a663-520004ab7259</t>
  </si>
  <si>
    <t>Democritus, the Laughing Philosopher</t>
  </si>
  <si>
    <t>Spanish School</t>
  </si>
  <si>
    <t>ad3f403a-62e5-3d91-3a8c-ecc5f4fc99e5</t>
  </si>
  <si>
    <t>Heraclitus, the Weeping Philosopher</t>
  </si>
  <si>
    <t>43325575-c0a1-67c2-4eb5-5fcabafd098e</t>
  </si>
  <si>
    <t>Cornelis Engelbrechtsz.</t>
  </si>
  <si>
    <t>d4167bca-367c-481b-a5df-2f5aa51e7280</t>
  </si>
  <si>
    <t>Retable of Saints Athanasius, Blaise, and Agatha</t>
  </si>
  <si>
    <t>Master of Riglos</t>
  </si>
  <si>
    <t>f67ea925-dddf-0bf5-50af-fa9557b849ef</t>
  </si>
  <si>
    <t>Landscape with the Penitent Saint Jerome</t>
  </si>
  <si>
    <t>Jacob Patinir</t>
  </si>
  <si>
    <t>e88a2253-69a0-425e-32d1-e9640111ef39</t>
  </si>
  <si>
    <t>Christ Carrying the Cross</t>
  </si>
  <si>
    <t>Master of the Freising Visitation</t>
  </si>
  <si>
    <t>69b38965-4ccf-05bf-6601-5cd1af9684a8</t>
  </si>
  <si>
    <t>Jan Gossart</t>
  </si>
  <si>
    <t>318b7761-6765-7273-36c6-2ebc1fb41e22</t>
  </si>
  <si>
    <t>Hanging scroll; ink and color on silk</t>
  </si>
  <si>
    <t>Follower of Rembrandt van Rijn</t>
  </si>
  <si>
    <t>4aae65a7-e5db-54be-82d5-43cc6b347dbd</t>
  </si>
  <si>
    <t>Portrait of Dr. William McNeill Whistler</t>
  </si>
  <si>
    <t>f9aacbc6-191c-3725-85bf-198612a51d25</t>
  </si>
  <si>
    <t>Venus and Cupid</t>
  </si>
  <si>
    <t>Salvator Rosa</t>
  </si>
  <si>
    <t>Emperor Heraclius Slays the King of Persia</t>
  </si>
  <si>
    <t>6f01cb05-cd90-87c8-fd24-a1d31e2ccec6</t>
  </si>
  <si>
    <t>Emperor Heraclius Denied Entry into Jerusalem</t>
  </si>
  <si>
    <t>caf6a947-6359-1b5e-69e5-fedd26cf6360</t>
  </si>
  <si>
    <t>Going to Market</t>
  </si>
  <si>
    <t>Rosa Bonheur</t>
  </si>
  <si>
    <t>5f2fcb51-8b4d-44a1-aba4-66fcb92eaf84</t>
  </si>
  <si>
    <t>Portrait of Jeanne Sisley</t>
  </si>
  <si>
    <t>8d320f9f-09c0-7de1-9acb-c8fc4683da5c</t>
  </si>
  <si>
    <t>35 x 27 cm. (13 3/4 x 10 5/8 in.)</t>
  </si>
  <si>
    <t>The Temptation of the Magdalene</t>
  </si>
  <si>
    <t>Jacob Jordaens</t>
  </si>
  <si>
    <t>55cd82ad-be40-3ccc-11a5-cdbcc6c70d20</t>
  </si>
  <si>
    <t>Nicolaes Maes</t>
  </si>
  <si>
    <t>3b2866b5-2b4d-871f-3a61-33178831b0ec</t>
  </si>
  <si>
    <t>The Destruction of Pharaoh's Army</t>
  </si>
  <si>
    <t>Philippe Jacques de Loutherbourg, II</t>
  </si>
  <si>
    <t>ef091180-c344-5d67-7a4a-6afd4c1193ad</t>
  </si>
  <si>
    <t>Family Group on a Terrace</t>
  </si>
  <si>
    <t>John Theodore Heins, Sr.</t>
  </si>
  <si>
    <t>4b0bff90-1cb5-0b51-272b-0a0726f36537</t>
  </si>
  <si>
    <t>The Battle of Zama</t>
  </si>
  <si>
    <t>Cornelis Cort</t>
  </si>
  <si>
    <t>6bde48ea-58f0-33eb-2d0b-a45aff7131e6</t>
  </si>
  <si>
    <t>Portrait II</t>
  </si>
  <si>
    <t>05a7ef7c-c8cb-4a68-aaef-9f4a313f17a6</t>
  </si>
  <si>
    <t>The Abduction of the Sabine Women</t>
  </si>
  <si>
    <t>Luca Giordano</t>
  </si>
  <si>
    <t>c01c7f64-0098-a2d5-56c2-3eb0b28f68ae</t>
  </si>
  <si>
    <t>The Crucifixion</t>
  </si>
  <si>
    <t>Carlo Crivelli</t>
  </si>
  <si>
    <t>35afa43f-bdb5-06b8-81c5-416927ffe8ee</t>
  </si>
  <si>
    <t>A Clump of Trees</t>
  </si>
  <si>
    <t>Constant Troyon</t>
  </si>
  <si>
    <t>4339f21a-5a1c-8f40-931c-32686eefd8d5</t>
  </si>
  <si>
    <t>ee5768cc-fdc2-763c-31b9-f9764c7187aa</t>
  </si>
  <si>
    <t>Cavalier</t>
  </si>
  <si>
    <t>ec823db9-a595-31d3-c499-ac921af10495</t>
  </si>
  <si>
    <t>Portrait of Mrs. Charles L. Hutchinson</t>
  </si>
  <si>
    <t>c8566357-e7cc-3040-4d1d-2c67669f3456</t>
  </si>
  <si>
    <t>Edward Hopper</t>
  </si>
  <si>
    <t>Beauford Delaney</t>
  </si>
  <si>
    <t>e707e79a-b668-91a3-e580-40b3e4d17317</t>
  </si>
  <si>
    <t>The Church of Overschie</t>
  </si>
  <si>
    <t>Johan Barthold Jongkind</t>
  </si>
  <si>
    <t>a05ed5e5-eb97-451a-9bc0-50108ab9dbe3</t>
  </si>
  <si>
    <t>Old Testament Figures in Paradise</t>
  </si>
  <si>
    <t>Don Francisco Bayeu y SubÃ­as</t>
  </si>
  <si>
    <t>7354024b-0aa0-9e6c-c3c8-ec40c318a4bb</t>
  </si>
  <si>
    <t>Douarnenez in Sunshine</t>
  </si>
  <si>
    <t>Maxime Maufra</t>
  </si>
  <si>
    <t>5d1261c0-11bd-eb2c-91c5-653aa98c2b5a</t>
  </si>
  <si>
    <t>Joseph Delaney</t>
  </si>
  <si>
    <t>d8d2c353-396b-058d-bd27-aea2b2e040dc</t>
  </si>
  <si>
    <t>A Boy Named Alligator</t>
  </si>
  <si>
    <t>Kathleen Blackshear</t>
  </si>
  <si>
    <t>55bed66c-1551-5073-ac7e-3d253dbfd36c</t>
  </si>
  <si>
    <t>Queen Margaret of Spain</t>
  </si>
  <si>
    <t>389e3222-0ff0-9e88-4b84-80e78fbb6b8d</t>
  </si>
  <si>
    <t>Lead</t>
  </si>
  <si>
    <t>Michele Tosini, called Michele di Ridolfo</t>
  </si>
  <si>
    <t>4444c9bb-d6c2-0820-ec61-d04a4ae70793</t>
  </si>
  <si>
    <t>Domestic Abstraction</t>
  </si>
  <si>
    <t>Hide, painted wood frame</t>
  </si>
  <si>
    <t>Tony Tasset</t>
  </si>
  <si>
    <t>3aed0d09-f460-a4bc-b777-81bd2963806a</t>
  </si>
  <si>
    <t>Paul Delvaux</t>
  </si>
  <si>
    <t>The Rape of Europa</t>
  </si>
  <si>
    <t>David Teniers, the younger</t>
  </si>
  <si>
    <t>9c2c809d-7637-84b0-747c-0520fa16e901</t>
  </si>
  <si>
    <t>Woman Feeding Chickens</t>
  </si>
  <si>
    <t>eea3cb3e-a7fc-283c-aa83-fd8c92a37eea</t>
  </si>
  <si>
    <t>ecc57db2-c119-fa97-9c40-f865607d0e9e</t>
  </si>
  <si>
    <t>Peasants Bringing Home a Calf Born in the Fields</t>
  </si>
  <si>
    <t>7b0ea6ca-9424-050e-7e0e-3b67d2289480</t>
  </si>
  <si>
    <t>Abraham's Sacrifice of Isaac</t>
  </si>
  <si>
    <t>11f33728-685f-c85c-2326-cd0e42536044</t>
  </si>
  <si>
    <t>On Guard</t>
  </si>
  <si>
    <t>2aaa4699-7ddb-9151-f4de-1b3799c0e934</t>
  </si>
  <si>
    <t>Women of the Ouled Nayls</t>
  </si>
  <si>
    <t>076e378b-cb96-74af-49f0-48d958d9d8ed</t>
  </si>
  <si>
    <t>The Apple Market</t>
  </si>
  <si>
    <t>4e5f3557-7332-7c00-1d3a-a81b95b26dac</t>
  </si>
  <si>
    <t>Pardon in Brittany</t>
  </si>
  <si>
    <t>Gaston La Touche</t>
  </si>
  <si>
    <t>3fa3855e-d7e7-d2a4-0f95-a38268026bad</t>
  </si>
  <si>
    <t>Double Portrait: Two Women</t>
  </si>
  <si>
    <t>e5c64849-d732-07c7-f945-66e851089d9d</t>
  </si>
  <si>
    <t>Saint Sebastian</t>
  </si>
  <si>
    <t>Pedro Girard</t>
  </si>
  <si>
    <t>b6fc48bd-f61d-4b52-9a68-a1903badc20c</t>
  </si>
  <si>
    <t>Circle of Adriaen Isenbrant</t>
  </si>
  <si>
    <t>8ce5043b-dd57-bee3-517b-f5941f40bc71</t>
  </si>
  <si>
    <t>Fleeing Ghost</t>
  </si>
  <si>
    <t>2aec7f1b-9adf-63ec-e72f-8840b58e27b7</t>
  </si>
  <si>
    <t>Strange Glance</t>
  </si>
  <si>
    <t>7adb2405-9282-ffdd-3c20-4e33baa9bd08</t>
  </si>
  <si>
    <t>In the Magic Mirror</t>
  </si>
  <si>
    <t>Oil on canvas, on board</t>
  </si>
  <si>
    <t>a917685e-e96d-ecb1-2822-d6f50ce8ea5a</t>
  </si>
  <si>
    <t>Festival in Piazza Navona</t>
  </si>
  <si>
    <t>Giovanni Paolo Panini</t>
  </si>
  <si>
    <t>64e61ae0-3d2a-8348-c9b8-c1c30e6942c3</t>
  </si>
  <si>
    <t>Asiatic God</t>
  </si>
  <si>
    <t>Oil and plaster, over gauze, on panel</t>
  </si>
  <si>
    <t>d6ae4b1c-5668-54e4-fb59-76be7beed7c2</t>
  </si>
  <si>
    <t>Landscape with Sheep, Picardy</t>
  </si>
  <si>
    <t>Harry Thompson</t>
  </si>
  <si>
    <t>6b80849d-e3ef-ee82-5432-12d5d62cdb55</t>
  </si>
  <si>
    <t>King Solomon Receiving the Queen of Sheba</t>
  </si>
  <si>
    <t>Oil on panel, transferred to canvas</t>
  </si>
  <si>
    <t>Antwerp Mannerist</t>
  </si>
  <si>
    <t>f66dd2f6-735b-3bbb-560f-66cd3ecea0e6</t>
  </si>
  <si>
    <t>King David Receiving the Cistern Water of Bethlehem</t>
  </si>
  <si>
    <t>cd544f40-0226-b2ce-cf8a-419fde75d643</t>
  </si>
  <si>
    <t>Adam</t>
  </si>
  <si>
    <t>Lucas Cranach, the Elder</t>
  </si>
  <si>
    <t>0356e981-edc5-56ad-1a64-9ebdae3c5aab</t>
  </si>
  <si>
    <t>Mon Ancien Regiment</t>
  </si>
  <si>
    <t>555d187d-b355-05ee-7a00-a64891656b05</t>
  </si>
  <si>
    <t>Etienne Prosper Berne-Bellecour</t>
  </si>
  <si>
    <t>ceb22c02-9d33-a79d-6935-48cba2fb4aad</t>
  </si>
  <si>
    <t>The Roll Call of the Last Victims of the Terror</t>
  </si>
  <si>
    <t>Charles Louis-Lucien Muller</t>
  </si>
  <si>
    <t>france</t>
  </si>
  <si>
    <t>15e80e01-422d-ca0a-f773-01aff4052565</t>
  </si>
  <si>
    <t>Circassian Cavalry Awaiting their Commanding Officer at the Door of a Byzantine Monument; Memory of the Orient</t>
  </si>
  <si>
    <t>Alberto Pasini</t>
  </si>
  <si>
    <t>f2cf5f64-7c25-7d20-42a2-bd371ee9f68b</t>
  </si>
  <si>
    <t>The Harvesters</t>
  </si>
  <si>
    <t>dac4ead1-77cd-a46f-5c35-9f8b5132525d</t>
  </si>
  <si>
    <t>Crypt</t>
  </si>
  <si>
    <t>5d0d0086-22fa-8c5d-6ce9-de0e450bcbe3</t>
  </si>
  <si>
    <t>Charles White</t>
  </si>
  <si>
    <t>Free Clinic</t>
  </si>
  <si>
    <t>Gouache on tan wove paper, laid down on ivory cardboard</t>
  </si>
  <si>
    <t>Jacob Lawrence</t>
  </si>
  <si>
    <t>64a9c328-7817-f9ae-862e-40d17d647600</t>
  </si>
  <si>
    <t>Alexandre Calame</t>
  </si>
  <si>
    <t>Building</t>
  </si>
  <si>
    <t>Enraged Vicar</t>
  </si>
  <si>
    <t>Watercolor and pen and brown ink, on cream wove paper, laid down on ivory laid paper</t>
  </si>
  <si>
    <t>Thomas Rowlandson</t>
  </si>
  <si>
    <t>ca1ae08d-8bd0-cb21-9c28-b75f2f2cf751</t>
  </si>
  <si>
    <t>Thomas Shotter Boys</t>
  </si>
  <si>
    <t>Henri Fantin-Latour</t>
  </si>
  <si>
    <t>Doge Andrea Gritti</t>
  </si>
  <si>
    <t>d6b0923d-18cf-b9e3-4d94-09aef122b9ba</t>
  </si>
  <si>
    <t>Angelica Kauffmann</t>
  </si>
  <si>
    <t>Souvenir of Italy</t>
  </si>
  <si>
    <t>Jean Baptiste Camille Corot</t>
  </si>
  <si>
    <t>Yves Tanguy</t>
  </si>
  <si>
    <t>Wayne Thiebaud</t>
  </si>
  <si>
    <t>Arthur B. Davies</t>
  </si>
  <si>
    <t>Serge Poliakoff</t>
  </si>
  <si>
    <t>Lester George Hornby</t>
  </si>
  <si>
    <t>Richard Parkes Bonington</t>
  </si>
  <si>
    <t>Seymour Rosofsky</t>
  </si>
  <si>
    <t>Bob</t>
  </si>
  <si>
    <t>Watercolor, over graphite, on cream wove paper</t>
  </si>
  <si>
    <t>Giuseppe De Nittis</t>
  </si>
  <si>
    <t>189d8518-5636-2992-6f65-1ab412e0fdbf</t>
  </si>
  <si>
    <t>The Intruder</t>
  </si>
  <si>
    <t>Will Hicock Low</t>
  </si>
  <si>
    <t>Man in Cake with Top Hat</t>
  </si>
  <si>
    <t>Watercolor, with pen and black ink and touches of gouache, heightened with white gouache, on off-white wove paper</t>
  </si>
  <si>
    <t>64f8fcb9-0d04-8610-e1fa-15d1085cad1c</t>
  </si>
  <si>
    <t>Unknown Italian</t>
  </si>
  <si>
    <t>George Romney</t>
  </si>
  <si>
    <t>Samuel Howett</t>
  </si>
  <si>
    <t>Edwin Henry Landseer</t>
  </si>
  <si>
    <t>John Leech</t>
  </si>
  <si>
    <t>John William Taverner</t>
  </si>
  <si>
    <t>David Wilkie</t>
  </si>
  <si>
    <t>Giuseppe Maria Crespi</t>
  </si>
  <si>
    <t>Lodovico Carracci</t>
  </si>
  <si>
    <t>Unknown Florentine</t>
  </si>
  <si>
    <t>Leonard Bramer</t>
  </si>
  <si>
    <t>Domenichino</t>
  </si>
  <si>
    <t>Carlo Cignani</t>
  </si>
  <si>
    <t>William Rothenstein</t>
  </si>
  <si>
    <t>Interior</t>
  </si>
  <si>
    <t>Alessandro Turchi</t>
  </si>
  <si>
    <t>Follower of Paolo Veronese</t>
  </si>
  <si>
    <t>Landscape with Man on a Donkey (recto) Two Women in a Cafe (verso)</t>
  </si>
  <si>
    <t>Watercolor, with graphite, on ivory wove paper</t>
  </si>
  <si>
    <t>f2fc1126-2472-2cfc-cad2-7ebc5d169712</t>
  </si>
  <si>
    <t>William Newenham Montague Orpen</t>
  </si>
  <si>
    <t>Henry Fuseli</t>
  </si>
  <si>
    <t>Jerome Myers</t>
  </si>
  <si>
    <t>Anton Mauve</t>
  </si>
  <si>
    <t>Augustus Edwin John</t>
  </si>
  <si>
    <t>Alessandro Magnasco</t>
  </si>
  <si>
    <t>Jonathan Richardson, the elder</t>
  </si>
  <si>
    <t>The Witches' Sabbath (recto); Sketches of Centaurs (verso)</t>
  </si>
  <si>
    <t>Gouache, with pen and black ink, over graphite (recto), and graphite (verso), on tan wove paper</t>
  </si>
  <si>
    <t>29eaa0e8-254f-a871-34db-781f2e92aa61</t>
  </si>
  <si>
    <t>John Northcote Nash</t>
  </si>
  <si>
    <t>John Warner Norton</t>
  </si>
  <si>
    <t>Half-Length Female Nude</t>
  </si>
  <si>
    <t>Rose Period</t>
  </si>
  <si>
    <t>77ecb291-d716-f898-b491-3192a96307c8</t>
  </si>
  <si>
    <t>Samuel van Hoogstraten</t>
  </si>
  <si>
    <t>Philip William May</t>
  </si>
  <si>
    <t>Angled Beauty</t>
  </si>
  <si>
    <t>Watercolor and graphite on greenish tan laid tracing paper</t>
  </si>
  <si>
    <t>c71c3c07-b0fd-c610-1d29-053d0878a101</t>
  </si>
  <si>
    <t>Flower Market (recto); Sketch of City (verso)</t>
  </si>
  <si>
    <t>Watercolor and gouache, with graphite, on blue laid paper, laid down on ivory wood-pulp laminate board</t>
  </si>
  <si>
    <t>Francis Hopkinson Smith</t>
  </si>
  <si>
    <t>21345869-043c-9ef8-a878-5b9b879e1412</t>
  </si>
  <si>
    <t>The Return, Tynemouth (recto) Study (verso)</t>
  </si>
  <si>
    <t>Transparent watercolor, with touches of opaque watercolor, rewetting, blotting, and scraping, heightened with gum glaze, over graphite, on moderately thick, moderately-textured, ivory wove paper (left and lower edges trimmed)</t>
  </si>
  <si>
    <t>Winslow Homer</t>
  </si>
  <si>
    <t>680ed8b4-795a-4cab-a0c0-d27d5a235895</t>
  </si>
  <si>
    <t>Chateau, Cote Saint Andre (recto) Empty Cart and Shed with Other Sketches (verso)</t>
  </si>
  <si>
    <t>Watercolor, with black conte crayon, on cream wove paper</t>
  </si>
  <si>
    <t>803c538e-1051-6210-3d6c-4e6d3f20d3df</t>
  </si>
  <si>
    <t>Ornacieux (recto and verso)</t>
  </si>
  <si>
    <t>Watercolor and gouache, with black chalk (recto), and black chalk off-set (verso), on cream wove paper</t>
  </si>
  <si>
    <t>fecfd001-4764-0f08-8379-7672a750f7fe</t>
  </si>
  <si>
    <t>Trickster Lawyers (recto) Figures in a Courtroom (verso)</t>
  </si>
  <si>
    <t>Watercolor and black crayon, with touches of gouache, on cream wove paper (discolored to buff)</t>
  </si>
  <si>
    <t>cab96452-9d17-20e8-03bc-8580d0b7f886</t>
  </si>
  <si>
    <t>One of the Ladies of the Harem (recto); Fragment of a Landscape (verso)</t>
  </si>
  <si>
    <t>Watercolor and pen and brown ink, over graphite (recto), and graphite (verso), on cream wove paper</t>
  </si>
  <si>
    <t>118061d2-4e44-32e9-fa4e-098f99bb8ddd</t>
  </si>
  <si>
    <t>Georges Emile Capon</t>
  </si>
  <si>
    <t>Mme Lili Grenier (recto); Landscape with Church (verso)</t>
  </si>
  <si>
    <t>Oil paint, with graphite (recto), and oil paint with touches of black crayon varnished overall (verso), on gray cardboard</t>
  </si>
  <si>
    <t>0aa56043-38e7-ae28-2855-59791c2963ee</t>
  </si>
  <si>
    <t>Alfeo Faggi</t>
  </si>
  <si>
    <t>Still Life with Bottle (recto) Bottle with Stipper (verso)</t>
  </si>
  <si>
    <t>Watercolor and pen and brown ink, with charcoal and scraping (recto) Graphite (verso), on cream wove paper, with pieced cream laid paper repairs</t>
  </si>
  <si>
    <t>5151138a-abb7-216d-c11d-d02eb8801c2c</t>
  </si>
  <si>
    <t>Augustus Charles Pugin</t>
  </si>
  <si>
    <t>Woman Mending</t>
  </si>
  <si>
    <t>132b782d-54e6-70e1-18f9-211468c09099</t>
  </si>
  <si>
    <t>84e7abe2-1295-ad54-db97-d83d617183b2</t>
  </si>
  <si>
    <t>Study for Drawing Room, St. James, from Microcosm of London</t>
  </si>
  <si>
    <t>Brush and watercolor over traces of graphite, on ivory wove paper</t>
  </si>
  <si>
    <t>e0d78f37-2524-1cbc-54e0-fe10d8202420</t>
  </si>
  <si>
    <t>St. James's with the Village of Charing as It Appeared in ye Reign of Henry VIII</t>
  </si>
  <si>
    <t>Brush and watercolor, on tan laid paper</t>
  </si>
  <si>
    <t>9a3d4cac-7cdc-bb97-90e3-adf005b6ec15</t>
  </si>
  <si>
    <t>Albert Besnard</t>
  </si>
  <si>
    <t>The Extravagant Woman Does Not Perceive Her Circumstances Decaying</t>
  </si>
  <si>
    <t>Pen and brown ink with brush and watercolor, over graphite, on ivory wove paper, tipped onto ivory wove paper</t>
  </si>
  <si>
    <t>b944c0a6-1689-24b9-b1c0-336151c8407c</t>
  </si>
  <si>
    <t>French Gentleman Gratifying His Hatred of Mr. Bull</t>
  </si>
  <si>
    <t>Watercolor and pen and brown ink, over graphite, on cream wove paper</t>
  </si>
  <si>
    <t>3c53f19b-d17e-a081-9a59-93dfc1736a93</t>
  </si>
  <si>
    <t>Policeman and Boy</t>
  </si>
  <si>
    <t>Watercolor and pen and brown ink, with touches of white gouache, over graphite, on cream wove paper</t>
  </si>
  <si>
    <t>fd84ddef-88d8-5eae-ad70-68a315b3d17e</t>
  </si>
  <si>
    <t>Of All Foolish Things...</t>
  </si>
  <si>
    <t>69b7369c-a91a-99d2-7ec9-3619eb386810</t>
  </si>
  <si>
    <t>Canal Fishing</t>
  </si>
  <si>
    <t>15f876f4-4714-dcbe-74a4-29cd26f692ba</t>
  </si>
  <si>
    <t>The Agricultural Distress Dodge</t>
  </si>
  <si>
    <t>2c687cb2-2664-6a57-8b4c-020aa93f88b4</t>
  </si>
  <si>
    <t>Back View of the Elephant at the Regent's Park Zoological</t>
  </si>
  <si>
    <t>e4a99eb0-2b52-3558-b632-67537ac196b7</t>
  </si>
  <si>
    <t>Paris 1856</t>
  </si>
  <si>
    <t>378beec7-a0e4-6a63-9755-0c63d2cfcaba</t>
  </si>
  <si>
    <t>The Bells of Saint Stephens</t>
  </si>
  <si>
    <t>0548a0db-dc9c-3175-b579-e63dd613e83e</t>
  </si>
  <si>
    <t>Church and State</t>
  </si>
  <si>
    <t>5aa24428-862e-d8ef-8aa9-1ceae48d6a6b</t>
  </si>
  <si>
    <t>Going All to Hell (recto); Woman with Hat (verso)</t>
  </si>
  <si>
    <t>Watercolor and gouache, with touches of black chalk, over traces of graphite (recto), and graphite (verso), on off-white watercolor paper</t>
  </si>
  <si>
    <t>Roy Martell Mason</t>
  </si>
  <si>
    <t>56fb9e39-7c5f-6a6f-8c4e-2988fbd86baa</t>
  </si>
  <si>
    <t>Still Life</t>
  </si>
  <si>
    <t>Merganser</t>
  </si>
  <si>
    <t>Watercolor, over traces of graphite, on tan wove paper</t>
  </si>
  <si>
    <t>John Ruskin</t>
  </si>
  <si>
    <t>37e36547-3050-64ea-c34f-f2eea5e06e77</t>
  </si>
  <si>
    <t>Standing Female Nude (recto); Standing Female Nude (verso)</t>
  </si>
  <si>
    <t>Watercolor and gouache, with pen and black ink and graphite (recto), and watercolor (verso), on off-white watercolor paper</t>
  </si>
  <si>
    <t>Francis Chapin</t>
  </si>
  <si>
    <t>eb05771d-e9ea-9a90-e46f-0c1f4a797e8a</t>
  </si>
  <si>
    <t>The Sun Seed (recto); Landscape with a Farm (verso)</t>
  </si>
  <si>
    <t>Watercolor and gouache, over graphite (recto), and watercolor and gouache with touches of incising over graphite (verso), on off-white wove paper</t>
  </si>
  <si>
    <t>William Frederick Fett</t>
  </si>
  <si>
    <t>8dc353d4-e23a-5bd4-6933-e8a692e699d9</t>
  </si>
  <si>
    <t>Giovanni Antonio Guardi</t>
  </si>
  <si>
    <t>Pastoral Scene with Couple and Cows</t>
  </si>
  <si>
    <t>Watercolor, black crayon and pen and black ink, with black ink transfer, on ivory wove tracing paper, tipped onto ivory laid paper</t>
  </si>
  <si>
    <t>Rudolph Grossmann</t>
  </si>
  <si>
    <t>5667c439-79eb-a760-b258-43db951e1e18</t>
  </si>
  <si>
    <t>Sketches of a Framed Riot Scene and of a Man (recto); Woman with a Bonnet (verso)</t>
  </si>
  <si>
    <t>Watercolor, with brush and black ink, and with black crayon border (recto), and black crayon (verso), on tan wove paper</t>
  </si>
  <si>
    <t>2ac6540c-0057-c3fd-66c1-8837190e2b7e</t>
  </si>
  <si>
    <t>New York City, 86th Street and East River (recto); Coney Island (verso)</t>
  </si>
  <si>
    <t>Watercolor, with touches of pastel, over graphite (recto), and watercolor (verso), on ivory wove paper</t>
  </si>
  <si>
    <t>a657d209-9e58-e189-41eb-b9f8b1bed072</t>
  </si>
  <si>
    <t>Bermuda No.3 - The Tower (recto); Landscape with House (verso)</t>
  </si>
  <si>
    <t>Watercolor over graphite (recto and verso) on off-white wove paper</t>
  </si>
  <si>
    <t>Charles Demuth</t>
  </si>
  <si>
    <t>9d6060c1-6dda-daa8-399f-6afb25b62e8a</t>
  </si>
  <si>
    <t>Tree Forms No. 3 (recto); Hilly Landscape with Clouds (verso)</t>
  </si>
  <si>
    <t>Watercolor over graphite (recto), and graphite (verso), on off-white wove paper</t>
  </si>
  <si>
    <t>64a6ee63-45bc-9386-d02f-a10f51d34626</t>
  </si>
  <si>
    <t>Raking Hay (recto); Landscape (verso)</t>
  </si>
  <si>
    <t>Pen and black ink and watercolor, with brush and black ink (recto), and pen and black ink (verso), on off-white wove paper</t>
  </si>
  <si>
    <t>Arthur Dove</t>
  </si>
  <si>
    <t>b4e77a48-1c20-8caf-d185-2071787fe946</t>
  </si>
  <si>
    <t>Austrian Tyrol</t>
  </si>
  <si>
    <t>Watercolor with blotting on thick, rough-textured, off-white wove paper</t>
  </si>
  <si>
    <t>1ca1f71c-448c-997b-495b-7f4181ee636e</t>
  </si>
  <si>
    <t>The Red Sun, Brooklyn Bridge</t>
  </si>
  <si>
    <t>Watercolor with opaque watercolor, scraping, and wiping, and fabricated charcoal with stumping, on thick, rough-textured, ivory wove paper (all edges trimmed)</t>
  </si>
  <si>
    <t>bea06a91-c794-fb7a-5228-7704d5a7ea05</t>
  </si>
  <si>
    <t>Other Side</t>
  </si>
  <si>
    <t>Watercolor with charcoal, on thick, rough textured, ivory wove paper (all edges trimmed)</t>
  </si>
  <si>
    <t>d1bb2888-f7ea-be78-4966-16d7d094b341</t>
  </si>
  <si>
    <t>Blue Sea (recto); Sheet of Sketches (verso)</t>
  </si>
  <si>
    <t>Watercolor with fabricated charcoal on (recto), and watercolor and charcoal wash with rewetting, blotting, and wiping with touches of grphite over charcoal (verso), on thick, rough-textured, off-white wove paper (top and right edges trimmed)</t>
  </si>
  <si>
    <t>5628e807-f26b-e402-a6a3-a1b57786b8ec</t>
  </si>
  <si>
    <t>Horseman (recto); Horse and Rider (verso)</t>
  </si>
  <si>
    <t>Gouache, with pen and brown and black ink and traces of magenta ink (faded), over graphite (recto), and graphite (verso) on cream wove paper, tipped onto cream wove paper</t>
  </si>
  <si>
    <t>a5dd6416-0d4b-4fa5-2edd-24912d4c6093</t>
  </si>
  <si>
    <t>Sunrise (recto); Female Nude Lying on Her Back (verso)</t>
  </si>
  <si>
    <t>Watercolor, over graphite (recto), and graphite (verso), on cream wove paper (discolored to tan)</t>
  </si>
  <si>
    <t>18099e0f-dba7-6a36-587d-c61e30c602d7</t>
  </si>
  <si>
    <t>Jack Levine</t>
  </si>
  <si>
    <t>The Eye That Sees Everything</t>
  </si>
  <si>
    <t>Airbrush and brush and gouache on tan wood-pulp laminate board</t>
  </si>
  <si>
    <t>66c576ce-e4c1-fcd4-89b4-ac753ee61664</t>
  </si>
  <si>
    <t>Marin Island</t>
  </si>
  <si>
    <t>Watercolor with blotting and graphite on thick, slightly textured, off-white wove paper, folded (top and right edges trimmed)</t>
  </si>
  <si>
    <t>3a9b6c81-8acc-9dd2-91ed-19852a46c0e3</t>
  </si>
  <si>
    <t>Landscape, or Hill and Village, No. 2, Chevreuse</t>
  </si>
  <si>
    <t>Watercolor with blotting, and graphite, on moderately thick, rough-textured, off-white wove paper</t>
  </si>
  <si>
    <t>7d326ab7-6fb3-379f-0e92-f02a1f850bd4</t>
  </si>
  <si>
    <t>Theodore Roszak</t>
  </si>
  <si>
    <t>Hyman Bloom</t>
  </si>
  <si>
    <t>Sheet of Sketches: Men and Women (recto and verso)</t>
  </si>
  <si>
    <t>Blue carbon transfer and watercolor (recto and verso) on cream wove paper</t>
  </si>
  <si>
    <t>Jules Pascin</t>
  </si>
  <si>
    <t>6f320455-7886-f3fb-61f7-b3c600a8374e</t>
  </si>
  <si>
    <t>Rimbaud's Fantasies (recto), and Buildings and Streetlight (verso)</t>
  </si>
  <si>
    <t>Watercolor and pen and black ink, with black ink spattering and traces of graphite (recto), and pen and black ink (verso), on cream wove paper</t>
  </si>
  <si>
    <t>d6e26242-913f-dfed-982c-3dec6cb42023</t>
  </si>
  <si>
    <t>Jacques Louis David</t>
  </si>
  <si>
    <t>Abstract Landscape (recto); Sheet of Sketches: Figure Studies (verso)</t>
  </si>
  <si>
    <t>Watercolor and pen and black ink, over graphite (recto), and pen and black ink (verso), on white wove paper</t>
  </si>
  <si>
    <t>Richard Burgess</t>
  </si>
  <si>
    <t>87036290-c900-9f0d-67e5-0177f2ab6842</t>
  </si>
  <si>
    <t>Music Hall Dancer (recto); Head of a Woman (verso)</t>
  </si>
  <si>
    <t>Gouache, with touches of brush and gray wash, over graphite (recto), and graphtie (verso), on cream wove paper</t>
  </si>
  <si>
    <t>445cbd76-a322-b3a0-0f21-ab89af6d018c</t>
  </si>
  <si>
    <t>Bartolomeo Pinelli</t>
  </si>
  <si>
    <t>Homage to Marcel Duchamp (recto); Construction (verso)</t>
  </si>
  <si>
    <t>Gouache, with pen and black ink, over graphite (recto), and gouache (verso), on gray laid paper</t>
  </si>
  <si>
    <t>ef2bd268-7ed2-3eed-b2c7-e062bf8ba474</t>
  </si>
  <si>
    <t>Oil paint, with traces of graphite, on laminated wood pulp board, hinged to dark green wove paper</t>
  </si>
  <si>
    <t>25503569-ae9d-fdfc-b612-d78b4ec19907</t>
  </si>
  <si>
    <t>Oil paint on white wove paper, tipped on dark green wove paper</t>
  </si>
  <si>
    <t>09a5306f-040e-3fe8-ee37-b660582891cd</t>
  </si>
  <si>
    <t>Oil paint, with pen and black ink on white wove paper, tipped on dark green wove paper</t>
  </si>
  <si>
    <t>953814ec-d329-2889-d5cd-522d0171ff1d</t>
  </si>
  <si>
    <t>ed63f9c1-650d-acfe-6417-1b64e7bfc2dc</t>
  </si>
  <si>
    <t>Oil paint with touches of graphite and charcoal on white wove paper, tipped on dark green wove paper</t>
  </si>
  <si>
    <t>192c9cb7-a3c2-eaa1-944d-21f7ab4602e8</t>
  </si>
  <si>
    <t>Spring Rains</t>
  </si>
  <si>
    <t>W. Victor Higgins</t>
  </si>
  <si>
    <t>f3ad0bd5-2502-a308-bd69-e6ca4987f55f</t>
  </si>
  <si>
    <t>Sketches of Figures, Pandanus Leaf, and Vanilla Plant</t>
  </si>
  <si>
    <t>black fabricated chalk and watercolor on cream wove paper (removed from a sketchbook)</t>
  </si>
  <si>
    <t>2e30ccae-65e6-47f6-bfaf-d884aee19cc8</t>
  </si>
  <si>
    <t>Giorgio Morandi</t>
  </si>
  <si>
    <t>Vase of Flowers (recto); Blue Vase with Yellow Flowers (verso)</t>
  </si>
  <si>
    <t>Watercolor, over graphite (recto), and watercolor over graphite crossed out in graphite (verso), on off-white watercolor paper</t>
  </si>
  <si>
    <t>Charlotte Berend-Corinth</t>
  </si>
  <si>
    <t>5bbbfea2-781f-00af-9d61-fa25efc04b20</t>
  </si>
  <si>
    <t>Women of Thrace</t>
  </si>
  <si>
    <t>Watercolor and graphite on cream wove paper</t>
  </si>
  <si>
    <t>353d473d-b78e-3640-b7f1-83d948b32b8c</t>
  </si>
  <si>
    <t>Balthus</t>
  </si>
  <si>
    <t>Nicolas Lancret</t>
  </si>
  <si>
    <t>The Artist's Grandmother Sewing (recto); Suzanne Duchamp, the Artist's Sister (verso)</t>
  </si>
  <si>
    <t>Watercolor, with graphite (recto), and pen and black ink over graphite (verso), on cream wove paper</t>
  </si>
  <si>
    <t>c732dfbd-82e9-75c6-c5ab-7b0ce61cd98b</t>
  </si>
  <si>
    <t>Erika Giovanna Klien</t>
  </si>
  <si>
    <t>Jean Baptiste Carpeaux</t>
  </si>
  <si>
    <t>Giovanni Battista Piazzetta</t>
  </si>
  <si>
    <t>Reginald Marsh</t>
  </si>
  <si>
    <t>Sketch for 'Dido on the Funeral Pyre' (recto); Erotic Sketch of Man and Woman (verso)</t>
  </si>
  <si>
    <t>Oil paint over charcoal (recto), and black chalk (verso), on ivory laid paper</t>
  </si>
  <si>
    <t>969697ee-07c2-2484-1034-37f4c2ff7646</t>
  </si>
  <si>
    <t>Portrait of a Noblewoman Dressed in Mourning</t>
  </si>
  <si>
    <t>Jacopo da Empoli</t>
  </si>
  <si>
    <t>7904b9d2-675f-7aeb-88c3-e29cd519b7be</t>
  </si>
  <si>
    <t>The Yellow Christ (recto), Female Bather Wading through a Brook</t>
  </si>
  <si>
    <t>Salted paper print (extremely faded) toned with watercolor, on cream wove silver printing-out paper, laid down on cream card (recto); albumen print laid down on cream card (verso)</t>
  </si>
  <si>
    <t>518ce07d-56cb-220b-74db-bc43969b8a2a</t>
  </si>
  <si>
    <t>Saint John the Baptist Pointing to Christ</t>
  </si>
  <si>
    <t>c09e1324-a54a-ce55-96a0-dc66034bf570</t>
  </si>
  <si>
    <t>Mother Shipton (recto); Sheet of Sketches: Fleur-de-Lis and Figures (verso)</t>
  </si>
  <si>
    <t>Graphite and watercolor wash (recto), and graphite with brush and gray wash (verso), on cream laid paper</t>
  </si>
  <si>
    <t>236438d0-3723-8399-e149-da5763b1710b</t>
  </si>
  <si>
    <t>Kate Greenaway</t>
  </si>
  <si>
    <t>Leaping Figure (recto); Composition with Black and Gray (verso)</t>
  </si>
  <si>
    <t>Watercolor and gouache, with graphite (recto), brush and black and gray wash (verso), on cream wove paper</t>
  </si>
  <si>
    <t>Nathan Oliveira</t>
  </si>
  <si>
    <t>87eb2d5a-0f6a-d288-8018-6e5166d2b475</t>
  </si>
  <si>
    <t>Sketches: Profile Heads, Coins or Medals (recto); Trees (verso)</t>
  </si>
  <si>
    <t>Watercolor and graphite on cream laid paper</t>
  </si>
  <si>
    <t>7c710ba4-5579-e4be-4bde-a47674a2a2e6</t>
  </si>
  <si>
    <t>View of Worcester, Massachusetts</t>
  </si>
  <si>
    <t>Watercolor over graphite on off-white wove paper</t>
  </si>
  <si>
    <t>John J. Moore</t>
  </si>
  <si>
    <t>e3e6d426-cb09-ce95-9ca6-3855a080f0e5</t>
  </si>
  <si>
    <t>Albert Marquet</t>
  </si>
  <si>
    <t>Bacchus and Maiden</t>
  </si>
  <si>
    <t>Black chalk with brush and watercolor with touches of white chalk, on cream wove paper, tipped onto cream wove paper</t>
  </si>
  <si>
    <t>Giovanni Battista Cipriani</t>
  </si>
  <si>
    <t>05403685-9b2a-8782-0e7a-a3d5b5fb8595</t>
  </si>
  <si>
    <t>Sunrise, Conway Castle</t>
  </si>
  <si>
    <t>Watercolor, heightened with gouache, over graphite, on ivory wove paper, laid down on board</t>
  </si>
  <si>
    <t>David Cox, the elder</t>
  </si>
  <si>
    <t>05128e35-a885-126f-d3b1-c4cf4cb49412</t>
  </si>
  <si>
    <t>Children with Boat on Venetian Lagoon</t>
  </si>
  <si>
    <t>Watercolor, over traces of graphite, on ivory wove paper, tipped onto cream wove paper</t>
  </si>
  <si>
    <t>097a0c95-74a9-260e-601d-6cb4918449ac</t>
  </si>
  <si>
    <t>View of Venice</t>
  </si>
  <si>
    <t>Watercolor on cream wove paper</t>
  </si>
  <si>
    <t>G. Saetta</t>
  </si>
  <si>
    <t>1d06ec0f-a192-909b-ec2b-6aaa2455b1c8</t>
  </si>
  <si>
    <t>Elizabeth Murray</t>
  </si>
  <si>
    <t>Resurrection of Christ</t>
  </si>
  <si>
    <t>Pen and gray ink, with watercolor, over traces of graphite, on ivory wove paper, tipped onto card</t>
  </si>
  <si>
    <t>Gerardus Gossen</t>
  </si>
  <si>
    <t>63cb6601-7fe5-aac1-a39b-6cbd11cf51d8</t>
  </si>
  <si>
    <t>Sheep, Cows, and Herdsman by Uprooted Tree</t>
  </si>
  <si>
    <t>Watercolor over traces of graphite, on cream wove paper, laid down on board</t>
  </si>
  <si>
    <t>Frederick Nash</t>
  </si>
  <si>
    <t>8048b8f7-08f5-ea27-7581-c5dfd949aae2</t>
  </si>
  <si>
    <t>Top of Mineshaft</t>
  </si>
  <si>
    <t>Watercolor with touches of gouache, over graphite, on cream wove paper, laid down on board</t>
  </si>
  <si>
    <t>16ab880d-b7ec-1712-bb35-e484f5ad6a4a</t>
  </si>
  <si>
    <t>Gypsy Caravan on Bridge</t>
  </si>
  <si>
    <t>Pen and brown ink with brush and watercolor and gouache, over graphite, on gray wove paper, laid down on board</t>
  </si>
  <si>
    <t>William James Muller</t>
  </si>
  <si>
    <t>124ca698-69ee-32da-64f0-d75b963d27bf</t>
  </si>
  <si>
    <t>Sawrey Gilpin</t>
  </si>
  <si>
    <t>Idyllic Landscape</t>
  </si>
  <si>
    <t>Watercolor over graphite on ivory laid paper, laid on cream laid paper</t>
  </si>
  <si>
    <t>Jean Baptiste Claude Chatelain</t>
  </si>
  <si>
    <t>e85fc4d1-d059-5cab-2ff8-4900e64dbb37</t>
  </si>
  <si>
    <t>Figure of River below Cliff</t>
  </si>
  <si>
    <t>Watercolor over graphite, on ivory laid paper, laid down on cream laid paper</t>
  </si>
  <si>
    <t>9dce2ff8-a7d4-2716-9dc4-d11970e0ac29</t>
  </si>
  <si>
    <t>Gabinetto d'Isabella d'Este, Mantua</t>
  </si>
  <si>
    <t>Watercolor and gouache with black chalk, on tan wove paper</t>
  </si>
  <si>
    <t>25fa739a-5a98-cbb1-1ee1-fc5b81a98a1d</t>
  </si>
  <si>
    <t>A Sporting Character</t>
  </si>
  <si>
    <t>Pen and gray ink with brush and watercolor, on cream laid paper, tipped onto cream wove card</t>
  </si>
  <si>
    <t>David Allan</t>
  </si>
  <si>
    <t>cfcd4a54-d301-9ba9-8ec9-19169f66cf43</t>
  </si>
  <si>
    <t>Barzon's Wake Lake, Lancashire</t>
  </si>
  <si>
    <t>Pen and brown ink with brush and brown wash and watercolor, on ivory laid paper, laid down on card</t>
  </si>
  <si>
    <t>Sir M. Fleming</t>
  </si>
  <si>
    <t>029e3fb3-8613-fdfa-2419-2e24270bff39</t>
  </si>
  <si>
    <t>Mountain Town by Bridge Spanning Rapids</t>
  </si>
  <si>
    <t>Watercolor over traces of graphite, on ivory wove paper, laid down on card</t>
  </si>
  <si>
    <t>703e10ff-1edf-9c5f-64a3-e13da052b78f</t>
  </si>
  <si>
    <t>Tournon</t>
  </si>
  <si>
    <t>Watercolor over graphite, on cream wove paper</t>
  </si>
  <si>
    <t>Caleb Robert Stanley</t>
  </si>
  <si>
    <t>9d977c40-02af-876e-b9a8-38a2c8576457</t>
  </si>
  <si>
    <t>Gnarled Tree</t>
  </si>
  <si>
    <t>Watercolor heightened with gum varnish, on ivory  wove paper</t>
  </si>
  <si>
    <t>David Hall McKewan</t>
  </si>
  <si>
    <t>d4199224-3bb0-a196-9da8-0b597fff2203</t>
  </si>
  <si>
    <t>Two Three-Mast Ships on Stormy Sea</t>
  </si>
  <si>
    <t>Watercolor with scraping, on ivory wove paper, laid down on linen</t>
  </si>
  <si>
    <t>6a5ee387-d17e-9031-2c6d-18c2a6b7e068</t>
  </si>
  <si>
    <t>West India Hurricane</t>
  </si>
  <si>
    <t>Watercolor with scraping, heightened with gum varnish, on cream wove paper</t>
  </si>
  <si>
    <t>045fb4c8-7171-5f2a-62d6-d57cddad2d68</t>
  </si>
  <si>
    <t>River in Rocky Valley</t>
  </si>
  <si>
    <t>Watercolor over red chalk and traces of graphite, on ivory laid paper, laid down on card</t>
  </si>
  <si>
    <t>ed66fb9b-30a4-2667-40e6-c9f297f02d72</t>
  </si>
  <si>
    <t>Camel Caravan Crossing Plane Above Waterfall</t>
  </si>
  <si>
    <t>Watercolor on tan wove paper, laid down on card</t>
  </si>
  <si>
    <t>Dominic Serres</t>
  </si>
  <si>
    <t>e8818837-305f-076a-defb-2d232105dbaa</t>
  </si>
  <si>
    <t>Man, Woman and Child in Churchyard Cemetary</t>
  </si>
  <si>
    <t>Watercolor on tan wove paper, laid down on tan laid paper</t>
  </si>
  <si>
    <t>cd694d77-69d1-5638-098d-c67cc048ea9e</t>
  </si>
  <si>
    <t>Harbor before Fortified Town</t>
  </si>
  <si>
    <t>Watercolor, over traces of graphite, on cream laid paper</t>
  </si>
  <si>
    <t>William Marlow</t>
  </si>
  <si>
    <t>27e16985-a49d-8dce-c9f7-eeddfcca53d2</t>
  </si>
  <si>
    <t>Two Men by Pond below Alps</t>
  </si>
  <si>
    <t>Watercolor and gouache over graphite, on tan wove paper</t>
  </si>
  <si>
    <t>d1a1a3c1-455d-07c0-d41b-6fbb0314aafb</t>
  </si>
  <si>
    <t>Pink and White Roses</t>
  </si>
  <si>
    <t>Watercolor and gouache over graphite, on ivory wove paper</t>
  </si>
  <si>
    <t>Paul A. Putzki</t>
  </si>
  <si>
    <t>44c927dd-8e6d-7e10-5829-e111c9e62743</t>
  </si>
  <si>
    <t>Manor House Seen from Pond</t>
  </si>
  <si>
    <t>Watercolor and touches of gouache, over graphite, on tan wove paper</t>
  </si>
  <si>
    <t>e281a4a3-fc16-1578-dcc2-c582d146b2c9</t>
  </si>
  <si>
    <t>Mythological Scene</t>
  </si>
  <si>
    <t>Watercolor, over traces of graphite, on cream wove paper</t>
  </si>
  <si>
    <t>Nicholas Pocock</t>
  </si>
  <si>
    <t>bdab6fc3-747e-0049-1196-a630866f6dd6</t>
  </si>
  <si>
    <t>Congregation of Ships in Port</t>
  </si>
  <si>
    <t>Watercolor with scraping and black chalk, heightened with gum arabic, on cream wove paper</t>
  </si>
  <si>
    <t>52b25368-5d03-3582-7d60-8e657985e40e</t>
  </si>
  <si>
    <t>Couple Holding Hands in a Field</t>
  </si>
  <si>
    <t>8317db7c-cf03-8880-3593-6cac6b8e6aef</t>
  </si>
  <si>
    <t>Marshy Landscape</t>
  </si>
  <si>
    <t>Watercolor with pen and brown ink, over graphite, on ivory wove card</t>
  </si>
  <si>
    <t>b27208b7-1581-7a07-b76d-43a429b66cda</t>
  </si>
  <si>
    <t>Hilly Landscape at Sunset</t>
  </si>
  <si>
    <t>Watercolor on cream wove paper, tipped onto card</t>
  </si>
  <si>
    <t>Style of John Varley</t>
  </si>
  <si>
    <t>8bb8dff1-90ab-0136-b5be-b8cfdf445ec1</t>
  </si>
  <si>
    <t>View of Lucerne</t>
  </si>
  <si>
    <t>Watercolor, with scraping on white wove paper</t>
  </si>
  <si>
    <t>a8e48137-9223-54d4-358c-c0c932e4829b</t>
  </si>
  <si>
    <t>Rainbow Over Stormy Sea</t>
  </si>
  <si>
    <t>Watercolor over traces of graphite on ivory wove paper</t>
  </si>
  <si>
    <t>f179bc3a-b391-8236-cc47-25cdcf93fe26</t>
  </si>
  <si>
    <t>Nude</t>
  </si>
  <si>
    <t>Bust of a Woman</t>
  </si>
  <si>
    <t>Seated Woman in Black Gown</t>
  </si>
  <si>
    <t>Watercolor, over traces of graphite, on cream wove paper, laid down on board</t>
  </si>
  <si>
    <t>William Henry Hunt</t>
  </si>
  <si>
    <t>96312af6-781b-f9ad-324d-238899954ba3</t>
  </si>
  <si>
    <t>Hampton Court View taken from the Garden Seat</t>
  </si>
  <si>
    <t>Watercolor and graphite on cream wove paper, laid down on tan laid paper</t>
  </si>
  <si>
    <t>Henry Edridge</t>
  </si>
  <si>
    <t>2e0b3ef3-5917-cce9-babc-62a6bdaa61e5</t>
  </si>
  <si>
    <t>Valley with Cottages</t>
  </si>
  <si>
    <t>Watercolor over traces of graphite, on tan wove card</t>
  </si>
  <si>
    <t>William Bennett</t>
  </si>
  <si>
    <t>7fe02f4c-d3da-c78b-9b0e-e149fcdfbd49</t>
  </si>
  <si>
    <t>Family of Deer under a Tree</t>
  </si>
  <si>
    <t>Robert Hills</t>
  </si>
  <si>
    <t>5feb322a-741e-2ad5-15ec-7be3791b93e4</t>
  </si>
  <si>
    <t>Women Bathing in Pond</t>
  </si>
  <si>
    <t>Pen and brown ink with watercolor, over graphite, on tan laid paper, laid down on tan laid paper</t>
  </si>
  <si>
    <t>ac92d63c-abcb-5349-d3c2-57433f61578a</t>
  </si>
  <si>
    <t>Women Drying Selves by Pond</t>
  </si>
  <si>
    <t>Watercolor and gouache, over traces of graphite, on tan laid paper, laid down on tan laid paper</t>
  </si>
  <si>
    <t>71bb1ae6-2f3b-d63f-2746-2b6edb9a54d4</t>
  </si>
  <si>
    <t>Tranquil Park Scene</t>
  </si>
  <si>
    <t>Watercolor, heightened with gum varnish, over traces of graphite, on cream wove paper</t>
  </si>
  <si>
    <t>810d56e1-62ff-6622-1134-4949ac98592a</t>
  </si>
  <si>
    <t>George Robert Lewis</t>
  </si>
  <si>
    <t>The Coast of Norway</t>
  </si>
  <si>
    <t>Watercolor and gouache, over graphite, on ivory wove paper, tipped onto board</t>
  </si>
  <si>
    <t>Gulbrand Sether</t>
  </si>
  <si>
    <t>68d25c0b-c781-25f8-7860-992b8e4479df</t>
  </si>
  <si>
    <t>Water Dam and Bridge</t>
  </si>
  <si>
    <t>Watercolor and gouache, heightened with gum varnish, on ivory wove paper, tipped onto board</t>
  </si>
  <si>
    <t>d5e5ae76-9cd2-ee83-f956-e8c4f1dbd28b</t>
  </si>
  <si>
    <t>Chiesa dei Cappuccini Parma</t>
  </si>
  <si>
    <t>Pen and brown ink, with brush and watercolor, over traces of black chalk, on ivory wove paper</t>
  </si>
  <si>
    <t>2b4993b8-6ee2-219e-9246-795e9ce03806</t>
  </si>
  <si>
    <t>Allegory of Love: Scorn</t>
  </si>
  <si>
    <t>Pen and black ink, with brush and watercolor and gouache, over graphite, on cream wove paper, laid down on ivory wove paper</t>
  </si>
  <si>
    <t>Veronese (Paolo Caliari)</t>
  </si>
  <si>
    <t>e6e75529-e1d4-3fc0-b8fe-6118fa7c026d</t>
  </si>
  <si>
    <t>Man Mounting Plank to Boat</t>
  </si>
  <si>
    <t>Pen and ink and watercolor on tan wove paper, laid down on card</t>
  </si>
  <si>
    <t>15dabf4e-d2cb-3294-589f-33eb4f69297e</t>
  </si>
  <si>
    <t>Departure for Market</t>
  </si>
  <si>
    <t>Pen and black ink and brush and watercolor, on cream laid paper</t>
  </si>
  <si>
    <t>1ff0d690-817b-44ed-49b2-eae2f6030545</t>
  </si>
  <si>
    <t>Rearing Horse</t>
  </si>
  <si>
    <t>Watercolor heightened with white gouache and graphite, on tan laid paper</t>
  </si>
  <si>
    <t>05211c61-ac7a-9261-8bb2-5316004744eb</t>
  </si>
  <si>
    <t>Woman in Native Costume with Boy on Road</t>
  </si>
  <si>
    <t>Watercolor over traces of graphite, on  ivory wove paper</t>
  </si>
  <si>
    <t>d5e19576-9217-986a-b3a4-7322115858cf</t>
  </si>
  <si>
    <t>Cows Resting near Windmill</t>
  </si>
  <si>
    <t>Watercolor and gouache over graphite on ivory wove paper</t>
  </si>
  <si>
    <t>George Glenn Newell</t>
  </si>
  <si>
    <t>0caccc20-46c3-e207-5226-48eb2105f27c</t>
  </si>
  <si>
    <t>Stealing the Preserves</t>
  </si>
  <si>
    <t>Pen and red and black ink, with brush and  watercolor, over traces of graphite, on ivory wove paper tipped onto cream wove paper</t>
  </si>
  <si>
    <t>5b2a1eac-75a7-65b4-f60c-ea65cbd974e4</t>
  </si>
  <si>
    <t>Farm House in Ruins</t>
  </si>
  <si>
    <t>Pen and black ink, with brush and watercolor, over graphite on ivory laid paper, laid down on card</t>
  </si>
  <si>
    <t>Michael "Angelo" Rooker</t>
  </si>
  <si>
    <t>7f4d9988-a452-81ae-7196-dab826880f76</t>
  </si>
  <si>
    <t>Abbey Ruin</t>
  </si>
  <si>
    <t>Watercolor, over traces of graphite, on ivory wove paper, laid down on brown-toned board</t>
  </si>
  <si>
    <t>Samuel William Reynolds, the elder</t>
  </si>
  <si>
    <t>4176f3ef-8c28-065f-fb39-399a42e10cc2</t>
  </si>
  <si>
    <t>Conway Castle</t>
  </si>
  <si>
    <t>Watercolor, over graphite, on clay coated paper, tipped onto ivory wove paper</t>
  </si>
  <si>
    <t>Thomas Miles Richardson, the younger</t>
  </si>
  <si>
    <t>5b1b8ee5-0556-9bab-bb70-26387af81da3</t>
  </si>
  <si>
    <t>Martin Cerulli</t>
  </si>
  <si>
    <t>Sir Henry Raeburn</t>
  </si>
  <si>
    <t>Night Carrying Sleep and Death</t>
  </si>
  <si>
    <t>Pen and black and red ink, with brush and watercolor and graphite, on tan wove paper</t>
  </si>
  <si>
    <t>7c9bb8d0-fd7d-99c5-dc91-557e15161b8f</t>
  </si>
  <si>
    <t>Lady Hamilton as Nature</t>
  </si>
  <si>
    <t>Watercolor, over graphite, on board</t>
  </si>
  <si>
    <t>95e9e7df-984c-53f9-145e-f1a96b133a05</t>
  </si>
  <si>
    <t>Waterfall</t>
  </si>
  <si>
    <t>Watercolor over graphite on cream wove paper, laid down on board</t>
  </si>
  <si>
    <t>Edward Dayes</t>
  </si>
  <si>
    <t>76a9ef6f-5dfc-272a-a62f-f5ceabe829e9</t>
  </si>
  <si>
    <t>Bonifacio de Pitati</t>
  </si>
  <si>
    <t>7e599502-7d36-0073-9edb-d90f71c492eb</t>
  </si>
  <si>
    <t>Trompe L'Oeil: Papers Pinned to Wall</t>
  </si>
  <si>
    <t>Pen and black ink, with brush and watercolor and gouache, over traces of graphite, on ivory laid  paper</t>
  </si>
  <si>
    <t>f5f0bd2d-3db3-3441-a358-e5d621cef3c4</t>
  </si>
  <si>
    <t>Fair Emily</t>
  </si>
  <si>
    <t>Pen and black ink and brush and watercolor, over traces of graphite, on oval-shaped ivory paper, laid down on laid paper</t>
  </si>
  <si>
    <t>Henry James Richter</t>
  </si>
  <si>
    <t>e22eabb1-6c57-e4f8-89db-43749ad96f9a</t>
  </si>
  <si>
    <t>Saint John the Baptist with Lamb</t>
  </si>
  <si>
    <t>Watercolor over black chalk, on tan laid paper, tipped onto cream laid paper</t>
  </si>
  <si>
    <t>7c27b410-a1cb-7343-ffb9-1d92d4f52946</t>
  </si>
  <si>
    <t>Three Dogs in an Alley</t>
  </si>
  <si>
    <t>Watercolor and gouache heightened with gum varnish, over traces of graphite on blue wove paper, tipped onto gray laid paper
Remarks: NG
"Worth taking out"=LS</t>
  </si>
  <si>
    <t>Charles B. Newhouse</t>
  </si>
  <si>
    <t>038f2b3d-d6a1-58cf-5dba-670d3a6cac84</t>
  </si>
  <si>
    <t>Pheasant and Hunter</t>
  </si>
  <si>
    <t>Watercolor and gouache heightened with gum varnish on blue wove paper, tipped onto gray laid paper
Remarks: NG
"Worth taking out"=LS</t>
  </si>
  <si>
    <t>a5346df5-e982-59dc-701d-682466680c59</t>
  </si>
  <si>
    <t>Louis Jean Desprez</t>
  </si>
  <si>
    <t>John Martin</t>
  </si>
  <si>
    <t>Villa Negroni, Rome</t>
  </si>
  <si>
    <t>Watercolor, over traces of graphite, on tan laid  paper with blue fibers</t>
  </si>
  <si>
    <t>School of Thomas Monro</t>
  </si>
  <si>
    <t>181885d6-8e70-301e-7ce7-1169a6f4ba79</t>
  </si>
  <si>
    <t>Tree Trunk I</t>
  </si>
  <si>
    <t>Style of William Callow</t>
  </si>
  <si>
    <t>c9b439e9-2f56-8bb8-0a34-d0d42109319e</t>
  </si>
  <si>
    <t>Rest on the Flight into Egypt (recto); Madonna of the Rosary (verso)</t>
  </si>
  <si>
    <t>Oil paint (recto) and pen and black ink with off-set blue oil paint (verso) on tan laid paper</t>
  </si>
  <si>
    <t>0efeac3d-0605-ca9e-ecad-8a8218290245</t>
  </si>
  <si>
    <t>Deer Park, possibly Kilkenny</t>
  </si>
  <si>
    <t>Watercolor over graphite on ivory wove paper</t>
  </si>
  <si>
    <t>e126da42-22fc-3f85-b99b-17d6b8e29900</t>
  </si>
  <si>
    <t>View from Sydney</t>
  </si>
  <si>
    <t>3a165282-be33-a1d0-c030-1222ccfa8985</t>
  </si>
  <si>
    <t>Rocky Shore</t>
  </si>
  <si>
    <t>Watercolor over graphite on cream wove paper</t>
  </si>
  <si>
    <t>63a75698-41b4-a738-95be-af186813cfef</t>
  </si>
  <si>
    <t>Rotting Tree</t>
  </si>
  <si>
    <t>d831540c-84cb-b080-fb1c-dfdec5ac9a70</t>
  </si>
  <si>
    <t>Scarborough (recto), and Sketch of House with Mother and Children (verso)</t>
  </si>
  <si>
    <t>Watercolor over graphite (recto), and graphite (verso), on ivory wove paper</t>
  </si>
  <si>
    <t>0be67955-5777-c96b-218d-417459ef9485</t>
  </si>
  <si>
    <t>Cows in Landscape</t>
  </si>
  <si>
    <t>c0a18cb7-a58d-692b-7d30-773f1f59e18c</t>
  </si>
  <si>
    <t>Woman and Child before Walled Town with Tower</t>
  </si>
  <si>
    <t>Watercolor over graphite on gray wove paper</t>
  </si>
  <si>
    <t>ed091570-2a37-58e0-3099-43ce77fc3d3e</t>
  </si>
  <si>
    <t>Wicklow Hills</t>
  </si>
  <si>
    <t>a06334c7-a131-1a25-7c0e-cf11e69a6ca9</t>
  </si>
  <si>
    <t>Garden at Clifton Hall</t>
  </si>
  <si>
    <t>b7712afc-0fbd-e9f3-fca7-b2a985059e59</t>
  </si>
  <si>
    <t>Three Little Girls</t>
  </si>
  <si>
    <t>Victoria Castle and the Val of Shanganagh, DÃºn Laoghaire</t>
  </si>
  <si>
    <t>a1fe94ab-ce53-06c5-5242-51661b47fbc4</t>
  </si>
  <si>
    <t>Scarborough Castle</t>
  </si>
  <si>
    <t>2c4fd255-2811-bc77-aaab-d31d71a217e5</t>
  </si>
  <si>
    <t>Youth Leaning on Chair</t>
  </si>
  <si>
    <t>Brush and watercolor over graphite on cream wove paper</t>
  </si>
  <si>
    <t>0e7104e7-c85e-71fc-ec9c-f834f99bd32d</t>
  </si>
  <si>
    <t>Portrait of Woman Reading</t>
  </si>
  <si>
    <t>6e93091a-5eeb-251f-a511-027e22bf111c</t>
  </si>
  <si>
    <t>Interior of Conway Castle</t>
  </si>
  <si>
    <t>f50e6915-0134-47dd-07e0-d361f4fbfc5c</t>
  </si>
  <si>
    <t>Beauman's Castle</t>
  </si>
  <si>
    <t>733811be-b017-b49d-43e0-df96945158a9</t>
  </si>
  <si>
    <t>Gateway, Beauman's Castle</t>
  </si>
  <si>
    <t>1fa691a4-2cec-ceb7-bd63-8023d0fcdb07</t>
  </si>
  <si>
    <t>Hut in Woodland Setting</t>
  </si>
  <si>
    <t>Watercolor on wove paper, laid down on board</t>
  </si>
  <si>
    <t>John Joseph Gustave Burghoffer</t>
  </si>
  <si>
    <t>e3ce94ad-1874-9165-dc2b-426846e520f1</t>
  </si>
  <si>
    <t>Caernarvon Castle</t>
  </si>
  <si>
    <t>30a518b2-c67f-4109-53b1-40dc0b7077ea</t>
  </si>
  <si>
    <t>Study for Female Portrait</t>
  </si>
  <si>
    <t>2b35fc44-ea81-47ed-d8d9-01795b01313f</t>
  </si>
  <si>
    <t>Six Cows Grazing before Country House</t>
  </si>
  <si>
    <t>f16c72f9-6091-98b7-0e0c-d8e2cc69b96a</t>
  </si>
  <si>
    <t>View of Harbor with Four Sailboats</t>
  </si>
  <si>
    <t>2bcc0aad-a0d1-2068-9fd4-d230c3ddbc54</t>
  </si>
  <si>
    <t>Studies for Portraits of Two Young Girls</t>
  </si>
  <si>
    <t>9d0161ca-504d-44be-b99c-9b4e06798d47</t>
  </si>
  <si>
    <t>Study for Portrait of Boy with Book</t>
  </si>
  <si>
    <t>e709a2e1-f193-71ed-959e-ec16fc4a7591</t>
  </si>
  <si>
    <t>Cows before Manor House and Church</t>
  </si>
  <si>
    <t>539cca95-c270-fb85-c157-928895e50851</t>
  </si>
  <si>
    <t>Young Woman at Writing Desk</t>
  </si>
  <si>
    <t>215d2aa4-7b56-745a-c31f-aa44e68cfd9c</t>
  </si>
  <si>
    <t>Portrait of Young Girl with Hat and Crop</t>
  </si>
  <si>
    <t>202d9824-7f68-96a6-9180-a3f3998eab19</t>
  </si>
  <si>
    <t>Portrait of Young Girl with Shoulderless Gown</t>
  </si>
  <si>
    <t>Watercolor on graphite on cream wove paper, laid down on cream wove paper</t>
  </si>
  <si>
    <t>760d97c5-be57-aa69-56a7-b56f0bd36539</t>
  </si>
  <si>
    <t>View of Dalkey from the Road</t>
  </si>
  <si>
    <t>Watercolor with traces of white gouache over graphite on gray wove paper</t>
  </si>
  <si>
    <t>02dc6011-96e5-8d4a-1a34-e28180e1bf0f</t>
  </si>
  <si>
    <t>Washerwoman at Nice</t>
  </si>
  <si>
    <t>a9fc88c4-8701-2caf-3164-2b9971251548</t>
  </si>
  <si>
    <t>Powerscourt Waterfall</t>
  </si>
  <si>
    <t>Watercolor and white gouache over graphite on gray wove paper</t>
  </si>
  <si>
    <t>bca578d6-db35-d7b3-8168-517c8146c1de</t>
  </si>
  <si>
    <t>Kilkenny Village from the Rocks</t>
  </si>
  <si>
    <t>85aa3890-b670-ca2e-c3b9-0384decf89fb</t>
  </si>
  <si>
    <t>Albenga on the Corniche (Costal) Road</t>
  </si>
  <si>
    <t>04df934c-6df7-cdd0-90eb-2a4787478856</t>
  </si>
  <si>
    <t>Val of Shanganagh, Killiney</t>
  </si>
  <si>
    <t>45c9ad04-e0a8-0e85-5985-b524ad6f9d69</t>
  </si>
  <si>
    <t>View Inchkeith and the Firth of Forth Islands from Granton</t>
  </si>
  <si>
    <t>Watercolor and white gouache over traces of graphite on gray wove paper</t>
  </si>
  <si>
    <t>7f6452f9-a0c8-0cb3-193a-b2a5e16b797c</t>
  </si>
  <si>
    <t>Victoria Castle</t>
  </si>
  <si>
    <t>Watercolor over graphite on green-gray wove paper</t>
  </si>
  <si>
    <t>9446d402-dbb9-9a46-aaf3-87225b568b71</t>
  </si>
  <si>
    <t>Child Praying</t>
  </si>
  <si>
    <t>2dc2960c-2aac-97fc-bed3-b2ef9392ff4f</t>
  </si>
  <si>
    <t>Portrait of a Young Girl</t>
  </si>
  <si>
    <t>d860e6b6-33db-276c-3a55-0c128826f91c</t>
  </si>
  <si>
    <t>Hugh Sleeping</t>
  </si>
  <si>
    <t>Watercolor with traces of white gouache over graphite on brown wove paper</t>
  </si>
  <si>
    <t>bc22c20c-bc94-55ec-920b-8212dd7f9190</t>
  </si>
  <si>
    <t>Portrait of Peasant Woman</t>
  </si>
  <si>
    <t>e5280219-3268-3000-08e6-9a11c0537cc6</t>
  </si>
  <si>
    <t>View of Wicklow Hills</t>
  </si>
  <si>
    <t>3aafbf93-8edd-6229-ecc4-8d07b971c5db</t>
  </si>
  <si>
    <t>Terrace at Wentworth Castle</t>
  </si>
  <si>
    <t>8ffb0031-3478-603b-51d0-bbc9a942b51c</t>
  </si>
  <si>
    <t>Genoa from the Croce di Malta</t>
  </si>
  <si>
    <t>ebb31959-a861-669b-1deb-f4c04dc7b1fb</t>
  </si>
  <si>
    <t>Boy Posing as Admiral on Ship</t>
  </si>
  <si>
    <t>Pen and red ink, with watercolor, over traces of graphite, on tan board</t>
  </si>
  <si>
    <t>Dupenvant Dupenvant</t>
  </si>
  <si>
    <t>bada26f4-9f8a-76cf-e8fe-e6705a431889</t>
  </si>
  <si>
    <t>Portofino from the Sea, Genoa</t>
  </si>
  <si>
    <t>2df76cb8-a92d-7abb-1f51-745b65b3bf21</t>
  </si>
  <si>
    <t>Majolica, Lake Como</t>
  </si>
  <si>
    <t>7a96ca20-b857-0ea4-4dd8-7dbc1986f7c3</t>
  </si>
  <si>
    <t>Brick Wall with Open Door and Shovel</t>
  </si>
  <si>
    <t>8863c643-4d5e-eaeb-9427-3db4971dd10c</t>
  </si>
  <si>
    <t>From Barnard's Book on Coloring</t>
  </si>
  <si>
    <t>Watercolor on cream wove paper, tipped onto cream wove paper</t>
  </si>
  <si>
    <t>a7e0bdca-2886-87ab-623a-4301ea4d3c5e</t>
  </si>
  <si>
    <t>Portrait of Florence Seymour</t>
  </si>
  <si>
    <t>Watercolor over graphite on brown wove paper</t>
  </si>
  <si>
    <t>24bb2eee-83da-988e-cbec-2086b7f04e53</t>
  </si>
  <si>
    <t>Young Girl with Crop and Cricket Bat</t>
  </si>
  <si>
    <t>f4e1d40e-7a26-cfa1-f79a-f23eb396c0f5</t>
  </si>
  <si>
    <t>Portrait Head of a Young Girl</t>
  </si>
  <si>
    <t>54687ffb-96fb-663e-5010-3e079af1aa1b</t>
  </si>
  <si>
    <t>Child Asleep (recto), and Fishermen on Dock (verso)</t>
  </si>
  <si>
    <t>Watercolor over graphite (recto), and graphite (verso), on brown-gray wove paper</t>
  </si>
  <si>
    <t>cd04b952-dcb2-244f-646d-2551f342978e</t>
  </si>
  <si>
    <t>Bust Portrait of Child</t>
  </si>
  <si>
    <t>Watercolor over graphite on cream board</t>
  </si>
  <si>
    <t>e967af72-adbc-056a-f6d9-787d60e2b771</t>
  </si>
  <si>
    <t>Hugh and Florence, Ashford</t>
  </si>
  <si>
    <t>Watercolor over graphite on brown-gray wove paper</t>
  </si>
  <si>
    <t>d07ff858-7ff6-0832-4346-841f1873899a</t>
  </si>
  <si>
    <t>Country Manor House</t>
  </si>
  <si>
    <t>Watercolor over graphite on cream wove card</t>
  </si>
  <si>
    <t>1e7d9562-4ad2-1963-df36-65a2f6db8f21</t>
  </si>
  <si>
    <t>Lady Georgina Murray</t>
  </si>
  <si>
    <t>Watercolor with traces of white gouache and varnish, over traces of graphite, on cream board</t>
  </si>
  <si>
    <t>e9537f23-7aa0-c366-b5e4-a00c4a0d89d5</t>
  </si>
  <si>
    <t>Deer Herd Resting</t>
  </si>
  <si>
    <t>d07d2dd5-bec6-7e06-558f-8804c76ba0a6</t>
  </si>
  <si>
    <t>Autumn Nutting</t>
  </si>
  <si>
    <t>Pen and brown ink, with brush and brown and gray wash, over graphite, on ivory wove paper, tipped onto cream wove paper</t>
  </si>
  <si>
    <t>William Hamilton</t>
  </si>
  <si>
    <t>cb9e0243-a0c7-c697-8f01-2ea2b279f99c</t>
  </si>
  <si>
    <t>John Sloan</t>
  </si>
  <si>
    <t>Chester</t>
  </si>
  <si>
    <t>Watercolor, with varnish, over traces of graphite, on wove paper</t>
  </si>
  <si>
    <t>79a7d547-76c9-fce6-e2db-cade93b60e33</t>
  </si>
  <si>
    <t>Lioness and Cubs</t>
  </si>
  <si>
    <t>Boy Fishing</t>
  </si>
  <si>
    <t>Pen and red ink and watercolor, over traces of graphite, on board faced with green wove paper</t>
  </si>
  <si>
    <t>cacc0114-75c1-ee89-8afa-c271e6355939</t>
  </si>
  <si>
    <t>Boy in Soldier's Uniform</t>
  </si>
  <si>
    <t>92474b7c-d426-714c-a7c0-7f3c6ba85775</t>
  </si>
  <si>
    <t>Flagbearer</t>
  </si>
  <si>
    <t>Pen and red ink and watercolor, over traces of graphite, on cream board</t>
  </si>
  <si>
    <t>917fc505-5262-64d5-3f6b-5d1f7f6e1f5c</t>
  </si>
  <si>
    <t>Islamic Plate</t>
  </si>
  <si>
    <t>Gouache over black chalk, on ivory laid paper</t>
  </si>
  <si>
    <t>Giuseppe Grisoni</t>
  </si>
  <si>
    <t>65d8449d-cd62-9814-c3f2-a879bc1cc930</t>
  </si>
  <si>
    <t>Decorative Bowl</t>
  </si>
  <si>
    <t>Gouache, over traces of black chalk, on ivory laid paper</t>
  </si>
  <si>
    <t>82404ab8-e953-a9de-7103-4feb04f63223</t>
  </si>
  <si>
    <t>Jewelled Bowl in the Treasury of San Marco, Venice</t>
  </si>
  <si>
    <t>Gouache over black chalk, on ivory laid paper, pieced together</t>
  </si>
  <si>
    <t>33c2b27e-d49e-bec5-b9d8-37876c2f768a</t>
  </si>
  <si>
    <t>Porphyry Vase</t>
  </si>
  <si>
    <t>Gouache with gold paint, on ivory laid paper</t>
  </si>
  <si>
    <t>3dee7885-6fb7-73d4-9654-dc5331030973</t>
  </si>
  <si>
    <t>Purple Bowl</t>
  </si>
  <si>
    <t>Red gouache over traces of black chalk, with glitter, on ivory laid paper</t>
  </si>
  <si>
    <t>52925025-339c-124f-860d-348dbbd9138e</t>
  </si>
  <si>
    <t>Red Saucer</t>
  </si>
  <si>
    <t>Red gouache over traces of black chalk on ivory laid paper</t>
  </si>
  <si>
    <t>264ff5ac-1005-283c-d24e-359c92e03f64</t>
  </si>
  <si>
    <t>Red Marble Bowl</t>
  </si>
  <si>
    <t>Gouache over traces of black chalk on ivory laid paper</t>
  </si>
  <si>
    <t>a4a582e4-1401-be63-3176-d75b1bbd2b6c</t>
  </si>
  <si>
    <t>Black Marble Bowl</t>
  </si>
  <si>
    <t>Black gouache on ivory laid paper</t>
  </si>
  <si>
    <t>2e42192b-84c1-52ee-e5d8-fd4c40f52c72</t>
  </si>
  <si>
    <t>Sketch of Jewelled Antique Bust in the Medici Collection, Florence</t>
  </si>
  <si>
    <t>Gouache, heightened with gold paint, over traces of black chalk, on ivory laid paper</t>
  </si>
  <si>
    <t>6258d62d-e660-d090-f538-03e7f141fad2</t>
  </si>
  <si>
    <t>Ex Egiata</t>
  </si>
  <si>
    <t>Gouache, heightened with touches of gold paint, over traces of black chalk, on ivory laid paper</t>
  </si>
  <si>
    <t>c85d15b4-7d3a-3a37-1f82-dad72e7b5c99</t>
  </si>
  <si>
    <t>Jasper Covered Dish</t>
  </si>
  <si>
    <t>Gouache, heightened with touches of gold paint, over black chalk, on ivory laid paper</t>
  </si>
  <si>
    <t>41ae0193-666d-b0da-ee26-5f9771035018</t>
  </si>
  <si>
    <t>Aquamarine Urn</t>
  </si>
  <si>
    <t>Gouache heightened with touches of gold paint, over black chalk, on ivory wove paper</t>
  </si>
  <si>
    <t>7ed6a0e7-980e-1222-4da2-e089bdec236b</t>
  </si>
  <si>
    <t>Agate Covered Bowl</t>
  </si>
  <si>
    <t>eed4df60-dd5c-0b5c-ec30-9e858ea586c0</t>
  </si>
  <si>
    <t>Porphyry Head (San Marco, Venice)</t>
  </si>
  <si>
    <t>Gouache over black chalk, with pen and brown ink, on ivory laid paper</t>
  </si>
  <si>
    <t>c4fd1f6c-2a39-c806-23bd-e92d88d05815</t>
  </si>
  <si>
    <t>Marbleized Bowl with Cover</t>
  </si>
  <si>
    <t>dcef5284-d001-3037-6fc7-5101635c5322</t>
  </si>
  <si>
    <t>Agate Bowl</t>
  </si>
  <si>
    <t>ba0d1802-373c-ed06-1080-c798f00ad02f</t>
  </si>
  <si>
    <t>Stone Urn</t>
  </si>
  <si>
    <t>f9bc32eb-bf4a-397c-5e29-2175da09a276</t>
  </si>
  <si>
    <t>Stone Basin</t>
  </si>
  <si>
    <t>Gouache with traces of gold paint, over black chalk, on ivory laid paper</t>
  </si>
  <si>
    <t>b6a22bee-0707-bc39-3b5a-016686394673</t>
  </si>
  <si>
    <t>Purple Shell on a Stand</t>
  </si>
  <si>
    <t>a083fdac-bf6a-6a9d-345e-d57516947201</t>
  </si>
  <si>
    <t>Irregular Green Stone Basin</t>
  </si>
  <si>
    <t>f9e67d31-29df-884a-9af7-2b1af54c01fe</t>
  </si>
  <si>
    <t>Fluted Bowl with Jewelled Base</t>
  </si>
  <si>
    <t>07e51bf3-8ddb-e949-35bc-c8443b763dfd</t>
  </si>
  <si>
    <t>Two Fluted Bowls, One on Base</t>
  </si>
  <si>
    <t>9e4fed1c-53bc-25c2-ee77-27311da8c55b</t>
  </si>
  <si>
    <t>Overview of Oval Shell Stone</t>
  </si>
  <si>
    <t>48977035-eead-0dd5-ca76-e614e8a76ca2</t>
  </si>
  <si>
    <t>Double Handled Urn</t>
  </si>
  <si>
    <t>Gouache, heightened with gold paint, over black chalk, on ivory laid paper</t>
  </si>
  <si>
    <t>56aa5bd0-8ff8-1965-b985-9c0593dae39b</t>
  </si>
  <si>
    <t>Overview of Shell with Medici Coat of Arms</t>
  </si>
  <si>
    <t>Gouache, heightened with touches of gold paint, on ivory laid paper</t>
  </si>
  <si>
    <t>dfcb4598-996e-2205-f7a5-6c5186a05e35</t>
  </si>
  <si>
    <t>Overview of Lavender Elongated Shell</t>
  </si>
  <si>
    <t>Gouache on ivory laid paper</t>
  </si>
  <si>
    <t>71c6e610-050b-8838-fa81-df6782d6962c</t>
  </si>
  <si>
    <t>Basin with Enamelled Handles, Decorated with Dragon and Ram Heads</t>
  </si>
  <si>
    <t>a037044d-2979-d3ea-289b-2efc6c7af95c</t>
  </si>
  <si>
    <t>Blue and Green Shell with Dragon's Head</t>
  </si>
  <si>
    <t>e969519d-f1d6-4905-d9a6-48dca3bab87e</t>
  </si>
  <si>
    <t>7c4bc48e-2df4-27e6-2397-1af07155bf11</t>
  </si>
  <si>
    <t>Lapis Covered Dish on Stand</t>
  </si>
  <si>
    <t>80c4115a-a96e-b6af-883a-b3668fe977e0</t>
  </si>
  <si>
    <t>Stone Ewer with Ornate Handle</t>
  </si>
  <si>
    <t>ef9669e8-9927-104b-cdb7-968a8cbc767a</t>
  </si>
  <si>
    <t>Agate Head of Cleopatra</t>
  </si>
  <si>
    <t>ea400f8b-2c6b-2d96-fa53-4407e4e64f34</t>
  </si>
  <si>
    <t>Head of Tiberius</t>
  </si>
  <si>
    <t>70dcfe88-2291-7323-67e8-bae9454b8376</t>
  </si>
  <si>
    <t>Head of Medusa (Sabbatini collection, Rome)</t>
  </si>
  <si>
    <t>Gouache with pen and brown ink, over black chalk, on ivory laid paper</t>
  </si>
  <si>
    <t>984bce55-8b0d-cc5d-bb12-6600ac9f49ff</t>
  </si>
  <si>
    <t>Monumental Jewelled Vase</t>
  </si>
  <si>
    <t>be775c30-78c2-df8b-e837-825083ccaf3c</t>
  </si>
  <si>
    <t>Sunset Landscape</t>
  </si>
  <si>
    <t>Watercolor on ivory wove paper, laid down on board</t>
  </si>
  <si>
    <t>Charles Lee Frank</t>
  </si>
  <si>
    <t>ed929625-1ea9-e840-69ba-752dac27f666</t>
  </si>
  <si>
    <t>Each Moment Has Its Sickle</t>
  </si>
  <si>
    <t>Watercolor on tan wove paper</t>
  </si>
  <si>
    <t>Charles Reuben Ryley</t>
  </si>
  <si>
    <t>cdb4523d-84bf-6cd0-1bad-967ae6d04b6d</t>
  </si>
  <si>
    <t>Lioness with her Family</t>
  </si>
  <si>
    <t>Watercolor, over graphite, on cream laid paper, laid down on cream wove paper</t>
  </si>
  <si>
    <t>0f937f3e-fefc-c91a-7030-4c98f3ff6b1b</t>
  </si>
  <si>
    <t>A View of the Constitution off Boston</t>
  </si>
  <si>
    <t>Watercolor with traces of graphite on tan laid paper, laid down on board</t>
  </si>
  <si>
    <t>Isiah Whyte</t>
  </si>
  <si>
    <t>88ad299c-cd3c-fc64-8a62-29801903f99d</t>
  </si>
  <si>
    <t>Leitch Castle</t>
  </si>
  <si>
    <t>Watercolor, over traces of graphite, with varnish, on cream wove paper</t>
  </si>
  <si>
    <t>Style of  William Leighton Leitch</t>
  </si>
  <si>
    <t>fea92c75-7c1f-c268-d5f8-55e2f7c371f8</t>
  </si>
  <si>
    <t>Chapel Ruins</t>
  </si>
  <si>
    <t>Watercolor, over traces of graphite, on ivory wove paper</t>
  </si>
  <si>
    <t>Charles John Hills</t>
  </si>
  <si>
    <t>43ed8302-d19e-8351-ddd0-47358d82cee1</t>
  </si>
  <si>
    <t>Watercolor, over graphite, on ivory wove paper, laid down on cream card</t>
  </si>
  <si>
    <t>666f2adf-79a3-cde3-e31d-9bf37bc4176d</t>
  </si>
  <si>
    <t>Mountainous Landscape</t>
  </si>
  <si>
    <t>Watercolor and gouache, over traces of graphite, on board</t>
  </si>
  <si>
    <t>H. J. Lynton</t>
  </si>
  <si>
    <t>8034442b-db09-b8cd-64bf-d320a2066fc8</t>
  </si>
  <si>
    <t>Alfred Edward Chalon</t>
  </si>
  <si>
    <t>An Arab Horse Merchant</t>
  </si>
  <si>
    <t>Watercolor on wove paper, laid down on ivory wove paper</t>
  </si>
  <si>
    <t>18bde11c-67cd-5a41-602e-a603a87a485d</t>
  </si>
  <si>
    <t>Landscape with Gate at Sunset</t>
  </si>
  <si>
    <t>Watercolor on ivory wove paper, laid down on gray wove paper</t>
  </si>
  <si>
    <t>Hugh Huntington Howard</t>
  </si>
  <si>
    <t>d7d4878c-d6cf-5c47-ee3c-6cee09cbf632</t>
  </si>
  <si>
    <t>Native Traveling in India</t>
  </si>
  <si>
    <t>36fa652c-0942-b5ef-97b6-49567c8012f9</t>
  </si>
  <si>
    <t>An Old Maid on a Journey - The Eccentric Miss Banks</t>
  </si>
  <si>
    <t>Pen and black ink, with brush and watercolor, on tan wove card</t>
  </si>
  <si>
    <t>M. Chevers</t>
  </si>
  <si>
    <t>80bf6d8b-3508-cb4f-f2bd-1e0b654bfc48</t>
  </si>
  <si>
    <t>Wooded Landscape</t>
  </si>
  <si>
    <t>Joseph Wright of Derby</t>
  </si>
  <si>
    <t>Windswept Landscape</t>
  </si>
  <si>
    <t>Watercolor on cream laid paper</t>
  </si>
  <si>
    <t>ed2f10ef-0a69-0a96-4c92-82b42c74460c</t>
  </si>
  <si>
    <t>Landscape</t>
  </si>
  <si>
    <t>Ships in Port</t>
  </si>
  <si>
    <t>Watercolor over traces of graphite on ivory wove paper, laid down on tan wove paper</t>
  </si>
  <si>
    <t>afcf03ef-6f26-78bf-d75e-ef0a2a803700</t>
  </si>
  <si>
    <t>The Fort, Freshwater Bay</t>
  </si>
  <si>
    <t>Watercolor, with graphite and touches of black crayon, heightened with white gouache, on cream wove paper</t>
  </si>
  <si>
    <t>David Muirhead Bone</t>
  </si>
  <si>
    <t>46a590b2-7cbf-0bf3-a9b9-a2cfbd404b99</t>
  </si>
  <si>
    <t>Portrait of Seated Man with Newspaper</t>
  </si>
  <si>
    <t>Watercolor, heightened with gum varnish, on ivory wove paper, tipped onto ivory wove paper</t>
  </si>
  <si>
    <t>Adolphus H. A. Wing</t>
  </si>
  <si>
    <t>4f24d24a-960d-313c-f548-1fa62208ebfe</t>
  </si>
  <si>
    <t>Grotto Scene</t>
  </si>
  <si>
    <t>Gouache on ivory wove paper</t>
  </si>
  <si>
    <t>22e93e5d-1396-4b08-7270-f8c4c5ea8cb7</t>
  </si>
  <si>
    <t>Cringleford Meadows-Morning</t>
  </si>
  <si>
    <t>Watercolor on ivory wove paper</t>
  </si>
  <si>
    <t>Robert Leman</t>
  </si>
  <si>
    <t>3127682f-ca2c-097a-fd5f-3c52d5a51f10</t>
  </si>
  <si>
    <t>Mediterranean Seascape with Port</t>
  </si>
  <si>
    <t>f0a9c9b6-827f-2f2f-ce4d-2a27045d6a98</t>
  </si>
  <si>
    <t>Figures near Doorway</t>
  </si>
  <si>
    <t>Watercolor over black chalk, with touches of graphite, on ivory wove paper, laid down on card</t>
  </si>
  <si>
    <t>cc6da6f3-4df0-3e8a-1e64-7329d4517689</t>
  </si>
  <si>
    <t>Wou-Ki Zao</t>
  </si>
  <si>
    <t>Man with Lantern in Doorway</t>
  </si>
  <si>
    <t>Watercolor on ivory laid paper, partially laid down</t>
  </si>
  <si>
    <t>00985365-b186-f873-2d12-c1e0a2f7037c</t>
  </si>
  <si>
    <t>Saint Andrew</t>
  </si>
  <si>
    <t>Pompeo Girolamo Batoni</t>
  </si>
  <si>
    <t>b309fd62-e317-7ec8-0623-41573e93b22c</t>
  </si>
  <si>
    <t>Dutch Sailor, Carrying an Anchor</t>
  </si>
  <si>
    <t>Graphite with brush and watercolor on ivory wove paper</t>
  </si>
  <si>
    <t>George Chambers</t>
  </si>
  <si>
    <t>02e60e1c-c652-21c8-f4fd-57b6ed35b94d</t>
  </si>
  <si>
    <t>Woman in Evening Dress Asleep in Armchair</t>
  </si>
  <si>
    <t>Watercolor with scraping, over graphite, on cream board</t>
  </si>
  <si>
    <t>905aed33-aa78-1979-d1df-8b8c7c92ca8e</t>
  </si>
  <si>
    <t>A Scene Near Lodore, Cumberland</t>
  </si>
  <si>
    <t>Watercolor over graphite, on ivory wove paper, laid down on board</t>
  </si>
  <si>
    <t>Joshua Cristall</t>
  </si>
  <si>
    <t>8637a3d5-330e-eba8-3464-a8206413097a</t>
  </si>
  <si>
    <t>Triumph of Neptune</t>
  </si>
  <si>
    <t>Pen and black ink with brush and gray wash, and watercolor, on cream laid paper, laid down on card</t>
  </si>
  <si>
    <t>39bdbf23-d278-356e-b978-2201eaa9dab0</t>
  </si>
  <si>
    <t>Free and Easy</t>
  </si>
  <si>
    <t>Pen and brown ink with watercolor, heightened with gum varnish, on cream wove paper</t>
  </si>
  <si>
    <t>eb78ede8-2f51-cae7-a09a-9d4e13001516</t>
  </si>
  <si>
    <t>Dirt Road Landscape (recto); Landscape (verso)</t>
  </si>
  <si>
    <t>Pen and brown ink with watercolor over graphite (recto) and graphite (verso) on off-white wove paper</t>
  </si>
  <si>
    <t>James "Drunken" Robertson</t>
  </si>
  <si>
    <t>4b9170c0-01d8-5e8e-8c07-4a251c3ad782</t>
  </si>
  <si>
    <t>Looking Across Little Traverse Bay from sidewalk...</t>
  </si>
  <si>
    <t>John Elwood Bundy</t>
  </si>
  <si>
    <t>75038306-4359-b2f4-8d47-2ec88704269d</t>
  </si>
  <si>
    <t>Katwijk Beach</t>
  </si>
  <si>
    <t>Watercolor and gouache on ivory wove paper, laid down on board</t>
  </si>
  <si>
    <t>William Ritschel</t>
  </si>
  <si>
    <t>9dff0cc6-d859-699c-acf1-a5fad7311b9b</t>
  </si>
  <si>
    <t>Naples with Vesuvius</t>
  </si>
  <si>
    <t>c732f8e4-2924-973a-3a78-766f6d2bbb86</t>
  </si>
  <si>
    <t>Professor, Woman, Child and Dog in Cathedral Close</t>
  </si>
  <si>
    <t>Watercolor and gouache on ivory wove card</t>
  </si>
  <si>
    <t>Joseph Nash</t>
  </si>
  <si>
    <t>892c12fa-67ed-3b8e-62a5-c550cb526738</t>
  </si>
  <si>
    <t>530 x 395 mm</t>
  </si>
  <si>
    <t>Barefoot Child with Woman in Mountains</t>
  </si>
  <si>
    <t>Watercolor, over graphite, on ivory wove paper, tipped onto tan wove paper</t>
  </si>
  <si>
    <t>Hendrik Jan Cate</t>
  </si>
  <si>
    <t>aa249e60-1eb6-cf55-4d75-bda59ca58f61</t>
  </si>
  <si>
    <t>244 x 165 mm</t>
  </si>
  <si>
    <t>Ships in Harbor</t>
  </si>
  <si>
    <t>Watercolor, over graphite, on ivory wove card</t>
  </si>
  <si>
    <t>Henry Barlow Carter</t>
  </si>
  <si>
    <t>10934e70-33ed-ac1f-804e-463adac0eaed</t>
  </si>
  <si>
    <t>143 x 195 mm</t>
  </si>
  <si>
    <t>The Temple of Dendour, Nubia (Dendorack, Upper Egypt)</t>
  </si>
  <si>
    <t>Watercolor and gouache, over graphite, on gray wove paper</t>
  </si>
  <si>
    <t>David Roberts</t>
  </si>
  <si>
    <t>ececfb93-2190-fb08-7ea0-91e9d8ac11f3</t>
  </si>
  <si>
    <t>187 x 267 mm</t>
  </si>
  <si>
    <t>Three Men in Rowboat off Rocky Coast</t>
  </si>
  <si>
    <t>Watercolor, with scraping, on ivory wove paper</t>
  </si>
  <si>
    <t>Circle of Henry Barlow Carter</t>
  </si>
  <si>
    <t>4a689535-3780-3ab3-b50b-6b00fe41f970</t>
  </si>
  <si>
    <t>173 x 241 mm</t>
  </si>
  <si>
    <t>Duanle Castle</t>
  </si>
  <si>
    <t>Watercolor with scraping, on cream wove paper</t>
  </si>
  <si>
    <t>12fe4315-4a3f-f291-5b7b-e325c0231843</t>
  </si>
  <si>
    <t>172 x 242 mm</t>
  </si>
  <si>
    <t>Entrance Hall, Christchurch, Oxford</t>
  </si>
  <si>
    <t>Watercolor, over graphite, on ivory wove card, laid down on card</t>
  </si>
  <si>
    <t>George Pyne</t>
  </si>
  <si>
    <t>9bba1c7a-2db2-4ab0-c7a4-d73a1380f219</t>
  </si>
  <si>
    <t>177 x 226 mm</t>
  </si>
  <si>
    <t>Travelers Cooking at Roadside by Lake</t>
  </si>
  <si>
    <t>Watercolor, over graphite, with varnish, on ivory  wove paper, laid down on card</t>
  </si>
  <si>
    <t>John "Warwick" Smith</t>
  </si>
  <si>
    <t>608e6be0-ed14-9fc6-462e-1442b30da960</t>
  </si>
  <si>
    <t>408 x 530 mm</t>
  </si>
  <si>
    <t>Two Figures Looking at Bay</t>
  </si>
  <si>
    <t>Watercolor, over graphite, with varnish, on cream wove paper, laid down on cream wove card</t>
  </si>
  <si>
    <t>51c32893-a0b6-1e28-3fe4-1ac9e499f6f9</t>
  </si>
  <si>
    <t>400 x 535 mm</t>
  </si>
  <si>
    <t>Tudor House Fronts</t>
  </si>
  <si>
    <t>dbf45fa6-7463-a2b0-aff3-54137ad7e212</t>
  </si>
  <si>
    <t>349 x 300 mm</t>
  </si>
  <si>
    <t>Virginia Water</t>
  </si>
  <si>
    <t>Watercolor, over traces of black chalk, on ivory wove paper, laid down on board</t>
  </si>
  <si>
    <t>Jabez Bligh</t>
  </si>
  <si>
    <t>578cdfa5-d239-0808-0b3f-084cdd297928</t>
  </si>
  <si>
    <t>Rainbow in Pond with Fountain</t>
  </si>
  <si>
    <t>Watercolor and gouache, with scraping, on ivory laid paper, laid down on board</t>
  </si>
  <si>
    <t>a9c51da8-4270-2068-564b-95f4d960e168</t>
  </si>
  <si>
    <t>228 x 290 mm</t>
  </si>
  <si>
    <t>Schooner in Sail</t>
  </si>
  <si>
    <t>F. O. Merlin</t>
  </si>
  <si>
    <t>045c3d07-c60d-1cd3-14fc-1f44c48e4ae7</t>
  </si>
  <si>
    <t>125 x 380 mm</t>
  </si>
  <si>
    <t>Cottage on the Shore</t>
  </si>
  <si>
    <t>Oil paint on board</t>
  </si>
  <si>
    <t>c3bd55c5-7651-a87e-850b-24c60748040b</t>
  </si>
  <si>
    <t>187 x 370 mm</t>
  </si>
  <si>
    <t>Sketches of Men and Cows</t>
  </si>
  <si>
    <t>Pen and brown ink, with brush and brown wash and watercolor, with graphite, on ivory laid paper, tipped onto tan wove paper</t>
  </si>
  <si>
    <t>db4bc82e-421b-ec50-b645-1a2130571ee4</t>
  </si>
  <si>
    <t>175 x 193 mm</t>
  </si>
  <si>
    <t>Sketches of Travelers</t>
  </si>
  <si>
    <t>Pen and brown ink, with brush and brown wash, watercolor, and gouache, on cream laid paper, tipped onto tan wove paper</t>
  </si>
  <si>
    <t>18b48516-6fbd-6458-1400-b2235bf2333e</t>
  </si>
  <si>
    <t>213 x 163 mm</t>
  </si>
  <si>
    <t>Cow Herd Driven to River</t>
  </si>
  <si>
    <t>Watercolor on ivory wove paper, laid down on card</t>
  </si>
  <si>
    <t>9e9f68c8-8bf0-57c6-62ba-4c83367c50dc</t>
  </si>
  <si>
    <t>420 x 555 mm</t>
  </si>
  <si>
    <t>Watercolor and gouache, over traces of graphite, on ivory laid paper, laid down on card</t>
  </si>
  <si>
    <t>b1279f57-0bad-9f40-f2b6-a7a7925518d7</t>
  </si>
  <si>
    <t>396 x 468 mm</t>
  </si>
  <si>
    <t>Albert Daniel Rutherston</t>
  </si>
  <si>
    <t>Sketches of Peasants in Boulogne</t>
  </si>
  <si>
    <t>Watercolor over graphite, on ivory wove paper, tipped onto gray wove paper</t>
  </si>
  <si>
    <t>Frederick Christian Lewis</t>
  </si>
  <si>
    <t>09917431-5e0b-359d-1071-c16a7012cc12</t>
  </si>
  <si>
    <t>Watercolor heightened with gum varnish, on ivory wove paper</t>
  </si>
  <si>
    <t>aad71786-21e9-1ea2-c1d2-163e37552c15</t>
  </si>
  <si>
    <t>Sketch of Seated Woman in Peasant Costume</t>
  </si>
  <si>
    <t>John Frederick Lewis</t>
  </si>
  <si>
    <t>7893abdc-6616-9c52-e4eb-829e530dbf8a</t>
  </si>
  <si>
    <t>Sketches of Fishermen and Children at Hastings</t>
  </si>
  <si>
    <t>63bb0e1c-00f3-2362-2022-2662b4ffa948</t>
  </si>
  <si>
    <t>Scene at Lutworth</t>
  </si>
  <si>
    <t>Watercolor and gouache with scraping, over graphite, on cream wove paper, laid down on board</t>
  </si>
  <si>
    <t>85c55523-1e02-77c6-ed9d-3ca066081795</t>
  </si>
  <si>
    <t>Scarborough Shore</t>
  </si>
  <si>
    <t>William Roxby Beverley</t>
  </si>
  <si>
    <t>5163ab03-2c99-fdd9-8c1f-37b76f9d3013</t>
  </si>
  <si>
    <t>Convobuli and Nest</t>
  </si>
  <si>
    <t>Gouache on ivory wove paper, laid down on board</t>
  </si>
  <si>
    <t>c3d07c7b-abc8-ec63-a4ca-1e1d06a0392b</t>
  </si>
  <si>
    <t>Watercolor and graphite pencil on tan wove paper</t>
  </si>
  <si>
    <t>Figures in a Yellow Room</t>
  </si>
  <si>
    <t>Brush and black ink with wash and yellow watercolor, on pale yellow wove paper</t>
  </si>
  <si>
    <t>1f748509-8913-6284-369c-bdb0c9eadab9</t>
  </si>
  <si>
    <t>Cocktail Party</t>
  </si>
  <si>
    <t>Watercolor and gouache, with graphite, on ivory wove paper</t>
  </si>
  <si>
    <t>6ef3b72f-a605-a6b6-7964-dbc1eb81b738</t>
  </si>
  <si>
    <t>Watercolor and graphite on tan wove paper</t>
  </si>
  <si>
    <t>Woman with a Green Parrot</t>
  </si>
  <si>
    <t>Watercolor with gouache over graphite on cream wove paper</t>
  </si>
  <si>
    <t>Joaquin Agrasot y Juan</t>
  </si>
  <si>
    <t>16327d05-547a-526c-a8fb-d2510f049c8f</t>
  </si>
  <si>
    <t>Bust of Figure in Green</t>
  </si>
  <si>
    <t>Watercolor and gouache, with graphite, on cream wove paper</t>
  </si>
  <si>
    <t>a78ecefd-cd2e-b987-62df-0d4c23f1f53a</t>
  </si>
  <si>
    <t>Sir Edward Burne-Jones</t>
  </si>
  <si>
    <t>Woman in a Park</t>
  </si>
  <si>
    <t>Watercolor with colored chalks and black crayon on ivory watercolor paper</t>
  </si>
  <si>
    <t>Imitator of Maurice Brazil Prendergast</t>
  </si>
  <si>
    <t>b57a7e5a-10c3-e9b5-8221-d3ff84389fc6</t>
  </si>
  <si>
    <t>Head of a Damned Soul from Dante's "Inferno," (verso)</t>
  </si>
  <si>
    <t>e1e16ea4-4f55-e222-7f36-561eab6c68bd</t>
  </si>
  <si>
    <t>Watercolor and gouache, over traces of graphite, on cream board</t>
  </si>
  <si>
    <t>Walter Kamys</t>
  </si>
  <si>
    <t>ed61d166-ad81-9dce-c9c4-410b96f1dc1a</t>
  </si>
  <si>
    <t>Watercolor with touches of graphite on cream wove paper</t>
  </si>
  <si>
    <t>Watercolor on off-white wove paper</t>
  </si>
  <si>
    <t>Bullfight</t>
  </si>
  <si>
    <t>Hanging scroll; ink and colors on silk</t>
  </si>
  <si>
    <t>Landscape with Blue Mountains</t>
  </si>
  <si>
    <t>Watercolor, with wax crayon and touches of gouache, on pink laid paper</t>
  </si>
  <si>
    <t>198f30c0-9cb5-f894-1477-e1ecbc5950b3</t>
  </si>
  <si>
    <t>Black ballpoint pen and watercolor on tan wove paper</t>
  </si>
  <si>
    <t>Blue ballpoint pen and watercolor on tan wove paper</t>
  </si>
  <si>
    <t>The Entrance to the Harbor of Marseilles</t>
  </si>
  <si>
    <t>Watercolor with touches of gouache, over traces of graphite, and scraping, on off-white wove paper</t>
  </si>
  <si>
    <t>William Callow</t>
  </si>
  <si>
    <t>8e8bd85f-21e3-654e-998b-96c45a0ba6e9</t>
  </si>
  <si>
    <t>Sigmar Polke</t>
  </si>
  <si>
    <t>Kay Rosen</t>
  </si>
  <si>
    <t>Pascal-Adolphe-Jean Dagnan-Bouveret</t>
  </si>
  <si>
    <t>7a0e1a7e-c565-eff4-c905-3b3a54b263ec</t>
  </si>
  <si>
    <t>Mattamathics</t>
  </si>
  <si>
    <t>12d51cb8-7299-9a5c-12d0-437be56e6669</t>
  </si>
  <si>
    <t>Sunset</t>
  </si>
  <si>
    <t>Girl with Cat</t>
  </si>
  <si>
    <t>1ff6d8fe-5cc0-f7b4-5af5-870df19f0330</t>
  </si>
  <si>
    <t>Harbor at Neppermin</t>
  </si>
  <si>
    <t>ad7bc963-3511-da53-b729-79f3546a8d66</t>
  </si>
  <si>
    <t>Hommage Ã  H.M.</t>
  </si>
  <si>
    <t>Helen Frankenthaler</t>
  </si>
  <si>
    <t>Color Field</t>
  </si>
  <si>
    <t>af49b13d-d0ab-29d6-3c97-4670f37e332c</t>
  </si>
  <si>
    <t>Enamel and copper on wood</t>
  </si>
  <si>
    <t>a4db604f-3c38-e566-ecfe-1c894fc9e4b8</t>
  </si>
  <si>
    <t>Reconstruction #117</t>
  </si>
  <si>
    <t>Fabric</t>
  </si>
  <si>
    <t>Lucas Samaras</t>
  </si>
  <si>
    <t>bd21f2db-8998-42b9-0fca-8e9ba77ecd4d</t>
  </si>
  <si>
    <t>David Smith</t>
  </si>
  <si>
    <t>Archibald John Motley Jr.</t>
  </si>
  <si>
    <t>Mirror Dancer</t>
  </si>
  <si>
    <t>Gouache on black wove paper</t>
  </si>
  <si>
    <t>fa6a2345-4b97-9587-32f0-bd8ebdd835dc</t>
  </si>
  <si>
    <t>William Gropper</t>
  </si>
  <si>
    <t>June Leaf</t>
  </si>
  <si>
    <t>Woman Writing</t>
  </si>
  <si>
    <t>Esther Mitchell</t>
  </si>
  <si>
    <t>36d1d89f-6610-1f9c-7c59-463cb59f0b13</t>
  </si>
  <si>
    <t>Philip Evergood</t>
  </si>
  <si>
    <t>Eldzier Cortor</t>
  </si>
  <si>
    <t>Big School Picture; Little Paper Mural</t>
  </si>
  <si>
    <t>Gladys Nilsson</t>
  </si>
  <si>
    <t>67f9f074-8b24-716b-b0e0-10843162ea36</t>
  </si>
  <si>
    <t>Pen and black ink and watercolor, on off-white wove paper</t>
  </si>
  <si>
    <t>Gouache and graphite, with brown pencil, on ivory wove paper</t>
  </si>
  <si>
    <t>437d74f6-372e-bda3-d44f-2575434ac2b7</t>
  </si>
  <si>
    <t>After Picasso</t>
  </si>
  <si>
    <t>Graphite and red crayon and oil paint on paper mounted to plywood</t>
  </si>
  <si>
    <t>Enrico Baj</t>
  </si>
  <si>
    <t>ee0f279a-1e40-7a03-53b2-9aaa198aaff3</t>
  </si>
  <si>
    <t>The Englishman</t>
  </si>
  <si>
    <t>Gouache and graphite and red pencil on tracing paper mounted on plywood</t>
  </si>
  <si>
    <t>0264f72f-ddcb-b5b4-e437-1622e7026e20</t>
  </si>
  <si>
    <t>Brush and white gouache on black wove paper, tipped on pink wove paper (faded to salmon)</t>
  </si>
  <si>
    <t>5cc38b59-d001-5ce5-aac6-a8a79d6128d6</t>
  </si>
  <si>
    <t>Air-Bel</t>
  </si>
  <si>
    <t>Victor Brauner</t>
  </si>
  <si>
    <t>0f0231bf-d420-5509-f36b-2b98f9fccb3a</t>
  </si>
  <si>
    <t>Design for the Tempest</t>
  </si>
  <si>
    <t>Opaque watercolor with gold and silver metallic paint on ivory wove paper</t>
  </si>
  <si>
    <t>Leonora Carrington</t>
  </si>
  <si>
    <t>6afdd4d9-c511-6d5b-02e9-22f6985e21fc</t>
  </si>
  <si>
    <t>Girl on Park Bench</t>
  </si>
  <si>
    <t>Watercolor and gouache on off-white wove paper</t>
  </si>
  <si>
    <t>7bf2e45a-5e20-ea74-6c56-89041f8cf7ed</t>
  </si>
  <si>
    <t>Flies in the Face</t>
  </si>
  <si>
    <t>6fe9d903-1a9c-8441-039d-7eaa27817a1e</t>
  </si>
  <si>
    <t>Color woodblock print; koban</t>
  </si>
  <si>
    <t>Woodblock print; oban, sumizuri-e</t>
  </si>
  <si>
    <t>Albert Gleizes</t>
  </si>
  <si>
    <t>e13fab8d-1f02-2a50-523e-e8f94f767777</t>
  </si>
  <si>
    <t>David Alfaro Siqueiros</t>
  </si>
  <si>
    <t>Will Barnet</t>
  </si>
  <si>
    <t>Transplant Metaphysical</t>
  </si>
  <si>
    <t>Watercolor and black ink transfer, with pen and black ink, touches of red gouache, and traces of graphite, on cream laid paper, laid down on cream wood pulp laminate board</t>
  </si>
  <si>
    <t>b255641f-763e-2018-ccd6-97d02e2218d6</t>
  </si>
  <si>
    <t>Floral Still Life</t>
  </si>
  <si>
    <t>Watercolor, with touches of gouache on cream wove paper</t>
  </si>
  <si>
    <t>faaec01f-dacc-b7d1-6e19-663c10c2609b</t>
  </si>
  <si>
    <t>Boats in a Harbor</t>
  </si>
  <si>
    <t>Louis Valtat</t>
  </si>
  <si>
    <t>Til We Meet Again</t>
  </si>
  <si>
    <t>Oil and sand on cardboard</t>
  </si>
  <si>
    <t>d336320f-cc50-1b78-73f2-615a85ba156b</t>
  </si>
  <si>
    <t>Merrymakers in an Inn</t>
  </si>
  <si>
    <t>747149cf-b1eb-4877-52cb-49ba2341a72b</t>
  </si>
  <si>
    <t>The Maid</t>
  </si>
  <si>
    <t>035e8677-22c5-d349-d2a3-7a820e4f880d</t>
  </si>
  <si>
    <t>Seated Nude</t>
  </si>
  <si>
    <t>Watercolor with gouache on ivory wove paper</t>
  </si>
  <si>
    <t>54adc198-5b49-9d03-3d27-a1eda23aef10</t>
  </si>
  <si>
    <t>Idole II</t>
  </si>
  <si>
    <t>Gouache and watercolor over graphite on board</t>
  </si>
  <si>
    <t>156d9321-547b-1b62-63bc-aa284cc0bbe5</t>
  </si>
  <si>
    <t>Gentleman and Ballerina</t>
  </si>
  <si>
    <t>Watercolor and gouache with graphite on cream wove paper</t>
  </si>
  <si>
    <t>Richard Lindner</t>
  </si>
  <si>
    <t>ff20248c-7ed5-7dbd-ed36-a32c3995c845</t>
  </si>
  <si>
    <t>Watercolor, colored crayons and pencils, and graphite with smudging on ivory wove paper mounted to wood laminate board</t>
  </si>
  <si>
    <t>32ee1302-b6f1-4a77-711c-09ad3632aad1</t>
  </si>
  <si>
    <t>Personnage</t>
  </si>
  <si>
    <t>Maryan</t>
  </si>
  <si>
    <t>Virgin and Child with Angels</t>
  </si>
  <si>
    <t>Draped Female Figure at Prayer</t>
  </si>
  <si>
    <t>Brush and brown ink and watercolor on cream laid paper</t>
  </si>
  <si>
    <t>Francesco Fontebasso</t>
  </si>
  <si>
    <t>a2581f3d-f700-5a6a-ac35-6cd7ad32ae23</t>
  </si>
  <si>
    <t>John Hoppner</t>
  </si>
  <si>
    <t>The Broken Toy</t>
  </si>
  <si>
    <t>2e79603c-680b-0924-2902-5b78ed1fdaec</t>
  </si>
  <si>
    <t>Watercolor on ivory laid paper</t>
  </si>
  <si>
    <t>db0720b9-deb4-621a-2aac-088e07512a5b</t>
  </si>
  <si>
    <t>View of Windsor</t>
  </si>
  <si>
    <t>bfb9f3f6-507b-5451-d4be-808f98a66c2a</t>
  </si>
  <si>
    <t>Portrait of Lord Cornwallis</t>
  </si>
  <si>
    <t>Hand-colored aquatint with white lead (discolored) on cream wove paper</t>
  </si>
  <si>
    <t>652fcd52-0b95-0b36-b2e1-a508855462ba</t>
  </si>
  <si>
    <t>View of Douai</t>
  </si>
  <si>
    <t>Graphite, with watercolor, on ivory laid paper</t>
  </si>
  <si>
    <t>Frans van der Meulen</t>
  </si>
  <si>
    <t>f74b1088-f544-641a-649c-2661c5b852ca</t>
  </si>
  <si>
    <t>Wolfgang Paalen</t>
  </si>
  <si>
    <t>Kay Sage</t>
  </si>
  <si>
    <t>Bodhisattva</t>
  </si>
  <si>
    <t>Ink and colors on primed mud-wall construction</t>
  </si>
  <si>
    <t>6597bb58-d113-7369-7089-672f2d556dc3</t>
  </si>
  <si>
    <t>Green Park</t>
  </si>
  <si>
    <t>Watercolor and graphite on off-white wove paper</t>
  </si>
  <si>
    <t>Dorothea Tanning</t>
  </si>
  <si>
    <t>a39a59dd-54cb-47be-ea63-2bdd59cf8295</t>
  </si>
  <si>
    <t>Events</t>
  </si>
  <si>
    <t>Watercolor and graphite with charcoal on off-white wove paper</t>
  </si>
  <si>
    <t>5474c6b6-a26e-f583-eee8-304ba35deacb</t>
  </si>
  <si>
    <t>Pavel Tchelitchew</t>
  </si>
  <si>
    <t>Study for Cous-Cous</t>
  </si>
  <si>
    <t>Watercolor and pen and blue ink on cream wove paper, laid down on cardboard</t>
  </si>
  <si>
    <t>98102535-6705-4257-7b87-69ca43db6351</t>
  </si>
  <si>
    <t>Persian Hat</t>
  </si>
  <si>
    <t>Gouache with graphite on cardboard</t>
  </si>
  <si>
    <t>Julia Thecla</t>
  </si>
  <si>
    <t>35fa85f5-ae66-5049-b580-19d3860ed187</t>
  </si>
  <si>
    <t>Emergence</t>
  </si>
  <si>
    <t>Gouache with scraping, and touches of varnish, on cream wove paper</t>
  </si>
  <si>
    <t>Mark Tobey</t>
  </si>
  <si>
    <t>6bff7838-d11e-82e5-3448-14b9253f3554</t>
  </si>
  <si>
    <t>Brush and white gouache and watercolor, with incised lines on cream wove paper</t>
  </si>
  <si>
    <t>2375bc7c-87c8-0cda-bc44-d556b19f322f</t>
  </si>
  <si>
    <t>Max Weber</t>
  </si>
  <si>
    <t>John Wesley</t>
  </si>
  <si>
    <t>Wols</t>
  </si>
  <si>
    <t>Hot Fax</t>
  </si>
  <si>
    <t>9d1e8a40-d5d7-c4e9-4bc5-d4dea8ab31e3</t>
  </si>
  <si>
    <t>Floating Gardens</t>
  </si>
  <si>
    <t>Paul Ashbrook</t>
  </si>
  <si>
    <t>d221d528-619c-fe01-98d1-1a1955d3702e</t>
  </si>
  <si>
    <t>68.6 x 86.4 cm (27 x 34 in.)</t>
  </si>
  <si>
    <t>Lucian Freud</t>
  </si>
  <si>
    <t>Narcissa Niblack Thorne</t>
  </si>
  <si>
    <t>Charles Ephraim Burchfield</t>
  </si>
  <si>
    <t>Charles Green Shaw</t>
  </si>
  <si>
    <t>On the Bank</t>
  </si>
  <si>
    <t>Frederick Carl Frieseke</t>
  </si>
  <si>
    <t>be266c25-27f7-38fd-69fa-8efd1b985af2</t>
  </si>
  <si>
    <t>After Rain, Chicago</t>
  </si>
  <si>
    <t>Frank Charles Peyraud</t>
  </si>
  <si>
    <t>e24cdf40-ac21-84f7-d884-26b9bf00add9</t>
  </si>
  <si>
    <t>The Huckster Cart</t>
  </si>
  <si>
    <t>Robert Spencer</t>
  </si>
  <si>
    <t>9a48102a-2f39-d1bc-d696-64c1225eaf9a</t>
  </si>
  <si>
    <t>The Elusive Nature of Reality</t>
  </si>
  <si>
    <t>Watercolor, gouache, and graphite, with colored pencil, on off-white wove paper</t>
  </si>
  <si>
    <t>554d9d5b-aa7c-66d1-48d0-2999c30fe2ee</t>
  </si>
  <si>
    <t>Korean (culture or style)</t>
  </si>
  <si>
    <t>Study for Cache-Cache: Head of Autumn</t>
  </si>
  <si>
    <t>Watercolor and oil on ivory wove paper, laid down on gray board</t>
  </si>
  <si>
    <t>20d643a7-c591-5bef-0529-4e8bc2da7beb</t>
  </si>
  <si>
    <t>Warrington Colescott</t>
  </si>
  <si>
    <t>Pears</t>
  </si>
  <si>
    <t>Bernard Chaet</t>
  </si>
  <si>
    <t>2ed29b0e-52f7-1b51-d8f1-bb77a42d0097</t>
  </si>
  <si>
    <t>View of Manhattan</t>
  </si>
  <si>
    <t>9379030d-e4ec-367f-c5d3-ed2261e4c254</t>
  </si>
  <si>
    <t>Asher Brown Durand</t>
  </si>
  <si>
    <t>Richard Hamilton</t>
  </si>
  <si>
    <t>Yaddo Series: Old Birch Tree</t>
  </si>
  <si>
    <t>Patricia Tobacco Forrester</t>
  </si>
  <si>
    <t>e6982bae-90aa-e5e5-d72c-2edab7e86b9f</t>
  </si>
  <si>
    <t>Granite Dells III</t>
  </si>
  <si>
    <t>Peter Holbrook</t>
  </si>
  <si>
    <t>f56dc396-7c69-46a9-42c5-4416ac98d9d1</t>
  </si>
  <si>
    <t>Don Nice</t>
  </si>
  <si>
    <t>Ferdinand Hodler</t>
  </si>
  <si>
    <t>William Morris Hunt</t>
  </si>
  <si>
    <t>Roger Brown</t>
  </si>
  <si>
    <t>Nicolas de StaÃ«l</t>
  </si>
  <si>
    <t>Dead Cormorant</t>
  </si>
  <si>
    <t>Walter Inglis Anderson</t>
  </si>
  <si>
    <t>8339810a-2ebb-5aea-4a86-9f777e4ff2c3</t>
  </si>
  <si>
    <t>Giovanni Bellini</t>
  </si>
  <si>
    <t>Seascape</t>
  </si>
  <si>
    <t>e89659da-cd49-3e9a-99d0-ea906dc6de02</t>
  </si>
  <si>
    <t>Praying Saint (Moses?) with Christ in a Historiated Initial "L", from a Choirbook</t>
  </si>
  <si>
    <t>Manuscript cutting in tempera and gold leaf, with gothica textura inscriptions in light black ink, verso, ruled in red, on parchment</t>
  </si>
  <si>
    <t>Neri da Rimini</t>
  </si>
  <si>
    <t>308fb5b0-97a5-fe9d-1c25-783ba98b621b</t>
  </si>
  <si>
    <t>Carroll Dunham</t>
  </si>
  <si>
    <t>Rosemarie Trockel</t>
  </si>
  <si>
    <t>Saints Peter and Paul in a Historiated Initial "N" from a Choirbook</t>
  </si>
  <si>
    <t>Manuscript cutting in tempera and gold leaf, with gothica textualis inscriptions in silver ink, on parchment</t>
  </si>
  <si>
    <t>08f51138-fa0c-90b4-fd64-538a8b4597ac</t>
  </si>
  <si>
    <t>Saint in a Historiated Initial from a Choirbook</t>
  </si>
  <si>
    <t>Manuscript cutting in tempera and gold leaf, with incising, and with gothica textualis inscriptions in black ink, ruled in red ink, on parchment</t>
  </si>
  <si>
    <t>Cristoforo Cortese</t>
  </si>
  <si>
    <t>b3f721e7-ed4a-5aba-bc53-97c083bb0181</t>
  </si>
  <si>
    <t>Roy Lichtenstein</t>
  </si>
  <si>
    <t>Sam Francis</t>
  </si>
  <si>
    <t>Decorated Initial "O" with Flowers from a Choir Book</t>
  </si>
  <si>
    <t>85c2fb63-208d-fcea-2912-338768a78619</t>
  </si>
  <si>
    <t>Decorated Initial "D" with Acanthus Leaves from a Choir Book</t>
  </si>
  <si>
    <t>48a2360b-8f69-4694-42e5-70bc3a78565b</t>
  </si>
  <si>
    <t>Decorated Initial "E" with Flowers from a Choir Book</t>
  </si>
  <si>
    <t>e4eef7e7-b0f6-ac59-0d04-cd786a3b2cdb</t>
  </si>
  <si>
    <t>Decorated Initial "G" with Flowers from a Choir Book</t>
  </si>
  <si>
    <t>3c5a4ebc-3d58-5b0e-42b7-f4563bcfe939</t>
  </si>
  <si>
    <t>Decorated Initial "L" with Flowers from a Choir Book</t>
  </si>
  <si>
    <t>5a4cf869-751e-4e4b-feda-21cc464cf8ac</t>
  </si>
  <si>
    <t>Edward Joseph Ruscha</t>
  </si>
  <si>
    <t>Decorated Initial "M" with Flowers from a Choirbook</t>
  </si>
  <si>
    <t>Manuscript cutting in tempera and gold leaf, with red and warm black ink, on vellum</t>
  </si>
  <si>
    <t>7ea102ee-3e37-2931-8c55-028ffb4dc68b</t>
  </si>
  <si>
    <t>Decorated Initial "S" with Flowers from a Choirbook</t>
  </si>
  <si>
    <t>8db6b602-32c3-2819-e3c4-1d6c359626b9</t>
  </si>
  <si>
    <t>Decorated Initial "T" with Flowers from a Choirbook</t>
  </si>
  <si>
    <t>797e76aa-9e07-2f84-5095-bcb438120a73</t>
  </si>
  <si>
    <t>Decorated Initial "O" or "A" with Flowers from a Choirbook</t>
  </si>
  <si>
    <t>06a79f3c-639c-a22e-57ea-bbe7d431c216</t>
  </si>
  <si>
    <t>Portable Garbo</t>
  </si>
  <si>
    <t>Wilhelm Freddie</t>
  </si>
  <si>
    <t>e1073f1d-ea9a-6182-f9d8-d207a4e5a0b9</t>
  </si>
  <si>
    <t>Study for Aspects of Negro Life: The Negro in an African Setting</t>
  </si>
  <si>
    <t>Gouache, with touches of graphite, on illustration board</t>
  </si>
  <si>
    <t>Aaron Douglas</t>
  </si>
  <si>
    <t>ba5502b5-2d55-373b-8ee2-6f4f0bb4c902</t>
  </si>
  <si>
    <t>The Coffee House</t>
  </si>
  <si>
    <t>Alson Skinner Clark</t>
  </si>
  <si>
    <t>cf5de951-64e9-d78c-4847-d80c9fbff168</t>
  </si>
  <si>
    <t>Renganeschi's Saturday Night</t>
  </si>
  <si>
    <t>c1649f5f-f6c2-c518-07ef-a2114ec7ff59</t>
  </si>
  <si>
    <t>La Double vue</t>
  </si>
  <si>
    <t>98ad3e41-14ec-b957-a12a-c35e865ac61a</t>
  </si>
  <si>
    <t>29 1/2 x 21 1/2 in. (75 x 54.6 cm)
32 1/4 x 24 1/2 x 2 in. (framed)</t>
  </si>
  <si>
    <t>Bad Times</t>
  </si>
  <si>
    <t>2ba52998-3adf-80e3-8efb-54dd9d83b5cd</t>
  </si>
  <si>
    <t>The White Horse</t>
  </si>
  <si>
    <t>Herman Menzel</t>
  </si>
  <si>
    <t>d374d390-2f73-71ba-f6c1-f077fc6f2672</t>
  </si>
  <si>
    <t>Red Hills with Flowers</t>
  </si>
  <si>
    <t>dc49268e-ecd0-6603-67f7-aad81769bda2</t>
  </si>
  <si>
    <t>January 1957 (Goblets in Shadow)</t>
  </si>
  <si>
    <t>Paint and graphite on fiberboard</t>
  </si>
  <si>
    <t>0d2ba269-48fc-5416-7f81-9b36db07dda0</t>
  </si>
  <si>
    <t>The Red Apple</t>
  </si>
  <si>
    <t>Acrylic on panel</t>
  </si>
  <si>
    <t>48844783-2ac8-5c2f-f792-c3a18ce3da3f</t>
  </si>
  <si>
    <t>Turning Point of Thirst</t>
  </si>
  <si>
    <t>Oil on canvas with painted frame</t>
  </si>
  <si>
    <t>3914ee3e-f510-b95f-a455-099d92b75734</t>
  </si>
  <si>
    <t>Departure of Summer</t>
  </si>
  <si>
    <t>79ebd91e-d0b0-d82e-446c-b33da86c4fb0</t>
  </si>
  <si>
    <t>Wyoming Landscape</t>
  </si>
  <si>
    <t>Oil on Masonite</t>
  </si>
  <si>
    <t>Aaron Bohrod</t>
  </si>
  <si>
    <t>21adb467-6455-bbf5-9b5e-010f01f43bd1</t>
  </si>
  <si>
    <t>The Circus Rider</t>
  </si>
  <si>
    <t>1c2cc4ae-7a15-b94e-1bcd-a588ffa38ac1</t>
  </si>
  <si>
    <t>Acolo</t>
  </si>
  <si>
    <t>Encaustic and collage on paper on board</t>
  </si>
  <si>
    <t>b93d60cf-b866-21e3-67fc-df1a37b04dba</t>
  </si>
  <si>
    <t>Two Nude Women</t>
  </si>
  <si>
    <t>Gouache, possibly casein, on panel</t>
  </si>
  <si>
    <t>a4989ecb-b3dc-1350-f672-d9da71a640d4</t>
  </si>
  <si>
    <t>Little Sneerer</t>
  </si>
  <si>
    <t>cda850e5-8e19-87c5-b09c-17e646036452</t>
  </si>
  <si>
    <t>Untitled (Birds)</t>
  </si>
  <si>
    <t>Oil and sand on linen mounted on Masonite pressed-wood board, with cork frame by the artist</t>
  </si>
  <si>
    <t>28e63b46-0162-c93d-5370-f448ada5aa7f</t>
  </si>
  <si>
    <t>Garden Airplane-Trap</t>
  </si>
  <si>
    <t>583859c3-cf78-288f-dd2d-78a364b07d49</t>
  </si>
  <si>
    <t>Oil on glass</t>
  </si>
  <si>
    <t>dbb43155-d06d-be4f-e583-647becae064e</t>
  </si>
  <si>
    <t>a0f44dd2-2908-112e-62fd-a3bce34c5199</t>
  </si>
  <si>
    <t>Carnival</t>
  </si>
  <si>
    <t>John Graham</t>
  </si>
  <si>
    <t>Apotheosis</t>
  </si>
  <si>
    <t>Oil paint and graphite with smudging on tan wove paper, laid down on Japanese paper</t>
  </si>
  <si>
    <t>662a3250-6d28-6e5f-2d33-026204c965d0</t>
  </si>
  <si>
    <t>Study for "The Jungle"</t>
  </si>
  <si>
    <t>Tempera, with touches of pastel, on tan wove paper, laid down on canvas</t>
  </si>
  <si>
    <t>e2236393-2fbd-ca73-c3f8-406e9ebbfafe</t>
  </si>
  <si>
    <t>The Banquet</t>
  </si>
  <si>
    <t>d2c459c3-c6cf-551b-fd27-5a2854b9fa81</t>
  </si>
  <si>
    <t>Untitled (Two Death's Heads)</t>
  </si>
  <si>
    <t>f9deae9e-bc51-53e5-75d3-759e5b03ade5</t>
  </si>
  <si>
    <t>Untitled (Psychological Morphology)</t>
  </si>
  <si>
    <t>38fca3f3-264f-cb08-16de-3accc1cb8996</t>
  </si>
  <si>
    <t>Drive in the Knife</t>
  </si>
  <si>
    <t>7ba54d10-aa5f-cec2-f7c1-1a5f130c6546</t>
  </si>
  <si>
    <t>Untitled (Match-Woman I)</t>
  </si>
  <si>
    <t>Oil on canvas with wooden matchsticks, hairpins, coins, leather hair rollers, and string</t>
  </si>
  <si>
    <t>Francis Picabia</t>
  </si>
  <si>
    <t>ce4f8db6-62eb-6c05-2198-4b63867e12f5</t>
  </si>
  <si>
    <t>965fb9fe-c899-149d-4da8-43e255630073</t>
  </si>
  <si>
    <t>de Stijl</t>
  </si>
  <si>
    <t>Christopher Columbus</t>
  </si>
  <si>
    <t>29c3b2f9-d629-62e5-baa0-4badde72b67f</t>
  </si>
  <si>
    <t>Standing Woman</t>
  </si>
  <si>
    <t>Oil and oil wash, with charcoal, on cream wove paper; mounted along edges to a wood stretcher</t>
  </si>
  <si>
    <t>a1bfab10-acb0-f786-7864-cefb6718e246</t>
  </si>
  <si>
    <t>Gemini</t>
  </si>
  <si>
    <t>cf83e46d-cb8f-3864-5ee0-bdc50ea4db26</t>
  </si>
  <si>
    <t>The Dwarf</t>
  </si>
  <si>
    <t>Portrait of a Young Man</t>
  </si>
  <si>
    <t>Claude Jean Baptiste Hoin</t>
  </si>
  <si>
    <t>The Village Houses</t>
  </si>
  <si>
    <t>f0eb5ebc-696a-24fe-be73-142415aa2c10</t>
  </si>
  <si>
    <t>Portrait of Clowns</t>
  </si>
  <si>
    <t>Walt Kuhn</t>
  </si>
  <si>
    <t>a799c64e-66dd-f356-5851-c2a9d5e922cc</t>
  </si>
  <si>
    <t>Red-Haired Girl</t>
  </si>
  <si>
    <t>Emil Nolde</t>
  </si>
  <si>
    <t>60dfae2d-9ab3-f468-a7a6-c00443f35246</t>
  </si>
  <si>
    <t>View of a Southern French City</t>
  </si>
  <si>
    <t>80b95c4e-8bed-3e21-1573-b339c6cda0f4</t>
  </si>
  <si>
    <t>Corpse and Mirror II</t>
  </si>
  <si>
    <t>Oil and sand on four joined canvases, with artist's painted frame</t>
  </si>
  <si>
    <t>0b884b37-acec-7c15-5077-927bb991f69e</t>
  </si>
  <si>
    <t>Edmund Blampied</t>
  </si>
  <si>
    <t>The Silence of Night</t>
  </si>
  <si>
    <t>William Wendt</t>
  </si>
  <si>
    <t>a66caf23-d8db-3bba-55bd-40c59127c322</t>
  </si>
  <si>
    <t>The Tune and Also the Words</t>
  </si>
  <si>
    <t>Gouache over traces of graphite on cream wove paper</t>
  </si>
  <si>
    <t>767f4732-e9f2-3a46-c785-b2ee7109d3aa</t>
  </si>
  <si>
    <t>Untitled (Devil)</t>
  </si>
  <si>
    <t>Gouache on corrugated cardboard</t>
  </si>
  <si>
    <t>18d5e00d-b59f-c7c2-4c7e-33d6602e46cd</t>
  </si>
  <si>
    <t>Head of a Guillotined Man</t>
  </si>
  <si>
    <t>2b1cba5a-f194-266b-5357-b437fada0b3b</t>
  </si>
  <si>
    <t>West Street, New York</t>
  </si>
  <si>
    <t>Portrait of a Young Lady</t>
  </si>
  <si>
    <t>Autumn</t>
  </si>
  <si>
    <t>A Family Group</t>
  </si>
  <si>
    <t>Homage to Leger with K. K. [Katharine Kuh]</t>
  </si>
  <si>
    <t>a0649606-38df-3931-993d-adda35cd92bf</t>
  </si>
  <si>
    <t>Dr. Jonathan Potts (1745-1781)</t>
  </si>
  <si>
    <t>Henry Benbridge</t>
  </si>
  <si>
    <t>cc9c8cae-efc5-f5d4-5ac3-991a118004c8</t>
  </si>
  <si>
    <t>Quiet Blue</t>
  </si>
  <si>
    <t>Watercolor with graphite and scraping on off-white watercolor paper</t>
  </si>
  <si>
    <t>Rainey Bennett</t>
  </si>
  <si>
    <t>a218ffae-1a4e-2ff4-97b8-ab6e6d91728d</t>
  </si>
  <si>
    <t>The Eye</t>
  </si>
  <si>
    <t>40bf35ab-2898-650e-9e27-d38c4cf39a30</t>
  </si>
  <si>
    <t>Angel</t>
  </si>
  <si>
    <t>Landscape with Dog</t>
  </si>
  <si>
    <t>Oil on composition board</t>
  </si>
  <si>
    <t>Thomas Doughty</t>
  </si>
  <si>
    <t>08b38ff2-2659-2c0b-dba8-221e173f4fc3</t>
  </si>
  <si>
    <t>Barnyard in Pennsylvania</t>
  </si>
  <si>
    <t>Edward Lamson Henry</t>
  </si>
  <si>
    <t>a828a8cd-9ed9-6d27-8cc0-ccfb8444b0e7</t>
  </si>
  <si>
    <t>Woman with a Book</t>
  </si>
  <si>
    <t>Oil on yellow poplar panel</t>
  </si>
  <si>
    <t>Jonas Welch Holman</t>
  </si>
  <si>
    <t>8ce83a09-9b09-0d08-ef30-93b6ba6439a2</t>
  </si>
  <si>
    <t>Man with a Pen</t>
  </si>
  <si>
    <t>b2f75a32-a859-e514-3715-2700ed54550b</t>
  </si>
  <si>
    <t>Boy of Hallett Family with Dog</t>
  </si>
  <si>
    <t>ade9c4c4-93e9-3635-5604-841d571aa8b8</t>
  </si>
  <si>
    <t>Oil on wood panel</t>
  </si>
  <si>
    <t>Capture of the Tripoli by the Enterprise</t>
  </si>
  <si>
    <t>Thomas Birch</t>
  </si>
  <si>
    <t>2b219d21-c128-ea2e-cb0b-69d2e9e98e5e</t>
  </si>
  <si>
    <t>Oil on millboard</t>
  </si>
  <si>
    <t>Eastman Johnson</t>
  </si>
  <si>
    <t>c8eacf36-436a-f4df-819e-d8fefbfac1d2</t>
  </si>
  <si>
    <t>Study for "An Aragonese Smuggler"</t>
  </si>
  <si>
    <t>William Turner Dannat</t>
  </si>
  <si>
    <t>1dec252a-a3bd-aa36-8085-96eba58cdf07</t>
  </si>
  <si>
    <t>Penitent Saint Peter</t>
  </si>
  <si>
    <t>d51eb11c-da63-0888-0a59-6a5ef0631142</t>
  </si>
  <si>
    <t>Wind-Swept Sands</t>
  </si>
  <si>
    <t>William Merritt Chase</t>
  </si>
  <si>
    <t>ff5e49d3-448f-2aba-4461-6e36c1dc7dfa</t>
  </si>
  <si>
    <t>Kasuga Deer Mandala</t>
  </si>
  <si>
    <t>Ink, colors, and gold on silk</t>
  </si>
  <si>
    <t>Mandara Shika</t>
  </si>
  <si>
    <t>97d81945-a05e-2a05-a78d-73678bbd2d55</t>
  </si>
  <si>
    <t>Persons Haunted by a Bird</t>
  </si>
  <si>
    <t>Gouache and black crayon, with watercolor and touches of brown crayon, over traces of charcoal, on off-white wove paper</t>
  </si>
  <si>
    <t>1f4b8060-4270-d486-31aa-ad78e65a2f03</t>
  </si>
  <si>
    <t>Edgar Miller</t>
  </si>
  <si>
    <t>Mrs. Potter Palmer</t>
  </si>
  <si>
    <t>Painting (The Circus Horse)</t>
  </si>
  <si>
    <t>5d3eec02-5b6f-1954-c6f1-63c159415cd5</t>
  </si>
  <si>
    <t>Girl in Brown Checkered Dress</t>
  </si>
  <si>
    <t>91767d18-c10c-1901-5eeb-740c7fb186be</t>
  </si>
  <si>
    <t>Opaque watercolor, gold, and ink on paper</t>
  </si>
  <si>
    <t>Opaque watercolor with gold on paper</t>
  </si>
  <si>
    <t>Mughal</t>
  </si>
  <si>
    <t>Seine and Pont Royal</t>
  </si>
  <si>
    <t>a8eadbd0-f4a1-0934-0470-3a53557fae7f</t>
  </si>
  <si>
    <t>11c44e48-d9d8-e6e2-2bd2-023ec14cbe13</t>
  </si>
  <si>
    <t>The Children's Lunch</t>
  </si>
  <si>
    <t>Alexander Brook</t>
  </si>
  <si>
    <t>16f58e07-f189-e5f8-fe17-c4bb14abfc7f</t>
  </si>
  <si>
    <t>Charles X in his Coronation Robes</t>
  </si>
  <si>
    <t>Watercolor, over graphite, on ivory laid paper, squared in red chalk and graphite, perimeter mounted on cream wove paper and wrapped on board</t>
  </si>
  <si>
    <t>1b5f6f80-f43d-f710-7759-6b95de9d2c87</t>
  </si>
  <si>
    <t>Richard Prince</t>
  </si>
  <si>
    <t>Andy Warhol</t>
  </si>
  <si>
    <t>Domenico Beccafumi, called Il Mecarino</t>
  </si>
  <si>
    <t>John McLaughlin</t>
  </si>
  <si>
    <t>Composition with Gallows</t>
  </si>
  <si>
    <t>Watercolor, and pen and black ink, on gray laid paper with red and black fibers</t>
  </si>
  <si>
    <t>25cee84d-b035-336b-b5b5-a1be8b2ec8b0</t>
  </si>
  <si>
    <t>Winter</t>
  </si>
  <si>
    <t>Karel Appel</t>
  </si>
  <si>
    <t>KÃ¤the Kollwitz</t>
  </si>
  <si>
    <t>Boats at Rest</t>
  </si>
  <si>
    <t>Arthur Wesley Dow</t>
  </si>
  <si>
    <t>56a4af78-1d23-3e2a-6119-8aa47e0cf285</t>
  </si>
  <si>
    <t>The Grey Bodice</t>
  </si>
  <si>
    <t>1d820e91-2d4c-90ff-d9b3-6bb7bb329242</t>
  </si>
  <si>
    <t>Moshe Tamir</t>
  </si>
  <si>
    <t>Robert Indiana</t>
  </si>
  <si>
    <t>Rehearsal of the Pasdeloup Orchestra at the Cirque d'Hiver</t>
  </si>
  <si>
    <t>f7ef1f0f-c5c9-6794-9283-2e7ebcde95cd</t>
  </si>
  <si>
    <t>Life Study (Study of an Egyptian Girl)</t>
  </si>
  <si>
    <t>e6dd6199-c245-d1b4-a997-ce89eafb48ca</t>
  </si>
  <si>
    <t>Woman with Umbrella</t>
  </si>
  <si>
    <t>George Mueller</t>
  </si>
  <si>
    <t>1f854a80-bd89-d8e8-940d-3d9f1cf8ab6f</t>
  </si>
  <si>
    <t>Thomas Cole</t>
  </si>
  <si>
    <t>White Heron in a Pool in a Garden</t>
  </si>
  <si>
    <t>ac116018-617a-5655-29b2-331770a2c8b5</t>
  </si>
  <si>
    <t>43fcfad0-8256-4923-9f9c-03ca90417907</t>
  </si>
  <si>
    <t>Campaign</t>
  </si>
  <si>
    <t>Circles of Confusion I</t>
  </si>
  <si>
    <t>Oil on pressed paperboard</t>
  </si>
  <si>
    <t>Hale Woodruff</t>
  </si>
  <si>
    <t>42411c30-02ce-1972-be90-06720ee774fd</t>
  </si>
  <si>
    <t>Laurette with a Cup of Coffee</t>
  </si>
  <si>
    <t>72d28816-c42f-af88-63fc-d12426db240e</t>
  </si>
  <si>
    <t>Judith with the Head of Holofernes</t>
  </si>
  <si>
    <t>Flowers</t>
  </si>
  <si>
    <t>Gouache, selectively incised, on cream wove paper</t>
  </si>
  <si>
    <t>bb1e0eb4-251e-8ae6-ff37-043073104886</t>
  </si>
  <si>
    <t>Robert Genin</t>
  </si>
  <si>
    <t>The Bathers</t>
  </si>
  <si>
    <t>Saint Mary Magdalene</t>
  </si>
  <si>
    <t>Maria Helena Vieira da Silva</t>
  </si>
  <si>
    <t>f35779bf-5034-d714-2ee5-0840ece22592</t>
  </si>
  <si>
    <t>Jean Lurcat</t>
  </si>
  <si>
    <t>Baptism of Christ</t>
  </si>
  <si>
    <t>Caspar Netscher</t>
  </si>
  <si>
    <t>Head and Two Lions</t>
  </si>
  <si>
    <t>Pen and brush with brown wash, over traces of graphite, on ivory wove paper</t>
  </si>
  <si>
    <t>6e8375f0-e76c-9159-4831-548ae39b8c9a</t>
  </si>
  <si>
    <t>Decorated Initial "I" with Acorns and Leaves from a Choir Book</t>
  </si>
  <si>
    <t>Manuscript cutting in tempera and ink, with Latin inscriptions in black and red ink, ruled in light brown ink, on vellum</t>
  </si>
  <si>
    <t>5b6f6d4c-9951-dd7f-0149-5aece783d72f</t>
  </si>
  <si>
    <t>Master of the Dominican Effigies</t>
  </si>
  <si>
    <t>Oskar Kokoschka</t>
  </si>
  <si>
    <t>Nicolas Brouwer</t>
  </si>
  <si>
    <t>Adolph Friedrich Erdmann von Menzel</t>
  </si>
  <si>
    <t>Tempera and gold leaf on vellum, laid down on wood panel</t>
  </si>
  <si>
    <t>Egregius Pictor Franciscus</t>
  </si>
  <si>
    <t>d5e530dd-02d3-db01-0c34-f5f8d4da72d8</t>
  </si>
  <si>
    <t>Cagnes</t>
  </si>
  <si>
    <t>429629b1-0966-8238-30c8-953fe783c6fd</t>
  </si>
  <si>
    <t>Ladder to the Light</t>
  </si>
  <si>
    <t>6550ee41-15f6-3cd6-9ac4-402090726faa</t>
  </si>
  <si>
    <t>Growth</t>
  </si>
  <si>
    <t>Esteban Vicente</t>
  </si>
  <si>
    <t>7fde5797-ca4d-212a-f0e3-20383b0f55a6</t>
  </si>
  <si>
    <t>Perugino</t>
  </si>
  <si>
    <t>Hibiscus and Magpies</t>
  </si>
  <si>
    <t>Ink and color on paper.</t>
  </si>
  <si>
    <t>Baiitsu Yamamoto</t>
  </si>
  <si>
    <t>7a1da150-3432-77ab-4d5e-590b98166509</t>
  </si>
  <si>
    <t>Donald Judd</t>
  </si>
  <si>
    <t>Farm Begonia</t>
  </si>
  <si>
    <t>Sondra Freckelton</t>
  </si>
  <si>
    <t>afe7dafb-90d2-a532-294b-a75d4d5831de</t>
  </si>
  <si>
    <t>Cycladic Dome</t>
  </si>
  <si>
    <t>Watercolor, gouache, and graphite on ivory Japanese paper</t>
  </si>
  <si>
    <t>Susan Shatter</t>
  </si>
  <si>
    <t>b142a472-5d65-c662-42fe-05fd1532cde4</t>
  </si>
  <si>
    <t>Three Love Birds</t>
  </si>
  <si>
    <t>Oil paint on white wove paper</t>
  </si>
  <si>
    <t>06735f67-8e84-c642-19be-c37399e1dc1f</t>
  </si>
  <si>
    <t>Figure Study</t>
  </si>
  <si>
    <t>Sir John Edward Poynter</t>
  </si>
  <si>
    <t>Alaska</t>
  </si>
  <si>
    <t>Four Sketches of Arab Men</t>
  </si>
  <si>
    <t>Watercolor and graphite, on tan wove paper, tipped onto cream board</t>
  </si>
  <si>
    <t>3bc21c85-4e83-a70d-837f-21e8b403a17c</t>
  </si>
  <si>
    <t>Figures</t>
  </si>
  <si>
    <t>Seated Woman</t>
  </si>
  <si>
    <t>Young Woman</t>
  </si>
  <si>
    <t>Two Figures</t>
  </si>
  <si>
    <t>The Schooner Jane of Bath, Maine</t>
  </si>
  <si>
    <t>dcad8730-941b-a68e-0edb-fb60cef0d6a3</t>
  </si>
  <si>
    <t>Battle Scene</t>
  </si>
  <si>
    <t>Diamond Dust Joseph Beuys</t>
  </si>
  <si>
    <t>Acrylic, silkscreen ink, and diamond dust on linen</t>
  </si>
  <si>
    <t>4fc4f3c4-8388-4d89-a570-01d0fb629572</t>
  </si>
  <si>
    <t>Still Life on Red Background</t>
  </si>
  <si>
    <t>Oil on canvas board</t>
  </si>
  <si>
    <t>c4cf11c2-2870-b745-3cf6-a562c74bb4b9</t>
  </si>
  <si>
    <t>50.8 x 40 cm. (20 x 15 3/4")</t>
  </si>
  <si>
    <t>Midday Sorrow</t>
  </si>
  <si>
    <t>Angel Planells</t>
  </si>
  <si>
    <t>ddf1a4f4-e390-c23a-68b2-37e1a1561a6f</t>
  </si>
  <si>
    <t>Bruce Alonzo Goff</t>
  </si>
  <si>
    <t>Ferdinand Bol</t>
  </si>
  <si>
    <t>Drawing for Sculpture</t>
  </si>
  <si>
    <t>Watercolor, with pen and black ink, over graphite on tan wove paper, laid down on cream mat board</t>
  </si>
  <si>
    <t>59b2b4cb-5223-e842-da43-90ea793fbd26</t>
  </si>
  <si>
    <t>Mrs. Hugh Morgan and Her Daughter</t>
  </si>
  <si>
    <t>00df5b07-1d76-b1da-93ed-b98bb0700c3d</t>
  </si>
  <si>
    <t>The Search</t>
  </si>
  <si>
    <t>Edgar Britton</t>
  </si>
  <si>
    <t>Eleanor Coen</t>
  </si>
  <si>
    <t>Briggs Dyer</t>
  </si>
  <si>
    <t>Todros Geller</t>
  </si>
  <si>
    <t>Chickens</t>
  </si>
  <si>
    <t>The Prophet</t>
  </si>
  <si>
    <t>The Sisters</t>
  </si>
  <si>
    <t>Saint Catherine Delivered from the Wheel</t>
  </si>
  <si>
    <t>Oil and tempera on panel</t>
  </si>
  <si>
    <t>f6103cb8-ee9b-2334-96f5-9ac8e07f8b78</t>
  </si>
  <si>
    <t>William Samuel Schwartz</t>
  </si>
  <si>
    <t>Adrian Troy</t>
  </si>
  <si>
    <t>Sunflowers</t>
  </si>
  <si>
    <t>Grapes</t>
  </si>
  <si>
    <t>Landscape with Figures</t>
  </si>
  <si>
    <t>The River</t>
  </si>
  <si>
    <t>The Juggler</t>
  </si>
  <si>
    <t>Georg Redlich</t>
  </si>
  <si>
    <t>Girl on Stool</t>
  </si>
  <si>
    <t>Watercolor drawing on cream wove paper</t>
  </si>
  <si>
    <t>38ff3d6b-063b-d6f2-096d-7c6617fe363d</t>
  </si>
  <si>
    <t>Polish Refugee</t>
  </si>
  <si>
    <t>Gouache and ink, with black crayon on paper</t>
  </si>
  <si>
    <t>1fcd56fc-b1b1-7e9d-2eef-87a1456b9aba</t>
  </si>
  <si>
    <t>Dead Sunflowers and Mark (sic)</t>
  </si>
  <si>
    <t>Gouache on buff paper, mounted on off-white paper</t>
  </si>
  <si>
    <t>09cdd7ad-d512-39c7-16d3-491be97b13c3</t>
  </si>
  <si>
    <t>Constellation</t>
  </si>
  <si>
    <t>Ink with gouache on tan paper, mounted on off-white paper</t>
  </si>
  <si>
    <t>5667be08-db77-2c96-05da-16810bee5058</t>
  </si>
  <si>
    <t>Extreme Unction</t>
  </si>
  <si>
    <t>Ink and watercolor drawing on cream wove paper mounted on brown paper</t>
  </si>
  <si>
    <t>d7060341-814c-5ed8-885d-5ef46de616d7</t>
  </si>
  <si>
    <t>2ebd8ef2-d8e8-f0f2-2d1f-c19cec39d799</t>
  </si>
  <si>
    <t>Madam Fremault</t>
  </si>
  <si>
    <t>Casein drawing on cream wove paper</t>
  </si>
  <si>
    <t>70739aaf-5319-8fb3-2bf3-266e167b2815</t>
  </si>
  <si>
    <t>Felix Ruvolo</t>
  </si>
  <si>
    <t>Backyard of the Gold Coast</t>
  </si>
  <si>
    <t>2453bde3-efba-2a1a-c17c-fd28b1c1deef</t>
  </si>
  <si>
    <t>For Mercy's Sake Do Not Tempt Me</t>
  </si>
  <si>
    <t>Gouache, with brush and black wash, over graphite, on ivory board</t>
  </si>
  <si>
    <t>Henry Marriott Paget</t>
  </si>
  <si>
    <t>d27e921c-089c-b2e7-b4da-914a6950777b</t>
  </si>
  <si>
    <t>Rockwell Kent</t>
  </si>
  <si>
    <t>Photograph</t>
  </si>
  <si>
    <t>Morris Kantor</t>
  </si>
  <si>
    <t>Watercolor and graphite on paper</t>
  </si>
  <si>
    <t>Johnny Safe Returned to His Mamma</t>
  </si>
  <si>
    <t>Watercolor on paper (removed from book)</t>
  </si>
  <si>
    <t>8758fb08-3384-dd96-a029-b53b5dbef41d</t>
  </si>
  <si>
    <t>Abstraction (Guitar and Glass)</t>
  </si>
  <si>
    <t>9f91f7e3-daa8-8969-31c1-892d5af19404</t>
  </si>
  <si>
    <t>Mercury rescues the disguised Io after beheading Argus</t>
  </si>
  <si>
    <t>Johann Michael Rottmayr</t>
  </si>
  <si>
    <t>4b08c9e2-6df3-c2ff-da33-bb78d41bde97</t>
  </si>
  <si>
    <t>Diana and Endymion</t>
  </si>
  <si>
    <t>ab49fdd2-5acc-981e-f11e-c631bbd5487f</t>
  </si>
  <si>
    <t>Venus and Cupid at the Forge of Vulcan</t>
  </si>
  <si>
    <t>59ce4cb2-beae-5492-0d83-345cbc0745c2</t>
  </si>
  <si>
    <t>Jove casts his Thunderbolts at the Rebellious Giants</t>
  </si>
  <si>
    <t>ea80056a-5db8-b4b8-6110-3d12902b99cc</t>
  </si>
  <si>
    <t>Portrait of the Artist's Sister</t>
  </si>
  <si>
    <t>Georges Lemmen</t>
  </si>
  <si>
    <t>f652ab04-9d66-c3c3-6b5e-c2891fc3a891</t>
  </si>
  <si>
    <t>Theodosius Repulsed from the Church by Saint Ambrose</t>
  </si>
  <si>
    <t>da256af1-651b-72a4-2d0f-59cf461f29c7</t>
  </si>
  <si>
    <t>Pool in Sherman Glen</t>
  </si>
  <si>
    <t>Watercolor over graphite on ivory laminate board</t>
  </si>
  <si>
    <t>John Scott Williams</t>
  </si>
  <si>
    <t>29ce6ab8-6f9a-d496-d6b1-d8f193af0c6f</t>
  </si>
  <si>
    <t>View of Pirna with the Fortress of Sonnenstein</t>
  </si>
  <si>
    <t>Bernardo Bellotto</t>
  </si>
  <si>
    <t>ddd364dd-f791-ed27-4297-ea47fde36f12</t>
  </si>
  <si>
    <t>Kewalo Close-Up</t>
  </si>
  <si>
    <t>Ralston Crawford</t>
  </si>
  <si>
    <t>90b89735-8645-89c9-f011-619308670d0f</t>
  </si>
  <si>
    <t>Study for El Meusaje</t>
  </si>
  <si>
    <t>Gouache, over graphite, on cream wove paper</t>
  </si>
  <si>
    <t>9dec9668-c38b-906d-cc66-9e63d71c958d</t>
  </si>
  <si>
    <t>17364cef-e6b3-00c3-9252-1be884abc116</t>
  </si>
  <si>
    <t>Study for Self-Portrait</t>
  </si>
  <si>
    <t>913ad071-da92-7e8f-0708-cee60a7718a3</t>
  </si>
  <si>
    <t>Study for the Oracle</t>
  </si>
  <si>
    <t>ede8c5ab-8f27-b349-66e4-7dddb7835df9</t>
  </si>
  <si>
    <t>744a8adc-2f60-8809-7d3c-27cfbc3327e1</t>
  </si>
  <si>
    <t>44f73eab-2ff9-8803-f644-eb69a7663c3d</t>
  </si>
  <si>
    <t>b8167f19-08b4-80df-584f-b0ca1a40829c</t>
  </si>
  <si>
    <t>767db750-2abc-0cb4-57ff-46cd55a434b7</t>
  </si>
  <si>
    <t>Study for The Dead Bird</t>
  </si>
  <si>
    <t>d93ec200-f63e-a677-1ba5-b4806b5c2447</t>
  </si>
  <si>
    <t>406c359f-3672-5bb2-a1e6-6219e223a2bb</t>
  </si>
  <si>
    <t>Tightrope Walkers</t>
  </si>
  <si>
    <t>Maria Lani</t>
  </si>
  <si>
    <t>Black oil paint, gouache, and touches of gum on ivory wove paper</t>
  </si>
  <si>
    <t>9991c839-39b8-efba-8d9a-f0b69875a76b</t>
  </si>
  <si>
    <t>The Laundress</t>
  </si>
  <si>
    <t>John Robert Cozens</t>
  </si>
  <si>
    <t>Edward Lear</t>
  </si>
  <si>
    <t>John Linnell</t>
  </si>
  <si>
    <t>Thomas Moran</t>
  </si>
  <si>
    <t>Louis Gabriel Moreau</t>
  </si>
  <si>
    <t>Elie Nadelman</t>
  </si>
  <si>
    <t>Paul Nash</t>
  </si>
  <si>
    <t>Adrian Ludwig (Ludwig) Richter</t>
  </si>
  <si>
    <t>Edward Savage</t>
  </si>
  <si>
    <t>Charles Sheeler</t>
  </si>
  <si>
    <t>John Henry Twachtman</t>
  </si>
  <si>
    <t>Claude Joseph Vernet</t>
  </si>
  <si>
    <t>Blasted Tree</t>
  </si>
  <si>
    <t>Jasper Francis Cropsey</t>
  </si>
  <si>
    <t>d33c55db-d036-0e1c-b8fe-4ba5b74efb03</t>
  </si>
  <si>
    <t>Tarahumares of the State of Chihuahua, from Mexican Costume</t>
  </si>
  <si>
    <t>Gouache and graphite stenciled drawing on illustration board</t>
  </si>
  <si>
    <t>b938d4ea-1e11-4e80-a440-14d5c9816bc8</t>
  </si>
  <si>
    <t>Huastecs of the State of San Luis Potosi, from Mexican Costume</t>
  </si>
  <si>
    <t>572359d9-1bcf-d1f1-1082-ed0dc813fda0</t>
  </si>
  <si>
    <t>Huicholes of the States of Nayarit and Jalisco, from Mexican Costume</t>
  </si>
  <si>
    <t>528dda18-a6e7-2b00-7070-1bc495013839</t>
  </si>
  <si>
    <t>Charros from the States of Hidalgo, Jalisco, Puebla, and the Federal District, from Mexican Costume</t>
  </si>
  <si>
    <t>738831f4-f9c4-ef6b-025c-84eaaa026b37</t>
  </si>
  <si>
    <t>Otomies of the States of Hidalgo, Mexico, Tlaxcala and Puebla, from Mexican Costume</t>
  </si>
  <si>
    <t>861a7b79-2146-382b-6480-15d30e8a4b35</t>
  </si>
  <si>
    <t>Aztecs of the State of Mexico, from Mexican Costume</t>
  </si>
  <si>
    <t>92ff6d6f-462a-15b3-6df0-9e374005328c</t>
  </si>
  <si>
    <t>Hueyapan of the State of Puebla, from Mexican Costume</t>
  </si>
  <si>
    <t>1536f8df-71e0-25c5-600f-a5d298d97e6e</t>
  </si>
  <si>
    <t>Toltecs of the State of Puebla, from Mexican Costume</t>
  </si>
  <si>
    <t>faeac822-88ab-179e-d71c-9fb96d951851</t>
  </si>
  <si>
    <t>Otomies of the State of Puebla, from Mexican Costume</t>
  </si>
  <si>
    <t>63295c2e-b16f-ca5a-1af2-60e7973da72f</t>
  </si>
  <si>
    <t>41a65f4f-af9f-2ac2-6d62-f9119e265ecb</t>
  </si>
  <si>
    <t>5bafce3a-5d1a-1592-373d-a455850bae34</t>
  </si>
  <si>
    <t>Totonacs of the State of Veracruz, from Mexican Costume</t>
  </si>
  <si>
    <t>0b81e083-0ed8-82e6-e066-3e28d73eca65</t>
  </si>
  <si>
    <t>Chinantecs of the State of Oaxaca, from Mexican Costume</t>
  </si>
  <si>
    <t>b5ce34ab-cd9f-e640-1d11-1344a8262029</t>
  </si>
  <si>
    <t>Ozumazins of the State of Oaxaca, from Mexican Costume</t>
  </si>
  <si>
    <t>2a4bfed5-6ba1-af0f-15c8-b8561ba47215</t>
  </si>
  <si>
    <t>Yalaltecs of the State of Oaxaca, from Mexican Costume</t>
  </si>
  <si>
    <t>9ff96799-cfd8-bf50-f8af-08910c8a3ed5</t>
  </si>
  <si>
    <t>Mazatecs of the State of Oaxaca, from Mexican Costume</t>
  </si>
  <si>
    <t>35632bc7-7e39-a21f-40af-62ca619422bb</t>
  </si>
  <si>
    <t>Mixtecs of the State of Oaxaca, from Mexican Costume</t>
  </si>
  <si>
    <t>a678624e-ee5e-8880-d025-6a371b4bbf13</t>
  </si>
  <si>
    <t>Triques of the State of Oaxaca, from Mexican Costume</t>
  </si>
  <si>
    <t>713f4261-8be6-d42a-c1c3-852a3308e60b</t>
  </si>
  <si>
    <t>Zapotecs of the State of Oaxaca (A), from Mexican Costume</t>
  </si>
  <si>
    <t>014c187b-7317-c4f2-a056-976a67928f6c</t>
  </si>
  <si>
    <t>Zapotecs of the State of Oaxaca (B), from Mexican Costume</t>
  </si>
  <si>
    <t>4cb91855-cb79-5235-c412-787c35a293d8</t>
  </si>
  <si>
    <t>Mixe of the State of Oaxaca, from Mexican Costume</t>
  </si>
  <si>
    <t>6ec3e88b-ae2e-09e8-146f-c7d67fef6a4a</t>
  </si>
  <si>
    <t>Tzeltzales of the State of Chiapas, from Mexican Costume</t>
  </si>
  <si>
    <t>416e6166-57b9-9541-4cab-b03ac4a3208d</t>
  </si>
  <si>
    <t>Chamulas of the State of Chiapas, from Mexican Costume</t>
  </si>
  <si>
    <t>43467dab-4055-3459-63a3-ac7be55cdf24</t>
  </si>
  <si>
    <t>Mestizos of the State of Yucatan, from Mexican Costume</t>
  </si>
  <si>
    <t>ace0e025-07f5-3eae-5b7b-683cf4095b21</t>
  </si>
  <si>
    <t>Cupid's Hunting Fields</t>
  </si>
  <si>
    <t>Gouache, with watercolor and gold and silver paints on ivory wove paper, laid down on linen canvas</t>
  </si>
  <si>
    <t>4bdff9ea-3a92-cde8-b3a2-0bde3f0d717a</t>
  </si>
  <si>
    <t>Julia Fish</t>
  </si>
  <si>
    <t>Artist and Model in the Suburbs</t>
  </si>
  <si>
    <t>Collage composed of cut and pasted wallpaper, watercolor, and gouache with touches of graphite on off-white wove paper</t>
  </si>
  <si>
    <t>cb7d7f30-e47e-23cd-9b08-72732f7d859c</t>
  </si>
  <si>
    <t>Pen and black ink, watercolor and gouache on cream wove paper</t>
  </si>
  <si>
    <t>Edwin Walter Dickinson</t>
  </si>
  <si>
    <t>The Wedding Gifts</t>
  </si>
  <si>
    <t>Gouache, with traces of graphite, on ivory wove paper</t>
  </si>
  <si>
    <t>Elsie Driggs</t>
  </si>
  <si>
    <t>b06ac8ac-b9c4-e733-e6cd-1920ea9f7884</t>
  </si>
  <si>
    <t>William Steig</t>
  </si>
  <si>
    <t>Hedda Sterne</t>
  </si>
  <si>
    <t>Intertexture</t>
  </si>
  <si>
    <t>Gouache and watercolor on tan wove paper</t>
  </si>
  <si>
    <t>4b60f66e-6090-4c96-af9d-5cc8f21979a3</t>
  </si>
  <si>
    <t>Houses at Murnau</t>
  </si>
  <si>
    <t>Vasily Kandinsky</t>
  </si>
  <si>
    <t>3f732b69-0ae7-7d1e-ad53-e20b0cc2de72</t>
  </si>
  <si>
    <t>Composition with Statuette</t>
  </si>
  <si>
    <t>66493773-b3e5-38f8-87f2-fbcc54c8ba64</t>
  </si>
  <si>
    <t>Two Personages in Love with a Woman</t>
  </si>
  <si>
    <t>a3eb2691-7469-0925-1649-8a22a6600c7a</t>
  </si>
  <si>
    <t>Ragini Gaund, Page from a Jaipur Ragamala Set</t>
  </si>
  <si>
    <t>a787b13e-6c41-1245-ecf4-d48a3cec6297</t>
  </si>
  <si>
    <t>Ragini Kakubha, Page from a Jaipur Ragamala Set</t>
  </si>
  <si>
    <t>4237947a-8908-0a35-9f20-bc803f549f36</t>
  </si>
  <si>
    <t>ancient</t>
  </si>
  <si>
    <t>Torii Kiyonobu I</t>
  </si>
  <si>
    <t>Summer (recto)</t>
  </si>
  <si>
    <t>c000546e-c620-cf37-65df-8c852aeab864</t>
  </si>
  <si>
    <t>Rain in the Mountains</t>
  </si>
  <si>
    <t>Gilbert Stuart</t>
  </si>
  <si>
    <t>Bearded Lady</t>
  </si>
  <si>
    <t>Black and White</t>
  </si>
  <si>
    <t>Abstract Expressionism</t>
  </si>
  <si>
    <t>Wine, Cheese, and Fruit</t>
  </si>
  <si>
    <t>John F. Francis</t>
  </si>
  <si>
    <t>a2f4085a-6715-212a-c5fa-aa88a4692df0</t>
  </si>
  <si>
    <t>Krishna Fluting for the Gopis</t>
  </si>
  <si>
    <t>Opaque watercolor, gold and tin alloy on paper</t>
  </si>
  <si>
    <t>kotah</t>
  </si>
  <si>
    <t>26dffbf4-b8b4-889a-8faf-a9366d8114dd</t>
  </si>
  <si>
    <t>Painted Banner (paubha) of Goddess Ushnishavijaya Within a Funerary Mound (chaitya) and Surrounded by Chaityas</t>
  </si>
  <si>
    <t>Opaque watercolor with gold on cotton</t>
  </si>
  <si>
    <t>d9624683-20a2-5073-1406-8ff451f2068a</t>
  </si>
  <si>
    <t>Four Princes in Procession Visit a Sage, page from a copy of the Ramayana</t>
  </si>
  <si>
    <t>3689df31-7765-4fcb-0bd4-cbb3ea2ec91c</t>
  </si>
  <si>
    <t>Maurice de Vlaminck</t>
  </si>
  <si>
    <t>Abhisarika Nayika (Heroine Running to Meet her Lover)</t>
  </si>
  <si>
    <t>Opaque watercolor and gold on wove paper</t>
  </si>
  <si>
    <t>4cb3e735-e0b4-7c8d-5cef-78230983d1be</t>
  </si>
  <si>
    <t>Ink and colors on paper</t>
  </si>
  <si>
    <t>Love's Melancholy</t>
  </si>
  <si>
    <t>Constant Mayer</t>
  </si>
  <si>
    <t>57279626-f248-4b4d-7ce1-37105c3bc186</t>
  </si>
  <si>
    <t>The Constellation Leo, folio probably from the Kitab suwar al-kawakib al-thabita (Book of the Images of the Fixed Stars)</t>
  </si>
  <si>
    <t>521f1b87-f5c8-d80e-8cc9-0f67dcb5115d</t>
  </si>
  <si>
    <t>Double Title Page of a copy of the Shahnama of Firdausi</t>
  </si>
  <si>
    <t>3efc0a83-1f6d-7ee2-4338-22e348424756</t>
  </si>
  <si>
    <t>Judge (Qazi) of Hamadan in a Drunken State, a scene from the Gulistan of Sa'di</t>
  </si>
  <si>
    <t>8013d2b1-a3e3-bf7f-b28e-510b0a3efee5</t>
  </si>
  <si>
    <t>Chained Prisoners are Brought Before a King, a scene from the Gulistan of Sa'di</t>
  </si>
  <si>
    <t>af55c636-a584-e216-f785-f2c43fdf68a9</t>
  </si>
  <si>
    <t>Iskander Comforts the Dying Darius</t>
  </si>
  <si>
    <t>34e256c1-7729-0637-6abc-e94a87aa4431</t>
  </si>
  <si>
    <t>The Infant Krishna Spirited Away by Vasudev, from a copy of the Dispersed Bhagavat Purana</t>
  </si>
  <si>
    <t>380a210c-78a1-4d67-5c41-1bfe6126eadc</t>
  </si>
  <si>
    <t>Royal Women Feeding Fish</t>
  </si>
  <si>
    <t>a7e14fce-b22c-a81e-ffb5-0809a239ccaa</t>
  </si>
  <si>
    <t>Lovers in a Zenana Garden at Night</t>
  </si>
  <si>
    <t>5acf227e-4a04-ef83-65e3-84285f9af16d</t>
  </si>
  <si>
    <t>A Young Prince on Horseback</t>
  </si>
  <si>
    <t>94fe15b9-10af-554a-6620-82ac2bc4cb1e</t>
  </si>
  <si>
    <t>Saracens and Crusaders</t>
  </si>
  <si>
    <t>0515789f-d834-ad28-48c4-473ccf1eecc5</t>
  </si>
  <si>
    <t>The Flagellation and The Crucifixion, from a Psalter</t>
  </si>
  <si>
    <t>Opaque watercolor, gold leaf, and shell gold, with pen and red and white ink (recto), and pen and red and black ink (verso), on parchment</t>
  </si>
  <si>
    <t>089d5c1e-3e15-3974-8130-635cf1e82cec</t>
  </si>
  <si>
    <t>Volunteer</t>
  </si>
  <si>
    <t>6c66d5f0-a6ff-09e5-6c9b-c4a5ca80e396</t>
  </si>
  <si>
    <t>A Study for the Card Players</t>
  </si>
  <si>
    <t>Watercolor with graphite on beige wove paper</t>
  </si>
  <si>
    <t>9b6abc40-f5ff-ae36-2753-e8467c9eafd1</t>
  </si>
  <si>
    <t>Karl Hofer</t>
  </si>
  <si>
    <t>Kitao Shigemasa</t>
  </si>
  <si>
    <t>Architecture</t>
  </si>
  <si>
    <t>Landscapes</t>
  </si>
  <si>
    <t>Album leaves; ink and color on paper</t>
  </si>
  <si>
    <t>Huang Binhong</t>
  </si>
  <si>
    <t>b8f5b24e-d8f8-88f8-8869-b75f29a7601a</t>
  </si>
  <si>
    <t>5d1e201c-71f9-4304-261c-a335d6d3a78f</t>
  </si>
  <si>
    <t>f7a19f52-d1e7-aa37-396d-20f9c88f23c4</t>
  </si>
  <si>
    <t>Ernst Damitz</t>
  </si>
  <si>
    <t>Le Cirque</t>
  </si>
  <si>
    <t>Jean Dufy</t>
  </si>
  <si>
    <t>6e991d18-f0b5-5396-5201-f5a6dc6cbea8</t>
  </si>
  <si>
    <t>Tarragona Terrace and Garden</t>
  </si>
  <si>
    <t>Watercolor and opaque watercolor with printed paper fragments over traces of graphite on ivory wove paper</t>
  </si>
  <si>
    <t>931edccd-9a37-bfa7-d9a5-13d644956b40</t>
  </si>
  <si>
    <t>A Bull Fight</t>
  </si>
  <si>
    <t>Watercolor and gouache on paper</t>
  </si>
  <si>
    <t>Roberto Domingo y Fallola</t>
  </si>
  <si>
    <t>98f484cf-9dcd-d803-7256-9aba9a8e86f5</t>
  </si>
  <si>
    <t>Le Semaphore, Honfleur</t>
  </si>
  <si>
    <t>2abab6f4-a7ca-e846-28ed-1c459e355a31</t>
  </si>
  <si>
    <t>Forest Scene</t>
  </si>
  <si>
    <t>Watercolor and opaque watercolor with scraping, over traces of graphite wove paper mounted on board</t>
  </si>
  <si>
    <t>6f4297f5-36eb-6b88-2ee9-0964d85ab5a8</t>
  </si>
  <si>
    <t>I'll Soon Take All This Out of Him...</t>
  </si>
  <si>
    <t>cd879f7b-7308-f887-8f96-5b04e487ff69</t>
  </si>
  <si>
    <t>Oh, You Should Have Seen Old Tom</t>
  </si>
  <si>
    <t>56bb73d6-f164-d130-9964-fcb495d93c20</t>
  </si>
  <si>
    <t>Pink Coated Rider</t>
  </si>
  <si>
    <t>8ba2df27-c178-63c2-d925-d31e32524394</t>
  </si>
  <si>
    <t>A Real Miltonian</t>
  </si>
  <si>
    <t>7e2690ce-5d38-39dc-a158-ed25f6c3c924</t>
  </si>
  <si>
    <t>A Polo Match</t>
  </si>
  <si>
    <t>Lionel Edwards</t>
  </si>
  <si>
    <t>0938006f-becb-9265-d979-bf3c7eb24c8d</t>
  </si>
  <si>
    <t>Mare and Foal Grazing by the Sea</t>
  </si>
  <si>
    <t>993fbd86-1d6f-7f5e-d4ef-a8056527607e</t>
  </si>
  <si>
    <t>Horse and Rider with Hunt Beyond</t>
  </si>
  <si>
    <t>2fe5bfd1-77d5-5252-53f8-d4c50be5d6be</t>
  </si>
  <si>
    <t>The Finish</t>
  </si>
  <si>
    <t>b10a512b-4b4e-aa7c-bd10-eddebb041aae</t>
  </si>
  <si>
    <t>Horses in a Paddock in Winter</t>
  </si>
  <si>
    <t>e3094ab5-fc4b-16fc-f4a4-091608906ed6</t>
  </si>
  <si>
    <t>Landscape at Arles</t>
  </si>
  <si>
    <t>Pen and brown ink over graphite on cream wove paper</t>
  </si>
  <si>
    <t>1d789b2f-7821-b5a8-5f84-6fb2549b4e30</t>
  </si>
  <si>
    <t>Courtyard</t>
  </si>
  <si>
    <t>Portrait of a Seated Woman</t>
  </si>
  <si>
    <t>Gertrude Abercrombie</t>
  </si>
  <si>
    <t>56adb33f-d208-2932-9f91-d48ba7088995</t>
  </si>
  <si>
    <t>Lady Reading the Letters of Heloise and Abelard</t>
  </si>
  <si>
    <t>Auguste Bernard, called Bernard d'Agesci</t>
  </si>
  <si>
    <t>8115bdb2-1a8c-bb25-a37b-5f804f3a84a9</t>
  </si>
  <si>
    <t>nabis</t>
  </si>
  <si>
    <t>e0d8104e-eaf0-0bbc-748d-ecc8d190c4cf</t>
  </si>
  <si>
    <t>The Defense of Paris</t>
  </si>
  <si>
    <t>Jean Louis Ernest Meissonier</t>
  </si>
  <si>
    <t>f66e2513-20d7-f876-c880-858d585e57fb</t>
  </si>
  <si>
    <t>Broken and Restored Multiplication</t>
  </si>
  <si>
    <t>Oil and silver paper on canvas</t>
  </si>
  <si>
    <t>Suzanne Duchamp</t>
  </si>
  <si>
    <t>Calligram</t>
  </si>
  <si>
    <t>0fa47cd1-ade2-c57a-733f-ba3f08ee47be</t>
  </si>
  <si>
    <t>Ginny with the Yellow Hat</t>
  </si>
  <si>
    <t>Alice Neel</t>
  </si>
  <si>
    <t>d82d7e71-2a95-0b05-2bc5-4772d6d9c966</t>
  </si>
  <si>
    <t>a481e513-cf95-38f9-5fed-c64e151f255b</t>
  </si>
  <si>
    <t>Exotics</t>
  </si>
  <si>
    <t>Oil on burlap</t>
  </si>
  <si>
    <t>edac05ea-4a88-35c5-07ae-93c31f94ac31</t>
  </si>
  <si>
    <t>Ocean Undulations Revealing Particles of Sand and Coral</t>
  </si>
  <si>
    <t>Gouache and watercolor, with brush and black ink, gold and silver metallic paint, and touches of pen and black ink on ivory wove paper</t>
  </si>
  <si>
    <t>Barbara Aubin</t>
  </si>
  <si>
    <t>475973ac-4b39-e46d-b869-a64ba99ae24b</t>
  </si>
  <si>
    <t>Fourth Avenue</t>
  </si>
  <si>
    <t>Georges Mathieu</t>
  </si>
  <si>
    <t>20df9945-e1f0-ed0c-84cf-8bed34db7af1</t>
  </si>
  <si>
    <t>Young Spartan Girls Challenging Boys</t>
  </si>
  <si>
    <t>ca2932b4-6c0c-5482-2ae5-8b74926d7b73</t>
  </si>
  <si>
    <t>Woman Bathing</t>
  </si>
  <si>
    <t>Portrait of a Woman in an Orange Blouse</t>
  </si>
  <si>
    <t>Watercolor with gouache, over graphite, on ivory wove paper, laid down on cream wood-pulp laminate board</t>
  </si>
  <si>
    <t>Ben Silbert</t>
  </si>
  <si>
    <t>f074f008-2f52-a948-3393-4e0a566c0990</t>
  </si>
  <si>
    <t>Portrait Study of Goeritz and Wife</t>
  </si>
  <si>
    <t>Watercolor, on cream wove paper</t>
  </si>
  <si>
    <t>3229553b-0f85-8e28-6d5d-b10b36cf045b</t>
  </si>
  <si>
    <t>Gouache and traces of graphite on green board</t>
  </si>
  <si>
    <t>4e4a8116-d407-3f1c-5f79-eed88a965655</t>
  </si>
  <si>
    <t>Judith in Reverie</t>
  </si>
  <si>
    <t>Egg tempera on ivory wove paper.</t>
  </si>
  <si>
    <t>Robert Julius Brawley</t>
  </si>
  <si>
    <t>46908fdb-a2da-cab4-dac5-c7d5c933647a</t>
  </si>
  <si>
    <t>Watercolor on white wove paper</t>
  </si>
  <si>
    <t>Still Life with Gray II</t>
  </si>
  <si>
    <t>Watercolor and traces of graphite on off-white paper</t>
  </si>
  <si>
    <t>Elizabeth Osborne</t>
  </si>
  <si>
    <t>e0861275-ddd2-29ad-5b1f-175fd0423cbc</t>
  </si>
  <si>
    <t>Untitled (Studies of Fish)</t>
  </si>
  <si>
    <t>Dana Van Horn</t>
  </si>
  <si>
    <t>b11f8fe6-cdfc-8777-90b9-ab2374f68e4a</t>
  </si>
  <si>
    <t>Paper Plates</t>
  </si>
  <si>
    <t>Gouache and watercolor, over graphite on ivory wove paper</t>
  </si>
  <si>
    <t>Helen Torr</t>
  </si>
  <si>
    <t>1f239a15-b401-39e6-3817-ff6110f6d480</t>
  </si>
  <si>
    <t>Pen and brown ink, with stumped pastel, watercolor wash, and traces of white chalk on beige wove paper, discolored to cream</t>
  </si>
  <si>
    <t>b4706466-96dc-70e8-7404-51b4b1467757</t>
  </si>
  <si>
    <t>Kenneth Price</t>
  </si>
  <si>
    <t>Artistic Comedy</t>
  </si>
  <si>
    <t>Watercolor over traces of graphite on ivory laid paper, laid down on cream card</t>
  </si>
  <si>
    <t>44152676-35b2-d5db-99d4-1bdd05a7e5bb</t>
  </si>
  <si>
    <t>Great Harbor</t>
  </si>
  <si>
    <t>Watercolor on off-white laid paper</t>
  </si>
  <si>
    <t>6e3789c3-05e0-5774-f1f7-0cb99ac054af</t>
  </si>
  <si>
    <t>Woman in Evolution</t>
  </si>
  <si>
    <t>Watercolor and dilute oil paint on cream wove paper</t>
  </si>
  <si>
    <t>dcdf38a5-214f-7396-fa6a-1ee822269af0</t>
  </si>
  <si>
    <t>Pen and brush and black ink, with watercolor, red ink, and touches of gouache, over traces of graphite on off-white wove paper</t>
  </si>
  <si>
    <t>81092fc9-b36e-b8c2-db93-f4ca6ccb2ff4</t>
  </si>
  <si>
    <t>95b528e9-74ec-862e-7c67-54e6cb4feac0</t>
  </si>
  <si>
    <t>The Harvest Girl</t>
  </si>
  <si>
    <t>William Adolphe Bouguereau</t>
  </si>
  <si>
    <t>bf94bb5f-5140-9f70-e97a-597fc7522133</t>
  </si>
  <si>
    <t>42 x 25 1/2 in. (106.7 x 65 cm)</t>
  </si>
  <si>
    <t>Allegorical Figure</t>
  </si>
  <si>
    <t>aee6e53a-5938-6507-dcb2-cbdb44a7b3c7</t>
  </si>
  <si>
    <t>Saint Anthony Appearing to a Sick Man</t>
  </si>
  <si>
    <t>Oil paint on tan laid paper, laid down on gray-brown card, laid down on album</t>
  </si>
  <si>
    <t>Follower of Domenico Tintoretto</t>
  </si>
  <si>
    <t>22f948c5-adf0-56e1-c5f2-12574ef461d9</t>
  </si>
  <si>
    <t>Dada Gauguin</t>
  </si>
  <si>
    <t>Gouache and ink on printed paper</t>
  </si>
  <si>
    <t>3f2e7bce-a8f2-562a-5f8f-90932bdc6af8</t>
  </si>
  <si>
    <t>Thomas Girtin</t>
  </si>
  <si>
    <t>Watercolor over graphite on paper, laid down on board</t>
  </si>
  <si>
    <t>c57f3a72-41f2-e119-9a5f-36b1b3998155</t>
  </si>
  <si>
    <t>Idelle Weber</t>
  </si>
  <si>
    <t>George Peter Alexander Healy</t>
  </si>
  <si>
    <t>89fda02c-4a5d-1c23-b358-827cc99cea4e</t>
  </si>
  <si>
    <t>Ben Shahn</t>
  </si>
  <si>
    <t>Indian Encampment</t>
  </si>
  <si>
    <t>Oil on artist's board or particle board</t>
  </si>
  <si>
    <t>Ralph Albert Blakelock</t>
  </si>
  <si>
    <t>f2a407ae-5859-f508-217d-bc166d553d61</t>
  </si>
  <si>
    <t>The Attack on Chew's House during the Battle of Germantown, 1777</t>
  </si>
  <si>
    <t>a6f189f9-4bd8-85c4-ac28-0497458efa49</t>
  </si>
  <si>
    <t>North Conway, White Horse Ledge</t>
  </si>
  <si>
    <t>e376496c-6f77-80ba-eee2-c7c2fa322e15</t>
  </si>
  <si>
    <t>John La Farge</t>
  </si>
  <si>
    <t>An Artist Adoring a Statue of Virtue</t>
  </si>
  <si>
    <t>Watercolor and gouache, over black chalk, on ivory laid paper, laid down on off-white laid paper</t>
  </si>
  <si>
    <t>4bb462f0-63dc-fe7e-0703-8a9cdf18986c</t>
  </si>
  <si>
    <t>Portrait of Gala with Two Lamb Chops in Equilibrium upon Her Shoulder</t>
  </si>
  <si>
    <t>India ink on painted olive-wood block</t>
  </si>
  <si>
    <t>5c09e0db-b781-b569-69df-0a06f3ab9eba</t>
  </si>
  <si>
    <t>Lantern</t>
  </si>
  <si>
    <t>View on the Wensum at King Street, Taken from Foundary Bridge</t>
  </si>
  <si>
    <t>John Thirtle</t>
  </si>
  <si>
    <t>b597db82-6a98-f24b-8b07-e54032264281</t>
  </si>
  <si>
    <t>Pieta</t>
  </si>
  <si>
    <t>Eve</t>
  </si>
  <si>
    <t>Chez les Maories: Sauvageries (At Home with the Maori: Savage Things)</t>
  </si>
  <si>
    <t>Watercolor, with traces of black crayon and graphite, on tapa, partially laid down on cream wove paper</t>
  </si>
  <si>
    <t>015dcb17-5235-2b64-871a-9fdc309b913d</t>
  </si>
  <si>
    <t>The Miraculous Drought</t>
  </si>
  <si>
    <t>Emil Carlsen</t>
  </si>
  <si>
    <t>6cc65b55-b8d0-2ee0-f37a-7cf6e9797162</t>
  </si>
  <si>
    <t>The Northwest Wind</t>
  </si>
  <si>
    <t>Charles Harold Davis</t>
  </si>
  <si>
    <t>6a7d96dd-68bf-e997-b3c8-b8f7aa371818</t>
  </si>
  <si>
    <t>Herself</t>
  </si>
  <si>
    <t>Robert Henri</t>
  </si>
  <si>
    <t>641c5259-1a92-4a3a-714b-62e09efa3b23</t>
  </si>
  <si>
    <t>Himself</t>
  </si>
  <si>
    <t>6ea9b674-8204-02b0-66a4-55da1a037b81</t>
  </si>
  <si>
    <t>The Powerhouse, Falls Village, Connecticut</t>
  </si>
  <si>
    <t>Walter Elmer Schofield</t>
  </si>
  <si>
    <t>a5e528c2-e0b5-d9b1-759c-6b43be4ef9c4</t>
  </si>
  <si>
    <t>The Lute Player</t>
  </si>
  <si>
    <t>1c05fb32-7d97-4136-31a9-76a503174309</t>
  </si>
  <si>
    <t>Snow-Crowned Hills</t>
  </si>
  <si>
    <t>Guy Carleton Wiggins</t>
  </si>
  <si>
    <t>045a1779-36a4-282f-49b8-b8fb007f8254</t>
  </si>
  <si>
    <t>School House at Kings Norton Near Birmingham</t>
  </si>
  <si>
    <t>Pen and brown ink and brush and watercolor, with scraping and additions of graphite, on ivory wove paper</t>
  </si>
  <si>
    <t>Samuel Austin</t>
  </si>
  <si>
    <t>71836225-71e2-a8c0-da23-d5b9de9fc27d</t>
  </si>
  <si>
    <t>Birkenhead from Herculaneum Potteries</t>
  </si>
  <si>
    <t>Watercolor over traces of graphite, on ivory wove paper</t>
  </si>
  <si>
    <t>Eliot Thomas Yorke</t>
  </si>
  <si>
    <t>0f31e386-f7da-338c-896f-234d2fb2832b</t>
  </si>
  <si>
    <t>Fisherman's Family</t>
  </si>
  <si>
    <t>Pierre Puvis de Chavannes</t>
  </si>
  <si>
    <t>Landscape with Cypress Trees</t>
  </si>
  <si>
    <t>e922e118-a295-702d-068b-a5b8e067de95</t>
  </si>
  <si>
    <t>Flower Girl in Holland</t>
  </si>
  <si>
    <t>George Hitchcock</t>
  </si>
  <si>
    <t>e72305c9-1a1c-8a36-7450-582619366338</t>
  </si>
  <si>
    <t>Slumber Party</t>
  </si>
  <si>
    <t>Washday in Spring</t>
  </si>
  <si>
    <t>John R. Grabach</t>
  </si>
  <si>
    <t>c827ef1d-3fae-479d-a4f9-6eba3ad32c9f</t>
  </si>
  <si>
    <t>Light and Shadow</t>
  </si>
  <si>
    <t>2ca9b97b-de1a-575b-507a-95d526661792</t>
  </si>
  <si>
    <t>Clifford Isaac Addams</t>
  </si>
  <si>
    <t>View of Village and Distant Hills</t>
  </si>
  <si>
    <t>Watercolor on ivory wove paper, laid down on ivory board</t>
  </si>
  <si>
    <t>Johan van der Hagen</t>
  </si>
  <si>
    <t>a7e86f7c-e136-dfc7-493e-1318110b78e4</t>
  </si>
  <si>
    <t>Italianate Landscape with Traveling Peasants in Foreground</t>
  </si>
  <si>
    <t>Watercolor with incising, over graphite, on ivory wove paper, laid down on tan board</t>
  </si>
  <si>
    <t>Frederick de Moucheron</t>
  </si>
  <si>
    <t>55e3e5e7-e1d2-04bb-e1db-5287caf553d2</t>
  </si>
  <si>
    <t>Tsugouharu Foujita</t>
  </si>
  <si>
    <t>On the Balcony</t>
  </si>
  <si>
    <t>Watercolor, with touches of gouache, over graphite, on off-white wove paper</t>
  </si>
  <si>
    <t>90ef9ea0-419b-f221-5893-99a9ad9b7ad7</t>
  </si>
  <si>
    <t>Afternoon Tea</t>
  </si>
  <si>
    <t>Grandma Moses</t>
  </si>
  <si>
    <t>The Estuary Farm</t>
  </si>
  <si>
    <t>c676a0e8-d084-f1be-eaef-3be77a754568</t>
  </si>
  <si>
    <t>Leopold Gould Seyffert</t>
  </si>
  <si>
    <t>Gustave Caillebotte</t>
  </si>
  <si>
    <t>Pink House</t>
  </si>
  <si>
    <t>0bc0845d-1382-90a9-af32-4fc510490aae</t>
  </si>
  <si>
    <t>mughal</t>
  </si>
  <si>
    <t>Painted Banner (Thangka) of the Avalokiteshvara Incarnation of the Rain God Rato Matsyendranatha</t>
  </si>
  <si>
    <t>Opaque watercolor on textile</t>
  </si>
  <si>
    <t>e1b0118e-b051-80b8-edf4-9d136e666c81</t>
  </si>
  <si>
    <t>Lotus from a Set of Initiation Cards (Tsakali)</t>
  </si>
  <si>
    <t>3735b7f0-dc7b-16dd-b208-d48cd4fe815f</t>
  </si>
  <si>
    <t>White gouache and brush and black and brown inks on ivory wove paper, prepared with brown gouache</t>
  </si>
  <si>
    <t>Charles E. Cooper</t>
  </si>
  <si>
    <t>9a6e4dc6-5c3f-78f8-65a1-d3e34bd2ecd2</t>
  </si>
  <si>
    <t>Blue ball-point pen and gouache, with colored crayons and brush and black ink, with touches of watercolor on cream wove paper</t>
  </si>
  <si>
    <t>Robert Goodnough</t>
  </si>
  <si>
    <t>3bc29ce9-9794-a8c9-1e34-74f4c837632f</t>
  </si>
  <si>
    <t>Phineas Borret's Farm near Saffron Walden</t>
  </si>
  <si>
    <t>Watercolor with touches of graphite, on off-white wove paper, laid down on light brown board</t>
  </si>
  <si>
    <t>01220f42-2fa5-fb7c-9913-772571bc63c7</t>
  </si>
  <si>
    <t>B's Foot</t>
  </si>
  <si>
    <t>Gouache and collage on white wove paper</t>
  </si>
  <si>
    <t>06af30e0-e587-78a6-ee72-57694b69d3ce</t>
  </si>
  <si>
    <t>bb2814ad-be72-985e-8683-6b70bb6b71fd</t>
  </si>
  <si>
    <t>Heinrich Reinhold</t>
  </si>
  <si>
    <t>Purple Heron (Ardea purpurea)</t>
  </si>
  <si>
    <t>Watercolor on watermarked paper</t>
  </si>
  <si>
    <t>c7c3111b-cbb0-b0ce-19b8-f7ee92c8d839</t>
  </si>
  <si>
    <t>Prince Visiting an Ascetic during a Hunt</t>
  </si>
  <si>
    <t>a3516d51-4809-b4dc-41e6-d2a76de0f8c5</t>
  </si>
  <si>
    <t>Double-Sided Painted Banner (Paubha) with God Shiva and Goddess Durga</t>
  </si>
  <si>
    <t>Pigment and gold on cotton</t>
  </si>
  <si>
    <t>7889dbde-6528-68e5-db40-9a5ae819ceb8</t>
  </si>
  <si>
    <t>Mount Langya ç…çŠå±±åœ–</t>
  </si>
  <si>
    <t>Folding fan mounted as an album leaf; ink on gold-flecked paper</t>
  </si>
  <si>
    <t>Dong Bangda</t>
  </si>
  <si>
    <t>c567feca-02a6-466f-f3bf-5ecd08fe27a2</t>
  </si>
  <si>
    <t>Page from the Perfection of Wisdom Sutra (Astasahasrika Prajnaparamitasutra)</t>
  </si>
  <si>
    <t>Colors and gold on paper</t>
  </si>
  <si>
    <t>ce81599e-bf41-a72d-7095-6512b37f5ef3</t>
  </si>
  <si>
    <t>Study of a Tree in Bloom</t>
  </si>
  <si>
    <t>Watercolor and gouache on ivory wove paper</t>
  </si>
  <si>
    <t>William Turner</t>
  </si>
  <si>
    <t>eff4103f-4c20-51a2-f6ee-5f2f4af9dcd1</t>
  </si>
  <si>
    <t>Ana</t>
  </si>
  <si>
    <t>Watercolor, brush and black ink and graphite on acrylic gesso on wood board</t>
  </si>
  <si>
    <t>22f31281-3173-c0c0-5d60-4dd8a44aa8f7</t>
  </si>
  <si>
    <t>The Good Life XVI</t>
  </si>
  <si>
    <t>John Stuart Ingle</t>
  </si>
  <si>
    <t>3a42ad80-658c-6995-5dc9-4356ab9068ea</t>
  </si>
  <si>
    <t>Coast Scene, Bathers</t>
  </si>
  <si>
    <t>5888c23a-635f-396a-117b-2223032c0201</t>
  </si>
  <si>
    <t>Still Life with Green Vase</t>
  </si>
  <si>
    <t>Oil on brown wood pulp board, varnished</t>
  </si>
  <si>
    <t>Paula Modersohn-Becker</t>
  </si>
  <si>
    <t>8b97ac54-558d-fc50-259b-a5cfbadd15ff</t>
  </si>
  <si>
    <t>Venetian Atmosphere</t>
  </si>
  <si>
    <t>Oil paint and gouache, on gray wove paper with black fibers</t>
  </si>
  <si>
    <t>Style of James McNeill Whistler</t>
  </si>
  <si>
    <t>d64500c5-3b04-f3eb-abac-0c117b49dca3</t>
  </si>
  <si>
    <t>Chelsea Shop</t>
  </si>
  <si>
    <t>Watercolor with touches of opaque watercolor on cream wove paper</t>
  </si>
  <si>
    <t>258cd64d-9d9a-f878-ffd5-aa017ca05300</t>
  </si>
  <si>
    <t>Classic Boundaries I</t>
  </si>
  <si>
    <t>Theodore Stamos</t>
  </si>
  <si>
    <t>b90e3693-6ae7-b16b-da7e-ad5d3363d8ca</t>
  </si>
  <si>
    <t>Study of a Girl's Head and Shoulders</t>
  </si>
  <si>
    <t>f59015ec-07d0-ebbf-6d57-647af5ef4a41</t>
  </si>
  <si>
    <t>Daniel Hudson Burnham</t>
  </si>
  <si>
    <t>Thanksgiving</t>
  </si>
  <si>
    <t>China Boy</t>
  </si>
  <si>
    <t>Acrylic, magna, oil, enamel on three panels</t>
  </si>
  <si>
    <t>Nicholas Africano</t>
  </si>
  <si>
    <t>3ec6d704-7793-7004-3724-a6c0aec3e54f</t>
  </si>
  <si>
    <t>Leon Kroll</t>
  </si>
  <si>
    <t>Pennell with Whistler</t>
  </si>
  <si>
    <t>Wyncie King</t>
  </si>
  <si>
    <t>c0267ae0-ebaf-3e40-4bee-25954c5a86a8</t>
  </si>
  <si>
    <t>Self-Portrait (for Roy Snow)</t>
  </si>
  <si>
    <t>Susanna Coffey</t>
  </si>
  <si>
    <t>8c9742df-392c-d50a-1f36-416d29716669</t>
  </si>
  <si>
    <t>Louis Carrogis de Carmontelle</t>
  </si>
  <si>
    <t>Farm near Duivendrecht</t>
  </si>
  <si>
    <t>1cf0948e-6b18-45ac-c2c3-3ec6b936839b</t>
  </si>
  <si>
    <t>Michael Hurson</t>
  </si>
  <si>
    <t>Alex</t>
  </si>
  <si>
    <t>35bd0b59-ba23-b13d-ebc8-75388610b344</t>
  </si>
  <si>
    <t>Altar Table with Mandala of Amitayus, the Buddha of Infinite Life</t>
  </si>
  <si>
    <t>Opaque watercolor and gold on wood</t>
  </si>
  <si>
    <t>6a290356-117f-e7e5-503f-076df46e294e</t>
  </si>
  <si>
    <t>Painted Banner (Thangka) of Lineage Painting of Two Lamas in Debate</t>
  </si>
  <si>
    <t>06ee7e1e-5a42-96cd-fb0e-4991b73db1d1</t>
  </si>
  <si>
    <t>Painted Banner (Thangka) of Portrait of Sakya Pandita (1132 - 1251)</t>
  </si>
  <si>
    <t>1b5b2c7a-972a-0489-a352-afbd8b7b9151</t>
  </si>
  <si>
    <t>Blue Monday Man</t>
  </si>
  <si>
    <t>Watercolor on white wove paper, tipped to blue wove paper</t>
  </si>
  <si>
    <t>53923bc1-f44d-2889-f73e-f0cf7c007e8e</t>
  </si>
  <si>
    <t>Dorian Gray</t>
  </si>
  <si>
    <t>Gouache on silk</t>
  </si>
  <si>
    <t>f05cbe93-769d-6a5a-8c52-5b5434d68149</t>
  </si>
  <si>
    <t>A Chemist Lifting with Extreme Precaution the Cuticle of a Grand Piano</t>
  </si>
  <si>
    <t>98b6c754-f814-ef35-2263-7a2bdf0c097c</t>
  </si>
  <si>
    <t>The Grand Arab (He Only Has Sand)</t>
  </si>
  <si>
    <t>d1b6707e-f542-cbb7-b52c-18d50e28ce67</t>
  </si>
  <si>
    <t>Spanish Physician</t>
  </si>
  <si>
    <t>6e955343-deb7-ad17-e7be-4db9a06a2e83</t>
  </si>
  <si>
    <t>Death in the Garden (Legend)</t>
  </si>
  <si>
    <t>Oil on cotton, on cardboard nailed to wood</t>
  </si>
  <si>
    <t>d308a86f-44fd-c4f0-5cf9-e746590a1d40</t>
  </si>
  <si>
    <t>Peasant Brawl</t>
  </si>
  <si>
    <t>fc156601-260e-0908-628c-0398ea317b3f</t>
  </si>
  <si>
    <t>Hydra</t>
  </si>
  <si>
    <t>Christopher Wool</t>
  </si>
  <si>
    <t>Marion Perkins</t>
  </si>
  <si>
    <t>Untitled (Self-Portrait)</t>
  </si>
  <si>
    <t>Auvers, Panoramic View</t>
  </si>
  <si>
    <t>fa422216-e50a-bb68-3f64-9f9af058dfe8</t>
  </si>
  <si>
    <t>The Vase of Tulips</t>
  </si>
  <si>
    <t>84d735ec-8a8f-4605-a40d-2824506f373a</t>
  </si>
  <si>
    <t>Two Lawyers</t>
  </si>
  <si>
    <t>069a0bb0-8a91-b4be-4ce7-6bf49552ef69</t>
  </si>
  <si>
    <t>Interior with Woman Reading</t>
  </si>
  <si>
    <t>4c7f9df7-0e5d-e212-7229-021b65337778</t>
  </si>
  <si>
    <t>unframed: 20 1/4 x 24 1/2 in. (51.4 x 62.2 cm)
framed: 28 3/8 x 32 1/2 in. (72.1 x 82.6 cm)</t>
  </si>
  <si>
    <t>Rocky Coast</t>
  </si>
  <si>
    <t>7f6504bc-5eee-3200-6c94-181e2995837c</t>
  </si>
  <si>
    <t>Oil on canvas.</t>
  </si>
  <si>
    <t>Edward Willis Redfield</t>
  </si>
  <si>
    <t>cd2cc69c-4f4d-7b51-e5d4-0308cb5520f8</t>
  </si>
  <si>
    <t>unframed: 18 1/2 x 21 7/8 in. (47 x 55.6 cm)
framed: 27 x 30 1/2 in. (68.6 x 77.5 cm)</t>
  </si>
  <si>
    <t>Thistles</t>
  </si>
  <si>
    <t>79b94ddd-e208-1993-01ab-98f75174fe88</t>
  </si>
  <si>
    <t>Study of Two Bedouins</t>
  </si>
  <si>
    <t>8bc3f527-bd34-f951-5618-3500dd2ac665</t>
  </si>
  <si>
    <t>Schooner - Nassau</t>
  </si>
  <si>
    <t>Transparent watercolor, with traces of opaque watercolor, rewetting, blotting and scraping, over graphite, on thick, rough twill-textured, ivory wove paper</t>
  </si>
  <si>
    <t>4472904e-92de-7e95-d52e-4a7c764973df</t>
  </si>
  <si>
    <t>Study of a Bunch of Grapes</t>
  </si>
  <si>
    <t>Watercolor over black chalk on pale blue laid paper</t>
  </si>
  <si>
    <t>755df9c3-7390-ebf4-c851-d3cb9d5d75d1</t>
  </si>
  <si>
    <t>Domenico Morelli</t>
  </si>
  <si>
    <t>Untitled (Berkeley)</t>
  </si>
  <si>
    <t>Gouache, ink and oil stick with scraping, on cream wove paper, torn, pasted and pieced</t>
  </si>
  <si>
    <t>6b7e22ef-145f-473f-9791-4a664042223f</t>
  </si>
  <si>
    <t>Christina Ramberg</t>
  </si>
  <si>
    <t>Reclining Figure with Crow</t>
  </si>
  <si>
    <t>Watercolor, with pen and black ink, over graphite, on white wove paper</t>
  </si>
  <si>
    <t>c96cd209-79e3-55fb-a181-23b2619b404a</t>
  </si>
  <si>
    <t>Dance to the Sound of Bells, Oboes and Violin</t>
  </si>
  <si>
    <t>Watercolor, with pen and brush and brown ink on ivory laid paper, laid down on tan wove paper.</t>
  </si>
  <si>
    <t>dbd31c98-3bc0-0afc-f4d8-488a34470c2f</t>
  </si>
  <si>
    <t>The Poet's Garden</t>
  </si>
  <si>
    <t>9ea77636-76e9-9031-6b92-ff34512d7cbc</t>
  </si>
  <si>
    <t>Gouache, watercolor, and black ink, over traces of graphite on tan wove paper, squared in graphite, and laid down on wood-pulp laminate board</t>
  </si>
  <si>
    <t>2a733273-f5b1-f920-68d5-54103b8366c0</t>
  </si>
  <si>
    <t>The Target</t>
  </si>
  <si>
    <t>Watercolor with brush and black ink, graphite, and colored pencils on white wove paper</t>
  </si>
  <si>
    <t>1e9c28f5-c6df-1fe5-a74b-dbc7041fa6f4</t>
  </si>
  <si>
    <t>Oil paint, with graphite on cream wove paper, edge mounted with brown paper strips to canvas, stretched on a wooden stretcher</t>
  </si>
  <si>
    <t>3ff1d2d8-2665-e9e8-f071-951ddd99d5dd</t>
  </si>
  <si>
    <t>Night Birds</t>
  </si>
  <si>
    <t>Gouache and graphite, with scraping, on tan wove paper</t>
  </si>
  <si>
    <t>de83846d-3d15-b236-20f9-a7684ab37ce4</t>
  </si>
  <si>
    <t>Sandhill Crane</t>
  </si>
  <si>
    <t>Gouache with pen and black ink and graphite on gray wove paper</t>
  </si>
  <si>
    <t>6fd0cfb3-b882-e261-715e-091b277988e4</t>
  </si>
  <si>
    <t>Watercolor and gouache on cream wove paper</t>
  </si>
  <si>
    <t>08f421f3-671f-bc73-24b4-f9deb2a4092c</t>
  </si>
  <si>
    <t>The Basin, Vizcaya</t>
  </si>
  <si>
    <t>Watercolor with touches of opaque watercolor and wax resist over graphite on ivory wove paper</t>
  </si>
  <si>
    <t>cf6462bb-5e7a-1440-edca-0d47c0e6fc12</t>
  </si>
  <si>
    <t>The Loggia, Vizcaya</t>
  </si>
  <si>
    <t>Watercolor and opaque watercolor with wax resist over graphite on ivory wove paper</t>
  </si>
  <si>
    <t>97ac2988-428b-e1c2-4227-83ea8941fe9e</t>
  </si>
  <si>
    <t>The Terrace, Vizcaya</t>
  </si>
  <si>
    <t>Watercolor and opaque watercolor with wax resist and scraping on ivory wove paper</t>
  </si>
  <si>
    <t>2a506cb7-862a-7e8f-1c51-6babd6a380a0</t>
  </si>
  <si>
    <t>The Patio, Vizcaya</t>
  </si>
  <si>
    <t>ca181775-ae45-04d6-436e-19ab955bbd87</t>
  </si>
  <si>
    <t>Fountain of Neptune</t>
  </si>
  <si>
    <t>15339910-f650-d1ff-2044-1fda9d447574</t>
  </si>
  <si>
    <t>Portrait of a Woman with a Black Fichu</t>
  </si>
  <si>
    <t>23c6c5c9-b8bf-8664-f547-4ddc932733f8</t>
  </si>
  <si>
    <t>Two Women in a Doorway</t>
  </si>
  <si>
    <t>Watercolor and gouache, over traces of graphite, on cream watercolor paper, laid down on wood-pulp board</t>
  </si>
  <si>
    <t>Lawrence Carmichael Earle</t>
  </si>
  <si>
    <t>27534645-d513-edeb-786b-c0c4cf47cc78</t>
  </si>
  <si>
    <t>Owl</t>
  </si>
  <si>
    <t>Cliff Walk at Pourville</t>
  </si>
  <si>
    <t>b0effb1c-ff23-bbaa-f809-9fd94e31c1a0</t>
  </si>
  <si>
    <t>Stacks of Wheat (End of Day, Autumn)</t>
  </si>
  <si>
    <t>4c364c64-2108-4e19-5fc5-1ab26ba924a7</t>
  </si>
  <si>
    <t>The Marsh</t>
  </si>
  <si>
    <t>7616bc53-7a4b-a7bb-0dac-131cf91aff80</t>
  </si>
  <si>
    <t>Venice, Palazzo Dario</t>
  </si>
  <si>
    <t>64c38f6d-f0d5-b553-a27e-3552550f351a</t>
  </si>
  <si>
    <t>Gouache over graphite on cream wove paper</t>
  </si>
  <si>
    <t>d39b1026-7d8d-6e6a-738e-8a136b1a0033</t>
  </si>
  <si>
    <t>On the Upper Deck (The Omnibus)</t>
  </si>
  <si>
    <t>Oil on cardboard, mounted on panel</t>
  </si>
  <si>
    <t>fa99a4c9-da69-1254-2038-64e4b755a49f</t>
  </si>
  <si>
    <t>Still Life: Vase with Flowers</t>
  </si>
  <si>
    <t>4da243b6-0c0c-3721-cecd-b70675df23e3</t>
  </si>
  <si>
    <t>Size: 27 x 21"</t>
  </si>
  <si>
    <t>Acrylic on ivory wove paper</t>
  </si>
  <si>
    <t>Young Woman Sewing</t>
  </si>
  <si>
    <t>147e3ce7-1c08-fa84-57f7-f59d4ec90d3c</t>
  </si>
  <si>
    <t>Alfred Sisley</t>
  </si>
  <si>
    <t>64693216-bc82-0d21-9e57-86f8fc2e632b</t>
  </si>
  <si>
    <t>Evelyn Statsinger</t>
  </si>
  <si>
    <t>Trout: Rainbow - French Creek, Wyoming</t>
  </si>
  <si>
    <t>William George Allan</t>
  </si>
  <si>
    <t>ae565504-5fc0-d799-f4cc-5fe7f48e97a2</t>
  </si>
  <si>
    <t>4cfe4a54-a7cc-94be-7caf-149805bb24e9</t>
  </si>
  <si>
    <t>Jean Baptiste Armand Guillaumin</t>
  </si>
  <si>
    <t>David Garrick as King Lear</t>
  </si>
  <si>
    <t>Richard Westall</t>
  </si>
  <si>
    <t>38e5c6cf-daf2-ea36-b29a-e00216d1ddcf</t>
  </si>
  <si>
    <t>Watercolor over graphite, on cream laminate board</t>
  </si>
  <si>
    <t>Maxwell Ashby Armfield</t>
  </si>
  <si>
    <t>ff29f7da-a1f5-5644-4897-bef150bbf1cb</t>
  </si>
  <si>
    <t>East River</t>
  </si>
  <si>
    <t>Watercolor and gouache, with touches of blue crayon, on ivory watercolor paper</t>
  </si>
  <si>
    <t>Gifford Beal</t>
  </si>
  <si>
    <t>8b42a3dc-b530-ac39-f3db-0cb56b85ffa5</t>
  </si>
  <si>
    <t>Boiling the Kettle</t>
  </si>
  <si>
    <t>Watercolor over graphite on ivory watercolor paper</t>
  </si>
  <si>
    <t>82aeeb69-4185-0a1e-bece-17c9782558d4</t>
  </si>
  <si>
    <t>Through the Willows</t>
  </si>
  <si>
    <t>Watercolor over graphite on white watercolor paper</t>
  </si>
  <si>
    <t>28e6a256-50c2-4457-38f3-d7c256ec7be6</t>
  </si>
  <si>
    <t>Pewter Pitcher</t>
  </si>
  <si>
    <t>Watercolor with touches of orange gouache, over graphite, on white watercolor paper, laid down on cream board</t>
  </si>
  <si>
    <t>a54a935c-0e90-b35e-2bad-fafddd3b72e0</t>
  </si>
  <si>
    <t>Ightham Mote, Kent</t>
  </si>
  <si>
    <t>Hercules Brabazon Brabazon</t>
  </si>
  <si>
    <t>f00a449e-327c-f56a-a61e-154ce4242ca5</t>
  </si>
  <si>
    <t>Montmartre</t>
  </si>
  <si>
    <t>Watercolor and gouache, on ivory watercolor paper</t>
  </si>
  <si>
    <t>e332d07e-21ef-2ba0-4938-cf480f3795cb</t>
  </si>
  <si>
    <t>Chamber Music</t>
  </si>
  <si>
    <t>Watercolor over charcoal on cream wove paper</t>
  </si>
  <si>
    <t>James Ormsbee Chapin</t>
  </si>
  <si>
    <t>907994e0-0065-34fd-ccb6-6010590204af</t>
  </si>
  <si>
    <t>Harbor at Port-au-Basques, Newfoundland</t>
  </si>
  <si>
    <t>Watercolor with graphite and traces of scraping on white wove paper</t>
  </si>
  <si>
    <t>Edwin Swift Clymer</t>
  </si>
  <si>
    <t>3cf67642-f779-222d-9792-3ef66793c4a9</t>
  </si>
  <si>
    <t>Silver Tanks</t>
  </si>
  <si>
    <t>Oil and metallic paint on canvas, mounted on panel</t>
  </si>
  <si>
    <t>7cb1f655-b9bd-5e58-15d1-ddaf02e9819c</t>
  </si>
  <si>
    <t>Four Studies of a Jockey</t>
  </si>
  <si>
    <t>Brush with black ink, oil paint, and white gouache, on tan wove paper discolored with brown essence, laid down on cream laid board</t>
  </si>
  <si>
    <t>f8b4c4c9-535b-4e23-8de7-dbb5cc7d7b90</t>
  </si>
  <si>
    <t>Saint-Cloud</t>
  </si>
  <si>
    <t>Linda Eye Series I (Magenta)</t>
  </si>
  <si>
    <t>8f3ce42d-cf16-adc5-85c6-44ff3e396ea2</t>
  </si>
  <si>
    <t>Watercolor with graphite on ivory wove paper</t>
  </si>
  <si>
    <t>Bob Thompson</t>
  </si>
  <si>
    <t>Jay DeFeo</t>
  </si>
  <si>
    <t>512baa0a-e1e5-f745-f6ea-f603f55446c6</t>
  </si>
  <si>
    <t>Acrylic and oil on canvas</t>
  </si>
  <si>
    <t>Bishop at Mass in a Historiated Initial "P" from a Choirbook</t>
  </si>
  <si>
    <t>Manuscript cutting in tempera and gold leaf, with Latin inscriptions in gothic book hand, verso, in black ink, on parchment</t>
  </si>
  <si>
    <t>2fc10d4a-d1e1-4f9a-ba60-aaf19aa27379</t>
  </si>
  <si>
    <t>Eva Hesse</t>
  </si>
  <si>
    <t>Untitled (Check 2)</t>
  </si>
  <si>
    <t>Casein on mahogany panel</t>
  </si>
  <si>
    <t>a1f5060c-f2d3-e2b5-27de-3779a60637da</t>
  </si>
  <si>
    <t>F House</t>
  </si>
  <si>
    <t>ab4cb1d2-0f93-c554-39cf-b40cdc461ef9</t>
  </si>
  <si>
    <t>Flower Study #1</t>
  </si>
  <si>
    <t>Watercolor, over graphite on ivory wove paper</t>
  </si>
  <si>
    <t>2b3deeec-4e66-5dcf-b3b4-8464402df1db</t>
  </si>
  <si>
    <t>Height</t>
  </si>
  <si>
    <t>49add2a9-b956-ac12-a24d-f661922dfc79</t>
  </si>
  <si>
    <t>Chris Wilmarth</t>
  </si>
  <si>
    <t>St. Francis of Assisi with Donors in a Historiated Initial from an Unidentified Manuscript</t>
  </si>
  <si>
    <t>Manuscript cutting in tempera and gold leaf on parchment</t>
  </si>
  <si>
    <t>5201d68a-5b91-4adb-8130-b11f7756d003</t>
  </si>
  <si>
    <t>Decorated Initial "G" in Red with Conventional Flower from a Manuscript</t>
  </si>
  <si>
    <t>cc58aefa-0894-6842-a95c-e3c2904d5f81</t>
  </si>
  <si>
    <t>Death of the Infant Bethel</t>
  </si>
  <si>
    <t>7514db03-b320-338b-05e9-23aca6676a88</t>
  </si>
  <si>
    <t>Combine painting: fabric, paper, photographs, wood, and metal elements on canvas</t>
  </si>
  <si>
    <t>ba63ff6b-f045-6213-2d97-dd28aec39183</t>
  </si>
  <si>
    <t>46 3/8 x 54 5/8 x 2 3/4 in. (117.8 x 138.7 x 6.9 cm)</t>
  </si>
  <si>
    <t>Linda Eye Series II (Cyanne)</t>
  </si>
  <si>
    <t>e0a279ae-ac7c-c082-cd19-0287fb9b7f0a</t>
  </si>
  <si>
    <t>Linda Eye Series III (Magenta and cyanne)</t>
  </si>
  <si>
    <t>bf7ce773-7b00-0a31-a7b2-96f09142c701</t>
  </si>
  <si>
    <t>Linda Eye Series IV (Yellow)</t>
  </si>
  <si>
    <t>3dc40a60-be81-6dc4-7a40-2a4660118744</t>
  </si>
  <si>
    <t>Gladioli - Flower Study #4</t>
  </si>
  <si>
    <t>b44ff968-fed8-fef4-e40d-3d6ee7578788</t>
  </si>
  <si>
    <t>Linda Eye Series V (Magenta, cyanne and yellow)</t>
  </si>
  <si>
    <t>7a85b3ad-ed1d-a445-8806-c21f6b21973d</t>
  </si>
  <si>
    <t>Decorated Initial "G" in Pink with Curling Leaves from a Manuscript</t>
  </si>
  <si>
    <t>86296102-d04c-8413-34e0-36d96668c0dd</t>
  </si>
  <si>
    <t>Wall Painting with Stripes</t>
  </si>
  <si>
    <t>569bedab-41e2-2165-b0dd-d85f2064e0f7</t>
  </si>
  <si>
    <t>In Lovely Blueness No. 2</t>
  </si>
  <si>
    <t>51422f20-27e4-80fe-fa64-0feaad72ec63</t>
  </si>
  <si>
    <t>Abstract Painting, 1960-65</t>
  </si>
  <si>
    <t>e6e34aa0-a5e4-f727-2f3c-64d7d9b9a375</t>
  </si>
  <si>
    <t>Clyfford Still</t>
  </si>
  <si>
    <t>Ice (1)</t>
  </si>
  <si>
    <t>b6647a72-7dd9-6ebe-779c-bec46e0901d8</t>
  </si>
  <si>
    <t>Ice (2)</t>
  </si>
  <si>
    <t>07783936-58fb-859d-9350-fb600510177a</t>
  </si>
  <si>
    <t>Ice (3)</t>
  </si>
  <si>
    <t>28914b5e-2894-f88e-81c3-4a4e7c55b469</t>
  </si>
  <si>
    <t>Ice (4)</t>
  </si>
  <si>
    <t>1cd7aea0-f7a7-b566-52c9-0407bf5c442e</t>
  </si>
  <si>
    <t>Little Landscape at the Seaside (Kleine Landschaft am Meer)</t>
  </si>
  <si>
    <t>9cfecb3d-7496-1b54-5650-25876a5decfe</t>
  </si>
  <si>
    <t>Candle (Kerze)</t>
  </si>
  <si>
    <t>151932ad-188a-1a3f-9fcc-922dad1564a7</t>
  </si>
  <si>
    <t>Still Life: Apples and Green Glass</t>
  </si>
  <si>
    <t>9f7e24ec-c27d-024f-5d6b-6ba27570efe5</t>
  </si>
  <si>
    <t>Mouth (Mund)</t>
  </si>
  <si>
    <t>4ba4e0d9-7167-84fa-0d9b-fad379643109</t>
  </si>
  <si>
    <t>Flowers (Blumen)</t>
  </si>
  <si>
    <t>57742936-071c-1851-fa58-eb7b99b943d9</t>
  </si>
  <si>
    <t>Mrs. Wolleh with Children (Frau Wolleh mit Kindern)</t>
  </si>
  <si>
    <t>38384f8b-a065-0064-9eb7-c47e57b63b38</t>
  </si>
  <si>
    <t>Decorated Initial "A" in Blue with Leaves from a Manuscript</t>
  </si>
  <si>
    <t>a852b31e-7067-0372-7362-3aee2ceacdf8</t>
  </si>
  <si>
    <t>Decorated Initial "M" in Pink with Conventional Leaves from a Choir Book</t>
  </si>
  <si>
    <t>b9a0a027-a597-9f9b-bbbe-1167222fe439</t>
  </si>
  <si>
    <t>Vaudeville Singer</t>
  </si>
  <si>
    <t>Watercolor with graphite on cream laid paper</t>
  </si>
  <si>
    <t>e7a2767f-261c-0282-bad1-9dd25472d3f3</t>
  </si>
  <si>
    <t>Decorated Initial "G" in Grey with Red, Green and Blue Leaves from a Manuscript</t>
  </si>
  <si>
    <t>1e094ff6-8274-d0c2-d314-4dd0626e03fb</t>
  </si>
  <si>
    <t>Decorated Initial "A" in Pink with Six Oak Leaves from a Manuscript</t>
  </si>
  <si>
    <t>1e4e64ef-bdb7-2235-e87e-26356a14f4bf</t>
  </si>
  <si>
    <t>The Humber Mouth, Newfoundland</t>
  </si>
  <si>
    <t>Watercolor over graphite, with touches of charcoal, on ivory watercolor paper</t>
  </si>
  <si>
    <t>George Pearse Ennis</t>
  </si>
  <si>
    <t>ececf41a-f970-9887-d566-e9112200936d</t>
  </si>
  <si>
    <t>Decorated Initial "Q" in Blue with Four Oak Leaves from a Manuscript</t>
  </si>
  <si>
    <t>abb59b00-7381-c26f-f862-ad783839fe95</t>
  </si>
  <si>
    <t>Decorated Initial "O" with Six Oak Leaves and Two Balls</t>
  </si>
  <si>
    <t>dfc3c20f-84f6-f915-85ca-af30a46638f1</t>
  </si>
  <si>
    <t>Frances at the Piano</t>
  </si>
  <si>
    <t>Watercolor with touches of black chalk on off-white wove paper, discolored to cream</t>
  </si>
  <si>
    <t>dec42173-c316-ae89-5e53-114cd7a56517</t>
  </si>
  <si>
    <t>Two Women in Yellow Kerchiefs</t>
  </si>
  <si>
    <t>Brush and watercolor, over traces of graphite, on ivory wove paper</t>
  </si>
  <si>
    <t>bff6bf7d-ebb0-7301-f267-fb8156820454</t>
  </si>
  <si>
    <t>Wanguru House, M'Honde, East Africa</t>
  </si>
  <si>
    <t>Watercolor and gouache, with black crayon and graphite, on cream wove paper, laid down on grayish-tan card</t>
  </si>
  <si>
    <t>Stephen Haweis</t>
  </si>
  <si>
    <t>7db38689-4d7d-c21a-6a62-f32bb6105156</t>
  </si>
  <si>
    <t>Wanguru Water Carriers</t>
  </si>
  <si>
    <t>Watercolor and gouache, with black crayon, over graphite, on cream wove paper</t>
  </si>
  <si>
    <t>357e5ffd-1c2c-e5cd-91df-6f7dd21e6f74</t>
  </si>
  <si>
    <t>Along the Beach, Puerto Plata</t>
  </si>
  <si>
    <t>Watercolor and gouache, over graphite, on ivory paper</t>
  </si>
  <si>
    <t>1bb92d80-6d5f-ad6b-a267-0918298041a2</t>
  </si>
  <si>
    <t>The Harbor, Puerto Plata</t>
  </si>
  <si>
    <t>Watercolor over graphite, with touches of scraping, on ivory wove paper, commercially laminated on gray board</t>
  </si>
  <si>
    <t>279020bf-841e-340c-480d-63f1f68771d5</t>
  </si>
  <si>
    <t>Women Walking Through a Tropical Town</t>
  </si>
  <si>
    <t>7988b538-aa1f-d7dd-e58c-6789577ce54a</t>
  </si>
  <si>
    <t>The Road from Chester</t>
  </si>
  <si>
    <t>Watercolor with gouache, over graphite, on cream wood-pulp laminate board</t>
  </si>
  <si>
    <t>d4085ccb-f12c-8890-2225-eba69c104653</t>
  </si>
  <si>
    <t>Fashionable Figures, with a Man in Turkish Costume</t>
  </si>
  <si>
    <t>Oil on plaster, mounted on aluminum honeycomb panel</t>
  </si>
  <si>
    <t>30d64b53-c01f-7853-2543-33914f265a50</t>
  </si>
  <si>
    <t>The Road to Bonao</t>
  </si>
  <si>
    <t>Watercolor over graphite on ivory wove paper, commercially laminated on gray board</t>
  </si>
  <si>
    <t>a2ef4a66-18fb-8298-cc97-ce1a6ebadf2f</t>
  </si>
  <si>
    <t>Sitges</t>
  </si>
  <si>
    <t>Juan Roig y Soler</t>
  </si>
  <si>
    <t>03bfd0a4-ce6d-5b37-22d8-8e3de4004e0a</t>
  </si>
  <si>
    <t>Gloucester Mansions</t>
  </si>
  <si>
    <t>d74e6f47-50f0-6671-3e57-07a3dcffd8fd</t>
  </si>
  <si>
    <t>Watercolor with touches of gouache, over graphite, on ivory wove paper</t>
  </si>
  <si>
    <t>b6a9d052-6e12-1e5b-a129-0dd57f7a7b19</t>
  </si>
  <si>
    <t>Samuel Prout</t>
  </si>
  <si>
    <t>Streetwalker</t>
  </si>
  <si>
    <t>Watercolor, with touches of gouache, over graphite, on cream wove paper</t>
  </si>
  <si>
    <t>1c9f3f79-8791-03e0-4764-9283da786ec3</t>
  </si>
  <si>
    <t>Road-Mender</t>
  </si>
  <si>
    <t>76ed0f84-027f-d38b-bfed-81ca138b6ff9</t>
  </si>
  <si>
    <t>Antwerp</t>
  </si>
  <si>
    <t>Laura Johnson Knight</t>
  </si>
  <si>
    <t>Ker-Xavier Roussel</t>
  </si>
  <si>
    <t>23b51ea1-6e6c-eae6-c2ab-c614ea3b63b1</t>
  </si>
  <si>
    <t>Theodore Roussel</t>
  </si>
  <si>
    <t>Waiting to Go On Stage</t>
  </si>
  <si>
    <t>Watercolor and gouache, with charcoal, on ivory wove paper (discolored to cream), laid down on ivory wood-pulp laminate board</t>
  </si>
  <si>
    <t>d9da26df-6d8d-2965-7eb6-f7e3f410c183</t>
  </si>
  <si>
    <t>Giovanni Domenico Ferretti</t>
  </si>
  <si>
    <t>Oil on paper, mounted on canvas</t>
  </si>
  <si>
    <t>Personage, Animals, Mountains</t>
  </si>
  <si>
    <t>Tempera on cream wove paper, laid down on thick millboard support</t>
  </si>
  <si>
    <t>717f2518-c17f-c301-1f61-f33ac45739c9</t>
  </si>
  <si>
    <t>Landscape with Town</t>
  </si>
  <si>
    <t>Watercolor over graphite on cream wove paper, laid down on tan wood-pulp board</t>
  </si>
  <si>
    <t>George Benjamin Luks</t>
  </si>
  <si>
    <t>0aa9c027-8bd9-7276-e210-9d75d97f92b7</t>
  </si>
  <si>
    <t>Lady Davina Lytton</t>
  </si>
  <si>
    <t>Watercolor, with graphite and pen and brush and black ink, on cream watercolor paper</t>
  </si>
  <si>
    <t>57378127-0add-b6c8-863c-a2a087b839d7</t>
  </si>
  <si>
    <t>Rocky Cliffs, Maine</t>
  </si>
  <si>
    <t>Watercolor with gouache, over traces of black chalk, on off-white wove paper, laid down on cream wood-pulp laminate board</t>
  </si>
  <si>
    <t>Dodge MacKnight</t>
  </si>
  <si>
    <t>22d7545f-8504-9ac7-8d64-6c5b6e3f79c9</t>
  </si>
  <si>
    <t>Composition with Circle and Needle Design</t>
  </si>
  <si>
    <t>Ink and gouache on black construction paper</t>
  </si>
  <si>
    <t>e0407e20-d4b5-83bb-eb0e-5b44ccb77f45</t>
  </si>
  <si>
    <t>The Wharf, Audierne</t>
  </si>
  <si>
    <t>Watercolor, with graphite on off-white laid paper, laid down on ivory wove paper</t>
  </si>
  <si>
    <t>52260ddc-09e8-1378-fe5c-0484568a8694</t>
  </si>
  <si>
    <t>Woman with Green Cloak</t>
  </si>
  <si>
    <t>Watercolor</t>
  </si>
  <si>
    <t>14083ef3-7757-bb4d-d480-848b74d64b34</t>
  </si>
  <si>
    <t>11 7/16" x 7 3/8"</t>
  </si>
  <si>
    <t>Two Nudes on a Beach</t>
  </si>
  <si>
    <t>Watercolor and graphite, on cream wove paper</t>
  </si>
  <si>
    <t>ff7f3ddc-87ee-ba97-d675-0a26baafd48d</t>
  </si>
  <si>
    <t>A Day in the Country</t>
  </si>
  <si>
    <t>Watercolor, with touches of gouache over graphite, on white wove paper</t>
  </si>
  <si>
    <t>88601bb2-f6a3-fb42-f047-1f154d2dd888</t>
  </si>
  <si>
    <t>The Pardon on the Hill</t>
  </si>
  <si>
    <t>Watercolor over graphite on cream watercolor paper</t>
  </si>
  <si>
    <t>Aiden Lassell Ripley</t>
  </si>
  <si>
    <t>ca85c5cc-c28c-87c0-499f-14ab25e1bf1c</t>
  </si>
  <si>
    <t>Concerto Spirituale [with] Messengers Boch and Abel</t>
  </si>
  <si>
    <t>7ce27844-88ea-0ab1-aed9-6f233823d0c9</t>
  </si>
  <si>
    <t>Doctor Syntax on the Road</t>
  </si>
  <si>
    <t>Pen and gray ink with brush and gray wash and watercolor, over traces of graphite, on tan wove paper, laid down on card</t>
  </si>
  <si>
    <t>959e250c-5ffe-f5f2-4c54-bcf035188cb0</t>
  </si>
  <si>
    <t>Olive Trees, Corfu</t>
  </si>
  <si>
    <t>Watercolor and opaque watercolor with scraping and wax resist over graphite on ivory wove paper</t>
  </si>
  <si>
    <t>d6a6ee14-75f4-c6b8-3d14-a0c0a8344be5</t>
  </si>
  <si>
    <t>Woodsheds, Tyrol</t>
  </si>
  <si>
    <t>Watercolor with scraping and wax resist over graphite on ivory wove paper</t>
  </si>
  <si>
    <t>6bcff102-062f-1d3d-dbfe-25a240a2951a</t>
  </si>
  <si>
    <t>Workmen at Carrara</t>
  </si>
  <si>
    <t>Watercolor with touches of opaque watercolor and scraping over graphite on ivory wove paper</t>
  </si>
  <si>
    <t>f471b95a-2677-d98b-c449-bca661ab965e</t>
  </si>
  <si>
    <t>Ronda</t>
  </si>
  <si>
    <t>Watercolor and gouache, over graphite, on white watercolor paper</t>
  </si>
  <si>
    <t>Henry Ernest Schnakenberg</t>
  </si>
  <si>
    <t>62c24265-ac3f-a064-b10d-adfbb880b869</t>
  </si>
  <si>
    <t>Rue Ordener, Paris</t>
  </si>
  <si>
    <t>Gouache on ivory wove paper, laid down on tan board</t>
  </si>
  <si>
    <t>73a5d221-41db-6ed2-c1cd-eb793803e354</t>
  </si>
  <si>
    <t>Card Game</t>
  </si>
  <si>
    <t>Martha Walter</t>
  </si>
  <si>
    <t>93dce66e-50dc-e8d6-3300-f5d363ce4e65</t>
  </si>
  <si>
    <t>Florian's, Venice, no.2</t>
  </si>
  <si>
    <t>Watercolor with touches of gouache, over graphite, on off-white wove paper</t>
  </si>
  <si>
    <t>e46400b1-be57-556b-4916-494fa9769c4e</t>
  </si>
  <si>
    <t>Balcony of the Green House</t>
  </si>
  <si>
    <t>Watercolor with touches of gouache on cream wove paper</t>
  </si>
  <si>
    <t>56bc6003-75bf-424c-6362-d47279507b0d</t>
  </si>
  <si>
    <t>Peter Bonnett Wight</t>
  </si>
  <si>
    <t>Watercolor and gouache on cream wood-pulp laminate board</t>
  </si>
  <si>
    <t>bb8a1eb2-5e6f-7b53-d841-472c4abf65e2</t>
  </si>
  <si>
    <t>Sea Apples</t>
  </si>
  <si>
    <t>John Whorf</t>
  </si>
  <si>
    <t>1f537dda-3887-f46a-ffc6-8428117cc527</t>
  </si>
  <si>
    <t>Provincetown from Harbor</t>
  </si>
  <si>
    <t>8c8b9255-819e-af4b-b037-7271ab007b0c</t>
  </si>
  <si>
    <t>Two Women</t>
  </si>
  <si>
    <t>Woman with a Muff</t>
  </si>
  <si>
    <t>Pen and brown ink with brush and watercolor, over traces of graphite, on cream wove card</t>
  </si>
  <si>
    <t>ae310892-2d7b-bb8d-c1b5-9379b6d74831</t>
  </si>
  <si>
    <t>Reception</t>
  </si>
  <si>
    <t>Pen and brown ink with brush and watercolor, over graphite, on ivory laid paper</t>
  </si>
  <si>
    <t>6019d10b-add0-d03f-601d-70fe3458e3b6</t>
  </si>
  <si>
    <t>The Couple</t>
  </si>
  <si>
    <t>Jack Youngerman</t>
  </si>
  <si>
    <t>Emile-Antoine Bourdelle</t>
  </si>
  <si>
    <t>Towards a definitive statement on the coming trends in men's wear and accessories (c) Adonis in Y-fronts</t>
  </si>
  <si>
    <t>Oil and collage on panel</t>
  </si>
  <si>
    <t>d9bb0bad-95f2-5ec2-d667-fdab7cd81898</t>
  </si>
  <si>
    <t>336cb271-3e45-bafa-af03-42639047b8f8</t>
  </si>
  <si>
    <t>Paul Huet</t>
  </si>
  <si>
    <t>5c7a645f-3d94-0e9c-7a8a-7cb98d47048a</t>
  </si>
  <si>
    <t>Cupid and Psyche</t>
  </si>
  <si>
    <t>Jean Baptiste Mallet</t>
  </si>
  <si>
    <t>Samuel Colman</t>
  </si>
  <si>
    <t>Tempera or oil on panel</t>
  </si>
  <si>
    <t>14f54f04-6bf4-f75f-7a85-2317578071fc</t>
  </si>
  <si>
    <t>Watercolor and gouache with graphite on off-white wove paper, laid down on tan wove card.</t>
  </si>
  <si>
    <t>676362f1-89d3-4714-8657-af67b8e1bc08</t>
  </si>
  <si>
    <t>Nativity in an Initial H</t>
  </si>
  <si>
    <t>Brush and gouache, heightened with gum arabic, gold leaf, and gold paint, over brush and black ink, on vellum</t>
  </si>
  <si>
    <t>Zanino di Pietro</t>
  </si>
  <si>
    <t>441fb550-8195-a00e-b1a0-44a66100e31b</t>
  </si>
  <si>
    <t>Denys Calvaert</t>
  </si>
  <si>
    <t>Allegory</t>
  </si>
  <si>
    <t>Oil, with touches of black chalk, on tan laid paper, tipped on beige wove paper</t>
  </si>
  <si>
    <t>792cb462-ac52-0809-c39c-82eb8ac7f807</t>
  </si>
  <si>
    <t>Iron Sharpens Iron</t>
  </si>
  <si>
    <t>Louise Fishman</t>
  </si>
  <si>
    <t>05016059-438b-ea38-8777-e68742c4eb3c</t>
  </si>
  <si>
    <t>Solitude</t>
  </si>
  <si>
    <t>Catskill Mountains</t>
  </si>
  <si>
    <t>Philippe Mercier</t>
  </si>
  <si>
    <t>The Little Blue Cap</t>
  </si>
  <si>
    <t>Watercolor and opaque watercolor over charcoal on brown wove paper</t>
  </si>
  <si>
    <t>16b381b7-e7bc-570b-6abf-66151eb058e2</t>
  </si>
  <si>
    <t>Abstract</t>
  </si>
  <si>
    <t>Earth</t>
  </si>
  <si>
    <t>The Lovers</t>
  </si>
  <si>
    <t>Raymond Pettibon</t>
  </si>
  <si>
    <t>a3d26c55-430e-2c80-36ee-7d5fa478cc3a</t>
  </si>
  <si>
    <t>Virgin and Child in Glory with Saints Sebastian, John the Evangelist, and Roch</t>
  </si>
  <si>
    <t>Oil with graphite (varnished) on cream laid paper</t>
  </si>
  <si>
    <t>Pasquale Ottino</t>
  </si>
  <si>
    <t>c73f82cb-2ced-e3de-be94-f0615a2f4f1d</t>
  </si>
  <si>
    <t>Allegory of Peace and War</t>
  </si>
  <si>
    <t>92ad2a28-eac9-e358-6e3c-1c1cf39efd91</t>
  </si>
  <si>
    <t>No. I.Z</t>
  </si>
  <si>
    <t>Yayoi Kusama</t>
  </si>
  <si>
    <t>de5fffbf-8f53-43e5-cd53-ab4b7b0c70de</t>
  </si>
  <si>
    <t>Jules Olitski</t>
  </si>
  <si>
    <t>Boy of Hallett Family with Lamb</t>
  </si>
  <si>
    <t>4adb181f-854b-bbcc-48ef-1382d51670bb</t>
  </si>
  <si>
    <t>Maximilien Luce</t>
  </si>
  <si>
    <t>Alfred Leslie</t>
  </si>
  <si>
    <t>Calf Study</t>
  </si>
  <si>
    <t>a6d2a1e1-a4d6-fe9d-6166-9e2444c78e07</t>
  </si>
  <si>
    <t>Daniel Chard</t>
  </si>
  <si>
    <t>d6570551-71a7-1fab-1d7c-8b24f61087b5</t>
  </si>
  <si>
    <t>Chalk and acrylic on canvas</t>
  </si>
  <si>
    <t>Guillermo Kuitca</t>
  </si>
  <si>
    <t>ed714580-7164-7573-88bb-2f59e070775d</t>
  </si>
  <si>
    <t>The Acroatic Rectangle, Per XIII</t>
  </si>
  <si>
    <t>Alfred Jensen</t>
  </si>
  <si>
    <t>44a28230-6bd9-2d07-8ab3-ab453be8e6bd</t>
  </si>
  <si>
    <t>Feather Pink</t>
  </si>
  <si>
    <t>Acrylic paint on fabric</t>
  </si>
  <si>
    <t>Yinka Shonibare</t>
  </si>
  <si>
    <t>dbe370f5-fe40-5628-e158-daaa7a97ccf8</t>
  </si>
  <si>
    <t>Longeuil, Normandie</t>
  </si>
  <si>
    <t>56544a59-57ef-88d0-d850-e85fdd60f3a4</t>
  </si>
  <si>
    <t>Elaine</t>
  </si>
  <si>
    <t>Layla Visiting Majnun in the Desert, page from a copy of the Khamsa of Nizami</t>
  </si>
  <si>
    <t>Ink and color on paper</t>
  </si>
  <si>
    <t>f79bf4b5-f500-dcac-765e-7ff017880641</t>
  </si>
  <si>
    <t>Landscape with Lake and View of Orchard, Perspectives</t>
  </si>
  <si>
    <t>Watercolor on watercolor paper, brown paper tape</t>
  </si>
  <si>
    <t>15f07722-8501-f139-5662-64b3edcd4fb2</t>
  </si>
  <si>
    <t>Landscape with Bridge, Perspective</t>
  </si>
  <si>
    <t>a5248ec9-6539-7827-f02c-b2dc564d0e05</t>
  </si>
  <si>
    <t>Georges Seurat</t>
  </si>
  <si>
    <t>Still Life on a Pedestal Table</t>
  </si>
  <si>
    <t>Gouache and watercolor, with graphite on tan wove tracing paper, laid down on cream laid paper, prepared with a gouache ground, on board</t>
  </si>
  <si>
    <t>b2a479b8-ce7c-a8fb-792d-5e719bec4554</t>
  </si>
  <si>
    <t>The Weight Lifter</t>
  </si>
  <si>
    <t>Watercolor, with brush and brown ink, over graphite, on cream wove paper</t>
  </si>
  <si>
    <t>3fea9ca2-883d-dd24-954b-53e419621d6f</t>
  </si>
  <si>
    <t>Man and Woman</t>
  </si>
  <si>
    <t>Portrait of Mary Wigman</t>
  </si>
  <si>
    <t>Watercolor on cream Japanese paper</t>
  </si>
  <si>
    <t>f23d80f2-5eb1-eb06-dc92-b7360b9f44d2</t>
  </si>
  <si>
    <t>Woman in an Armchair</t>
  </si>
  <si>
    <t>Two Old Men Speaking</t>
  </si>
  <si>
    <t>Watercolor and gouache on white wove Japanese paper</t>
  </si>
  <si>
    <t>18edff10-5127-ecf2-f397-98eb242226b7</t>
  </si>
  <si>
    <t>Summer</t>
  </si>
  <si>
    <t>Watercolor and gouache, over graphite, with a border in silver paint and pen and black ink, on cream wove laminate board</t>
  </si>
  <si>
    <t>9d7d33a9-0635-a40d-54ac-0b194f62d757</t>
  </si>
  <si>
    <t>Woman in Black</t>
  </si>
  <si>
    <t>fed50acc-d411-5ff6-2be0-e8cabf8f3eb3</t>
  </si>
  <si>
    <t>The Mill Pond</t>
  </si>
  <si>
    <t>f837e639-5a6c-3043-3c2c-a4d5ece3bf1d</t>
  </si>
  <si>
    <t>View from the Hotel Swanaze, India</t>
  </si>
  <si>
    <t>Watercolor over traces of graphite on paper</t>
  </si>
  <si>
    <t>Sir Charles D'Oyly</t>
  </si>
  <si>
    <t>0205ab11-2d3c-bc16-6ec3-c7faeb2e7665</t>
  </si>
  <si>
    <t>Robert Mangold</t>
  </si>
  <si>
    <t>Arakawa ShÅ«saku</t>
  </si>
  <si>
    <t>Tulips in Vase with Marbles</t>
  </si>
  <si>
    <t>d51e6787-2de1-245e-bdd1-3e17caaa1f7c</t>
  </si>
  <si>
    <t>d35a28b7-d36c-fce5-9131-5a1b934a3635</t>
  </si>
  <si>
    <t>Bernardo Strozzi</t>
  </si>
  <si>
    <t>Sir Thomas Lawrence</t>
  </si>
  <si>
    <t>Riders on Horseback in Woods</t>
  </si>
  <si>
    <t>Pastel, with touches of binder-rich media (possibly oil), on tan laid paper laid down on paperboard, framed</t>
  </si>
  <si>
    <t>e9a3ce86-5235-a8a5-f617-978f45d1d55f</t>
  </si>
  <si>
    <t>Glenn Ligon</t>
  </si>
  <si>
    <t>Primeval</t>
  </si>
  <si>
    <t>52831d31-b122-6bf7-3d41-8347ab962d6c</t>
  </si>
  <si>
    <t>The Three Judges</t>
  </si>
  <si>
    <t>Watercolor and brush and black gouache, with charcoal, heightened with gray gouache, over touches of graphite, on ivory laid paper</t>
  </si>
  <si>
    <t>77c344fa-4d19-8f61-776c-2e811a830810</t>
  </si>
  <si>
    <t>The Golden Wall</t>
  </si>
  <si>
    <t>1fdbfe10-de4e-63a9-1bfd-04facf08d54d</t>
  </si>
  <si>
    <t>Reinier Zeeman, (Reinier Nooms)</t>
  </si>
  <si>
    <t>The Story-Teller: Fez, Morocco</t>
  </si>
  <si>
    <t>Watercolor over touches of graphite on cream watercolor paper</t>
  </si>
  <si>
    <t>a4630ade-0487-8ec2-6d76-2aee8d7e5f90</t>
  </si>
  <si>
    <t>Erich Heckel</t>
  </si>
  <si>
    <t>The Visitation, from a Book of Hours</t>
  </si>
  <si>
    <t>Manuscript cutting with decorations in tempera and gold leaf, and littera textualis inscriptions in brown ink, ruled in light brown wash, on parchment</t>
  </si>
  <si>
    <t>3ab22d9d-27af-7ccd-fcc0-14b32e989acd</t>
  </si>
  <si>
    <t>Decorated Initial "M" with Roses and a Medal from a Manuscript</t>
  </si>
  <si>
    <t>Manuscript cutting in tempera, colored inks, and silver leaf, with Latin inscriptions in brownish black and red inks, ruled in red, on vellum</t>
  </si>
  <si>
    <t>33303b27-1826-8599-1c8e-e2e6baef12f1</t>
  </si>
  <si>
    <t>Manuscript Cutting with Flowers</t>
  </si>
  <si>
    <t>Manuscript cutting in tempera and colored inks on vellum</t>
  </si>
  <si>
    <t>970d768e-9c29-67d7-3c0b-433e0b085b17</t>
  </si>
  <si>
    <t>Decorated Initial with Flowers from a Manuscript</t>
  </si>
  <si>
    <t>Manuscript cutting in tempera and colored inks, with Latin inscriptions in brownish black and red inks, ruled in red, on vellum</t>
  </si>
  <si>
    <t>1153d28d-2bc4-bd1c-13f6-75259db26495</t>
  </si>
  <si>
    <t>Decorated Initial "A" with Flower from a Manuscript</t>
  </si>
  <si>
    <t>0348cf1f-b1b2-395a-d682-2b89497610c5</t>
  </si>
  <si>
    <t>Decorated Initial "P" with Roses from a Manuscript</t>
  </si>
  <si>
    <t>Manuscript cutting in tempera, colored inks, and silver leaf, with incising, and with Latin inscriptions in brownish black and red inks, ruled in red, on vellum</t>
  </si>
  <si>
    <t>0dd13184-1b9e-5523-3ba8-434c3724f362</t>
  </si>
  <si>
    <t>Historiated Initial "N" with Crucifix from a Manuscript</t>
  </si>
  <si>
    <t>Manuscript cutting in tempera, colored inks, and silver and gold paint, with Latin inscriptions in brownish black ink, ruled in red, on vellum</t>
  </si>
  <si>
    <t>42085ae5-e0f3-fc8f-8c1b-9669b1043cd2</t>
  </si>
  <si>
    <t>Decorated Initial "T" with Flower from a Manuscript</t>
  </si>
  <si>
    <t>342bdd50-e350-6049-849c-decb7685cd39</t>
  </si>
  <si>
    <t>Decorated Initial "O" with Flowers from a Manuscript</t>
  </si>
  <si>
    <t>f67e9c12-f84a-2043-65f1-611533352fce</t>
  </si>
  <si>
    <t>Decorated Initial "N" with Terme (or Grotesque) and Urn from a Manuscript</t>
  </si>
  <si>
    <t>Manuscript cutting in tempera and gold leaf, with Latin inscriptions in brownish-black and red, ruled in red, verso, on parchment</t>
  </si>
  <si>
    <t>2292967d-7ba6-c25a-9a38-2a262bc47747</t>
  </si>
  <si>
    <t>Carl Olof Larsson</t>
  </si>
  <si>
    <t>The Sarape and the Rebezo, from Mexican Costume</t>
  </si>
  <si>
    <t>Saint John the Baptist in the Wilderness</t>
  </si>
  <si>
    <t>63a98f96-93d4-a6a7-4309-c24818135b9f</t>
  </si>
  <si>
    <t>This, My Brother</t>
  </si>
  <si>
    <t>b29b7f71-2098-9fc7-16cf-05ff99f0afdc</t>
  </si>
  <si>
    <t>Night Foliage</t>
  </si>
  <si>
    <t>Brush and black, gray, and reddish-brown wash, with touches of pen and black ink, on cream wove paper</t>
  </si>
  <si>
    <t>Edward Millman</t>
  </si>
  <si>
    <t>995b6264-28e4-e8c6-d963-c77324f791b2</t>
  </si>
  <si>
    <t>Stranger in the Village #13</t>
  </si>
  <si>
    <t>Enamel, oil and acrylic paint, gesso and coal dust on canvas</t>
  </si>
  <si>
    <t>e1e1c62d-3273-a77d-2f27-7e89770775e0</t>
  </si>
  <si>
    <t>Koryo Dynasty Cup with Dragon Head Handle</t>
  </si>
  <si>
    <t>Byron Kim</t>
  </si>
  <si>
    <t>d38260e3-3ccc-611a-1c4f-7a86db168f94</t>
  </si>
  <si>
    <t>Fisherman's Cottage</t>
  </si>
  <si>
    <t>Harald Oscar Sohlberg</t>
  </si>
  <si>
    <t>2b99326e-ba24-a0d4-1be3-d32c89143d36</t>
  </si>
  <si>
    <t>Homage to the Square: Yellow Signal</t>
  </si>
  <si>
    <t>c696dd0e-3166-f4e3-3159-525bf266249a</t>
  </si>
  <si>
    <t>The Judgement of Zaleucus</t>
  </si>
  <si>
    <t>Otto van Veen</t>
  </si>
  <si>
    <t>e4b6a24a-e65b-b8e2-b41c-93dae28d86c3</t>
  </si>
  <si>
    <t>9f8996d3-a928-c916-7802-93bf4da74f69</t>
  </si>
  <si>
    <t>Roland Ginzel</t>
  </si>
  <si>
    <t>Untitled E</t>
  </si>
  <si>
    <t>262db533-8c3c-b5a4-d092-24411dc4d7d7</t>
  </si>
  <si>
    <t>A Boatyard at the Mouth of an Estuary</t>
  </si>
  <si>
    <t>Watercolor, over graphite, on cream laid paper, edge mounted on cream card</t>
  </si>
  <si>
    <t>7014574c-264b-2916-60a7-6e2acfedf3b5</t>
  </si>
  <si>
    <t>Watercolor, gouache, and black ink, over graphite, squared in graphite, on cream wove paper</t>
  </si>
  <si>
    <t>2201e595-da09-28a7-834f-91f98acc0356</t>
  </si>
  <si>
    <t>York Harbor, Coast of Maine</t>
  </si>
  <si>
    <t>3192ae4d-ffca-fe91-af12-2ca681f43e13</t>
  </si>
  <si>
    <t>The Odyssey Suite Portfolio</t>
  </si>
  <si>
    <t>Laquer on eight aluminum panels</t>
  </si>
  <si>
    <t>Christian Eckart</t>
  </si>
  <si>
    <t>a06d82ea-222d-70c9-2b1b-ec52e8c69a83</t>
  </si>
  <si>
    <t>The Chicago Panels</t>
  </si>
  <si>
    <t>Acrylic on fiberglass and plywood</t>
  </si>
  <si>
    <t>e763fafc-fc52-6f6b-a12e-5772dda7d12a</t>
  </si>
  <si>
    <t>Oil on canvas and paper, on wood</t>
  </si>
  <si>
    <t>Ed Clark</t>
  </si>
  <si>
    <t>c25baf47-f09d-18ad-c1be-9e0ba16b5aef</t>
  </si>
  <si>
    <t>So What</t>
  </si>
  <si>
    <t>Judy Ledgerwood</t>
  </si>
  <si>
    <t>329057ac-40ca-791b-1da2-55d2c915a056</t>
  </si>
  <si>
    <t>9e8f1d07-97b6-bbd8-3b11-c488130e77dd</t>
  </si>
  <si>
    <t>09a1e448-d439-7616-ca91-02347e1934f9</t>
  </si>
  <si>
    <t>fa3516e0-fc3d-e5e8-a723-e33b733a41ab</t>
  </si>
  <si>
    <t>6a429252-c5c6-f60e-18e4-ac47614d2198</t>
  </si>
  <si>
    <t>fec58d3b-be37-a4df-d174-c516f98cbc4c</t>
  </si>
  <si>
    <t>The Boathouse</t>
  </si>
  <si>
    <t>Luigi Loir</t>
  </si>
  <si>
    <t>12514262-7163-403d-80a2-2c64e57325f2</t>
  </si>
  <si>
    <t>The Imperial Palace on the Palatine, Rome</t>
  </si>
  <si>
    <t>Oil on card</t>
  </si>
  <si>
    <t>Paul Flandrin</t>
  </si>
  <si>
    <t>fe633bf9-a401-490e-49c0-0ba6af6ece8c</t>
  </si>
  <si>
    <t>Sketch for The Revolt of Cairo</t>
  </si>
  <si>
    <t>Oil and ink on paper, laid down on canvas</t>
  </si>
  <si>
    <t>ec14e825-ed02-c8a5-c25d-c04cbbc6a471</t>
  </si>
  <si>
    <t>Mathias Stoltenberg</t>
  </si>
  <si>
    <t>5d1de0c7-99d3-b95c-e8e5-16f881ee2fe3</t>
  </si>
  <si>
    <t>Virgin and Child Adored by Saint Francis</t>
  </si>
  <si>
    <t>Francesco Albani</t>
  </si>
  <si>
    <t>ac23f590-c2b3-0560-5058-ae4cc59b890d</t>
  </si>
  <si>
    <t>Salvador Dali</t>
  </si>
  <si>
    <t>Buoy</t>
  </si>
  <si>
    <t>0814b40d-9680-05ba-ea4e-9ac32226f257</t>
  </si>
  <si>
    <t>d585b957-3864-90eb-280e-a1fe4af1291b</t>
  </si>
  <si>
    <t>Woman at an Easel (Green Screen)</t>
  </si>
  <si>
    <t>90cb302e-5f3a-75d5-9d3a-ee157516b4be</t>
  </si>
  <si>
    <t>Diego Seated in the Studio</t>
  </si>
  <si>
    <t>3b96d8d0-68c9-cb16-e5ea-6d7889a9928c</t>
  </si>
  <si>
    <t>cd277f61-c27e-f8d5-766a-96e81fa9c061</t>
  </si>
  <si>
    <t>Lemons on a Pewter Plate</t>
  </si>
  <si>
    <t>79f1c666-1e19-af39-f7e0-f22989835eb2</t>
  </si>
  <si>
    <t>Foliageâ€”Oak Tree and Fruit Seller</t>
  </si>
  <si>
    <t>Distemper on canvas</t>
  </si>
  <si>
    <t>e170725f-cc12-cb0f-841e-8b1ea918933e</t>
  </si>
  <si>
    <t>Still Life: Wood Tankard and Metal Pitcher</t>
  </si>
  <si>
    <t>Oil on linen canvas</t>
  </si>
  <si>
    <t>9964135a-b3df-8af6-5af9-9e6eac7a041d</t>
  </si>
  <si>
    <t>Woman in a Garden</t>
  </si>
  <si>
    <t>5edb357d-2e8f-8673-d9e8-4b1150af3895</t>
  </si>
  <si>
    <t>Woman Bathing Her Feet in a Brook</t>
  </si>
  <si>
    <t>5ccaee46-a1a0-5035-821c-0547aa35c070</t>
  </si>
  <si>
    <t>Jane Wilson</t>
  </si>
  <si>
    <t>James Brooks</t>
  </si>
  <si>
    <t>Fairfield Porter</t>
  </si>
  <si>
    <t>Abstract Landscape</t>
  </si>
  <si>
    <t>Portrait of a Girl</t>
  </si>
  <si>
    <t>Landscape with Clouds</t>
  </si>
  <si>
    <t>Cliffs on the Sea Coast: Small Beach, Sunrise (Falaise au bord de la mer, vu Petite Plage, soleil levant)</t>
  </si>
  <si>
    <t>Gustave Courbet</t>
  </si>
  <si>
    <t>29d3c6bc-7b53-d13f-a625-0490141c6f10</t>
  </si>
  <si>
    <t>Domenico da Gambassi</t>
  </si>
  <si>
    <t>d8c733d2-5132-d0e6-c7ba-2f9f35f1a191</t>
  </si>
  <si>
    <t>Don Quixote and the Windmills</t>
  </si>
  <si>
    <t>13b26391-274d-32c3-f2d2-2493b7dd8fbe</t>
  </si>
  <si>
    <t>Calf's Head and Ox Tongue</t>
  </si>
  <si>
    <t>0274aa9e-95d1-2a8e-12e3-2b09d7749b4f</t>
  </si>
  <si>
    <t>Flag Day</t>
  </si>
  <si>
    <t>Benny Andrews</t>
  </si>
  <si>
    <t>2faf98dd-b158-35f6-babe-bd9ffa3b2b11</t>
  </si>
  <si>
    <t>Soldier</t>
  </si>
  <si>
    <t>Luc Tuymans</t>
  </si>
  <si>
    <t>7e0deb1d-e53f-2343-ef65-4578b2851405</t>
  </si>
  <si>
    <t>The Descension</t>
  </si>
  <si>
    <t>5c5bffa9-e877-b7c3-1504-67030888a0ff</t>
  </si>
  <si>
    <t>Wilderness Storms</t>
  </si>
  <si>
    <t>42f82b29-bf14-ac5d-690f-ff4cdc9c9ef3</t>
  </si>
  <si>
    <t>Towards Identity</t>
  </si>
  <si>
    <t>Nelson Stevens</t>
  </si>
  <si>
    <t>ae9da2f7-4caf-6fde-885e-b56b0ff1e6c0</t>
  </si>
  <si>
    <t>Yuri Gagarin</t>
  </si>
  <si>
    <t>1a287c3f-4150-695d-1b17-57663121f25f</t>
  </si>
  <si>
    <t>Civil War Regalia of Major Levi Gheen McCauley</t>
  </si>
  <si>
    <t>George Cope</t>
  </si>
  <si>
    <t>5bfd7409-b07d-dd6d-8f11-1ebb3ca034e5</t>
  </si>
  <si>
    <t>Rack Picture for Dr. Nones</t>
  </si>
  <si>
    <t>William A. Mitchell</t>
  </si>
  <si>
    <t>22609746-bd4b-c9b6-8293-dfd393f00c20</t>
  </si>
  <si>
    <t>Prospero, Miranda, Caliban and Ariel</t>
  </si>
  <si>
    <t>Sir Andrew Fountaine</t>
  </si>
  <si>
    <t>14dd6a9c-11d0-0ed1-abe5-91444e7715f9</t>
  </si>
  <si>
    <t>The Nativity</t>
  </si>
  <si>
    <t>Master of the Historia Friderici et Maximiliani</t>
  </si>
  <si>
    <t>c6962747-4875-eb15-f28c-523ce2d3d174</t>
  </si>
  <si>
    <t>Brush and brown wash, over graphite, on cream wove paper laid down on tan wove paper</t>
  </si>
  <si>
    <t>ad32391b-2bb8-9347-cb77-bf699cb51ebc</t>
  </si>
  <si>
    <t>Ballet</t>
  </si>
  <si>
    <t>Pink Suit #2</t>
  </si>
  <si>
    <t>Watercolor, over graphite on off-white wove paper</t>
  </si>
  <si>
    <t>7635d788-6c56-97e6-303a-d96c25b508bf</t>
  </si>
  <si>
    <t>Female Nude, Profile (Constance)</t>
  </si>
  <si>
    <t>Watercolor and graphite with smudging on ivory wove paper</t>
  </si>
  <si>
    <t>1cc04878-680f-079e-5c79-9a22e2b5b084</t>
  </si>
  <si>
    <t>Ron Davis</t>
  </si>
  <si>
    <t>Albert Krehbiel</t>
  </si>
  <si>
    <t>Oil Sketch, Saugatuck</t>
  </si>
  <si>
    <t>Oil on cream laid paper</t>
  </si>
  <si>
    <t>da84d00d-7014-cd32-5344-bf9b35cb42b4</t>
  </si>
  <si>
    <t>f0473c5c-e6f8-0c8d-ef96-95a53c8cc2ba</t>
  </si>
  <si>
    <t>f9191d85-ee58-c5af-a91a-450aa2c50fe9</t>
  </si>
  <si>
    <t>Santa Fe "Pueblo Construction"</t>
  </si>
  <si>
    <t>28537943-49ed-85da-be5a-cad10a3be4a5</t>
  </si>
  <si>
    <t>1951-52</t>
  </si>
  <si>
    <t>fe68289b-d212-899e-86dd-c8c485ec77c6</t>
  </si>
  <si>
    <t>Abstraction (La Proue)</t>
  </si>
  <si>
    <t>Oil on canvas,</t>
  </si>
  <si>
    <t>Jean-Paul Riopelle</t>
  </si>
  <si>
    <t>a9753ac8-6553-4550-ab96-94442544797d</t>
  </si>
  <si>
    <t>28 7/8 x 36 1/4";  38" overall</t>
  </si>
  <si>
    <t>Illinois Colorscape XIII</t>
  </si>
  <si>
    <t>Acrylic over watercolor and graphite on ivory wove paper</t>
  </si>
  <si>
    <t>Harold Gregor</t>
  </si>
  <si>
    <t>cb5863df-744b-aa9c-7186-eb645bda6d1e</t>
  </si>
  <si>
    <t>Gouache and wet charcoal on amate paper</t>
  </si>
  <si>
    <t>c7ba2a23-bd04-bbdb-aab7-52c288700381</t>
  </si>
  <si>
    <t>The Stick</t>
  </si>
  <si>
    <t>Watercolor on ivory wove paper, prepared with gesso ground</t>
  </si>
  <si>
    <t>David Kettner</t>
  </si>
  <si>
    <t>0a337ba2-fa57-176e-3cd6-a8ea27d41ac8</t>
  </si>
  <si>
    <t>Bright Pink Cyclamen</t>
  </si>
  <si>
    <t>Watercolor, over graphite on heavy white wove paper</t>
  </si>
  <si>
    <t>Richard Lytle</t>
  </si>
  <si>
    <t>0e5f723e-d0ab-96af-a987-39b32fc3e461</t>
  </si>
  <si>
    <t>Monika</t>
  </si>
  <si>
    <t>Watercolor and colored pencils on pale blue laid paper</t>
  </si>
  <si>
    <t>Alan Magee</t>
  </si>
  <si>
    <t>a16458f4-a78c-d418-5db8-1eec7bc989a0</t>
  </si>
  <si>
    <t>Still Life Arrangement II</t>
  </si>
  <si>
    <t>Watercolor, over graphite on white wove paper</t>
  </si>
  <si>
    <t>b5e7ee47-7574-592d-df4d-3ded96b1acda</t>
  </si>
  <si>
    <t>Abigail Inskeep Bradford</t>
  </si>
  <si>
    <t>f73f1bb1-a961-ca90-9984-f783b5a5a005</t>
  </si>
  <si>
    <t>Loch Vale</t>
  </si>
  <si>
    <t>81bcd428-6d79-c3b5-703d-b4695127b958</t>
  </si>
  <si>
    <t>Achrome</t>
  </si>
  <si>
    <t>Kaolin on folded canvas</t>
  </si>
  <si>
    <t>Piero Manzoni</t>
  </si>
  <si>
    <t>d929e656-fb37-f337-e025-e933e42ba3b9</t>
  </si>
  <si>
    <t>Transom #2 (Twilight)</t>
  </si>
  <si>
    <t>2a637fc8-9360-2053-e867-92ee9d11586b</t>
  </si>
  <si>
    <t>Gouache, pen and black ink, and black crayon on cream wove paper</t>
  </si>
  <si>
    <t>898ed618-1736-83b0-551b-c838f8362d4e</t>
  </si>
  <si>
    <t>Adolf Arthur Dehn</t>
  </si>
  <si>
    <t>Central Park at Night</t>
  </si>
  <si>
    <t>Swingin'</t>
  </si>
  <si>
    <t>Watercolor and black crayon, with scraping, on ivory wove paper</t>
  </si>
  <si>
    <t>c370f12b-e473-62cc-ad4a-b1da40fd560a</t>
  </si>
  <si>
    <t>Fruit Piece</t>
  </si>
  <si>
    <t>Hannah Brown Skeele</t>
  </si>
  <si>
    <t>998674f9-207f-6b56-8ece-79a6a5039a2a</t>
  </si>
  <si>
    <t>As if this flesh, which wall about our life, were brass impregnable</t>
  </si>
  <si>
    <t>Oil paint, brass doorknobs on canvas</t>
  </si>
  <si>
    <t>Annette Lemieux</t>
  </si>
  <si>
    <t>be63083c-b217-71c7-5e52-ff8674ddea65</t>
  </si>
  <si>
    <t>The Indestructibles</t>
  </si>
  <si>
    <t>1c9ab509-5711-3f06-3eba-f855797c95bd</t>
  </si>
  <si>
    <t>Portrait of Isabella of Bourbon</t>
  </si>
  <si>
    <t>9420990e-602d-5b82-d82c-538c25bc7e53</t>
  </si>
  <si>
    <t>Alessandro Longhi</t>
  </si>
  <si>
    <t>b3a70994-e65c-9acf-c73f-46a602f101fd</t>
  </si>
  <si>
    <t>Resting</t>
  </si>
  <si>
    <t>Antonio Mancini</t>
  </si>
  <si>
    <t>f117b976-3897-fbbd-7a1f-ac8a5ccbfa51</t>
  </si>
  <si>
    <t>Portrait of a Man with Gray Hair</t>
  </si>
  <si>
    <t>51a56e7e-ffa2-bb9e-7f16-99bc0b4b4d66</t>
  </si>
  <si>
    <t>Portrait of Thomas Bulwer</t>
  </si>
  <si>
    <t>Gerard van Soest</t>
  </si>
  <si>
    <t>6f9efc13-46f6-32a6-ac9a-80447870fb5c</t>
  </si>
  <si>
    <t>Attendant 2</t>
  </si>
  <si>
    <t>a34d1b30-5a74-f2e6-71f1-b357eb731a25</t>
  </si>
  <si>
    <t>La Jaune</t>
  </si>
  <si>
    <t>Acrylic, embroidery, and gel medium on canvas</t>
  </si>
  <si>
    <t>Ghada Amer</t>
  </si>
  <si>
    <t>081458d1-4814-0850-bbd2-f9bcdd07b56a</t>
  </si>
  <si>
    <t>5bfc7cef-3c8c-4239-65ac-826c735643f5</t>
  </si>
  <si>
    <t>Unemployment Agency</t>
  </si>
  <si>
    <t>8eec8935-b7c3-620e-b633-3e39fbf057af</t>
  </si>
  <si>
    <t>Museum without Ceiling</t>
  </si>
  <si>
    <t>ab716df2-5969-611c-2703-8e139afbe07c</t>
  </si>
  <si>
    <t>Saint Christopher Meets Satan; Saint Christopher before the King of Lycia</t>
  </si>
  <si>
    <t>Tempera with oil glazes on panel</t>
  </si>
  <si>
    <t>Martin de Soria</t>
  </si>
  <si>
    <t>2304d661-2cb9-b550-bc41-9ff923177fc5</t>
  </si>
  <si>
    <t>Saint Christopher Taking Leave of the King Who Feared Satan; Saint Christopher and His Converts</t>
  </si>
  <si>
    <t>2e511440-57e2-83e6-593c-9b71390d233b</t>
  </si>
  <si>
    <t>Landscape with Figures Crossing a Bridge</t>
  </si>
  <si>
    <t>John Rathbone</t>
  </si>
  <si>
    <t>a2e9aad2-dd14-ae12-6c44-6811229b3619</t>
  </si>
  <si>
    <t>Landscape with Fisherman and Washerwoman</t>
  </si>
  <si>
    <t>a6f8dc26-bb9f-5b58-a102-e2cabd6b97cf</t>
  </si>
  <si>
    <t>An Artist at His Easel</t>
  </si>
  <si>
    <t>645c2079-016a-998d-411f-b0869349d9c0</t>
  </si>
  <si>
    <t>Christ on the Cross</t>
  </si>
  <si>
    <t>Still Life with Currency</t>
  </si>
  <si>
    <t>Charles Alfred Meurer</t>
  </si>
  <si>
    <t>64106540-36d7-23eb-0556-c07306075745</t>
  </si>
  <si>
    <t>The Death of St. Peter Martyr</t>
  </si>
  <si>
    <t>Giovanni Girolamo Savoldo</t>
  </si>
  <si>
    <t>61b21209-3e50-6eae-8056-9232dd6aecff</t>
  </si>
  <si>
    <t>Jim Nutt</t>
  </si>
  <si>
    <t>Melville Price</t>
  </si>
  <si>
    <t>ff1ac467-bc3f-614b-c337-b13dc36a4a22</t>
  </si>
  <si>
    <t>La Campagna Series #10</t>
  </si>
  <si>
    <t>Oil and colored crayons on cream wove paper</t>
  </si>
  <si>
    <t>d70a6546-dfd0-344c-31bd-1f82e0142540</t>
  </si>
  <si>
    <t>Blueberries</t>
  </si>
  <si>
    <t>3f80cf16-9ee5-ff84-6c3b-63922941ecd6</t>
  </si>
  <si>
    <t>Turquoise and Red Greys, Sequence Study</t>
  </si>
  <si>
    <t>Gouache over graphite on ivory wove graph paper</t>
  </si>
  <si>
    <t>Bridget Riley</t>
  </si>
  <si>
    <t>6ec2b0a9-6299-e808-1792-c0b994727088</t>
  </si>
  <si>
    <t>The Valley of the Eisak Near Brixen in the Tyrol</t>
  </si>
  <si>
    <t>Brush and black ink, and watercolor, with scraping, on cream wove paper, laid down on ivory wove paper and edge mounted on card</t>
  </si>
  <si>
    <t>f6312bce-358a-8127-f436-72ef73cec071</t>
  </si>
  <si>
    <t>The Wrestlers</t>
  </si>
  <si>
    <t>Watercolor, gouache and brush and black ink, on cream wove paper, laid down on cream wove card</t>
  </si>
  <si>
    <t>Kees van Dongen</t>
  </si>
  <si>
    <t>235de5b4-fa2c-1e09-0906-36399a652b00</t>
  </si>
  <si>
    <t>Homage to Spain, Thalidomide Children and Others</t>
  </si>
  <si>
    <t>7b169b8e-14c7-580d-69d0-bd5932e788fd</t>
  </si>
  <si>
    <t>Acrylic and colored pencil on canvas</t>
  </si>
  <si>
    <t>6b63ae4f-2cbb-a486-db22-48d530dc7449</t>
  </si>
  <si>
    <t>Correct Me If I'm Wrong</t>
  </si>
  <si>
    <t>Amy Sillman</t>
  </si>
  <si>
    <t>d81709f5-5bd8-7711-a244-64cb72daa0fa</t>
  </si>
  <si>
    <t>Nude on a Table</t>
  </si>
  <si>
    <t>John Currin</t>
  </si>
  <si>
    <t>3438e064-a17a-e068-0acd-b8c80a65a815</t>
  </si>
  <si>
    <t>Gouache, and pen and black ink, on off-white wove paper</t>
  </si>
  <si>
    <t>4e333c71-2ba8-4ce0-a4dd-00253a36ac2c</t>
  </si>
  <si>
    <t>Blue Note</t>
  </si>
  <si>
    <t>Judith Godwin</t>
  </si>
  <si>
    <t>52bf8856-560d-d3cc-2d62-2a7b06e00c5e</t>
  </si>
  <si>
    <t>Abiquiu Sand Hills and Mesa</t>
  </si>
  <si>
    <t>c7f347b6-2ec2-0d73-8a79-5c83e4d49c38</t>
  </si>
  <si>
    <t>Peru - Machu Picchu, Morning Light</t>
  </si>
  <si>
    <t>67b6776b-09df-bf71-72e9-5b43446906b4</t>
  </si>
  <si>
    <t>Road - Mesa with Mist</t>
  </si>
  <si>
    <t>f6517995-3f7b-4499-1214-33496c4b471c</t>
  </si>
  <si>
    <t>ba74b990-fc26-64fd-4704-328e99e1eef8</t>
  </si>
  <si>
    <t>The White Place in Sun</t>
  </si>
  <si>
    <t>a5b8d8f3-79a4-6ee4-bf3e-ce143cc9d2fd</t>
  </si>
  <si>
    <t>Untitled (Sex with Dumplings)</t>
  </si>
  <si>
    <t>f2a1e00d-1a36-3c12-f9d7-3e412d192cae</t>
  </si>
  <si>
    <t>Untitled (Christ H&amp;S)</t>
  </si>
  <si>
    <t>Gouache, brush and black ink, and watercolor, over carbon transfer on white wove paper, prepared with linseed oil</t>
  </si>
  <si>
    <t>0ad13829-0c87-9900-1c58-29737edad80c</t>
  </si>
  <si>
    <t>Martin Kippenberger</t>
  </si>
  <si>
    <t>Watercolor, gouache, pastel, blue and black ballpoint pens, and silver paint on white wove paper</t>
  </si>
  <si>
    <t>220147dc-7c00-da48-1b0b-824ee757f298</t>
  </si>
  <si>
    <t>Autumn Near Auxerre</t>
  </si>
  <si>
    <t>849f26ca-6f9c-42b2-c1a4-585d3f7863b6</t>
  </si>
  <si>
    <t>The Sound of Mull</t>
  </si>
  <si>
    <t>804e41f6-c325-fe18-9c21-fbee8d317c5b</t>
  </si>
  <si>
    <t>Windmill, Veere</t>
  </si>
  <si>
    <t>Watercolor on ivory wove paper, laid down on cream board</t>
  </si>
  <si>
    <t>67761ddf-a555-1d48-404c-faee4dd508e1</t>
  </si>
  <si>
    <t>Portrait of the Artistâ€™s Mother (Eve)</t>
  </si>
  <si>
    <t>Gouache, over a white ground, on gray millboard</t>
  </si>
  <si>
    <t>6a1494fe-ed5e-c3a4-7758-a23779bb6fde</t>
  </si>
  <si>
    <t>Design for a Fan Featuring a Landscape and a Statue of the Goddess Hina</t>
  </si>
  <si>
    <t>Watercolor and gouache, with touches of pen and black ink, over traces of graphite, on cream Japanese paper (pieced), laid down on cream wove paper</t>
  </si>
  <si>
    <t>1a431e27-fff6-c922-83f1-b646bf1039bf</t>
  </si>
  <si>
    <t>Tahitian Hut</t>
  </si>
  <si>
    <t>Watercolor, with touches of gouache, over graphite, on tan wove paper</t>
  </si>
  <si>
    <t>bb687947-c51e-a038-cb52-bc29a1c188f2</t>
  </si>
  <si>
    <t>Aha oe feii? (What! Are You Jealous?)</t>
  </si>
  <si>
    <t>Watercolor monotype from a glass matrix, with brush and white gouache, reddish-brown and black water color, on cream wove paper (an imitation Japanese vellum)</t>
  </si>
  <si>
    <t>adc37cfc-b725-a219-bfeb-e01a166c5fd4</t>
  </si>
  <si>
    <t>Tahitian Landscape</t>
  </si>
  <si>
    <t>Watercolor monotype from a glass matrix, with touches of gouache on cream wove paper laid down on ivory Japanese paper</t>
  </si>
  <si>
    <t>3025c0dd-5f75-df57-7dff-81f64a8ff688</t>
  </si>
  <si>
    <t>Bust of a Tahitian Woman</t>
  </si>
  <si>
    <t>Watercolor monotype on ivory Japanese paper, discolored to tan, laid down on tan wove paper</t>
  </si>
  <si>
    <t>83570e68-86e9-eed9-21f5-ca9af0f8169a</t>
  </si>
  <si>
    <t>Two Standing Tahitian Women</t>
  </si>
  <si>
    <t>Black ink monotype from a glass matrix, over watercolor monotype from a paper matrix, with touches of metallic oil-based media, on thin cream Japanese paper laid down on cream wove paper (an imitation Japanese vellum)</t>
  </si>
  <si>
    <t>054394fd-9e62-440b-2248-7d3feca191d5</t>
  </si>
  <si>
    <t>Mold (Muffa)</t>
  </si>
  <si>
    <t>Oil, synthetic polymer, pumice, and metallic paint on canvas</t>
  </si>
  <si>
    <t>Alberto Burri</t>
  </si>
  <si>
    <t>1cbd670c-497c-ecbb-6502-911cf5debc97</t>
  </si>
  <si>
    <t>Harlequin</t>
  </si>
  <si>
    <t>Gouache on paper on board</t>
  </si>
  <si>
    <t>77965c62-3bf9-349e-7441-e4eebcb69db8</t>
  </si>
  <si>
    <t>Portrait of Charles Deering</t>
  </si>
  <si>
    <t>e810d27d-57d8-89d0-49a6-87b1bbc68174</t>
  </si>
  <si>
    <t>Mrs. Charles Deering (Marion Denison Whipple)</t>
  </si>
  <si>
    <t>60d5826b-aaa0-68ba-9d6c-fc0bc55c2227</t>
  </si>
  <si>
    <t>In the Wings</t>
  </si>
  <si>
    <t>cb47a74b-4048-0636-d3cc-8e6be7e4c3f2</t>
  </si>
  <si>
    <t>Canal in Venice</t>
  </si>
  <si>
    <t>Glittering the Being</t>
  </si>
  <si>
    <t>1c2074ad-4242-d31c-3b1b-19054416677a</t>
  </si>
  <si>
    <t>The White Race</t>
  </si>
  <si>
    <t>230e8e8e-7726-b793-2a4a-05223efb221a</t>
  </si>
  <si>
    <t>David Wojnarowicz</t>
  </si>
  <si>
    <t>[drawing for] Living Rooms, NorthEast</t>
  </si>
  <si>
    <t>Gouache on white wove paper</t>
  </si>
  <si>
    <t>d247ccfa-b3e8-2a9c-78e6-dc42ba3b81c9</t>
  </si>
  <si>
    <t>[drawing for] Living Rooms, SouthWest-one</t>
  </si>
  <si>
    <t>811d81a1-25ea-8a87-bed6-72ac7328accb</t>
  </si>
  <si>
    <t>[drawing for] Living Rooms, SouthWest-two</t>
  </si>
  <si>
    <t>c4aaac16-1ac8-7596-8975-621be36ef258</t>
  </si>
  <si>
    <t>ef3ead66-b380-d3a6-df48-e6508d96f720</t>
  </si>
  <si>
    <t>Mahamayuri Vidyaraja</t>
  </si>
  <si>
    <t>Ink and colors on cotton (framed)</t>
  </si>
  <si>
    <t>e95dc063-127f-dd28-2c6f-fed1bc409d29</t>
  </si>
  <si>
    <t>Fountain and Pergola in Italy</t>
  </si>
  <si>
    <t>Ernest Christian Frederik Petzholdt</t>
  </si>
  <si>
    <t>3b090ebe-5635-1008-3529-3e61fc680e2a</t>
  </si>
  <si>
    <t>The Ecstasy of Saint Francis</t>
  </si>
  <si>
    <t>107dd824-9ae2-b091-9787-5901d5e300da</t>
  </si>
  <si>
    <t>The Golden Age</t>
  </si>
  <si>
    <t>5b4ab4f3-0d51-584d-afd3-833e42392c81</t>
  </si>
  <si>
    <t>The Festival</t>
  </si>
  <si>
    <t>d5133cb6-4ea6-d2f6-3391-e1b47f3f1022</t>
  </si>
  <si>
    <t>Faith Ringgold</t>
  </si>
  <si>
    <t>Boats in an Estuary</t>
  </si>
  <si>
    <t>Aelbert Cuyp</t>
  </si>
  <si>
    <t>11caaf7a-bf12-37f5-99c6-a096de76de18</t>
  </si>
  <si>
    <t>Fallen Indian Warrior</t>
  </si>
  <si>
    <t>Charles Marion Russell</t>
  </si>
  <si>
    <t>b3c2ae1b-920d-1814-7877-2d091cdd8800</t>
  </si>
  <si>
    <t>X Marks the Spot</t>
  </si>
  <si>
    <t>Watercolor and brush and black ink on cream wove paper</t>
  </si>
  <si>
    <t>Don Doe</t>
  </si>
  <si>
    <t>15925834-db50-1be3-ce44-703ffc654ac1</t>
  </si>
  <si>
    <t>Pergola with Oranges</t>
  </si>
  <si>
    <t>Thomas Fearnley</t>
  </si>
  <si>
    <t>3236b056-f154-b3b6-3c37-6d70cac49bfe</t>
  </si>
  <si>
    <t>Study for Kilns</t>
  </si>
  <si>
    <t>Pen and brush and red ink, over traces of graphite, on cream wove paper, tipped onto ivory wood pulp laminate board</t>
  </si>
  <si>
    <t>8c5f71a0-1342-3a8a-58b9-a49225d87cd9</t>
  </si>
  <si>
    <t>The Flight into Egypt</t>
  </si>
  <si>
    <t>Tempera on panel (poplar)</t>
  </si>
  <si>
    <t>Bernardino Jacobi Butinone</t>
  </si>
  <si>
    <t>660278f5-2186-0999-3846-fd88a2071ce0</t>
  </si>
  <si>
    <t>The Descent from the Cross</t>
  </si>
  <si>
    <t>ccc244d4-d151-38ef-ac6f-69a5cbadaf10</t>
  </si>
  <si>
    <t>Virgin and Child Enthroned</t>
  </si>
  <si>
    <t>Tempera or oil on panel, transferred to canvas</t>
  </si>
  <si>
    <t>Girolamo da Santacroce</t>
  </si>
  <si>
    <t>9cabe627-598a-e86f-5f10-456e5e4997bf</t>
  </si>
  <si>
    <t>Oil, probably with some tempera, on panel; transferred to canvas</t>
  </si>
  <si>
    <t>Ridolfo Ghirlandaio</t>
  </si>
  <si>
    <t>db37b494-6b09-18ce-a618-0b16352f33a2</t>
  </si>
  <si>
    <t>Saint John the Baptist Entering the Wilderness</t>
  </si>
  <si>
    <t>Giovanni di Paolo</t>
  </si>
  <si>
    <t>e8d8a10a-0a24-6029-4fdc-3e59caaac457</t>
  </si>
  <si>
    <t>Ecce Agnus Dei</t>
  </si>
  <si>
    <t>9ae944b3-dea5-2db5-f090-c266a7d20ea7</t>
  </si>
  <si>
    <t>Saint John the Baptist in Prison Visited by Two Disciples</t>
  </si>
  <si>
    <t>1e0cda1e-d7e4-d144-4eda-dff8a9a5b396</t>
  </si>
  <si>
    <t>Stage Set</t>
  </si>
  <si>
    <t>Watercolor over graphite, on ivory laid paper laid down on board</t>
  </si>
  <si>
    <t>James Pryde</t>
  </si>
  <si>
    <t>8276020c-5e07-88da-ddc8-e01e9f1edf66</t>
  </si>
  <si>
    <t>Use of the Globe (Sketch)</t>
  </si>
  <si>
    <t>Watercolor and white gouache over graphite, on ivory wove paper</t>
  </si>
  <si>
    <t>915cacaf-8134-c1d6-eee4-199dd524d0e9</t>
  </si>
  <si>
    <t>Salome Asking Herod for the Head of Saint John the Baptist</t>
  </si>
  <si>
    <t>c4d8f64a-fc13-8a26-ba46-868f3d0d978c</t>
  </si>
  <si>
    <t>The Head of Saint John the Baptist Brought before Herod</t>
  </si>
  <si>
    <t>1cce62e4-6786-e1ff-e570-8d78183d9c1b</t>
  </si>
  <si>
    <t>Virgin and Child Enthroned with Two Angels Holding a Crown</t>
  </si>
  <si>
    <t>Ansano Ciampanti</t>
  </si>
  <si>
    <t>092be13d-bd52-6125-fe90-56ce21128ab9</t>
  </si>
  <si>
    <t>The Death of the Virgin</t>
  </si>
  <si>
    <t>Gherardo Starnina</t>
  </si>
  <si>
    <t>2831d07d-1b69-50ed-2865-6a5b7d9bfc6a</t>
  </si>
  <si>
    <t>The Dream of Saint Jerome</t>
  </si>
  <si>
    <t>Matteo di Giovanni</t>
  </si>
  <si>
    <t>336a83f3-c184-add1-ee03-f295aa97a0b0</t>
  </si>
  <si>
    <t>Saint Augustine's Vision of Saints Jerome and John the Baptist</t>
  </si>
  <si>
    <t>c8111709-059f-0a65-cc42-a7bee4cfd79e</t>
  </si>
  <si>
    <t>Bishop Saint Enthroned</t>
  </si>
  <si>
    <t>Allegretto Nuzi</t>
  </si>
  <si>
    <t>fc76cfb3-dcc1-2ee7-17a9-6d706a0efd82</t>
  </si>
  <si>
    <t>The Baptism of Christ</t>
  </si>
  <si>
    <t>Tempera on panel, transferred to canvas</t>
  </si>
  <si>
    <t>97bd32b0-1770-2765-b931-5fff463651d7</t>
  </si>
  <si>
    <t>Christ and the Woman of Samaria</t>
  </si>
  <si>
    <t>5afefd41-d4b6-4e5f-8f62-c3387625b212</t>
  </si>
  <si>
    <t>2626ffe7-06f7-a25d-546c-6a42d4936122</t>
  </si>
  <si>
    <t>Noli Me Tangere</t>
  </si>
  <si>
    <t>bbb6f90d-3213-8961-14b9-5fd1fa7dc971</t>
  </si>
  <si>
    <t>Virgin and Child with Saints Jerome, Bernardino of Siena, and Angels</t>
  </si>
  <si>
    <t>Sano di Pietro</t>
  </si>
  <si>
    <t>2563126c-ce54-2c5d-b41c-89eaebaf4ef7</t>
  </si>
  <si>
    <t>Susanna and the Elders in the Garden, and the Trial of Susanna before the Elders</t>
  </si>
  <si>
    <t>Master of Apollo and Daphne</t>
  </si>
  <si>
    <t>c2b1c74c-a0fb-c184-734f-159a092fbb3f</t>
  </si>
  <si>
    <t>Daniel Saving Susanna, the Judgment of Daniel, and the Execution of the Elders</t>
  </si>
  <si>
    <t>19cf5f83-6040-407e-992e-95a71374550f</t>
  </si>
  <si>
    <t>Saint Francis before the Pope (The Approva of the Franciscan Rule)</t>
  </si>
  <si>
    <t>Spinello Aretino</t>
  </si>
  <si>
    <t>fc3d24a2-5b46-0050-1ba6-5e7831caca4b</t>
  </si>
  <si>
    <t>Taddeo di Bartolo</t>
  </si>
  <si>
    <t>308a1405-b198-37e2-c5d2-ca364705c92e</t>
  </si>
  <si>
    <t>3952a506-2776-5613-1693-e5c96c4708f2</t>
  </si>
  <si>
    <t>Diptych of the Virgin and Child Enthroned and the Crucifixion</t>
  </si>
  <si>
    <t>158bdd65-2dd1-7def-98a7-d5671decdf62</t>
  </si>
  <si>
    <t>The Continence of Scipio</t>
  </si>
  <si>
    <t>Cosimo Tura</t>
  </si>
  <si>
    <t>8e391b9f-7a08-424f-6fc0-0861fca9c3c7</t>
  </si>
  <si>
    <t>Oil on panel, with added strips</t>
  </si>
  <si>
    <t>Joos van Cleve</t>
  </si>
  <si>
    <t>fe9b9d07-5f4e-c9ea-95a7-816f2b85d20e</t>
  </si>
  <si>
    <t>Virgin and Child Crowned by Angels</t>
  </si>
  <si>
    <t>Colyn de Coter</t>
  </si>
  <si>
    <t>6fce7ae8-25e8-d7d9-7f36-0aee3703abea</t>
  </si>
  <si>
    <t>Lamentation over the Body of Christ</t>
  </si>
  <si>
    <t>Gerard David</t>
  </si>
  <si>
    <t>fd1a9c27-d95b-d8e7-209c-5492d9eb6e92</t>
  </si>
  <si>
    <t>Northern Netherlandish School</t>
  </si>
  <si>
    <t>Maurice Sterne</t>
  </si>
  <si>
    <t>c73db455-f14e-c32a-cf42-75b3572cb23c</t>
  </si>
  <si>
    <t>John Philip Kemble</t>
  </si>
  <si>
    <t>Martin Archer Shee</t>
  </si>
  <si>
    <t>d87fb077-01b8-3238-0a71-3a9c96dd6cec</t>
  </si>
  <si>
    <t>British School</t>
  </si>
  <si>
    <t>Eyes</t>
  </si>
  <si>
    <t>Christ Presented to the People</t>
  </si>
  <si>
    <t>e80440be-74b7-5c58-3306-a19eb756dd58</t>
  </si>
  <si>
    <t>Hans Memling</t>
  </si>
  <si>
    <t>72083f93-6fe2-bfa8-b9a0-82e50c123015</t>
  </si>
  <si>
    <t>Workshop of Rogier van der Weyden</t>
  </si>
  <si>
    <t>7db6cf67-3cd0-40dc-112b-4494eca99d73</t>
  </si>
  <si>
    <t>Adriaen Isenbrant</t>
  </si>
  <si>
    <t>997c1a08-c922-ddd6-2b51-58ac4ddf7ec3</t>
  </si>
  <si>
    <t>69a96c88-813f-1139-b3cc-c0c14b3a0fdb</t>
  </si>
  <si>
    <t>107b6ab1-0554-535c-6f55-788e4fd90f37</t>
  </si>
  <si>
    <t>Altarpiece from Thuison-les-Abbeville: The Ascension</t>
  </si>
  <si>
    <t>c7bdf016-c678-e0f0-13d0-eb8196d5159f</t>
  </si>
  <si>
    <t>568d739d-9879-f0f0-8a4c-9e655d0ecce4</t>
  </si>
  <si>
    <t>932f72b9-800d-dbb4-9f5c-3071be1476b1</t>
  </si>
  <si>
    <t>Altarpiece from Thuison-les-Abbeville: Saint Hugh of Lincoln</t>
  </si>
  <si>
    <t>e8e1ca3a-ec2f-d27e-20ea-c13728bc8eca</t>
  </si>
  <si>
    <t>Portrait of Louise de Halluin, dame de Cipierre</t>
  </si>
  <si>
    <t>Corneille de Lyon</t>
  </si>
  <si>
    <t>a9a7c804-dc4e-d779-22b7-eaae989c6acd</t>
  </si>
  <si>
    <t>Jean Hey, (the Master of Moulins)</t>
  </si>
  <si>
    <t>Virgin and Child with Saint Anne, Saint Gereon, and a Donor</t>
  </si>
  <si>
    <t>Bartel Bruyn, the elder</t>
  </si>
  <si>
    <t>e1148911-bcb0-ab06-34d5-0d9be27b7577</t>
  </si>
  <si>
    <t>Johann Koerbecke</t>
  </si>
  <si>
    <t>19b940dd-bb34-8ce7-601a-cb3fa1010f97</t>
  </si>
  <si>
    <t>Triptych of the Virgin and Child with Saints</t>
  </si>
  <si>
    <t>0df99ff3-7ac6-8214-364b-ec516d8eaf14</t>
  </si>
  <si>
    <t>Mountain Road with Travelers</t>
  </si>
  <si>
    <t>5f1fda6c-f116-c251-1cee-c6bad53d8d18</t>
  </si>
  <si>
    <t>Fishing Boats in a Calm</t>
  </si>
  <si>
    <t>Jan van de Cappelle</t>
  </si>
  <si>
    <t>b246d3eb-8bfe-a031-4848-e00c053546ea</t>
  </si>
  <si>
    <t>An Elegant Company</t>
  </si>
  <si>
    <t>Pieter Codde</t>
  </si>
  <si>
    <t>99adb7e5-88b6-c17c-850b-fcf3da4f1f40</t>
  </si>
  <si>
    <t>Travellers Arriving at an Inn</t>
  </si>
  <si>
    <t>Pieter De Neyn</t>
  </si>
  <si>
    <t>50931576-e0cd-3616-4668-7dbdcf6185de</t>
  </si>
  <si>
    <t>Gouache with pen and black ink, graphite and touches of black crayon, on gray woodpulp board</t>
  </si>
  <si>
    <t>e62aa424-54c1-cd76-ffe8-62d89603127d</t>
  </si>
  <si>
    <t>Friar Pedro Offers Shoes to El Maragato and Prepares to Push Aside His Gun</t>
  </si>
  <si>
    <t>8bc334c3-fa52-3d39-deb6-f89ed609010e</t>
  </si>
  <si>
    <t>Friar Pedro Wrests the Gun from El Maragato</t>
  </si>
  <si>
    <t>806514aa-f6bd-ace9-be56-47206943871c</t>
  </si>
  <si>
    <t>Friar Pedro Clubs El Maragato with the Butt of the Gun</t>
  </si>
  <si>
    <t>7325a7b0-a9f4-6c24-2505-1ee84daa27da</t>
  </si>
  <si>
    <t>Friar Pedro Binds El Maragato with a Rope</t>
  </si>
  <si>
    <t>13e89aac-382a-ae03-aa87-48ed1740c28d</t>
  </si>
  <si>
    <t>Portrait of Isidoro Maiquez</t>
  </si>
  <si>
    <t>10fccebf-c9ee-4c52-1bbc-88112a78d695</t>
  </si>
  <si>
    <t>Fishing Boats off an Estuary</t>
  </si>
  <si>
    <t>Jan van Goyen</t>
  </si>
  <si>
    <t>fc76abe6-5252-a690-dd1c-6e2480c0ffbb</t>
  </si>
  <si>
    <t>Little Girl Pouting</t>
  </si>
  <si>
    <t>Follower of Jean Baptiste Greuze</t>
  </si>
  <si>
    <t>ad7deb75-7dce-05dd-3b42-bddea6f51ba6</t>
  </si>
  <si>
    <t>Ruined Archway</t>
  </si>
  <si>
    <t>5070bb97-208f-6aa5-777b-e58d8e0c8802</t>
  </si>
  <si>
    <t>The Hollow Road</t>
  </si>
  <si>
    <t>Cornelis Huysmans</t>
  </si>
  <si>
    <t>c858614f-f411-e7d5-71fb-014a534f8294</t>
  </si>
  <si>
    <t>Monks at Supper</t>
  </si>
  <si>
    <t>2432b014-7b1e-7d53-2c0c-62228344a14d</t>
  </si>
  <si>
    <t>fb90c93c-3806-a2ea-3969-43376d090848</t>
  </si>
  <si>
    <t>The Music Lesson</t>
  </si>
  <si>
    <t>Jacob Ochtervelt</t>
  </si>
  <si>
    <t>96f575e3-7d56-b3c9-0ed2-0456dab1d215</t>
  </si>
  <si>
    <t>Innocence Preferring Love and Riches</t>
  </si>
  <si>
    <t>f003f28b-ddec-6070-bac5-57e7c3448b67</t>
  </si>
  <si>
    <t>The Housekeeper</t>
  </si>
  <si>
    <t>Hendrik Martensz. Sorgh</t>
  </si>
  <si>
    <t>49e860ae-5d35-3ee1-1b14-79d1dc9268d9</t>
  </si>
  <si>
    <t>Portrait of an Officer</t>
  </si>
  <si>
    <t>292c2b1e-90cb-3539-7527-819a7875218d</t>
  </si>
  <si>
    <t>The Flageolet Player</t>
  </si>
  <si>
    <t>aabaac7c-d41a-f31d-7411-77f5f3fea322</t>
  </si>
  <si>
    <t>When the Sun Rises</t>
  </si>
  <si>
    <t>Watercolor and gouache, with pen and black and blue ink, colored pencils, transferred blue and gray ink and scraping, on cream wove paper, laid down on masonite</t>
  </si>
  <si>
    <t>57b61cd2-2005-1fbe-a70a-6f2f321084d1</t>
  </si>
  <si>
    <t>Watercolor and brush and black ink, with graphite, colored crayons, gouache, and red ball-point pen, on off-white watercolor paper</t>
  </si>
  <si>
    <t>ce47ec36-449c-8d15-8580-f58c695d6761</t>
  </si>
  <si>
    <t>Virgin and Child with Saints Dominic and Hyacinth</t>
  </si>
  <si>
    <t>19f0e672-2924-b42b-70af-d28ff46f23cc</t>
  </si>
  <si>
    <t>Morning</t>
  </si>
  <si>
    <t>e8f3fd3f-2098-1c68-1867-b5dccb21018e</t>
  </si>
  <si>
    <t>The Princess is Held Captive</t>
  </si>
  <si>
    <t>Watercolor, with touches of gouache, and pen and black ink, over traces of graphite, on cream wove paper, laid down on cream card, laid down on blue card</t>
  </si>
  <si>
    <t>595cf156-b46b-6fd6-8c32-7dfe1f4e9307</t>
  </si>
  <si>
    <t>Anduze</t>
  </si>
  <si>
    <t>e4bdd265-9a71-d844-1e47-006a62d18d63</t>
  </si>
  <si>
    <t>The Giants are Captured</t>
  </si>
  <si>
    <t>Watercolor, with touches of brush and brown ink, over graphite, on cream wove board</t>
  </si>
  <si>
    <t>f2cf3e4d-7a0f-db2f-3ce6-07f7189bfcb1</t>
  </si>
  <si>
    <t>Place des Batignolles, Paris</t>
  </si>
  <si>
    <t>1f9b410b-9881-f3d9-46d6-8beabf4620ab</t>
  </si>
  <si>
    <t>Cigar Making in Seville</t>
  </si>
  <si>
    <t>Ricardo Canals y LlambÃ­</t>
  </si>
  <si>
    <t>5965fe15-d8fa-3f39-031d-bb4a231560e0</t>
  </si>
  <si>
    <t>View of the City of Washington in 1807</t>
  </si>
  <si>
    <t>9acdda40-25d6-1df9-939a-93ca898e9667</t>
  </si>
  <si>
    <t>Rinaldo and Armida in Her Garden</t>
  </si>
  <si>
    <t>1623c4af-9ac2-fd80-9e73-05f7d402c6bd</t>
  </si>
  <si>
    <t>Mount Vernon, Home of General Washington, Virginia</t>
  </si>
  <si>
    <t>Gouache on tan wove paper, wrapped around gray board</t>
  </si>
  <si>
    <t>2eeef991-29e7-9f6c-bd11-5adc0a922c13</t>
  </si>
  <si>
    <t>The Brook of Les Puits-Noir</t>
  </si>
  <si>
    <t>6575c354-8a4f-60d3-ad6f-06fa8d7f9ded</t>
  </si>
  <si>
    <t>Armida Abandoned by Rinaldo</t>
  </si>
  <si>
    <t>4d2eeeeb-817c-2b00-68e8-4f4c75f7f061</t>
  </si>
  <si>
    <t>Virgin and Child with Saint Elizabeth and the Infant Saint John the Baptist</t>
  </si>
  <si>
    <t>Jacques Blanchard</t>
  </si>
  <si>
    <t>a19aa3c2-56aa-cfd2-d92a-dabb5ba5b488</t>
  </si>
  <si>
    <t>Rinaldo and the Magus of Ascalon</t>
  </si>
  <si>
    <t>bd2dd3d8-14f3-7acc-baf7-1033694d3740</t>
  </si>
  <si>
    <t>No te aha oe riri (Why Are You Angry?)</t>
  </si>
  <si>
    <t>2adb35ce-8e94-cda5-210e-b04d488bbdc8</t>
  </si>
  <si>
    <t>66b4f243-74f4-d3e8-7a76-2f743ee1f6ff</t>
  </si>
  <si>
    <t>Mill of Pont Maupuit</t>
  </si>
  <si>
    <t>a27aba90-d164-9add-4021-c4921211a8ae</t>
  </si>
  <si>
    <t>A Magdalen</t>
  </si>
  <si>
    <t>Walter MacEwen</t>
  </si>
  <si>
    <t>63508284-9042-2c87-23cc-c4d4650710dc</t>
  </si>
  <si>
    <t>Ravine Near Biskra</t>
  </si>
  <si>
    <t>Victor Pierre Huguet</t>
  </si>
  <si>
    <t>41458ec7-da2d-773d-159c-9ae9afb53516</t>
  </si>
  <si>
    <t>Gustave Loiseau</t>
  </si>
  <si>
    <t>Pont Saint Michel, Paris</t>
  </si>
  <si>
    <t>c1bede9f-6e2d-7518-21d0-0f56a39a8866</t>
  </si>
  <si>
    <t>Girl Standing before a Mirror</t>
  </si>
  <si>
    <t>98d8c11a-21be-6ece-ad42-c34aaa4f8005</t>
  </si>
  <si>
    <t>The Customs House at Varengeville</t>
  </si>
  <si>
    <t>2b30e687-4526-f487-cedc-448b3188fd19</t>
  </si>
  <si>
    <t>Charing Cross Bridge, London</t>
  </si>
  <si>
    <t>e9179922-f68d-34c5-481d-abf49e046863</t>
  </si>
  <si>
    <t>Henry Ward Ranger</t>
  </si>
  <si>
    <t>a4717de1-d95c-fd87-a9c7-688da84abcf9</t>
  </si>
  <si>
    <t>Apples and Grapes</t>
  </si>
  <si>
    <t>c12058f4-188f-c6ed-f0fe-52b32acfb296</t>
  </si>
  <si>
    <t>The Artist's House at Argenteuil</t>
  </si>
  <si>
    <t>7d533ed4-ff54-fa2c-64f4-2b16bfbb5880</t>
  </si>
  <si>
    <t>Time, Death and Judgment</t>
  </si>
  <si>
    <t>George Frederick Watts</t>
  </si>
  <si>
    <t>a2214c05-3fb2-2faf-cf70-d43fcfede342</t>
  </si>
  <si>
    <t>A Lamplight Study: Herr Joachim</t>
  </si>
  <si>
    <t>6c265c85-4579-a9a6-b51b-0732d7110d0b</t>
  </si>
  <si>
    <t>Stack of Wheat (Snow Effect, Overcast Day)</t>
  </si>
  <si>
    <t>db36f74f-47d9-ad08-cdf9-b4b436e6d18c</t>
  </si>
  <si>
    <t>Branch of the Seine near Giverny (Mist)</t>
  </si>
  <si>
    <t>838d8c33-a3b4-68ea-587b-87ceec2011af</t>
  </si>
  <si>
    <t>Venice, San Giorgio Maggiore</t>
  </si>
  <si>
    <t>5fe8ea6b-e772-fc1b-e41d-fc47ca3f5fcd</t>
  </si>
  <si>
    <t>Size: 25 1/4 x 35 3/4" (64.1 x 90.8 cm)</t>
  </si>
  <si>
    <t>5a487230-6002-45a7-08c4-b2198a2a2c60</t>
  </si>
  <si>
    <t>Houses of Parliament, London</t>
  </si>
  <si>
    <t>03930df3-1e6c-eeca-8660-c0b22ca477ff</t>
  </si>
  <si>
    <t>Andromeda</t>
  </si>
  <si>
    <t>2acf7c4c-d3a9-e4f6-0343-4dcb75ec8b34</t>
  </si>
  <si>
    <t>Lucie Berard (Child in White)</t>
  </si>
  <si>
    <t>0e94a829-b3b7-8317-b609-d1826f0369f0</t>
  </si>
  <si>
    <t>Chrysanthemums</t>
  </si>
  <si>
    <t>479aff61-784e-e833-fd82-50ba8c819514</t>
  </si>
  <si>
    <t>a7af09dc-5743-062e-4802-b6435e67eaa5</t>
  </si>
  <si>
    <t>Fruits of the Midi</t>
  </si>
  <si>
    <t>fa887ac5-1fda-1b03-2bab-b7ab78a47e94</t>
  </si>
  <si>
    <t>The Seine at Port-Marly, Piles of Sand</t>
  </si>
  <si>
    <t>c4425cb6-d8b5-6390-603d-7f802406d05d</t>
  </si>
  <si>
    <t>Hesitation (Madame Monteaux?)</t>
  </si>
  <si>
    <t>Alfred Stevens</t>
  </si>
  <si>
    <t>46c9a3b9-b95e-5b99-005b-0fd3a2e93d88</t>
  </si>
  <si>
    <t>Child Playing: Annette Roussel in Front of a Wooden Chair</t>
  </si>
  <si>
    <t>ba63170f-ebfb-d39c-82b5-64c9b2b2643b</t>
  </si>
  <si>
    <t>Frederic Clay Bartlett</t>
  </si>
  <si>
    <t>38f866cb-9000-de5a-e655-d3fb4d8dc056</t>
  </si>
  <si>
    <t>At the Hippodrome</t>
  </si>
  <si>
    <t>07fca744-4d4b-0fbb-ee9c-02e36b7ec928</t>
  </si>
  <si>
    <t>Martin A. Ryerson</t>
  </si>
  <si>
    <t>Louis Betts</t>
  </si>
  <si>
    <t>37b13357-3b22-69f5-c26a-4e81a97f8bc7</t>
  </si>
  <si>
    <t>Old Tower at Avignon</t>
  </si>
  <si>
    <t>13c116df-e5a6-9e6c-0896-507529224415</t>
  </si>
  <si>
    <t>Choral Sea</t>
  </si>
  <si>
    <t>3135cfbb-e1d1-8ef5-d2dd-31bc98f62085</t>
  </si>
  <si>
    <t>Full-Orbed Moon</t>
  </si>
  <si>
    <t>506b6f54-933c-431a-4627-24a115d238ba</t>
  </si>
  <si>
    <t>Listening Valleys Hear</t>
  </si>
  <si>
    <t>72d88fc3-08e5-4068-b81a-d3aaa69449b4</t>
  </si>
  <si>
    <t>Sacramental Tree</t>
  </si>
  <si>
    <t>6bba40c6-b2a3-9f41-082f-9f025d9c7d94</t>
  </si>
  <si>
    <t>Two Voices: Harmony and Discord</t>
  </si>
  <si>
    <t>e215278f-d100-aa7e-04a8-691b981d2a39</t>
  </si>
  <si>
    <t>Thomas Wilmer Dewing</t>
  </si>
  <si>
    <t>Villa Barberini</t>
  </si>
  <si>
    <t>2ebaf88a-7259-b687-aa88-bee9cd8ed1d7</t>
  </si>
  <si>
    <t>Gouache with pen and black ink, over graphite, on canvas</t>
  </si>
  <si>
    <t>8ce0baad-fc52-8d26-48cb-b0cecea6053e</t>
  </si>
  <si>
    <t>Moonlight on Passamaquoddy Bay</t>
  </si>
  <si>
    <t>a7fe2909-c242-ad82-b4dd-e5df7ec2eaf9</t>
  </si>
  <si>
    <t>Mayan Motif No. 1</t>
  </si>
  <si>
    <t>Gouache and brush and black ink on blue laid paper with blue fibers</t>
  </si>
  <si>
    <t>376522d0-b13e-36df-7e8c-03ad02eaec6a</t>
  </si>
  <si>
    <t>Albert Pinkham Ryder</t>
  </si>
  <si>
    <t>Road in Provence</t>
  </si>
  <si>
    <t>5e3d20e5-fdae-6ac8-f372-9c62eaf9d725</t>
  </si>
  <si>
    <t>Valley of the Loire (Sunrise)</t>
  </si>
  <si>
    <t>6b25cb20-0004-4d3e-c3da-135697134e56</t>
  </si>
  <si>
    <t>Alps and River</t>
  </si>
  <si>
    <t>Watercolor, with gouache, on buff wove paper</t>
  </si>
  <si>
    <t>1384f2d8-5791-a32c-4cab-145449dc8a9e</t>
  </si>
  <si>
    <t>Loire Near Orleans</t>
  </si>
  <si>
    <t>Watercolor on gray laid paper with blue fibrous inclusions</t>
  </si>
  <si>
    <t>fd718ee1-a8e5-71cd-55c6-fa1a5a3a6395</t>
  </si>
  <si>
    <t>Mountains and Castelli</t>
  </si>
  <si>
    <t>Watercolor and gouache, with graphite, on tan wove paper, prepared with a brown wash</t>
  </si>
  <si>
    <t>84be2d86-c62e-41c3-7b21-5b3e16bf6414</t>
  </si>
  <si>
    <t>On the Loire</t>
  </si>
  <si>
    <t>Watercolor and gouache, with touches of graphite and charcoal, on tan wove paper, prepared with a gray wash</t>
  </si>
  <si>
    <t>9a4b0169-1703-991a-16e7-62eb7bef01d7</t>
  </si>
  <si>
    <t>Loire River</t>
  </si>
  <si>
    <t>Watercolor and gouache, with traces of black and white crayon, over graphite, on blue laid paper</t>
  </si>
  <si>
    <t>5f377276-3fab-7e8c-3e9a-911889a67daa</t>
  </si>
  <si>
    <t>Adirondacks Guide</t>
  </si>
  <si>
    <t>Transparent watercolor with touches of opaque watercolor, rewetting, blotting and scraping, over traces of graphite, on thick, moderately textured, ivory wove paper (top edge trimmed)</t>
  </si>
  <si>
    <t>df7155be-b189-9ef6-b86e-c2eb140e1e1d</t>
  </si>
  <si>
    <t>Breaking Storm, Coast of Maine</t>
  </si>
  <si>
    <t>Transparent watercolor, with touches of opaque watercolor, rewetting, blotting and traces of scraping, on thick, rough-textured, ivory wove paper</t>
  </si>
  <si>
    <t>6794f986-98db-4e2e-9b38-8d13b7201d10</t>
  </si>
  <si>
    <t>Campfire, Adirondacks</t>
  </si>
  <si>
    <t>Transparent and opaque watercolor, with blotting and scraping, on thick, moderately-textured, ivory wove paper</t>
  </si>
  <si>
    <t>9f7e21db-5949-5566-7d77-1871a41916c7</t>
  </si>
  <si>
    <t>The End of the Day, Adirondacks</t>
  </si>
  <si>
    <t>Transparent watercolor, with traces of opaque watercolor, rewetting, blotting, and scraping, over traces of graphite, on moderately thick, rough-textured, ivory wove paper</t>
  </si>
  <si>
    <t>c3152f34-b272-5bc5-bf52-031c467bb57a</t>
  </si>
  <si>
    <t>Flamborough Head, England</t>
  </si>
  <si>
    <t>Graphite and opaque white watercolor on medium thick, slightly textured, tan laid paper with red and blue fibers</t>
  </si>
  <si>
    <t>680d3efd-2cf9-36f4-6454-806af8b79d98</t>
  </si>
  <si>
    <t>The Gulf Stream</t>
  </si>
  <si>
    <t>Transparent watercolor, with touches of opaque watercolor and traces of blotting, over graphite, on moderately thick, moderately textured, ivory wove paper (lower edge trimmed)</t>
  </si>
  <si>
    <t>4a076002-dffe-54e9-5256-0691c3a65c3b</t>
  </si>
  <si>
    <t>The Lone Boat, North Woods Club, Adirondacks</t>
  </si>
  <si>
    <t>Watercolor, with rewetting, blotting, and scraping, over traces of graphite, on thick, rough-textured, ivory wove paper</t>
  </si>
  <si>
    <t>4f75fd95-c957-7aa2-3b21-e4fd84bb8676</t>
  </si>
  <si>
    <t>Boy in Boat, Gloucester</t>
  </si>
  <si>
    <t>Transparent watercolor, with touches of opaque watercolor and scraping, over graphite, on moderately thick, rough-textured, ivory wove paper</t>
  </si>
  <si>
    <t>2ba29e23-e11f-1346-971f-a8c63f94bc54</t>
  </si>
  <si>
    <t>Two Boys Watching Schooners</t>
  </si>
  <si>
    <t>Watercolor, with graphite, on moderately thick, rough-textured, ivory wove paper</t>
  </si>
  <si>
    <t>62dc84e5-4343-8095-0b82-8d0cb810595f</t>
  </si>
  <si>
    <t>The Outlook, Maine Coast</t>
  </si>
  <si>
    <t>Transparent watercolor, with traces of opaque watercolor, rewetting, blotting, spatter and traces of scraping, over graphite, on moderately thick, slightly textured, ivory wove paper</t>
  </si>
  <si>
    <t>89b873dc-2118-7705-ca4b-5d9ac7b2eb3b</t>
  </si>
  <si>
    <t>Prout's Neck, Breakers</t>
  </si>
  <si>
    <t>Watercolor, with blotting and sanding, over charcoal, on moderately thick, moderately textured, ivory wove paper</t>
  </si>
  <si>
    <t>1f68e1a0-567a-e829-3e2f-ff9857942f9e</t>
  </si>
  <si>
    <t>Prout's Neck, Breaking Wave</t>
  </si>
  <si>
    <t>Transparent watercolor, with touches of opaque watercolor, rewetting, blotting and scraping, over resist and traces of graphite, on medium weight, moderately textured, ivory wove paper, laid down on cream wove paper</t>
  </si>
  <si>
    <t>69dbbcad-e538-e72b-5dca-5f7ba0819d52</t>
  </si>
  <si>
    <t>Prout's Neck, Evening</t>
  </si>
  <si>
    <t>Watercolor, with rewetting and blotting, over traces of graphite, on thick, rough-textured, ivory wove paper (top edge trimmed)</t>
  </si>
  <si>
    <t>32106368-7e47-4c41-b05b-8df4c415cc79</t>
  </si>
  <si>
    <t>The Rapids, Hudson River, Adirondacks</t>
  </si>
  <si>
    <t>Transparent watercolor, with traces of opaque watercolor, blotting, and scraping, over graphite, on thick, rough-textured, ivory wove paper</t>
  </si>
  <si>
    <t>5873d7d7-732d-6e45-2bc0-8402afd7c0f0</t>
  </si>
  <si>
    <t>Stowing Sail</t>
  </si>
  <si>
    <t>Transparent watercolor, with touches of opaque watercolor, rewetting, blotting, scraping and graphite, on thick, moderately textured (twill texture on verso), ivory wove paper</t>
  </si>
  <si>
    <t>7daaf950-882c-d8cb-4bc3-b8b5aa77b988</t>
  </si>
  <si>
    <t>Sunshine and Shadow, Prout's Neck</t>
  </si>
  <si>
    <t>Watercolor, with rewetting and blotting, over graphite, on thick, rough-textured, ivory wove paper</t>
  </si>
  <si>
    <t>5ca8e39e-8cf3-b0e1-a4a2-b54444954de3</t>
  </si>
  <si>
    <t>Tynemouth Priory, England</t>
  </si>
  <si>
    <t>Transparent watercolor, with traces of opaque watercolor, rewetting, blotting and touches of scraping, over graphite, on thick, rough-textured, cream wove paper (top and lower edges trimmed)</t>
  </si>
  <si>
    <t>7799cb5b-69ae-77ca-b69c-f56a629eab99</t>
  </si>
  <si>
    <t>The Watcher, Tynemouth</t>
  </si>
  <si>
    <t>Transparent and opaque watercolor, with rewetting, blotting, and scraping, heightened with gum glaze, over graphite, on moderately thick, slightly textured, cream wove paper (all edges trimmed)</t>
  </si>
  <si>
    <t>a6808add-86d2-bd2a-0c0d-adec7ca85025</t>
  </si>
  <si>
    <t>Road to Shore</t>
  </si>
  <si>
    <t>Brush and black ink, and watercolor and gouache, over traces of graphite, on tan wove paper, laid down on cream wove paper, laid down on ivory wove paper</t>
  </si>
  <si>
    <t>George Hanna Sabbagh</t>
  </si>
  <si>
    <t>9c5cb5f6-78f4-60e8-579d-eeeba813f192</t>
  </si>
  <si>
    <t>Still Life: Bottle, Bowl and Books</t>
  </si>
  <si>
    <t>Watercolor on cream wove paper, laid down on cream wove paper, laid down on ivory wove card</t>
  </si>
  <si>
    <t>8c96c271-d19a-53b3-6199-b057160a14f9</t>
  </si>
  <si>
    <t>Port Louis-Lomalo</t>
  </si>
  <si>
    <t>Watercolor, with black crayon and touches of gouache, on buff wove paper, laid down on tan wove paper, laid down on off-white wove paper</t>
  </si>
  <si>
    <t>31d16456-9af2-f283-11aa-c3c2c28c6995</t>
  </si>
  <si>
    <t>Agnolo Bronzino</t>
  </si>
  <si>
    <t>315d1927-efc2-a249-a35d-7df1ed7afe1f</t>
  </si>
  <si>
    <t>7db102b9-0d0f-969d-d331-cbe18830fdd5</t>
  </si>
  <si>
    <t>Virgil Reading the "Aeneid" to Augustus, Octavia, and Livia</t>
  </si>
  <si>
    <t>2cdaa4b6-c9d0-7230-952b-690b8e1cf4df</t>
  </si>
  <si>
    <t>The Actress Consuelo</t>
  </si>
  <si>
    <t>Ignacio Zuloaga</t>
  </si>
  <si>
    <t>db9a94fd-3d3a-3114-b4cd-0dfd8aaa9a57</t>
  </si>
  <si>
    <t>Vesperal No. 3</t>
  </si>
  <si>
    <t>44b0c0c5-bcf8-6454-2225-d3861ffcb17d</t>
  </si>
  <si>
    <t>Study for the Sculpture Ugolino and His Children</t>
  </si>
  <si>
    <t>Pen and brown ink and opaque white and gray watercolors with white oil paint and black watercolor over black chalk on brown wove paper (Bristol board)</t>
  </si>
  <si>
    <t>ff612e57-eca3-465c-d9dc-d3ca5864abe2</t>
  </si>
  <si>
    <t>John Gendall</t>
  </si>
  <si>
    <t>e68f31b4-c722-3c24-c1ae-76e331d99e80</t>
  </si>
  <si>
    <t>Oil and crayon on hardboard panel</t>
  </si>
  <si>
    <t>00ee9f25-fcea-ab4a-4402-d158380d77bb</t>
  </si>
  <si>
    <t>Composition with Red Arrow</t>
  </si>
  <si>
    <t>Plaster and casein on burlap, mounted on cardboard</t>
  </si>
  <si>
    <t>Marcel Janco</t>
  </si>
  <si>
    <t>a878b2e3-09a6-62e0-2b71-950277fc18da</t>
  </si>
  <si>
    <t>Ballet of the Left-Handed Piano</t>
  </si>
  <si>
    <t>Oil and charcoal on canvas</t>
  </si>
  <si>
    <t>9e3f5120-80d7-cfae-42f7-a97e6ffe0987</t>
  </si>
  <si>
    <t>The Old Bridge at Nantes</t>
  </si>
  <si>
    <t>3c9cf237-317e-1b3c-c0c4-26959b2e84be</t>
  </si>
  <si>
    <t>Watercolor, heightened with lead white, over graphite on ivory wove paper</t>
  </si>
  <si>
    <t>f0918557-0396-daab-1f4b-c7a5c980cff1</t>
  </si>
  <si>
    <t>Carnival in Munich</t>
  </si>
  <si>
    <t>Tempera on board</t>
  </si>
  <si>
    <t>f9fb3458-598d-a1cb-7a89-02f4fa5249b3</t>
  </si>
  <si>
    <t>Watercolor and black ink transfer (monotype?), on cream laid paper, laid down on cream card</t>
  </si>
  <si>
    <t>5598eee1-6583-fce8-ae73-39b11b767321</t>
  </si>
  <si>
    <t>Jeanne Pontillon</t>
  </si>
  <si>
    <t>8e3a0b64-7c0d-5802-ea27-14e3abbda6a7</t>
  </si>
  <si>
    <t>Watercolor, with pen and black ink and graphite on cream laid paper</t>
  </si>
  <si>
    <t>f67794aa-e720-45fa-0cd2-d3e9893675a5</t>
  </si>
  <si>
    <t>Watercolor, over graphite on cream laid paper</t>
  </si>
  <si>
    <t>637474d4-4467-ccb4-5259-ff243b65f012</t>
  </si>
  <si>
    <t>Lake Geneva</t>
  </si>
  <si>
    <t>Watercolor, with touches of gouache, over blue-black carbon transfer on cream wove paper</t>
  </si>
  <si>
    <t>78e7c250-056d-a85a-f3de-97cfa0266be9</t>
  </si>
  <si>
    <t>Gray Pitcher and Blue Bowl</t>
  </si>
  <si>
    <t>Gouache and watercolor, with graphite on cream laid paper</t>
  </si>
  <si>
    <t>e402f8b4-3c8e-38e0-79e0-5e63022a3b06</t>
  </si>
  <si>
    <t>Watercolor, graphite, and brush and black ink on cream wove paper, pieced</t>
  </si>
  <si>
    <t>9a2265e5-b036-ed2c-55d5-3835cccc3ffd</t>
  </si>
  <si>
    <t>Music Hall Dancer</t>
  </si>
  <si>
    <t>Pen and black ink, gouache and watercolor, over graphite on cream wove paper</t>
  </si>
  <si>
    <t>b16e8db9-5f79-04de-588a-965354edf080</t>
  </si>
  <si>
    <t>Gouache, with touches of pen and brown ink, over blue crayon on tan wove paper, laid down on tan wood-pulp laminate board</t>
  </si>
  <si>
    <t>eee7000e-db46-3deb-b842-342547cca5fa</t>
  </si>
  <si>
    <t>Charles Georges Dufresne</t>
  </si>
  <si>
    <t>Robert Barnes</t>
  </si>
  <si>
    <t>Gouache and graphite, with charcoal, on off-white wove paper</t>
  </si>
  <si>
    <t>7f448d38-c56d-d545-27b5-13d62a8df81a</t>
  </si>
  <si>
    <t>Leon Polk Smith</t>
  </si>
  <si>
    <t>Telemachus is Consoled by Termosiris, Priest of Apollo, from The Adventures of Telemachus, Book 2</t>
  </si>
  <si>
    <t>Pen and black ink, with brush and gray and brown wash, over black chalk on ivory laid paper, laid down on board</t>
  </si>
  <si>
    <t>9be84842-07d3-11e7-e938-565ec49197ad</t>
  </si>
  <si>
    <t>Arjuna Slays Karna, Page from a Mahabharata Series</t>
  </si>
  <si>
    <t>Opaque watercolors on paper</t>
  </si>
  <si>
    <t>f9b8e473-ad03-6b0a-16c9-cc7163189bfa</t>
  </si>
  <si>
    <t>Skokie</t>
  </si>
  <si>
    <t>Acrylic on board</t>
  </si>
  <si>
    <t>Jeanne Gang</t>
  </si>
  <si>
    <t>A Mansion at Prairie Avenue</t>
  </si>
  <si>
    <t>Oil on plywood</t>
  </si>
  <si>
    <t>Irene Clark</t>
  </si>
  <si>
    <t>c8927012-69bc-abf7-6abc-7a5bbb69dc0c</t>
  </si>
  <si>
    <t>Study for Around a Point</t>
  </si>
  <si>
    <t>William Powell Frith</t>
  </si>
  <si>
    <t>57e7455f-9c4f-7b6d-ffac-6d2269258265</t>
  </si>
  <si>
    <t>The Gulf of Salerno</t>
  </si>
  <si>
    <t>67b46720-1589-0d13-3597-f03c7b618094</t>
  </si>
  <si>
    <t>Aqua Trace</t>
  </si>
  <si>
    <t>Acrylic on white wove paper</t>
  </si>
  <si>
    <t>Carla Arocha</t>
  </si>
  <si>
    <t>028047d7-2aba-9719-62fa-0411788527c8</t>
  </si>
  <si>
    <t>Stuart Davis</t>
  </si>
  <si>
    <t>bda7594e-c61d-4e94-4a3c-c91ab3d095d0</t>
  </si>
  <si>
    <t>Niks</t>
  </si>
  <si>
    <t>d4dda132-da5c-cefe-2e91-bfc2dcdf9ba9</t>
  </si>
  <si>
    <t>3329fa3e-c069-5bc7-793a-535da260f252</t>
  </si>
  <si>
    <t>Paul Wieghardt</t>
  </si>
  <si>
    <t>Hans Thoma</t>
  </si>
  <si>
    <t>The Dogwood Thieves</t>
  </si>
  <si>
    <t>Pen and brush and black and white gouache, on white wove paper prepared with blue gouache</t>
  </si>
  <si>
    <t>b7f78d7c-c99a-0ade-d619-fbbf3db7f190</t>
  </si>
  <si>
    <t>Portrait of Mr. William W. Welch</t>
  </si>
  <si>
    <t>Sheldon Peck</t>
  </si>
  <si>
    <t>38e73333-b4a9-e4ff-bff5-1ac1b379c798</t>
  </si>
  <si>
    <t>Day (Truth)</t>
  </si>
  <si>
    <t>ba6ef7ee-677c-0bcd-8150-ef7487f17a36</t>
  </si>
  <si>
    <t>The Actor Maximilian Korn in a Landscape</t>
  </si>
  <si>
    <t>Ferdinand Georg WaldmÃ¼ller</t>
  </si>
  <si>
    <t>399332e9-94a4-64ac-4ed2-040647b2ca80</t>
  </si>
  <si>
    <t>Evening in Italyâ€”the Deserted Villa</t>
  </si>
  <si>
    <t>Watercolor, with traces of shell gold, over graphite on cream wove paper, perimeter mounted to cream wove card</t>
  </si>
  <si>
    <t>23daf4e7-edad-2ff0-1341-e2516754c3be</t>
  </si>
  <si>
    <t>A View of Vianen with a Herdsman and Cattle by a River</t>
  </si>
  <si>
    <t>571dac0d-3f2e-3463-814a-e56951bbe722</t>
  </si>
  <si>
    <t>Double Self-Portrait</t>
  </si>
  <si>
    <t>Watercolor, graphite, and colored pencil on white wove paper</t>
  </si>
  <si>
    <t>3f6682ea-cd61-510b-8fe3-eb6f885ad21e</t>
  </si>
  <si>
    <t>Pictograph-Symbol</t>
  </si>
  <si>
    <t>c5f45c3e-f99a-ce23-f7ff-84fa11efd563</t>
  </si>
  <si>
    <t>The Irish Question</t>
  </si>
  <si>
    <t>De Scott Evans</t>
  </si>
  <si>
    <t>6754947f-4ccf-b3ff-41ee-45b738534769</t>
  </si>
  <si>
    <t>Yasuo Kuniyoshi</t>
  </si>
  <si>
    <t>Winter Scene</t>
  </si>
  <si>
    <t>Margherita Manzelli</t>
  </si>
  <si>
    <t>An Abundance of Fruit</t>
  </si>
  <si>
    <t>Severin Roesen</t>
  </si>
  <si>
    <t>12f32e59-cba2-0a32-972e-cf4d7856560c</t>
  </si>
  <si>
    <t>Tah-Bo-Ho-Ya</t>
  </si>
  <si>
    <t>Elbridge Ayer Burbank</t>
  </si>
  <si>
    <t>2a3caa42-4f7a-7ecf-9c8f-91c3c5648a3e</t>
  </si>
  <si>
    <t>Pah-Puh</t>
  </si>
  <si>
    <t>f509eab9-20e8-0153-b7a4-0a2702a28ca8</t>
  </si>
  <si>
    <t>Shu-Pe-La</t>
  </si>
  <si>
    <t>e4e30508-b2ba-8972-a1f4-f3a8242eac31</t>
  </si>
  <si>
    <t>Wick-Ah-Te-Wah</t>
  </si>
  <si>
    <t>cbcb12f9-a6f1-f793-5a55-44a5218f6c2e</t>
  </si>
  <si>
    <t>Ho-Mo-Vi</t>
  </si>
  <si>
    <t>c4d5ccf0-522a-cb8d-0e82-69577c8e1b49</t>
  </si>
  <si>
    <t>Ko-Pe-Ley</t>
  </si>
  <si>
    <t>2a0a3998-9c01-1cdc-2c5f-9eb3ea25b21a</t>
  </si>
  <si>
    <t>Kah-Kap-Tee</t>
  </si>
  <si>
    <t>15ae3683-b6f4-cae2-d713-8395748b9ce7</t>
  </si>
  <si>
    <t>Wick-Ey</t>
  </si>
  <si>
    <t>e4cf3c2b-283e-d946-dad6-0d39d7559003</t>
  </si>
  <si>
    <t>Dark Star</t>
  </si>
  <si>
    <t>Glenn Brown</t>
  </si>
  <si>
    <t>8d893d4e-9d9e-442d-3f9e-bb865c29a861</t>
  </si>
  <si>
    <t>Doris Lee</t>
  </si>
  <si>
    <t>4e6e0dfe-0120-5099-06d3-7b7a13e5c535</t>
  </si>
  <si>
    <t>Lisa Yuskavage</t>
  </si>
  <si>
    <t>Saul Steinberg</t>
  </si>
  <si>
    <t>Joan Miro</t>
  </si>
  <si>
    <t>Head of a Young Woman</t>
  </si>
  <si>
    <t>Francis AlÃ¿s</t>
  </si>
  <si>
    <t>Fragment from Christ Carrying the Cross: Mourning Virgin</t>
  </si>
  <si>
    <t>5b05140d-7b91-ef9c-68fc-9ee13db64b21</t>
  </si>
  <si>
    <t>Watercolor and gouache on white wove paper</t>
  </si>
  <si>
    <t>Jean Fautrier</t>
  </si>
  <si>
    <t>Self-Portrait in Profile</t>
  </si>
  <si>
    <t>Yellow Flowers for Murray Hopkins</t>
  </si>
  <si>
    <t>Carolyn Brady</t>
  </si>
  <si>
    <t>6a2a11e8-3e79-ea73-4d0a-7b2bb3215561</t>
  </si>
  <si>
    <t>Still Life in Interior</t>
  </si>
  <si>
    <t>Preston Dickinson</t>
  </si>
  <si>
    <t>16d2efa0-6896-5c54-b024-de9b152f4195</t>
  </si>
  <si>
    <t>Joshua Shaw</t>
  </si>
  <si>
    <t>63e18e3e-35a6-699c-a824-d75228c2f1fa</t>
  </si>
  <si>
    <t>Kama Shoots a Love Arrow at Shiva, from a copy of the Song of Gauri (Gita-Gauri)</t>
  </si>
  <si>
    <t>1b03fde4-b8ee-bf14-b084-caeb4e9f69d8</t>
  </si>
  <si>
    <t>Barbados</t>
  </si>
  <si>
    <t>99d3b78e-8916-143d-98d2-0d1749c5a99e</t>
  </si>
  <si>
    <t>Snow Shrubs</t>
  </si>
  <si>
    <t>Brush, brown ink and gray gouache, on off-white wove paper</t>
  </si>
  <si>
    <t>Leslie Baum</t>
  </si>
  <si>
    <t>313a8f4f-5856-c043-cece-fd653bb57b08</t>
  </si>
  <si>
    <t>New Buffalo, MI</t>
  </si>
  <si>
    <t>Pen and brush, brown ink and gray gouache (and mixtures thereof), on off-white wove paper</t>
  </si>
  <si>
    <t>cb2716ee-3015-a351-93c8-bc05a2c468c1</t>
  </si>
  <si>
    <t>Western Suburbs</t>
  </si>
  <si>
    <t>Brush and red and orange watercolor on off-white wove paper</t>
  </si>
  <si>
    <t>21847a33-08da-918e-1b95-c8e1f830357c</t>
  </si>
  <si>
    <t>01312511-d85b-72a6-6e77-7e6d893c5a36</t>
  </si>
  <si>
    <t>26f91b23-3ccc-da86-1c16-4428303d9859</t>
  </si>
  <si>
    <t>54ffe8fc-43b5-e86f-8aa1-f975d6d6f271</t>
  </si>
  <si>
    <t>16bbbcfd-cbbd-b65f-2ae5-99482808534b</t>
  </si>
  <si>
    <t>Enamel, rubber, and paper on canvas</t>
  </si>
  <si>
    <t>Ellen Gallagher</t>
  </si>
  <si>
    <t>0eba0dd0-055c-73d7-9694-ee55becedd88</t>
  </si>
  <si>
    <t>Eleanor Dube</t>
  </si>
  <si>
    <t>Queer Basher/Icarus Falling</t>
  </si>
  <si>
    <t>Spray paint and acrylic on board</t>
  </si>
  <si>
    <t>7082504c-97cf-9ff7-4cad-66373035bff4</t>
  </si>
  <si>
    <t>Spray enamel, ink, and paper collage on board</t>
  </si>
  <si>
    <t>fc4b082e-f579-2f05-6bd5-2fb00485698f</t>
  </si>
  <si>
    <t>Portrait of Emmanuel Rio</t>
  </si>
  <si>
    <t>Albert Schindler</t>
  </si>
  <si>
    <t>de5574eb-11af-16de-123b-d4d44cea94e9</t>
  </si>
  <si>
    <t>Albert Oehlen</t>
  </si>
  <si>
    <t>Oil on thirty double-sided Life magazine pages, bound Life magazine, altered with various paints and collage of torn printed papers, on thirty double-sided pages, bound</t>
  </si>
  <si>
    <t>Al Held</t>
  </si>
  <si>
    <t>f5679ff8-9c43-7626-9b3e-3c0a6f89c8cc</t>
  </si>
  <si>
    <t>One of a Pair of Manuscript Covers from the Glorification of the Great Goddess (Devimahatmya)</t>
  </si>
  <si>
    <t>One of a Pair of Manuscript Covers from the Perfection of Wisdom Sutra (Ashtasahasrika Prajnaparamita Sutra)</t>
  </si>
  <si>
    <t>ba490e49-d2dc-907d-2809-ef22ff15f547</t>
  </si>
  <si>
    <t>Plate A, Volume I, Book I, Personae, from Index: The Objects of My Obsession</t>
  </si>
  <si>
    <t>Hand-watercolored screenprint in brown on ivory wove paper</t>
  </si>
  <si>
    <t>c38d50bc-af23-5dff-97f9-967616cda643</t>
  </si>
  <si>
    <t>Plate B, Volume I, Book I, Personae, from Index: The Objects of My Obsession</t>
  </si>
  <si>
    <t>6fca6c14-7f5c-0f13-a6c2-b0cf707de55a</t>
  </si>
  <si>
    <t>Plate C, Volume I, Book I, Personae, from Index: The Objects of My Obsession</t>
  </si>
  <si>
    <t>b83f25f6-a039-914e-6789-8cab4c53b6e4</t>
  </si>
  <si>
    <t>Plate D, Volume I, Book I, Personae, from Index: The Objects of My Obsession</t>
  </si>
  <si>
    <t>069a5374-82b6-04dd-8044-931cd010eaa5</t>
  </si>
  <si>
    <t>Plate E, Volume I, Book I, Personae, from Index: The Objects of My Obsession</t>
  </si>
  <si>
    <t>f28892f1-0230-6e42-789c-2cb3558f6328</t>
  </si>
  <si>
    <t>Plate F, Volume I, Book I, Personae, from Index: The Objects of My Obsession</t>
  </si>
  <si>
    <t>f6d1371d-e943-e513-23ce-0e7460884ddf</t>
  </si>
  <si>
    <t>Plate G, Volume I, Book I, Personae, from Index: The Objects of My Obsession</t>
  </si>
  <si>
    <t>4fe8da20-de46-14f6-c45f-b5bc19ca1d7c</t>
  </si>
  <si>
    <t>Plate H, Volume I, Book I, Personae, from Index: The Objects of My Obsession</t>
  </si>
  <si>
    <t>5819afb4-4f96-46ee-9191-a4f74c85b293</t>
  </si>
  <si>
    <t>Plate I, Volume I, Book I, Personae, from Index: The Objects of My Obsession</t>
  </si>
  <si>
    <t>3de9d79d-ff2a-d7cc-bc86-5f22afe93cee</t>
  </si>
  <si>
    <t>Plate J, Volume I, Book I, Personae, from Index: The Objects of My Obsession</t>
  </si>
  <si>
    <t>4725f6f2-7376-d3f0-37f3-668bd47bf454</t>
  </si>
  <si>
    <t>Plate K, Volume I, Book I, Personae, from Index: The Objects of My Obsession</t>
  </si>
  <si>
    <t>4909f44d-a33e-270a-5714-0f6f1e815b6f</t>
  </si>
  <si>
    <t>Plate L, Volume I, Book I, Personae, from Index: The Objects of My Obsession</t>
  </si>
  <si>
    <t>f2b0d66d-8f5c-9d8c-5f15-e97698eedaa0</t>
  </si>
  <si>
    <t>Plate A, Volume I, Book II, Animale, from Index: The Objects of My Obsession</t>
  </si>
  <si>
    <t>fbf822f0-791b-2604-f124-325bb4310301</t>
  </si>
  <si>
    <t>Plate B, Volume I, Book II, Animale, from Index: The Objects of My Obsession</t>
  </si>
  <si>
    <t>c4c8b0ea-7735-27d2-5e92-4f3f0e1d5635</t>
  </si>
  <si>
    <t>Plate C, Volume I, Book II, Animale, from Index: The Objects of My Obsession</t>
  </si>
  <si>
    <t>41903462-2035-5239-6348-2264f0e55acb</t>
  </si>
  <si>
    <t>Plate D, Volume I, Book II, Animale, from Index: the Objects of My Obsession</t>
  </si>
  <si>
    <t>8dd7fa3b-9f65-fe77-e793-3d2fb2e6436c</t>
  </si>
  <si>
    <t>Plate E, Volume I, Book II, Animale, from Index: The Objects of My Obsession</t>
  </si>
  <si>
    <t>0316a28f-636b-4fd8-a693-e0061d970b67</t>
  </si>
  <si>
    <t>Plate F, Volume I, Book II, Animale, from Index: The Objects of My Obession</t>
  </si>
  <si>
    <t>a1fb1308-d066-5a2a-1c2f-f3a34e481545</t>
  </si>
  <si>
    <t>Plate G, Volume I, Book II, Animale, from Index: The Objects of My Obsession</t>
  </si>
  <si>
    <t>cb745006-f2d4-4197-dd59-d2781eecd9db</t>
  </si>
  <si>
    <t>Plate H, Volume I, Book II, Animale, from Index: The Objects of My Obsession</t>
  </si>
  <si>
    <t>3d3bef1d-a3e8-bf9c-35a7-c9226838a79c</t>
  </si>
  <si>
    <t>Plate I, Volume I, Book II, Animale, from Index: The Objects of My Obsession</t>
  </si>
  <si>
    <t>ea275426-a1cd-e2d2-cc48-360bf043ab80</t>
  </si>
  <si>
    <t>Jean Metzinger</t>
  </si>
  <si>
    <t>Plate J, Volume I, Book II, Animale, from Index: The Objects of My Obsession</t>
  </si>
  <si>
    <t>bb20fd96-fa18-3eb7-fb56-d5cae3fd8762</t>
  </si>
  <si>
    <t>Plate K, Volume I, Book II, Animale, from Index: The Objects of My Obsession</t>
  </si>
  <si>
    <t>48a76089-2f0d-c83a-7b9c-3d772adca829</t>
  </si>
  <si>
    <t>Plate L, Volume I, Book II, Animale, from Index: The Objects of My Obsession</t>
  </si>
  <si>
    <t>56b9f8dd-6596-5810-7390-82461efc4ef7</t>
  </si>
  <si>
    <t>Plate A, Volume I, Book III, O.J. Darr, from Index: The Objects of My Obsession</t>
  </si>
  <si>
    <t>a144f088-a68b-e79d-204f-cc0f9e705de9</t>
  </si>
  <si>
    <t>Plate B, Volume I, Book III, O.J. Darr, from Index: The Objects of My Obsession</t>
  </si>
  <si>
    <t>553fe6ca-015d-c5d0-ec97-dc2a485512db</t>
  </si>
  <si>
    <t>Plate C, Volume I, Book III, O.J. Darr, from Index: The Objects of My Obsession</t>
  </si>
  <si>
    <t>5e95590a-9c6c-156c-064b-249ee4d49cb0</t>
  </si>
  <si>
    <t>Plate D, Volume I, Book III, O.J. Darr, from Index: The Objects of My Obsession</t>
  </si>
  <si>
    <t>59756760-9fbd-ff32-e13d-625c720c3994</t>
  </si>
  <si>
    <t>Plate E, Volume I, Book III, O.J. Darr, from Index: The Objects of My Obsession</t>
  </si>
  <si>
    <t>d49096e0-c17b-454c-dd1b-aee68c71ea37</t>
  </si>
  <si>
    <t>Plate F, Volume I, Book III, O.J. Darr, from Index: The Objects of My Obsession</t>
  </si>
  <si>
    <t>81cd2ea5-8829-150a-6a93-63a1bafb5d94</t>
  </si>
  <si>
    <t>Plate G, Volume I, Book III, O.J. Darr, from Index: The Objects of My Obsession</t>
  </si>
  <si>
    <t>3442a7f1-b4fe-394c-0841-356bda0dc7e0</t>
  </si>
  <si>
    <t>Plate H, Volume I, Book III, O.J. Darr, from Index: The Objects of My Obsession</t>
  </si>
  <si>
    <t>feaabfe5-3dcc-4aea-ecb7-a6e6ac8c775b</t>
  </si>
  <si>
    <t>Plate I, Volume I, Book III, O.J. Darr, from Index: The Objects of My Obsession</t>
  </si>
  <si>
    <t>4c629c65-77cb-01c2-7c4c-54b015bc2c9d</t>
  </si>
  <si>
    <t>Plate J, Volume I, Book III, O.J. Darr, from Index: The Objects of My Obsession</t>
  </si>
  <si>
    <t>093b6974-8794-410c-aa01-80db8b81a2a4</t>
  </si>
  <si>
    <t>Plate K, Volume I, Book III, O.J. Darr, from Index: The Objects of My Obsession</t>
  </si>
  <si>
    <t>a08f9475-f9cb-00da-62e0-4cf58e87de36</t>
  </si>
  <si>
    <t>Plate L, Volume I, Book III, O.J. Darr, from Index: The Objects of My Obsession</t>
  </si>
  <si>
    <t>66ecb07d-165d-e9ec-9c80-bc7caa676936</t>
  </si>
  <si>
    <t>Plate A, Volume I, Book IV, Weights &amp; Measures, from Index: The Objects of My Obsession</t>
  </si>
  <si>
    <t>8a63c71b-055b-e7f6-8651-6d790f5f969e</t>
  </si>
  <si>
    <t>Plate B, Volume I, Book IV, Weights &amp; Measures, from Index: The Objects of My Obsession</t>
  </si>
  <si>
    <t>b1667198-7f4e-f390-a777-4f50e0bc9fe4</t>
  </si>
  <si>
    <t>Plate C, Volume I, Book IV, Weights &amp; Measures, from Index: The Objects of My Obsession</t>
  </si>
  <si>
    <t>0036aff3-4e44-456b-6e7f-639a5c4433d2</t>
  </si>
  <si>
    <t>Plate D, Volume I, Book IV, Weights &amp; Measures, from Index: The Ojbects of My Obsession</t>
  </si>
  <si>
    <t>bc0f8d93-6218-89a7-74ea-f30997943d71</t>
  </si>
  <si>
    <t>Plate E, Volume I, Book IV, Weights &amp; Measures, from Index: The Object of My Obsession</t>
  </si>
  <si>
    <t>3b711c17-dd50-d879-be4d-b1e9a01c3a38</t>
  </si>
  <si>
    <t>Plate F, Volume I, Book IV, Weights &amp; Measures, from Index: The Objects of My Obsession</t>
  </si>
  <si>
    <t>7f3b678a-6b8f-e132-e72f-71ff82ecd64a</t>
  </si>
  <si>
    <t>Plate G, Volume I, Book IV, Weights &amp; Measures, from Index: The Objects of My Obsession</t>
  </si>
  <si>
    <t>42dbbda6-67fb-eb5a-3df4-1c12d16d887b</t>
  </si>
  <si>
    <t>Plate H, Volume I, Book IV, Weights &amp; Measures, from Index: The Objects of My Obsession</t>
  </si>
  <si>
    <t>2f5735da-df4c-f8c2-009b-6768bb32ee8f</t>
  </si>
  <si>
    <t>Plate I, Volume I, Book IV, Weights &amp; Measures, from Index: The Objects of My Obsession</t>
  </si>
  <si>
    <t>922fecea-083a-3d26-1599-1550b6af7d20</t>
  </si>
  <si>
    <t>Plate J, Volume I, Book IV, Weights &amp; Measures, from Index: The Objects of My Obsession</t>
  </si>
  <si>
    <t>9b3066cb-187c-1d7b-d0f1-3494961a6b8f</t>
  </si>
  <si>
    <t>Plate K, Volume I, Book IV, Weights &amp; Measures, from Index: The Objects of My Obsession</t>
  </si>
  <si>
    <t>ad25088f-c180-e706-5693-47dc1be3300c</t>
  </si>
  <si>
    <t>Plate L, Volume I, Book IV, Weights &amp; Measures, from Index: The Objects of My Obsession</t>
  </si>
  <si>
    <t>36867d34-5d54-55f2-a91a-fe2aab9c9cd2</t>
  </si>
  <si>
    <t>Plate A, Volume I, Book V, Smoking Guns, from Index: The Objects of My Obsession</t>
  </si>
  <si>
    <t>adb5449c-0487-9fa9-27af-0f34142394fa</t>
  </si>
  <si>
    <t>Plate B, Volume I, Book V, Smoking Guns, from Index: The Objects of My Obsession</t>
  </si>
  <si>
    <t>7b1d6dd5-7718-4575-a97c-f068cb2ec30c</t>
  </si>
  <si>
    <t>Plate C, Volume I, Book V, Smoking Guns, from Index: The Objects of My Obsession</t>
  </si>
  <si>
    <t>16473a84-c22d-d3d5-a740-a886a47424c0</t>
  </si>
  <si>
    <t>Plate D, Volume I, Book V, Smoking Guns, from Index: The Objects of My Obsession</t>
  </si>
  <si>
    <t>a6f52fa2-ece5-1af2-d0ee-22008f60fa5e</t>
  </si>
  <si>
    <t>Plate E, Volume I, Book V, Smoking Guns, from Index: The Objects of My Obsession</t>
  </si>
  <si>
    <t>a161362b-2ef9-a2c7-5feb-5a7bfdc3f5f7</t>
  </si>
  <si>
    <t>Plate F, Volume I, Book V, Smoking Guns, from Index: The Objects of My Obsession</t>
  </si>
  <si>
    <t>dc588751-e251-582d-8173-f3a3b71f7a1a</t>
  </si>
  <si>
    <t>Plate G, Volume I, Book V, Smoking Guns, from Index: The Objects of My Obsession</t>
  </si>
  <si>
    <t>bcb10e16-361a-9bda-ca74-08dc24af0d12</t>
  </si>
  <si>
    <t>Plate H, Volume I, Book V, Smoking Guns, from Index: The Objects of My Obsession</t>
  </si>
  <si>
    <t>0bec482f-74e4-bfdb-d332-1f2c8fb56dc4</t>
  </si>
  <si>
    <t>Plate I, Volume I, Book V, Smoking Guns, from Index: The Objects of My Obsession</t>
  </si>
  <si>
    <t>6308058c-434b-9fd8-2dbf-210a7af5d3a2</t>
  </si>
  <si>
    <t>Plate J, Volume I, Book V, Smoking Guns, from Index: The Objects of My Obsession</t>
  </si>
  <si>
    <t>dbc14bd2-cf34-9e04-a980-2b6d28bd88ae</t>
  </si>
  <si>
    <t>Plate K, Volume I, Book V, Smoking Guns, from Index: The Objects of My Obsession</t>
  </si>
  <si>
    <t>e7c9d755-ec78-109f-5659-3249e1808822</t>
  </si>
  <si>
    <t>Plate L, Volume I, Book V, Smoking Guns, from Index: The Objects of My Obsession</t>
  </si>
  <si>
    <t>0d6fe13a-7630-2658-858d-845b8dc9e784</t>
  </si>
  <si>
    <t>Yandang Mountains after the Style of Shen Zhou</t>
  </si>
  <si>
    <t>Cai Jiating</t>
  </si>
  <si>
    <t>3a580f19-8529-453c-9d27-383534a43410</t>
  </si>
  <si>
    <t>53eb3c01-e31d-1688-e3c1-a90c1dbf09d4</t>
  </si>
  <si>
    <t>Oil and acrylic on linen</t>
  </si>
  <si>
    <t>Laura Owens</t>
  </si>
  <si>
    <t>437ed1d0-a141-345a-2860-7490870d76e8</t>
  </si>
  <si>
    <t>Down the Road from my Brother's House</t>
  </si>
  <si>
    <t>Maureen Gallace</t>
  </si>
  <si>
    <t>6eae9932-5bd1-f369-09b9-02e7d48a0df4</t>
  </si>
  <si>
    <t>Das tiranias [of the tyrannies]</t>
  </si>
  <si>
    <t>46822508-7f10-9900-3a35-867e670da8dc</t>
  </si>
  <si>
    <t>Empathy Displacement/Loopy in Blue and Orange</t>
  </si>
  <si>
    <t>Oil and acrylic on canvas</t>
  </si>
  <si>
    <t>Sue Williams</t>
  </si>
  <si>
    <t>5160c749-86b4-350d-204d-5c4ff54e4ecd</t>
  </si>
  <si>
    <t>Living Rooms: SouthEast-One, with lights, action</t>
  </si>
  <si>
    <t>3834a88c-1b26-5eec-e9c0-87adec0c94ba</t>
  </si>
  <si>
    <t>One at the Time</t>
  </si>
  <si>
    <t>Michael Borremans</t>
  </si>
  <si>
    <t>b8ae2529-0103-7b2e-c381-f1b7ad301bb8</t>
  </si>
  <si>
    <t>Two</t>
  </si>
  <si>
    <t>46eeda1e-2a4f-ab33-2639-1dffef1584f4</t>
  </si>
  <si>
    <t>The Rabblerouser</t>
  </si>
  <si>
    <t>Watercolor, with brush and brown ink on off-white wove paper</t>
  </si>
  <si>
    <t>c0532955-149a-f48e-887e-ca5e74bca69c</t>
  </si>
  <si>
    <t>Coming Squall (Nahant Beach with a Summer Shower)</t>
  </si>
  <si>
    <t>Oil on canvas mounted on cradled panel</t>
  </si>
  <si>
    <t>28a7765b-fc38-1a56-87dd-cbcdb647fcdb</t>
  </si>
  <si>
    <t>Animal</t>
  </si>
  <si>
    <t>d9bbaa6a-3c52-20d8-5b42-64dcb940fde8</t>
  </si>
  <si>
    <t>f45b79b8-5edc-9bef-3100-baea71002604</t>
  </si>
  <si>
    <t>67841e8f-a428-8488-2118-22215a2b53b5</t>
  </si>
  <si>
    <t>Globe and Banjo</t>
  </si>
  <si>
    <t>ec39212c-5017-76cb-160e-b7065b4c47c9</t>
  </si>
  <si>
    <t>Face Holding a Leaf</t>
  </si>
  <si>
    <t>7ebb868a-19b4-381b-4180-5fabd19ac48f</t>
  </si>
  <si>
    <t>"And the day ran into the night, memories..."</t>
  </si>
  <si>
    <t>Pastel and gouache on gray wove paper</t>
  </si>
  <si>
    <t>0ec05d88-b2a9-3c61-6b22-d1c0c5519fb6</t>
  </si>
  <si>
    <t>Nude Woman, Full Body</t>
  </si>
  <si>
    <t>Watercolor with crayon and glue layered on wove paper, laid down on board, in artist's frame</t>
  </si>
  <si>
    <t>6c61a614-0ca5-8fb6-ee15-0c24c5a36d1a</t>
  </si>
  <si>
    <t>Peter Hurd</t>
  </si>
  <si>
    <t>Wheelbarrow Harvest</t>
  </si>
  <si>
    <t>baf3fdb0-0d02-2c12-ccc9-4ae5d8f33593</t>
  </si>
  <si>
    <t>Pasadena Palm, California</t>
  </si>
  <si>
    <t>Watercolor on shikishi board</t>
  </si>
  <si>
    <t>6f46981a-77bd-ef70-2373-15f0e94006e2</t>
  </si>
  <si>
    <t>Daruma Face</t>
  </si>
  <si>
    <t>940198d2-4b7b-5f59-cbff-036f31d56918</t>
  </si>
  <si>
    <t>It's a New Age</t>
  </si>
  <si>
    <t>ae116aa2-35d0-81ba-1ac6-da86dae5f12a</t>
  </si>
  <si>
    <t>Halleluiah</t>
  </si>
  <si>
    <t>6ee6a8f6-cc94-f9ff-5bfa-784a461fc5df</t>
  </si>
  <si>
    <t>Head of a Woman with a Blue Necklace</t>
  </si>
  <si>
    <t>Paul Kleinschmidt</t>
  </si>
  <si>
    <t>8cac8241-79f1-5365-a48f-77ae2639757f</t>
  </si>
  <si>
    <t>Relational Painting, No. 82</t>
  </si>
  <si>
    <t>a28e4e8f-f072-092a-52f9-b165c97c7a0a</t>
  </si>
  <si>
    <t>Still Life with Fragments</t>
  </si>
  <si>
    <t>Oil and watercolor on cardboard</t>
  </si>
  <si>
    <t>564405dc-d2a1-4c2c-45e1-29e4bdc6752d</t>
  </si>
  <si>
    <t>Still Life Filled with Space</t>
  </si>
  <si>
    <t>798bb27f-379a-f910-2aa1-65555e70749b</t>
  </si>
  <si>
    <t>Psychological Morphology</t>
  </si>
  <si>
    <t>202dac73-c26b-83ac-1bb3-1c9b941227f2</t>
  </si>
  <si>
    <t>Large Mowing Machine with Horses</t>
  </si>
  <si>
    <t>bd0640ef-b132-9789-0776-75f50c75166b</t>
  </si>
  <si>
    <t>Study for Entry (Fragment One)</t>
  </si>
  <si>
    <t>Gouache on off-white wove paper</t>
  </si>
  <si>
    <t>8c4c8346-560a-bd5a-ed11-5f771cd34d7d</t>
  </si>
  <si>
    <t>View on the Grounds of a Villa near Florence</t>
  </si>
  <si>
    <t>Oil on millboard mounted on canvas</t>
  </si>
  <si>
    <t>26421d10-27fc-e656-613d-12f4f2a20381</t>
  </si>
  <si>
    <t>Untitled (Still Life with Lobster)</t>
  </si>
  <si>
    <t>Oil, and possibly sand, on canvas</t>
  </si>
  <si>
    <t>Jan Matulka</t>
  </si>
  <si>
    <t>91833784-463a-9fea-fbc6-3b485a2c5fdb</t>
  </si>
  <si>
    <t>Train Landscape</t>
  </si>
  <si>
    <t>Oil on canvas; three joined panels</t>
  </si>
  <si>
    <t>0e4128b8-7ec7-11e7-5eed-4e9ebc9aa0a4</t>
  </si>
  <si>
    <t>Figure in Pink and Yellow</t>
  </si>
  <si>
    <t>Manierre Dawson</t>
  </si>
  <si>
    <t>a90346c9-1628-d6c9-8f55-60b8fcc2cdd4</t>
  </si>
  <si>
    <t>Gouache with incising and fingerprints, on masonite, prepared with a white ground</t>
  </si>
  <si>
    <t>6c046e7f-614b-0060-2e7b-e12779ae48b6</t>
  </si>
  <si>
    <t>Chinatown Night</t>
  </si>
  <si>
    <t>Watercolor, over graphite, on white watercolor paper</t>
  </si>
  <si>
    <t>d3c92370-dac5-3afd-3698-7cf9ca3f4770</t>
  </si>
  <si>
    <t>Entry [Fragment One]</t>
  </si>
  <si>
    <t>d4c3c1c2-c7e9-bbe4-d1f5-621fe8e5d3d1</t>
  </si>
  <si>
    <t>Myself</t>
  </si>
  <si>
    <t>b970a668-de03-945f-cb42-31b2ad8ed05c</t>
  </si>
  <si>
    <t>The Second Part of the Return from Parnassus</t>
  </si>
  <si>
    <t>Wax crayon, lead pencil, oil paint, colored pencil on canvas</t>
  </si>
  <si>
    <t>399e47c4-624e-1fe8-00c4-ef360312f449</t>
  </si>
  <si>
    <t>Franz Marc</t>
  </si>
  <si>
    <t>Winter Scene: Design for a Ballet</t>
  </si>
  <si>
    <t>Gouache with watercolor, over traces of black chalk, on cream wove paper</t>
  </si>
  <si>
    <t>Nicolai Remisoff</t>
  </si>
  <si>
    <t>37f02bb0-84e8-0270-e7a9-c5957acd04ab</t>
  </si>
  <si>
    <t>Day Dreams</t>
  </si>
  <si>
    <t>Watercolor with gouache and black chalk on cream wove paper</t>
  </si>
  <si>
    <t>Charles Sarka</t>
  </si>
  <si>
    <t>34353dfe-5ce2-4ba0-0e4a-f44c5c1441a9</t>
  </si>
  <si>
    <t>Sienna</t>
  </si>
  <si>
    <t>Cecilia Edefalk</t>
  </si>
  <si>
    <t>50cda425-973d-8764-9862-0e994ff3a593</t>
  </si>
  <si>
    <t>Brilliant Gloom</t>
  </si>
  <si>
    <t>Acrylic and thread on canvas</t>
  </si>
  <si>
    <t>Michael Raedecker</t>
  </si>
  <si>
    <t>7455f781-559f-86cb-3485-38759127e103</t>
  </si>
  <si>
    <t>Vase of Flowers</t>
  </si>
  <si>
    <t>Henri Rousseau</t>
  </si>
  <si>
    <t>Wilhelm Tischbein</t>
  </si>
  <si>
    <t>Portrait of Marcel Duchamp</t>
  </si>
  <si>
    <t>6e960a8e-4189-f7b7-4785-716474c36179</t>
  </si>
  <si>
    <t>Landscape in Maine</t>
  </si>
  <si>
    <t>Watercolor with rewetting and blotting, over graphite, on thick, moderately textured, ivory wove paper (left and lower edges trimmed)</t>
  </si>
  <si>
    <t>752a2a2e-72bb-f978-aba1-1a9c3e0daff3</t>
  </si>
  <si>
    <t>Portrait of Berthe Morisot with a Fan</t>
  </si>
  <si>
    <t>b5c9ca9b-6717-beb5-d1c5-fc22d101e505</t>
  </si>
  <si>
    <t>Grey Diamond</t>
  </si>
  <si>
    <t>Oil on canvas, mounted on panel</t>
  </si>
  <si>
    <t>Ilya Bolotowsky</t>
  </si>
  <si>
    <t>774ca6e8-8b8e-47e5-f194-3226795c3ffc</t>
  </si>
  <si>
    <t>Oil and enamel on canvas</t>
  </si>
  <si>
    <t>Rudolf Stingel</t>
  </si>
  <si>
    <t>e5fd6efb-3a51-7ec8-0a2e-149088f64ae2</t>
  </si>
  <si>
    <t>The Vision of Saint Francis</t>
  </si>
  <si>
    <t>Joseph Raffael</t>
  </si>
  <si>
    <t>Still Life with Honey Jar</t>
  </si>
  <si>
    <t>40018ea0-fc65-6cb1-d441-72e84d896699</t>
  </si>
  <si>
    <t>Heads and Paws of Lions</t>
  </si>
  <si>
    <t>98979553-a768-8f25-df2c-8ead4206f015</t>
  </si>
  <si>
    <t>A Mountain Farm</t>
  </si>
  <si>
    <t>Watercolor with red crayon, over graphite, on ivory wove paper, laid down on tan wood-pulp board</t>
  </si>
  <si>
    <t>Caleb Winholtz</t>
  </si>
  <si>
    <t>2bb45cf4-469c-f330-8021-ec9327333a38</t>
  </si>
  <si>
    <t>Watercolor with black and red crayon, over graphite, on ivory wove paper</t>
  </si>
  <si>
    <t>d66f7f7a-9cba-dc93-acc0-ce17f5d9648c</t>
  </si>
  <si>
    <t>Dancer and Man</t>
  </si>
  <si>
    <t>Watercolor, over traces of charcoal, on cream wove paper</t>
  </si>
  <si>
    <t>f975a6ff-0336-8b02-4afe-eb39fc451221</t>
  </si>
  <si>
    <t>Oil on encaustic on wood and canvas, in two panels</t>
  </si>
  <si>
    <t>b0d327fb-80ba-44cc-6864-79aa6fd4566c</t>
  </si>
  <si>
    <t>Orchids, Album Covers and Pages</t>
  </si>
  <si>
    <t>Album covers, pages 1 and 14, 12 blank sheets</t>
  </si>
  <si>
    <t>Chen Wu</t>
  </si>
  <si>
    <t>d0708a7d-6b18-3ce7-6a28-070ef9a1b00f</t>
  </si>
  <si>
    <t>Orchids</t>
  </si>
  <si>
    <t>Hanging scroll, ink on paper</t>
  </si>
  <si>
    <t>Kim Eung-won</t>
  </si>
  <si>
    <t>cd74179e-f331-ebfa-5fa5-ef505d81af0e</t>
  </si>
  <si>
    <t>Untitled No. 19</t>
  </si>
  <si>
    <t>Diptych, ink on paper</t>
  </si>
  <si>
    <t>Tang Haiwen</t>
  </si>
  <si>
    <t>90bdf22d-72d2-8551-5e59-68625bdf0272</t>
  </si>
  <si>
    <t>Early</t>
  </si>
  <si>
    <t>James Bishop</t>
  </si>
  <si>
    <t>Minimalism</t>
  </si>
  <si>
    <t>6d4571d7-3cb2-d0b4-4449-09c481da1475</t>
  </si>
  <si>
    <t>8b9d183b-2bb2-7990-6b75-3d1bcd1cb582</t>
  </si>
  <si>
    <t>Cowboy</t>
  </si>
  <si>
    <t>Wax crayons, colored pencils, and watercolor over graphite on beige wove paper</t>
  </si>
  <si>
    <t>Martin Ramirez</t>
  </si>
  <si>
    <t>a89d84a3-0f14-b890-b9f5-5bdd7f5357b6</t>
  </si>
  <si>
    <t>e3cbb94e-53c7-ee47-a2ec-529fa62cf8b6</t>
  </si>
  <si>
    <t>In the Woods</t>
  </si>
  <si>
    <t>A Roadside Tavern</t>
  </si>
  <si>
    <t>79122f7e-1088-232e-343a-9fb3a3c7fc64</t>
  </si>
  <si>
    <t>Nice</t>
  </si>
  <si>
    <t>Shamsa Medallion</t>
  </si>
  <si>
    <t>Opaque watercolor, gold, and black ink inlaid on laid paper</t>
  </si>
  <si>
    <t>ccccb05c-0150-0b53-a04d-b79decb6e391</t>
  </si>
  <si>
    <t>80023112-af68-e396-2e52-1627939ab75a</t>
  </si>
  <si>
    <t>It's Spring Again</t>
  </si>
  <si>
    <t>Oil on paper (framed)</t>
  </si>
  <si>
    <t>Kong Baiji</t>
  </si>
  <si>
    <t>7361d158-3833-149c-734d-d38324721659</t>
  </si>
  <si>
    <t>Fountain</t>
  </si>
  <si>
    <t>The Senseless Cycle, Tender and Benign, Bring Great Comfort</t>
  </si>
  <si>
    <t>Acrylic and spray laquer on wood panel</t>
  </si>
  <si>
    <t>Lari Pittman</t>
  </si>
  <si>
    <t>cdb47125-6dbf-1cd6-5fa1-cf9e798fadd8</t>
  </si>
  <si>
    <t>White Camellia, from a Set of Three Flowers</t>
  </si>
  <si>
    <t>df49461d-901e-ee34-2a34-1bee87990d5f</t>
  </si>
  <si>
    <t>Red Camellia, from a Set of Three Flowers</t>
  </si>
  <si>
    <t>73ca53e6-b62d-f8b6-a286-0837ec614a94</t>
  </si>
  <si>
    <t>Dogwood Camellia, from a set of three flowers</t>
  </si>
  <si>
    <t>97f93d5f-dc3f-8a53-5cd1-c7d4f48e0934</t>
  </si>
  <si>
    <t>Virgin and Child with the Young Saint John the Baptist, Saint Cecilia, and Angels</t>
  </si>
  <si>
    <t>Oil on poplar panel</t>
  </si>
  <si>
    <t>Piero di Cosimo</t>
  </si>
  <si>
    <t>16d830b7-d681-6c88-379b-9585c655b6b7</t>
  </si>
  <si>
    <t>Diameter: 75 cm</t>
  </si>
  <si>
    <t>aa385a42-b638-eb1a-08dc-3fe74c7d50f4</t>
  </si>
  <si>
    <t>Wucius Wong</t>
  </si>
  <si>
    <t>Robert Gwathmey</t>
  </si>
  <si>
    <t>Gouache on folded cream wove paper</t>
  </si>
  <si>
    <t>abc6acdf-1c97-42b3-aea7-181150b87bac</t>
  </si>
  <si>
    <t>Moeder</t>
  </si>
  <si>
    <t>Tomma Abts</t>
  </si>
  <si>
    <t>19ce23d6-0e82-5ebe-2ce1-f41aa483a70e</t>
  </si>
  <si>
    <t>Gaylen Gerber</t>
  </si>
  <si>
    <t>6cb5aeb7-e914-a921-a4d9-67de5e4f6073</t>
  </si>
  <si>
    <t>c29b0569-1742-d4ab-6e97-3f4d7c184eb1</t>
  </si>
  <si>
    <t>Watercolor with scraping on ivory wove paper</t>
  </si>
  <si>
    <t>2a54a2f1-bb38-d5a1-f8b4-84b5c1c29e2d</t>
  </si>
  <si>
    <t>Yellow Dancers (In the Wings)</t>
  </si>
  <si>
    <t>8fe022ba-e358-5cda-aa70-d96edd0b4f20</t>
  </si>
  <si>
    <t>Contemporary de Sade-John Wayne Gacy</t>
  </si>
  <si>
    <t>19631cfa-647b-0363-7079-2ea1f8372453</t>
  </si>
  <si>
    <t>Oil on canvas on panel</t>
  </si>
  <si>
    <t>Guy-Louis Vernansal</t>
  </si>
  <si>
    <t>Rubbings from the Calcium Garden...Meadlo</t>
  </si>
  <si>
    <t>2344e2ae-2e6c-70c1-b044-7429ec01a874</t>
  </si>
  <si>
    <t>Gouache on board</t>
  </si>
  <si>
    <t>Saint Luke Drawing the Virgin and Christ Child</t>
  </si>
  <si>
    <t>33f100cf-7ebb-f1ae-a5ec-326c28088b02</t>
  </si>
  <si>
    <t>Diptych, ink on Kyro paper</t>
  </si>
  <si>
    <t>T'ang Haywen</t>
  </si>
  <si>
    <t>d50300cc-8835-ad93-611e-0415096bf5ac</t>
  </si>
  <si>
    <t>7db07df2-44d8-a535-522b-c02861f18c94</t>
  </si>
  <si>
    <t>Graphite and watercolor on cream wove paper</t>
  </si>
  <si>
    <t>Ed Flood</t>
  </si>
  <si>
    <t>Daft</t>
  </si>
  <si>
    <t>c8bfb4db-961f-72bb-53ba-4406e5b4f77d</t>
  </si>
  <si>
    <t>Odd Odd Otto</t>
  </si>
  <si>
    <t>Enamel sign paint on canvas</t>
  </si>
  <si>
    <t>c083e74b-bb50-1440-5acc-5879948d955d</t>
  </si>
  <si>
    <t>Hug Hugh Ugh</t>
  </si>
  <si>
    <t>ebd9caaa-d321-4e61-d6c7-09a45953848d</t>
  </si>
  <si>
    <t>Torsos Rot</t>
  </si>
  <si>
    <t>af707110-b389-852f-ffcb-e52e25a1a40b</t>
  </si>
  <si>
    <t>Sic [Sic] Sick</t>
  </si>
  <si>
    <t>119dc689-add5-f833-d1e1-b3c03c1b4a65</t>
  </si>
  <si>
    <t>4-1/2 Oxen</t>
  </si>
  <si>
    <t>52d48b28-5e49-d078-61a7-01281060cbcb</t>
  </si>
  <si>
    <t>Two Eiffels</t>
  </si>
  <si>
    <t>bcc7412c-78aa-394e-6c22-588b187cc88c</t>
  </si>
  <si>
    <t>Joe Zucker</t>
  </si>
  <si>
    <t>A Professional Baffoon, from a untitled series of 12 prints</t>
  </si>
  <si>
    <t>126fb1b6-17b4-f3d5-fc29-dd6672eabd12</t>
  </si>
  <si>
    <t>Madame Paul Escudier (Louise Lefevre)</t>
  </si>
  <si>
    <t>c6da9f8c-643b-f331-0f8f-a9b6a844caf6</t>
  </si>
  <si>
    <t>Yashoda Chastises Her Foster Son, the Youthful Krishna, page from a manuscript of the Bhagavata Purana</t>
  </si>
  <si>
    <t>Opaque watercolor on paper heightened with gold</t>
  </si>
  <si>
    <t>89669f9f-5a65-3be5-b181-7d44bca6c7ef</t>
  </si>
  <si>
    <t>Maharao Guman Singh Riding an Elephant in Procession</t>
  </si>
  <si>
    <t>Opaque watercolor, black ink, and gold on tan paper</t>
  </si>
  <si>
    <t>47b69449-fb3e-9e81-d32d-210b751b71fb</t>
  </si>
  <si>
    <t>A Hot Day in the Lighthouse</t>
  </si>
  <si>
    <t>47449100-065a-fffc-b947-315e9de2609f</t>
  </si>
  <si>
    <t>Portrait of Mme. Lina Cavalieri</t>
  </si>
  <si>
    <t>41527b5e-8ac0-abd0-0a9b-afb6d4ab76bf</t>
  </si>
  <si>
    <t>Standing Bather, Seen from the Back</t>
  </si>
  <si>
    <t>711f05a5-3186-6cc8-07ac-50896f804e86</t>
  </si>
  <si>
    <t>Girl in Yellow and Blue with Guitar</t>
  </si>
  <si>
    <t>0fc277a0-003c-393f-556b-f8dbc8c81427</t>
  </si>
  <si>
    <t>Margo Hoff</t>
  </si>
  <si>
    <t>The Meeting of Gautier, Count of Antwerp, and his Daughter, Violante</t>
  </si>
  <si>
    <t>Giuseppe Cades</t>
  </si>
  <si>
    <t>e82101c9-9058-cb50-b4bd-ef2ea443bfaf</t>
  </si>
  <si>
    <t>e18b08e0-5b8b-f413-b4cc-3e263b210e26</t>
  </si>
  <si>
    <t>Okumura Toshinobu</t>
  </si>
  <si>
    <t>Coach Changing Horses</t>
  </si>
  <si>
    <t>Pen and brown ink with brush and watercolor, over traces of graphite, on ivory wove paper, laid down on board</t>
  </si>
  <si>
    <t>c215ce17-baad-c022-7d33-85a2b49218dd</t>
  </si>
  <si>
    <t>Apollo and Marsyas</t>
  </si>
  <si>
    <t>13d31515-70ec-197f-59f6-b71dc6f60903</t>
  </si>
  <si>
    <t>Christ Washing the Disciples' Feet</t>
  </si>
  <si>
    <t>Oil on paper mounted on wood</t>
  </si>
  <si>
    <t>d67f1cfe-c16f-0b19-1acb-4d915f158991</t>
  </si>
  <si>
    <t>Jingoji Sutra</t>
  </si>
  <si>
    <t>Gold and silver pigments on indigo-dyed paper</t>
  </si>
  <si>
    <t>d062a585-033e-dc4f-35d9-bffe4746a479</t>
  </si>
  <si>
    <t>Francis I and Marguerite of Navarre</t>
  </si>
  <si>
    <t>Imitator of Richard Parkes Bonington</t>
  </si>
  <si>
    <t>0e2ab31c-b60d-7739-63c2-083dcbdbc5f9</t>
  </si>
  <si>
    <t>Size: 8 3/4 x 5 11/16"</t>
  </si>
  <si>
    <t>Bonsai</t>
  </si>
  <si>
    <t>efb1f231-6318-b4e1-c054-a2322e92d1ed</t>
  </si>
  <si>
    <t>Kitchen Still Life</t>
  </si>
  <si>
    <t>Paolo Antonio Barbieri</t>
  </si>
  <si>
    <t>29163982-8310-36bb-3530-2b5000ce7290</t>
  </si>
  <si>
    <t>Acrylic paint and Chinese ink on wove paper</t>
  </si>
  <si>
    <t>23abd1b7-b39a-9d54-64b6-fe7a68726517</t>
  </si>
  <si>
    <t>Experiment No. 9</t>
  </si>
  <si>
    <t>Collage composed of off-set prints on wove paper cut to size with decorative edged craft shears, with applied printed and torn paper and white opaque watercolor</t>
  </si>
  <si>
    <t>1202bc17-86d8-2a64-de5b-555aa275b9b7</t>
  </si>
  <si>
    <t>Francesco Buoneri</t>
  </si>
  <si>
    <t>a49c5ada-f461-d7d1-0f1b-468ac577a872</t>
  </si>
  <si>
    <t>Avant le jour</t>
  </si>
  <si>
    <t>74089a1d-ef1d-8597-ec1b-cc3e34192540</t>
  </si>
  <si>
    <t>Calla Lilies</t>
  </si>
  <si>
    <t>Arthur B. Carles</t>
  </si>
  <si>
    <t>a8e8b0d2-9e40-0d5d-7747-93f12d5811fe</t>
  </si>
  <si>
    <t>View of Saleve, near Geneva</t>
  </si>
  <si>
    <t>Oil on paper, mounted to canvas</t>
  </si>
  <si>
    <t>b7e9650f-fe31-1206-ec54-8b2f019b8621</t>
  </si>
  <si>
    <t>Christian Rohlfs</t>
  </si>
  <si>
    <t>Buildings</t>
  </si>
  <si>
    <t>Roland Holst</t>
  </si>
  <si>
    <t>Head of a Soldier</t>
  </si>
  <si>
    <t>Sketch for a Ceiling Fresco</t>
  </si>
  <si>
    <t>c0e3572f-f756-a351-fe0f-bcecb20a5090</t>
  </si>
  <si>
    <t>A Forest</t>
  </si>
  <si>
    <t>Dave Muller</t>
  </si>
  <si>
    <t>e7a15388-9af3-8703-ca30-33f3863e6b54</t>
  </si>
  <si>
    <t>At an Old English Eating House</t>
  </si>
  <si>
    <t>Pen and red ink with brush and watercolor over graphite, on cream wove paper</t>
  </si>
  <si>
    <t>33b99a39-fe6f-e6f8-0803-15465aa58f19</t>
  </si>
  <si>
    <t>gwrath</t>
  </si>
  <si>
    <t>Collage of brush and black ink and gray washes and white gouache, with touches of brush and red ink, on cut-and-pasted white wove watercolor paper</t>
  </si>
  <si>
    <t>Rodney Carswell</t>
  </si>
  <si>
    <t>682c5ee0-0585-9f07-f94f-314a358466b8</t>
  </si>
  <si>
    <t>Ree Morton</t>
  </si>
  <si>
    <t>Burgoyne Diller</t>
  </si>
  <si>
    <t>Interior of an Inn</t>
  </si>
  <si>
    <t>Pen and brown ink with brush and watercolor, over traces of graphite, on cream wove paper</t>
  </si>
  <si>
    <t>da7b921e-ef7e-e768-cf38-c5440275ad3d</t>
  </si>
  <si>
    <t>Gouache on four sheets of cardboard (pieced)</t>
  </si>
  <si>
    <t>2ef1c245-862d-faa3-e872-57221cadec6a</t>
  </si>
  <si>
    <t>Work</t>
  </si>
  <si>
    <t>Gouache, with graphite, on cream wove paper</t>
  </si>
  <si>
    <t>Akira Kanayama</t>
  </si>
  <si>
    <t>bea9bcba-8871-5793-0943-a64018f495fc</t>
  </si>
  <si>
    <t>Green Rock Cup</t>
  </si>
  <si>
    <t>Gouache, watercolor, brush and black ink on ivory laminated board</t>
  </si>
  <si>
    <t>ede9658e-e024-2b13-25dc-e49ded33eba5</t>
  </si>
  <si>
    <t>Red White</t>
  </si>
  <si>
    <t>Gouache over graphite on off-white wove paper laid down on white wove paper</t>
  </si>
  <si>
    <t>accc2e47-093c-8efa-6e30-fe5841eb9618</t>
  </si>
  <si>
    <t>The Prairie on Fire</t>
  </si>
  <si>
    <t>Alvan Fisher</t>
  </si>
  <si>
    <t>7951054b-f49a-6824-10ab-a3a301f39115</t>
  </si>
  <si>
    <t>Plate 137 from The Plan of Chicago, 1909: Chicago. View of the Proposed Development in the Center of the City, from Twenty-Second Street to Chicago Avenue, Looking Towards the East Over the Civic Center to Grant Park and Lake Michigan</t>
  </si>
  <si>
    <t>Gouache and graphite on toned paper</t>
  </si>
  <si>
    <t>2423593f-db98-5b12-2327-c03bee223e97</t>
  </si>
  <si>
    <t>c069c84b-acd7-9c1a-af1d-8ca54e7657d6</t>
  </si>
  <si>
    <t>Jo Baer</t>
  </si>
  <si>
    <t>William Brown</t>
  </si>
  <si>
    <t>The Actor Sanogawa Mangiku as a woman walking in the snow</t>
  </si>
  <si>
    <t>d0353711-6246-2d2b-3a28-abd316cf9533</t>
  </si>
  <si>
    <t>Walter Hahn</t>
  </si>
  <si>
    <t>Tableau Vert</t>
  </si>
  <si>
    <t>019be102-5584-b599-4e81-782a2dba1789</t>
  </si>
  <si>
    <t>A Woman Descending Stairs</t>
  </si>
  <si>
    <t>aaf920d0-bb7b-1541-8a72-1ced34d24f7a</t>
  </si>
  <si>
    <t>Dopo la Fine</t>
  </si>
  <si>
    <t>754b8f4c-41c1-2d41-e69a-a6c6c044e379</t>
  </si>
  <si>
    <t>Trouble</t>
  </si>
  <si>
    <t>Alkyd and acrylic on aluminum</t>
  </si>
  <si>
    <t>8ab42d60-b826-d176-12ef-45687c365e63</t>
  </si>
  <si>
    <t>Spies and Counter Spies</t>
  </si>
  <si>
    <t>Julio De Diego</t>
  </si>
  <si>
    <t>9ee3c0e9-2271-c236-5836-32d308866ba6</t>
  </si>
  <si>
    <t>Louis Anquetin</t>
  </si>
  <si>
    <t>Still Life with Ostrich Egg Cup and the Whitfield Heirlooms</t>
  </si>
  <si>
    <t>Pieter Gerritsz. van Roestraeten</t>
  </si>
  <si>
    <t>a3bfd218-9b88-f59b-5ade-f39b45f3ec4f</t>
  </si>
  <si>
    <t>Rebirth of the Nun Anyo</t>
  </si>
  <si>
    <t>Pair six-panel screens; ink, colors, and gold on paper</t>
  </si>
  <si>
    <t>a6cd6a81-d236-2841-6e32-2845a062ba23</t>
  </si>
  <si>
    <t>Woman with Halo and Sceptre</t>
  </si>
  <si>
    <t>Acrylic, cotton and Rhoplex on canvas</t>
  </si>
  <si>
    <t>fbfcca58-b0d4-4965-a8bc-8b7743090a19</t>
  </si>
  <si>
    <t>Lincoln</t>
  </si>
  <si>
    <t>WH 50</t>
  </si>
  <si>
    <t>e33e17c6-72d7-b16d-d750-040808dfc363</t>
  </si>
  <si>
    <t>Grigory Gluckmann</t>
  </si>
  <si>
    <t>Hablot Knight Browne</t>
  </si>
  <si>
    <t>Pierre Soulages</t>
  </si>
  <si>
    <t>Rodolphe Raoul Ubac</t>
  </si>
  <si>
    <t>Edward Gorey</t>
  </si>
  <si>
    <t>276252ca-b499-5539-ea43-a7e58c8ea973</t>
  </si>
  <si>
    <t>Wharf in Ludington</t>
  </si>
  <si>
    <t>Oil on pressboard</t>
  </si>
  <si>
    <t>f4c093ee-a107-064c-1989-bd7aacadd089</t>
  </si>
  <si>
    <t>Enamel house paint on canvas and wood</t>
  </si>
  <si>
    <t>c115f671-4540-56a5-7ece-42ef001b977c</t>
  </si>
  <si>
    <t>Albert Bloch</t>
  </si>
  <si>
    <t>863f16ab-0f51-4b43-127e-f4e95887307d</t>
  </si>
  <si>
    <t>Landscape with Sunbather</t>
  </si>
  <si>
    <t>92821a3e-fa69-8bfc-fd44-7d1ff46de1a7</t>
  </si>
  <si>
    <t>Grant Park, Congress Street</t>
  </si>
  <si>
    <t>Watercolor over graphite, on ivory wove paper</t>
  </si>
  <si>
    <t>9e294116-ac23-860e-4231-c956c18cd11a</t>
  </si>
  <si>
    <t>Apollo Granting Phaeton Permission to Drive the Chariot of the Sun</t>
  </si>
  <si>
    <t>c5e50da8-6bff-ea02-ed3c-c154b356cceb</t>
  </si>
  <si>
    <t>Landscape (recto)</t>
  </si>
  <si>
    <t>Marguerite Zorach</t>
  </si>
  <si>
    <t>411dd5f9-8633-9dab-d64c-a038c0aa92b5</t>
  </si>
  <si>
    <t>Untitled (Seated Woman)</t>
  </si>
  <si>
    <t>Lacquer on canvas</t>
  </si>
  <si>
    <t>Red Pine</t>
  </si>
  <si>
    <t>Oil and encaustic on canvas</t>
  </si>
  <si>
    <t>57d6cb9e-1331-1356-5ba0-cee04d49de10</t>
  </si>
  <si>
    <t>Caryatid</t>
  </si>
  <si>
    <t>1db67905-d421-95bf-1e91-4b60dd776886</t>
  </si>
  <si>
    <t>Gouache on newspaper</t>
  </si>
  <si>
    <t>7bdb2f9e-5195-5361-485d-2256a834f352</t>
  </si>
  <si>
    <t>Watercolor, over traces of graphite, on ivory laid paper</t>
  </si>
  <si>
    <t>Bather/Night</t>
  </si>
  <si>
    <t>1d5e62e7-29eb-727c-ca09-da723b2ea9f3</t>
  </si>
  <si>
    <t>The Last Supper</t>
  </si>
  <si>
    <t>Woman with a Fan</t>
  </si>
  <si>
    <t>The Lion Hunt</t>
  </si>
  <si>
    <t>5811 South Ellis</t>
  </si>
  <si>
    <t>b8901161-21c3-7b15-e7f2-09dc3b173153</t>
  </si>
  <si>
    <t>Regent Sketch-King</t>
  </si>
  <si>
    <t>7357bf1e-627f-c766-43f9-befd066df9ba</t>
  </si>
  <si>
    <t>Suellen Rocca</t>
  </si>
  <si>
    <t>The Mystical Invention of Television and its Relationship to Mourning</t>
  </si>
  <si>
    <t>Acrylic and oil on linen</t>
  </si>
  <si>
    <t>Richard Hawkins</t>
  </si>
  <si>
    <t>ab735178-90c0-a1ed-341d-4792013ac20f</t>
  </si>
  <si>
    <t>The Sunday Walk</t>
  </si>
  <si>
    <t>Gouache and watercolor, over graphite, on tan wove paper with fibrous inclusions</t>
  </si>
  <si>
    <t>John Goodall</t>
  </si>
  <si>
    <t>27154a3d-6637-1aa4-24e6-911eacfa1517</t>
  </si>
  <si>
    <t>Regent</t>
  </si>
  <si>
    <t>Spiral-bound book with twenty-five pages of drawings in graphite, pen and black ink, colored crayons, colored pencils, and watercolor, and a sheet of woodcuts in black on ivory wove paper</t>
  </si>
  <si>
    <t>17ec8d64-384f-f8ca-65f5-5b6e12e6ee10</t>
  </si>
  <si>
    <t>Spiral-bound book with twenty-four pages of drawings in graphite, pen and black ink, colored crayons, colored pencils, and watercolor on ivory wove paper</t>
  </si>
  <si>
    <t>e6cb960f-1350-2a0e-5066-b204a8c7c582</t>
  </si>
  <si>
    <t>Village</t>
  </si>
  <si>
    <t>918925aa-d340-2e84-0e17-d3997752b24c</t>
  </si>
  <si>
    <t>b0b312cf-6b99-fc0a-e561-c60a700cf0cc</t>
  </si>
  <si>
    <t>Evening in the Garden of the Alcazar</t>
  </si>
  <si>
    <t>Gouache and distemper on cream wove paper, laid down on wood-pulp card</t>
  </si>
  <si>
    <t>d2a655ad-9646-7666-c7be-8c711103521a</t>
  </si>
  <si>
    <t>Running Figure</t>
  </si>
  <si>
    <t>Gouache and watercolor, over graphite, on cream wove paper</t>
  </si>
  <si>
    <t>George Marshall Cohen</t>
  </si>
  <si>
    <t>e4aba292-afa6-db76-5f76-2936044860a1</t>
  </si>
  <si>
    <t>Grove of Trees (recto), Sketch of Aderley Church (verso)</t>
  </si>
  <si>
    <t>ed6ffa32-e4ea-5679-9c15-d7787a780f66</t>
  </si>
  <si>
    <t>White AIDS #3</t>
  </si>
  <si>
    <t>Gesso on canvas</t>
  </si>
  <si>
    <t>General Idea</t>
  </si>
  <si>
    <t>c5af1efc-0a61-a8b2-7447-14089fcc1660</t>
  </si>
  <si>
    <t>Descent from the Cross</t>
  </si>
  <si>
    <t>Abraham Rattner</t>
  </si>
  <si>
    <t>e7f197b8-193e-456c-619e-c127a03e4a6c</t>
  </si>
  <si>
    <t>First Theme</t>
  </si>
  <si>
    <t>f82f0ffe-ad42-2743-be0b-fb871ac5bfa2</t>
  </si>
  <si>
    <t>Extemporaneous</t>
  </si>
  <si>
    <t>Oil on metal, mounted on board</t>
  </si>
  <si>
    <t>21f5b1f7-bc81-c5e5-ee7f-2c7f406384a1</t>
  </si>
  <si>
    <t>Untitled (Roosters)</t>
  </si>
  <si>
    <t>Brush and black ink and watercolor on ivory Japanese paper</t>
  </si>
  <si>
    <t>7fe3656c-4c7b-231f-fa60-91704a86c31d</t>
  </si>
  <si>
    <t>2685ae09-bc4e-5e01-f2f6-cf41b1a75349</t>
  </si>
  <si>
    <t>The Hermit's Cave in Winter</t>
  </si>
  <si>
    <t>Acrylic and ink on white wove paper</t>
  </si>
  <si>
    <t>023bda57-8318-9c9c-bca9-f5771e10855e</t>
  </si>
  <si>
    <t>Born in Snovsk</t>
  </si>
  <si>
    <t>Magna on canvas</t>
  </si>
  <si>
    <t>4046d671-e4ba-a5d4-ca3f-9e1aeed5b21d</t>
  </si>
  <si>
    <t>Hekatompedon, Per 13</t>
  </si>
  <si>
    <t>Gouache, with pen and brush and black ink, and graphite on ivory wove card</t>
  </si>
  <si>
    <t>50e695e0-54a6-13fa-c5cc-120cfa76a759</t>
  </si>
  <si>
    <t>Gouache and white enamel paint on cream wove watercolor paper</t>
  </si>
  <si>
    <t>40ccb08d-0878-5044-69ca-d75dbbde4680</t>
  </si>
  <si>
    <t>Anne Truitt</t>
  </si>
  <si>
    <t>7e37267b-e774-d716-c9e0-258faf1ad8ad</t>
  </si>
  <si>
    <t>Exterior</t>
  </si>
  <si>
    <t>Watercolor with touches of gouache on white wove paper</t>
  </si>
  <si>
    <t>f4478675-8031-ed31-f0c6-e63ede3fc1bc</t>
  </si>
  <si>
    <t>Yours for Excellent Uplift</t>
  </si>
  <si>
    <t>Acrylic on canvas, in hand-painted frame</t>
  </si>
  <si>
    <t>531a2e85-b8d8-d93b-52e0-7295970cdc79</t>
  </si>
  <si>
    <t>Extraordinary Values</t>
  </si>
  <si>
    <t>d28f9503-bbad-dd18-92c1-14f524feec05</t>
  </si>
  <si>
    <t>Superficial Concerns</t>
  </si>
  <si>
    <t>Acrylic on canvas, unframed</t>
  </si>
  <si>
    <t>0e1ae496-bf7e-4700-3795-692e84b5534f</t>
  </si>
  <si>
    <t>Graceful Flattery for After Five</t>
  </si>
  <si>
    <t>Acrylic on canvas, in artist's painted frame</t>
  </si>
  <si>
    <t>859f301c-6c43-2aca-e5e5-6202c77c1031</t>
  </si>
  <si>
    <t>Dotted Charmer</t>
  </si>
  <si>
    <t>9cbd4dd6-e4b0-821a-da66-544c4ea792d9</t>
  </si>
  <si>
    <t>Untitled (Blindfolded Figure Facing Left and Blindfolded Figure Facing Right)</t>
  </si>
  <si>
    <t>9eb99619-7e61-9304-ccea-8e290d8ad894</t>
  </si>
  <si>
    <t>Delfina II</t>
  </si>
  <si>
    <t>65272293-e9c9-fc2b-887c-0e9687ec4221</t>
  </si>
  <si>
    <t>Edogawa Ranpo 2</t>
  </si>
  <si>
    <t>Acrylic, pencil, and collage on paper</t>
  </si>
  <si>
    <t>f59ebec4-80de-58b7-a6bb-1eddaf6dfc65</t>
  </si>
  <si>
    <t>Green/2 Orange X Painting</t>
  </si>
  <si>
    <t>Acrylic and black pencil on canvas</t>
  </si>
  <si>
    <t>1dab428f-d63d-5fec-5b9c-ed43b5f7f4d6</t>
  </si>
  <si>
    <t>North Sea Landscape</t>
  </si>
  <si>
    <t>Watercolor, with brush and black ink, on Japanese paper</t>
  </si>
  <si>
    <t>afd4d22a-bd85-350e-1264-fffea81f110e</t>
  </si>
  <si>
    <t>81â€“14â€“87</t>
  </si>
  <si>
    <t>a4f87056-47b2-3be5-35bd-54196999cbf1</t>
  </si>
  <si>
    <t>58da86dd-205b-8156-6cb1-7fd81a2ec1b8</t>
  </si>
  <si>
    <t>Chandelier</t>
  </si>
  <si>
    <t>Portrait of a Lady, Possibly of the Stanley Family</t>
  </si>
  <si>
    <t>a1e30e2f-0f7f-2ab8-2489-7a8b2402120d</t>
  </si>
  <si>
    <t>Montagne Saint-Victoire (The Arc Valley)</t>
  </si>
  <si>
    <t>Watercolor, with graphite, on buff wove paper</t>
  </si>
  <si>
    <t>fc52988d-cd56-cf6b-4f7f-706d2c20b214</t>
  </si>
  <si>
    <t>Andrew Wyeth</t>
  </si>
  <si>
    <t>Rabbit Warren at Pontoise, Snow</t>
  </si>
  <si>
    <t>053f9be8-3617-c4ef-36cd-1deb5e13b288</t>
  </si>
  <si>
    <t>Roses in a Bowl</t>
  </si>
  <si>
    <t>7abbfd97-fb03-2366-cfe5-b53738a3d93e</t>
  </si>
  <si>
    <t>350b7e7f-e1d8-e58b-8890-0ef6b04afe18</t>
  </si>
  <si>
    <t>Paying Off Old Debts</t>
  </si>
  <si>
    <t>Acrylic, cotton, and Rhoplex on canvas</t>
  </si>
  <si>
    <t>0a734e33-295f-2bac-d382-b932ed022cbd</t>
  </si>
  <si>
    <t>A Stream in France</t>
  </si>
  <si>
    <t>678c71f6-db85-e5b7-03e2-cfb7631b9314</t>
  </si>
  <si>
    <t>View on the Seine, Paris</t>
  </si>
  <si>
    <t>3b901b0a-b8a8-7299-1851-c25116dfa116</t>
  </si>
  <si>
    <t>464827b1-0dc5-5522-4dad-6dd085d98367</t>
  </si>
  <si>
    <t>Rocks at Port-Goulphar, Belle-ÃŽle</t>
  </si>
  <si>
    <t>2765aee9-3d78-ec6c-5c66-a1d9dc8173f6</t>
  </si>
  <si>
    <t>The Eventuality of Destiny</t>
  </si>
  <si>
    <t>16f8be27-b469-d7f2-954e-7dfc2ebdb93d</t>
  </si>
  <si>
    <t>Joe's Painting #125</t>
  </si>
  <si>
    <t>ef7071f3-a422-aee9-b3c9-67425d4833df</t>
  </si>
  <si>
    <t>Young Girl with Hat</t>
  </si>
  <si>
    <t>12731595-67a3-dc3c-efa8-29d75b9cd315</t>
  </si>
  <si>
    <t>The Red House</t>
  </si>
  <si>
    <t>3f34cd5d-6eed-85e9-9665-c9e7ce367952</t>
  </si>
  <si>
    <t>Watercolor and gouache on cream laid paper, laid down on buff laid paper</t>
  </si>
  <si>
    <t>7bebd6bd-cb2f-5b56-98b6-f69252d87e6f</t>
  </si>
  <si>
    <t>Young Peasant Having Her Coffee</t>
  </si>
  <si>
    <t>The Lamentation</t>
  </si>
  <si>
    <t>Capriccio: The Lagoon</t>
  </si>
  <si>
    <t>7321b007-adde-0acb-9d5b-0f57c8f3fcf1</t>
  </si>
  <si>
    <t>Interior: A Sultana taking Coffee in the Harem</t>
  </si>
  <si>
    <t>ca8ba7cf-670b-8db8-3ceb-9bbdb595b096</t>
  </si>
  <si>
    <t>Gouache, over traces of graphite, on cream laid paper, edge mounted on board</t>
  </si>
  <si>
    <t>65287f67-e386-964f-b454-3b65aaff9f2d</t>
  </si>
  <si>
    <t>Fire in the Port</t>
  </si>
  <si>
    <t>2ae7a0d4-9247-af14-fcc3-2ba6f8cf9aea</t>
  </si>
  <si>
    <t>Why Not</t>
  </si>
  <si>
    <t>93ee7704-6d92-72a9-02a6-34b9d9c3e4e3</t>
  </si>
  <si>
    <t>From the Ermine to a Chimera in the Abyss (Dâ€™hermines Ã  une chimere en abÃ®me)</t>
  </si>
  <si>
    <t>Mixed media on panel</t>
  </si>
  <si>
    <t>Valentine Hugo</t>
  </si>
  <si>
    <t>380c66cd-9616-c1d2-09e6-002afb657148</t>
  </si>
  <si>
    <t>99c39143-a45c-5fa1-ddd3-0dae633fbb87</t>
  </si>
  <si>
    <t>El Maragato Threatens Friar Pedro de Zaldivia with His Gun</t>
  </si>
  <si>
    <t>54c19e3b-83f0-df0c-b85b-e410152cd8a0</t>
  </si>
  <si>
    <t>Portrait of a Lady with a Dog</t>
  </si>
  <si>
    <t>4836e5c6-9b17-29b0-d3ab-a008f8bd0536</t>
  </si>
  <si>
    <t>Nine Clearings for a Standing Man</t>
  </si>
  <si>
    <t>0db16356-9738-8be5-d383-598bfb8d6efe</t>
  </si>
  <si>
    <t>Waterloo Bridge, Sunlight Effect</t>
  </si>
  <si>
    <t>827d02ef-6765-9728-c07e-52ad22b73fd3</t>
  </si>
  <si>
    <t>Untitled No. 2</t>
  </si>
  <si>
    <t>Semele or Fireflies</t>
  </si>
  <si>
    <t>e474f7cf-2e39-1de2-3fd3-ccb6b84c78f2</t>
  </si>
  <si>
    <t>Sean Scully</t>
  </si>
  <si>
    <t>Hilly Landscape with River</t>
  </si>
  <si>
    <t>Watercolor, with pen and black ink, with scraping, on cream laid paper, laminated on cream wove card</t>
  </si>
  <si>
    <t>Henri Joseph Harpignies</t>
  </si>
  <si>
    <t>d15f17db-c40a-55a3-c9a7-9989116e17f9</t>
  </si>
  <si>
    <t>Untitled (Four Family Portraits)</t>
  </si>
  <si>
    <t>Lana Turner with Her Own Eyebrows Before Schrafft's Drug Store</t>
  </si>
  <si>
    <t>Acrylic on linen</t>
  </si>
  <si>
    <t>5dc8a56d-fae6-9b85-645e-4e77b33e307b</t>
  </si>
  <si>
    <t>9dc9ac25-4c42-4c5d-1f1a-8c455e815fe2</t>
  </si>
  <si>
    <t>Weeping Peeble East Side Sirrea Range Nevada</t>
  </si>
  <si>
    <t>9fe40e3a-4d2d-6a19-ae3b-765593992ad5</t>
  </si>
  <si>
    <t>The Presentation in the Temple</t>
  </si>
  <si>
    <t>Gouache and tempera, over graphite and pen and black ink, on Dataprint</t>
  </si>
  <si>
    <t>Gordon Powell</t>
  </si>
  <si>
    <t>53b7ca27-1f96-754d-c12c-ea55956cc7be</t>
  </si>
  <si>
    <t>The Poetess Ono no Komachi</t>
  </si>
  <si>
    <t>3cfe2f71-c14b-4101-d9e4-6604d4048317</t>
  </si>
  <si>
    <t>Conversation in Studio</t>
  </si>
  <si>
    <t>1370e04c-dfbe-f71e-3a78-4e26459736ce</t>
  </si>
  <si>
    <t>Untitled (Rites of Spring)</t>
  </si>
  <si>
    <t>Tempera, and gold and silver leaf on incised, gessoed panel</t>
  </si>
  <si>
    <t>Charles Prendergast</t>
  </si>
  <si>
    <t>40776097-7f12-0fdb-a9a3-eb9e03514a21</t>
  </si>
  <si>
    <t>Pieter Dubordieu</t>
  </si>
  <si>
    <t>5372920d-7536-64ec-bf48-264e084635f8</t>
  </si>
  <si>
    <t>L'autophage (Fulgurites)</t>
  </si>
  <si>
    <t>Oil with smoke on cardboard laid down on wood</t>
  </si>
  <si>
    <t>50a91e0a-249a-3297-687f-0c276dfdfbca</t>
  </si>
  <si>
    <t>The Drawing Class</t>
  </si>
  <si>
    <t>Nicole Eisenman</t>
  </si>
  <si>
    <t>19911e07-f330-9337-26c6-982dc74f1422</t>
  </si>
  <si>
    <t>Pen and black and gray ink, brush and black ink, and watercolor on ivory wove paper</t>
  </si>
  <si>
    <t>Jimmy Wright</t>
  </si>
  <si>
    <t>f067b5cc-8adf-d4bb-4c1c-1b0cb69c503f</t>
  </si>
  <si>
    <t>Circum I</t>
  </si>
  <si>
    <t>Acrylic resin on canvas</t>
  </si>
  <si>
    <t>Morris Louis</t>
  </si>
  <si>
    <t>ed869938-e4b7-d368-65e4-e52b399c9429</t>
  </si>
  <si>
    <t>One Thing Leads to Another</t>
  </si>
  <si>
    <t>Collage and acrylic on canvas</t>
  </si>
  <si>
    <t>Ralph Arnold</t>
  </si>
  <si>
    <t>8a0b8ff3-f249-2623-e471-4e45b273f78e</t>
  </si>
  <si>
    <t>Short Circuit</t>
  </si>
  <si>
    <t>Oil, fabric, notebook paper, postcard, printed reproductions, concert program, and autograph on canvas, wood supports, and cabinets with paintings
by Susan Weil and Elaine Sturtevant</t>
  </si>
  <si>
    <t>42f73a1b-0653-0cc2-f35f-bc92cf40c5ba</t>
  </si>
  <si>
    <t>The Fountain at Grottaferrata</t>
  </si>
  <si>
    <t>cbd38483-e626-7a2e-9615-239e359f9e50</t>
  </si>
  <si>
    <t>Landscape with Hunters</t>
  </si>
  <si>
    <t>Paul Bril</t>
  </si>
  <si>
    <t>d586d528-72f0-69d4-cf6a-a48fbf2293e3</t>
  </si>
  <si>
    <t>Watercolor on ivory watercolor paper</t>
  </si>
  <si>
    <t>Florescence</t>
  </si>
  <si>
    <t>Silverpoint and watercolor on ivory wove paper, prepared with white casein ground</t>
  </si>
  <si>
    <t>c5388802-b60a-13d5-931c-797fbcab1c9e</t>
  </si>
  <si>
    <t>Aqua Tower model</t>
  </si>
  <si>
    <t>Acrylic</t>
  </si>
  <si>
    <t>0c26d70e-40f4-1795-9027-f39f27464236</t>
  </si>
  <si>
    <t>Thirst</t>
  </si>
  <si>
    <t>Oil with charcoal or chalk on canvas</t>
  </si>
  <si>
    <t>9b978986-b3c3-18b1-539e-7df8d0949fab</t>
  </si>
  <si>
    <t>Miyoko Ito</t>
  </si>
  <si>
    <t>Untitled, from Insect Series</t>
  </si>
  <si>
    <t>Michael Hopkins</t>
  </si>
  <si>
    <t>eb5ec52a-d6ac-7d7c-9a40-388f177e4e7f</t>
  </si>
  <si>
    <t>Kimber Smith</t>
  </si>
  <si>
    <t>536692c3-b9ca-f82b-19f7-7bce6d774886</t>
  </si>
  <si>
    <t>Slender Woman with Vase</t>
  </si>
  <si>
    <t>2479fd9c-a90e-2f5a-b418-6ed505ab2bb9</t>
  </si>
  <si>
    <t>EverGreen</t>
  </si>
  <si>
    <t>fdf64a41-e5c0-ce65-c75b-9cbb7f938abf</t>
  </si>
  <si>
    <t>(Winter) Pine</t>
  </si>
  <si>
    <t>34526d2b-f602-091f-8dff-03b215396c0b</t>
  </si>
  <si>
    <t>Summer Night at Abingdon</t>
  </si>
  <si>
    <t>Watercolor on ivory wove paper, tipped onto cream wove card</t>
  </si>
  <si>
    <t>2efe1d81-9222-3777-07e9-cd328151db23</t>
  </si>
  <si>
    <t>Gouache on cream laid paper, discolored to tan</t>
  </si>
  <si>
    <t>c086c0b7-14c0-54c0-2fee-168e0b9206d6</t>
  </si>
  <si>
    <t>Portrait of Theodore Roussel</t>
  </si>
  <si>
    <t>Brush and brown watercolor on cream wove paper</t>
  </si>
  <si>
    <t>Raphael Roussel</t>
  </si>
  <si>
    <t>be3a0712-fed2-c29f-f03d-87c08d2cfe79</t>
  </si>
  <si>
    <t>Gouache and watercolor, with acrylic over graphite, on cream wove paper</t>
  </si>
  <si>
    <t>03b6b5aa-c8fc-59e3-dfe9-4eef056b1727</t>
  </si>
  <si>
    <t>The Conversation</t>
  </si>
  <si>
    <t>666a3ad1-e489-1d4d-7dd9-6a0eae1cb593</t>
  </si>
  <si>
    <t>Road in Peoria</t>
  </si>
  <si>
    <t>Gouache, with pen and black ink, watercolor, and traces of red crayon, on cream wove paper</t>
  </si>
  <si>
    <t>a37c8193-781c-8bea-30d0-c523211524dc</t>
  </si>
  <si>
    <t>The Hand Organ, Cadiz</t>
  </si>
  <si>
    <t>Gouache on gray wove paper, laid down on tan wove paper, laid down on cream wood-pulp laminate board</t>
  </si>
  <si>
    <t>Isaak Grunewald</t>
  </si>
  <si>
    <t>e1c8cff6-e1ae-7b63-4a44-21e93402f1b5</t>
  </si>
  <si>
    <t>The Beach of Les Grands Sables at Le Pouldu</t>
  </si>
  <si>
    <t>ef637785-df55-adaf-b907-e3e8f59f08d6</t>
  </si>
  <si>
    <t>The Church at Les Arcs, Var, Provence</t>
  </si>
  <si>
    <t>Pen and black ink and watercolor on cream bristol board, laid down on tan board</t>
  </si>
  <si>
    <t>1497a21e-0b13-e10f-a23f-d4d083a1fbce</t>
  </si>
  <si>
    <t>Desert Forms</t>
  </si>
  <si>
    <t>Hughie Lee-Smith</t>
  </si>
  <si>
    <t>6c26e83f-0203-4acc-4b34-edcf38b80d4a</t>
  </si>
  <si>
    <t>Adam Elsheimer</t>
  </si>
  <si>
    <t>50fdb185-fb4f-dad3-ed35-0add5467c780</t>
  </si>
  <si>
    <t>Opaque watercolor, over traces of graphite, with attached registration marks, on cream wove board</t>
  </si>
  <si>
    <t>Kenneth Stuart</t>
  </si>
  <si>
    <t>dd3eb49c-23e7-519d-ce23-f482569662b2</t>
  </si>
  <si>
    <t>Untitled, Paris, March 1937</t>
  </si>
  <si>
    <t>Charles Joseph Biederman</t>
  </si>
  <si>
    <t>4ddc34e7-f9cf-5535-a668-090bc18ce23d</t>
  </si>
  <si>
    <t>Pastoral Scene with a Shepherdess Milking a Goat</t>
  </si>
  <si>
    <t>4cf54b0c-c643-20c7-b0a4-68bc4b7626d9</t>
  </si>
  <si>
    <t>Sweet Oblivion</t>
  </si>
  <si>
    <t>Martin Wong</t>
  </si>
  <si>
    <t>f8a920db-43ec-b0ab-db90-84f2b17085f5</t>
  </si>
  <si>
    <t>Untitled Drawing for Frame Cartouche (Salamander)</t>
  </si>
  <si>
    <t>Brush and black ink, gold metallic ink, and watercolor on semi-transparent tan wove paper</t>
  </si>
  <si>
    <t>b063ef12-0078-3adc-bbc7-a9892eb0d37f</t>
  </si>
  <si>
    <t>Christoffer Wilhelm Eckersberg</t>
  </si>
  <si>
    <t>Watercolor and touches of gouache, heightened with gum varnish, over traces of graphite, on tan wove paper</t>
  </si>
  <si>
    <t>201b1215-d2c3-4eeb-f572-9bccdbd1d37e</t>
  </si>
  <si>
    <t>The Circumcision</t>
  </si>
  <si>
    <t>In a Railway Carriage (After a Night's Journey)</t>
  </si>
  <si>
    <t>Gouache, with touches of pastel and oil paint, on cream wove paper, laid down on Japanese paper</t>
  </si>
  <si>
    <t>ad73c788-4259-ebbd-45e8-2e185bbb43bd</t>
  </si>
  <si>
    <t>Lights of Other Days</t>
  </si>
  <si>
    <t>John Frederick Peto</t>
  </si>
  <si>
    <t>438fbefa-e576-bd5f-983f-1c9626cd4a60</t>
  </si>
  <si>
    <t>Nevada Falls, Yosemite Valley, California</t>
  </si>
  <si>
    <t>Watercolor, over graphite, on off-white wove paper</t>
  </si>
  <si>
    <t>f40158c9-e284-e328-be6c-a25b433c1e1c</t>
  </si>
  <si>
    <t>Cremona</t>
  </si>
  <si>
    <t>Watercolor and graphite on cream wove paper, ruled in black ink</t>
  </si>
  <si>
    <t>Uberto Bonetti</t>
  </si>
  <si>
    <t>5f020057-8263-579e-16fb-c26e695ba4d6</t>
  </si>
  <si>
    <t>5d3de478-4e2b-d40f-cb92-98e8bde13912</t>
  </si>
  <si>
    <t>Kitchen Scene</t>
  </si>
  <si>
    <t>Noah Smith</t>
  </si>
  <si>
    <t>Ralph Earl</t>
  </si>
  <si>
    <t>59bf5216-383d-c2d4-912a-f8cfcbdaa55a</t>
  </si>
  <si>
    <t>Andrene Kauffman</t>
  </si>
  <si>
    <t>Emile Jacques Grumieaux</t>
  </si>
  <si>
    <t>Harry Mintz</t>
  </si>
  <si>
    <t>City Scene with Nuns</t>
  </si>
  <si>
    <t>Robert William Addison</t>
  </si>
  <si>
    <t>92aa7957-5a52-7466-47c1-b4fe1f721eb5</t>
  </si>
  <si>
    <t>Classical Study #41</t>
  </si>
  <si>
    <t>044dee02-83cf-ba08-3c03-a593096a3086</t>
  </si>
  <si>
    <t>The Wedding at Cana</t>
  </si>
  <si>
    <t>0b0b5c15-0633-376b-278e-2660f09b582a</t>
  </si>
  <si>
    <t>b07c2b88-f2a2-4d0a-e401-ebf8d7928373</t>
  </si>
  <si>
    <t>Portrait of Fridrich Rorbach</t>
  </si>
  <si>
    <t>Conrad Faber</t>
  </si>
  <si>
    <t>26ac1e6d-e547-0d9d-707b-7cec76babb60</t>
  </si>
  <si>
    <t>6b2e856f-01c4-1f23-4ded-79c2398c2c6b</t>
  </si>
  <si>
    <t>Young Clergyman Reading</t>
  </si>
  <si>
    <t>Martinus RÃ¸rbye</t>
  </si>
  <si>
    <t>462bae40-e526-294c-4639-a3c360dfa94e</t>
  </si>
  <si>
    <t>Pieter Claesz</t>
  </si>
  <si>
    <t>8ad05eb4-13ce-0421-4cb2-05046bfbde4d</t>
  </si>
  <si>
    <t>John Thomlinson and His Family</t>
  </si>
  <si>
    <t>Arthur Devis</t>
  </si>
  <si>
    <t>e8a4e4ed-13cf-901a-adc9-4a0e9bc47424</t>
  </si>
  <si>
    <t>Femme a la Cruche-une Orientale</t>
  </si>
  <si>
    <t>George Kars</t>
  </si>
  <si>
    <t>3aa93fcf-ff26-346c-796f-db89e86af84f</t>
  </si>
  <si>
    <t>The Tavern "La Belle Gabrielle"</t>
  </si>
  <si>
    <t>60282225-c95e-e807-4190-b732f7ff176a</t>
  </si>
  <si>
    <t>Near Pontoise</t>
  </si>
  <si>
    <t>5d0da1da-57b7-729c-352e-cc738d3871af</t>
  </si>
  <si>
    <t>d388928f-3222-b48c-1cbb-7afa917de928</t>
  </si>
  <si>
    <t>b2fd6a58-022e-4c80-8851-07e940f73cc7</t>
  </si>
  <si>
    <t>Pen and brown ink with brush and watercolor, over graphite, on tan wove paper</t>
  </si>
  <si>
    <t>1eb334a4-a948-58e4-62ab-ad2b7ee1ae56</t>
  </si>
  <si>
    <t>Passing Through the Opposite of What It Approaches, Chapter 25</t>
  </si>
  <si>
    <t>Acrylic, silk-screened tempera, gesso on wood</t>
  </si>
  <si>
    <t>R. H.  Quaytman</t>
  </si>
  <si>
    <t>f9d41d25-619e-1ae6-1cbc-ea56c858cc4d</t>
  </si>
  <si>
    <t>Ale House</t>
  </si>
  <si>
    <t>Pen and red and brown ink with brush and watercolor, on ivory wove paper</t>
  </si>
  <si>
    <t>1716b394-020d-a3f9-c402-bb7e16efd724</t>
  </si>
  <si>
    <t>Table of Bigamy, from the Summa Super Titulis Decretalium Completa</t>
  </si>
  <si>
    <t>Manuscript cutting in tempera and gold leaf, with gothic book hand inscriptions in Latin in pen and dark brown ink, with red and blue ink headers, ruled in graphite, on parchment</t>
  </si>
  <si>
    <t>Henry of Segusio</t>
  </si>
  <si>
    <t>e67d1ada-72dc-3e57-a0ec-3c147093d5fe</t>
  </si>
  <si>
    <t>Launcetown Cornwall</t>
  </si>
  <si>
    <t>Pen and brown ink with brush and watercolor, over graphite, on cream wove paper, laid down on card</t>
  </si>
  <si>
    <t>cfe002be-b3fb-623b-ed62-edfe054c1984</t>
  </si>
  <si>
    <t>St. Cullum's, Cornwall</t>
  </si>
  <si>
    <t>Pen and brown ink with brush and watercolor, over graphite, on ivory wove paper, laid down on board</t>
  </si>
  <si>
    <t>a591a9c5-ac4b-7af0-91b3-1b9fc8dc4837</t>
  </si>
  <si>
    <t>Three-dimensional assemblage of figures drawn in pen and black ink, watercolor and gouache, cut from ivory wove paper and glued to wooden armatures, and miniature plastic decorative objects, against a background of etched and cut ivory wove paper elements with watercolor and touches of gouache, arranged in a gold frame backed with marbled paper</t>
  </si>
  <si>
    <t>9157298c-a74a-351d-ba7f-4a52aeb79c39</t>
  </si>
  <si>
    <t>Three-dimensional assemblage of figures drawn in pen and black ink, watercolor and gouache, cut from ivory wove paper and glued to wooden armatures, against a background of etched and cut ivory wove paper elements with watercolor and touches of gouache, arranged in a gold frame backed with marbled paper</t>
  </si>
  <si>
    <t>4ee1d0a1-010c-3df3-00da-41d7fa9882b9</t>
  </si>
  <si>
    <t>Three-dimensional collage of etched and cut ivory wove paper elements, with watercolor and touches of gouache, assembled in a gold frame with a mirrored mat</t>
  </si>
  <si>
    <t>2c7dd7c8-10de-9e87-16c8-da771ae58e34</t>
  </si>
  <si>
    <t>The Trogens</t>
  </si>
  <si>
    <t>Acrylic on Plexiglas, in artist's painted frame</t>
  </si>
  <si>
    <t>7bfe4927-e6a5-ef32-c16f-faf89c8ac980</t>
  </si>
  <si>
    <t>Reflections in Space</t>
  </si>
  <si>
    <t>Composite object comprised of brush and black acrylic paint on two mirrors, adhered to tan Japanese paper, with brush and watercolor and torn and collaged paper elements, laid down on board, in a brown frame, with aluminum tape elements adhered to the glass</t>
  </si>
  <si>
    <t>a7d62496-f637-537c-4e8e-ff1bbb476583</t>
  </si>
  <si>
    <t>Stanley St. Leonard Church, Gloucestershire</t>
  </si>
  <si>
    <t>Pen and brown ink with brush and watercolor, over traces of graphite, on cream wove paper, partially laid down</t>
  </si>
  <si>
    <t>f022e04a-80d8-948e-6ea9-a71682aae7dd</t>
  </si>
  <si>
    <t>Demolition of Old Houses to the North of Westminster Abbey</t>
  </si>
  <si>
    <t>Pen and brown ink with brush and watercolor, over traces of graphite, on tan wove paper, laid down on card</t>
  </si>
  <si>
    <t>ded36a7a-925c-781e-4385-6e9c3d9b98fa</t>
  </si>
  <si>
    <t>Deposition (after Antonio Canova)</t>
  </si>
  <si>
    <t>Bernardino Nocchi</t>
  </si>
  <si>
    <t>7803e1de-cf41-a23e-4025-0e6fd5d41729</t>
  </si>
  <si>
    <t>Limehouse Reach</t>
  </si>
  <si>
    <t>fe2dbc62-96ec-d923-9aee-09b909b7d6f3</t>
  </si>
  <si>
    <t>Max Herman Maxy</t>
  </si>
  <si>
    <t>3f3d618f-df66-eeed-5733-6633f001d9d0</t>
  </si>
  <si>
    <t>Alms House of Tottenham</t>
  </si>
  <si>
    <t>Pen and brown ink with brush and watercolor, over graphite, on cream wove paper</t>
  </si>
  <si>
    <t>52c1dde5-a513-1ef0-aa30-be2e47b89011</t>
  </si>
  <si>
    <t>Boat Builders</t>
  </si>
  <si>
    <t>d380a5eb-e90b-1d5a-6476-132d9252cb17</t>
  </si>
  <si>
    <t>Landscape with Figure, from an album of Landscapes and Calligraphy for Liu Songfu</t>
  </si>
  <si>
    <t>Album of 25 leaves; ink and light color on paper</t>
  </si>
  <si>
    <t>Xugu</t>
  </si>
  <si>
    <t>b9152741-e97a-d51d-6dc3-6769f042089a</t>
  </si>
  <si>
    <t>Landscapes for Liu Songfu å±±æ°´å†Œé¡µ</t>
  </si>
  <si>
    <t>27666ca0-d8a7-e5a2-de53-12a274c9d562</t>
  </si>
  <si>
    <t>A Scene in Cornwall</t>
  </si>
  <si>
    <t>Pen and brown ink with brush and watercolor, over graphite, on cream wove paper, laid down on board</t>
  </si>
  <si>
    <t>43f32e22-227b-9419-8663-423bea833719</t>
  </si>
  <si>
    <t>Landscapes for Liu Songfu</t>
  </si>
  <si>
    <t>cbccdb03-29ff-95bd-1176-ed9581359baa</t>
  </si>
  <si>
    <t>039e38ae-2244-6da0-f0fa-78c7b63d5b99</t>
  </si>
  <si>
    <t>Landscape and Figure, from an album of Landscapes and Calligraphy for Liu Songfu å±±æ°´å†Œé¡µ</t>
  </si>
  <si>
    <t>8547debb-b333-113a-38f5-0151982d48a2</t>
  </si>
  <si>
    <t>bf68fe6b-dec1-f53c-8da8-814c8ac79e99</t>
  </si>
  <si>
    <t>12d5b271-863a-2072-3c2c-b70954e4c98a</t>
  </si>
  <si>
    <t>Postcart Monks and Women Near Church Door</t>
  </si>
  <si>
    <t>Pen and gray and brown ink, with brush and watercolor, over traces of graphite, on tan wove paper, laid down on card</t>
  </si>
  <si>
    <t>c47e06bd-564e-5c98-196f-d8b3cc611af0</t>
  </si>
  <si>
    <t>Dover Coach</t>
  </si>
  <si>
    <t>Pen and brown ink with brush and watercolor, on ivory wove paper</t>
  </si>
  <si>
    <t>3bdac064-fedf-b875-708a-4a7a0f895b0a</t>
  </si>
  <si>
    <t>Post House in Cologne</t>
  </si>
  <si>
    <t>Pen and gray and brown ink with brush and watercolor, over traces of graphite, on tan wove paper, laid down on card</t>
  </si>
  <si>
    <t>9bc3fdd3-32e7-7a1d-e98d-2f2827bc51b1</t>
  </si>
  <si>
    <t>View of Prizes Taken by Lord Howe Coming in Portsmouth</t>
  </si>
  <si>
    <t>Pen and gray and brown ink with brush and watercolor, over traces of graphite, on ivory wove paper, laid down on ivory wove paper</t>
  </si>
  <si>
    <t>3df946c2-c283-4993-2d88-b255599ea957</t>
  </si>
  <si>
    <t>A View on the Thames</t>
  </si>
  <si>
    <t>Pen and brown ink with brush and watercolor, over traces of graphite, on ivory wove paper</t>
  </si>
  <si>
    <t>4a7690ef-e612-56b5-1323-e055063008d0</t>
  </si>
  <si>
    <t>Antonio Maria Esquivel</t>
  </si>
  <si>
    <t>371ba960-c86a-ec5b-d5aa-40b510917c4c</t>
  </si>
  <si>
    <t>Portrait of a Man in a Red Cap</t>
  </si>
  <si>
    <t>629e6e88-5776-8ba5-e49f-fda92cdbac93</t>
  </si>
  <si>
    <t>Portrait of Hope Abelson</t>
  </si>
  <si>
    <t>783829fd-b6f7-d9ca-503f-14e6ad5ce0f7</t>
  </si>
  <si>
    <t>Flying Vulture</t>
  </si>
  <si>
    <t>3c306382-b034-90ab-88d9-d5ccc0515d46</t>
  </si>
  <si>
    <t>Job</t>
  </si>
  <si>
    <t>Pratham Milan, Shrinathji revealing himself to Vallabhacharya on Mount Govardhan</t>
  </si>
  <si>
    <t>Opaque watercolor with ink and gold on paper</t>
  </si>
  <si>
    <t>c287089b-c740-d7ed-451a-b9b84b80d9ef</t>
  </si>
  <si>
    <t>Mass Tone: Manganese Blue</t>
  </si>
  <si>
    <t>Marcia Hafif</t>
  </si>
  <si>
    <t>9c12c0d0-669f-ab3f-fad0-630b0cdaf1c2</t>
  </si>
  <si>
    <t>Gutai group</t>
  </si>
  <si>
    <t>Approaching Storm</t>
  </si>
  <si>
    <t>Saint Francis Kneeling in Meditation</t>
  </si>
  <si>
    <t>b703b636-976c-b35b-8a8e-f8df3f5ba003</t>
  </si>
  <si>
    <t>Georges Michel</t>
  </si>
  <si>
    <t>ff7cae53-a6f6-9965-70e9-7e264ead9265</t>
  </si>
  <si>
    <t>68452725-eba5-06e3-46d2-50c678a5d672</t>
  </si>
  <si>
    <t>5f5b4009-7e1c-2e07-8b3e-ae59a3cf9c4c</t>
  </si>
  <si>
    <t>The Waterfall</t>
  </si>
  <si>
    <t>Helen</t>
  </si>
  <si>
    <t>GÃ¼nther FÃ¶rg</t>
  </si>
  <si>
    <t>B Movie</t>
  </si>
  <si>
    <t>Pen and brush and black ink and graphite with wiping, smudging and erasing, with colored crayon, watercolor, rubber stamp in gray ink, and gummed registration crosses, ruled in graphite, on two sheets of ivory wove paper, pieced</t>
  </si>
  <si>
    <t>a38e768f-0746-f8c5-3a2a-1e54ccc2ee80</t>
  </si>
  <si>
    <t>Pen and brush and black ink, with watercolor and graphite on four sheets of ivory or wove paper, cut and adhered to ivory paperboard</t>
  </si>
  <si>
    <t>809fbed6-c363-c5c2-209a-063e5ffdafc7</t>
  </si>
  <si>
    <t>Untitled (Collage with Photos, Ticket Stubs, and Hotel Bill)</t>
  </si>
  <si>
    <t>Collage of cut-and-pasted various commercially printed papers, graphite on tan wove papers, and watercolor on off-white wove paper, selectively varnished and found paper items, and on off-white paperboard with graphite and pen and brush and black ink</t>
  </si>
  <si>
    <t>070c9b44-4835-03c8-d24e-054cfce0c10d</t>
  </si>
  <si>
    <t>Utopia</t>
  </si>
  <si>
    <t>Collage of cut-and-pasted paper, with pen and black ink, black crayon, graphite, watercolor, colored pencil, and rubber stamps in black ink, on ivory wove paper</t>
  </si>
  <si>
    <t>7ca9e2e6-097c-5d79-e1fa-63b21f2b295f</t>
  </si>
  <si>
    <t>Acrylic on lead</t>
  </si>
  <si>
    <t>9c0ac368-7780-4b8c-5ec4-53e7b3bfb23f</t>
  </si>
  <si>
    <t>0f35a52a-c27c-0145-9d20-3e55e6280939</t>
  </si>
  <si>
    <t>6bb2e167-114d-f018-aab0-e4cf57af0392</t>
  </si>
  <si>
    <t>cef09fa1-d430-c967-71ef-3ff25696ef2f</t>
  </si>
  <si>
    <t>Study of Rocks in Pearson's Ravine</t>
  </si>
  <si>
    <t>Hudson River School</t>
  </si>
  <si>
    <t>9223818e-8eb8-740c-28ba-7c4c75acc3d5</t>
  </si>
  <si>
    <t>The Shepherd</t>
  </si>
  <si>
    <t>Mrs. Martin A. Ryerson</t>
  </si>
  <si>
    <t>03304fc8-677c-d26a-bedd-e113e81de216</t>
  </si>
  <si>
    <t>Study of a Child</t>
  </si>
  <si>
    <t>32a9860e-c6c4-58ec-128f-3cdaf285e216</t>
  </si>
  <si>
    <t>Water Carriers on the Nile</t>
  </si>
  <si>
    <t>ffcef98d-6d38-dc75-65e6-cdff009f883c</t>
  </si>
  <si>
    <t>Ladies at Tea in A Garden</t>
  </si>
  <si>
    <t>f69aea11-804f-4ff8-c64b-f5bb9ea54092</t>
  </si>
  <si>
    <t>I.O.U.</t>
  </si>
  <si>
    <t>a27f51e4-f9bd-d1d8-11bf-6e09c875a61e</t>
  </si>
  <si>
    <t>Acrylic and silkscreen ink on canvas</t>
  </si>
  <si>
    <t>21b72cfc-bc23-8eb3-8ed9-66102a887245</t>
  </si>
  <si>
    <t>American Horizon</t>
  </si>
  <si>
    <t>4690a926-8782-d904-27ee-e38b400f7c87</t>
  </si>
  <si>
    <t>Lions on the Dreyfus Fund III</t>
  </si>
  <si>
    <t>Oil and paper on canvas</t>
  </si>
  <si>
    <t>a6d689d2-7cab-97ab-8a11-60eabe9870cc</t>
  </si>
  <si>
    <t>Claudine Resting</t>
  </si>
  <si>
    <t>d312bfce-3a61-223e-1591-903fc0f64e42</t>
  </si>
  <si>
    <t>Hermine David</t>
  </si>
  <si>
    <t>36d829a6-b07a-d84b-5774-02763512d73f</t>
  </si>
  <si>
    <t>a7638f95-22e3-5fff-8605-49fd6d8aac79</t>
  </si>
  <si>
    <t>Les Oies</t>
  </si>
  <si>
    <t>Theodor Esbern Philipsen</t>
  </si>
  <si>
    <t>3a3c9e9e-5d5d-caf5-017a-99fcc52367d0</t>
  </si>
  <si>
    <t>Walter Ufer</t>
  </si>
  <si>
    <t>Caroline</t>
  </si>
  <si>
    <t>08feb924-b4eb-1545-0315-0b20387d3490</t>
  </si>
  <si>
    <t>Genuflection of the Bishop</t>
  </si>
  <si>
    <t>01900a3b-01ca-22cb-f7bd-6c21697a6063</t>
  </si>
  <si>
    <t>L'Improviste</t>
  </si>
  <si>
    <t>Oil on board and wood</t>
  </si>
  <si>
    <t>Oscar DomÃ­nguez</t>
  </si>
  <si>
    <t>1fd97c28-d57f-df6a-52ef-d01bc50097d2</t>
  </si>
  <si>
    <t>The Wife of Domenico da Gambassi</t>
  </si>
  <si>
    <t>5d50e0e5-db32-4e02-eef7-6fbbae018d44</t>
  </si>
  <si>
    <t>The Big Red Ball</t>
  </si>
  <si>
    <t>e01b5848-1858-a8b1-f2e6-1c3fea783b63</t>
  </si>
  <si>
    <t>Piet Niet</t>
  </si>
  <si>
    <t>Bas Jan Ader</t>
  </si>
  <si>
    <t>a0470332-0caa-8264-ca8c-32aa0d209da9</t>
  </si>
  <si>
    <t>Collage of color monotypes on a variety of cut and pasted wove papers, with monotype and pen and red ink on ivory wove handmade paper, prepared with watercolor washes</t>
  </si>
  <si>
    <t>Hannelore Baron</t>
  </si>
  <si>
    <t>a8eb277e-8f56-962c-4ad2-e63ffe5594f6</t>
  </si>
  <si>
    <t>Monotype in brown and pen and brown and red ink, with printed fabric collage element, on ivory wove handmade paper, prepared with watercolor washes</t>
  </si>
  <si>
    <t>ad2150e9-d6e4-0a6e-7335-4517901a9cdc</t>
  </si>
  <si>
    <t>Henri Michaux</t>
  </si>
  <si>
    <t>67-F 13</t>
  </si>
  <si>
    <t>Spray paint on canvas</t>
  </si>
  <si>
    <t>c30c5c12-f011-3fd8-71b9-3681577c24c2</t>
  </si>
  <si>
    <t>5350d93b-d1b1-e315-7bf6-a71f67384624</t>
  </si>
  <si>
    <t>Celery Garden, Lexington</t>
  </si>
  <si>
    <t>Watercolor and gouache, over graphite, on watercolor paper</t>
  </si>
  <si>
    <t>149dcab2-5cad-be1f-e317-b154b220cf91</t>
  </si>
  <si>
    <t>The White Goat</t>
  </si>
  <si>
    <t>Watercolor and pen and black ink, over graphite, on cream wove paper</t>
  </si>
  <si>
    <t>Antonio Gattorno</t>
  </si>
  <si>
    <t>ba591090-dc73-4db5-c105-47638b4e2f99</t>
  </si>
  <si>
    <t>SaitÅ Yoshishige</t>
  </si>
  <si>
    <t>Blue and Gold</t>
  </si>
  <si>
    <t>Gold leaf over gesso on blue fabric</t>
  </si>
  <si>
    <t>Desmond Lazaro</t>
  </si>
  <si>
    <t>9f80e6de-296b-1d35-3e97-2a01998b9b63</t>
  </si>
  <si>
    <t>Melville</t>
  </si>
  <si>
    <t>c9036684-3440-d6ff-55bc-8e2cf9faa5a8</t>
  </si>
  <si>
    <t>The Golden Zero</t>
  </si>
  <si>
    <t>44e4895f-e6c4-9eaa-c852-a4d448042114</t>
  </si>
  <si>
    <t>Overrun</t>
  </si>
  <si>
    <t>Dan Walsh</t>
  </si>
  <si>
    <t>eec3082f-c6ad-ff4d-d2de-2e4e28e1b876</t>
  </si>
  <si>
    <t>Painting 62</t>
  </si>
  <si>
    <t>Manolo Millares</t>
  </si>
  <si>
    <t>67086475-646c-8dbf-9730-a3cdea22e9b3</t>
  </si>
  <si>
    <t>La MadrileÃ±ita</t>
  </si>
  <si>
    <t>35188a38-1c1d-22e1-aea1-0c5d9f66aaf2</t>
  </si>
  <si>
    <t>Piercing the Stars</t>
  </si>
  <si>
    <t>f631838f-3c9a-86fb-c8fe-6f6d945ad47b</t>
  </si>
  <si>
    <t>Quodlibet XXXII</t>
  </si>
  <si>
    <t>Lucy McKenzie</t>
  </si>
  <si>
    <t>a2a20b85-04ba-8cc9-3453-88077d7189a2</t>
  </si>
  <si>
    <t>Buzz Spector</t>
  </si>
  <si>
    <t>Interventionist Demonstration (Why-A-Duck?)</t>
  </si>
  <si>
    <t>Acrylic and spray paint on linen</t>
  </si>
  <si>
    <t>Charline von Heyl</t>
  </si>
  <si>
    <t>88fd4c7e-c0c3-3c95-48f0-6d61c57c76e1</t>
  </si>
  <si>
    <t>Portrait of the Architect Giuseppe Valadier</t>
  </si>
  <si>
    <t>Pietro Labruzzi</t>
  </si>
  <si>
    <t>8b35cbd2-6947-81e4-47db-d9ee0808be41</t>
  </si>
  <si>
    <t>Virgin and Child with a Female Saint in a Landscape</t>
  </si>
  <si>
    <t>Tempera and oil on panel (poplar)</t>
  </si>
  <si>
    <t>Vincenzo di Biagio Catena</t>
  </si>
  <si>
    <t>994f0c8f-9f9f-0031-79bb-dc35431c977e</t>
  </si>
  <si>
    <t>9fada888-1c76-246a-599b-8c5f53f6ce4e</t>
  </si>
  <si>
    <t>Homesickness</t>
  </si>
  <si>
    <t>Watercolor and gouache, over touches of graphite, on cream wove paper</t>
  </si>
  <si>
    <t>0366abf0-fb3c-4631-71f5-e2574b31de9e</t>
  </si>
  <si>
    <t>Southampton Water</t>
  </si>
  <si>
    <t>Watercolor and opaque watercolor on cream wove paper</t>
  </si>
  <si>
    <t>2233093c-3a03-5e51-c709-eae4611d7cca</t>
  </si>
  <si>
    <t>Mixed media on canvas</t>
  </si>
  <si>
    <t>Horsemen of the Apocalypse</t>
  </si>
  <si>
    <t>Carlo CarrÃ </t>
  </si>
  <si>
    <t>f69a2175-8425-3868-aaf3-eec6f83230ce</t>
  </si>
  <si>
    <t>Thar</t>
  </si>
  <si>
    <t>Gouache on gray wove paper</t>
  </si>
  <si>
    <t>ea332d81-eced-a26c-29ef-47b751fb8855</t>
  </si>
  <si>
    <t>William Scott</t>
  </si>
  <si>
    <t>Eze</t>
  </si>
  <si>
    <t>Brush and gray wash and graphite, with touches of red watercolor, on cream (discolored to tan) wove paper</t>
  </si>
  <si>
    <t>Allan McNab</t>
  </si>
  <si>
    <t>a2b1cbe5-ae42-d39d-3f0d-54f540ebefe4</t>
  </si>
  <si>
    <t>Kiss of the Butterfly VI</t>
  </si>
  <si>
    <t>Basil Alkazzi</t>
  </si>
  <si>
    <t>0441abb0-97e0-ed24-c5b2-cc29085cf09e</t>
  </si>
  <si>
    <t>Sunrise, plate one from Constellations</t>
  </si>
  <si>
    <t>Pochoir on paper</t>
  </si>
  <si>
    <t>Daniel Jacomet</t>
  </si>
  <si>
    <t>aaaccf49-2a0c-b315-6b01-86081acabc72</t>
  </si>
  <si>
    <t>Escape Ladder, plate two from Constellations</t>
  </si>
  <si>
    <t>2279b206-3d93-427c-36dc-94db5badde99</t>
  </si>
  <si>
    <t>Characters in the Night Guided by the Phosphorescent Tracks of Snails, plate three from Constellations</t>
  </si>
  <si>
    <t>9f0aee0a-b495-7a95-f04c-dbeb9c0ed4ff</t>
  </si>
  <si>
    <t>Women on the Beach, plate four from Constellations</t>
  </si>
  <si>
    <t>3ac2fe61-2dfe-183b-250a-ea66deff483d</t>
  </si>
  <si>
    <t>Woman with Blonde Armpit Combing her Hair in the Moonlight, plate five from Constellations</t>
  </si>
  <si>
    <t>c302a432-8de1-28b6-84e6-8e50bc66a4e3</t>
  </si>
  <si>
    <t>The Morning Star, plate six from Constellations</t>
  </si>
  <si>
    <t>7b9d5587-009c-74da-a0c8-48949975db88</t>
  </si>
  <si>
    <t>Wounded People, plate seven from Constellations</t>
  </si>
  <si>
    <t>11b3e203-770a-5f07-43ba-d8c0b144a814</t>
  </si>
  <si>
    <t>Women and Birds, plate eight from Constellations</t>
  </si>
  <si>
    <t>c52c43e6-1d7b-609b-6e6a-98609e150b75</t>
  </si>
  <si>
    <t>Lady in the Night, plate nine from Constellations</t>
  </si>
  <si>
    <t>a181adcb-0f39-c0b3-b78a-9e9a5040cd3a</t>
  </si>
  <si>
    <t>Acrobatic Dancers, plate ten from Constellations</t>
  </si>
  <si>
    <t>cae3c4a5-7c8b-928f-1b26-ab12c8be51f9</t>
  </si>
  <si>
    <t>The Nightingale's Song at Midnight and the Morning Rain, plate eleven from Constellations</t>
  </si>
  <si>
    <t>c3c05428-cbf8-96e4-9cbb-f1f1ebeb0c2f</t>
  </si>
  <si>
    <t>On the 13th the Ladder Brushed the Firmament, plate twelve from Constellations</t>
  </si>
  <si>
    <t>e715f855-25d3-6860-51c5-f9f9ee7fb347</t>
  </si>
  <si>
    <t>The Poetess, plate thirteen from Constellations</t>
  </si>
  <si>
    <t>1bd9696c-d89d-caf0-1e3f-e18d74cead84</t>
  </si>
  <si>
    <t>Awakening in the Early Morning, plate fourteen from Constellations</t>
  </si>
  <si>
    <t>438d2819-2f89-6de7-e07f-291ea5d3eb9c</t>
  </si>
  <si>
    <t>Toward the Rainbow, plate fifteen from Constellations</t>
  </si>
  <si>
    <t>b0b21768-ebf2-8227-04ba-bd0375ab8b40</t>
  </si>
  <si>
    <t>Women Encircled by the Flight of a Bird, plate sixteen from Constellations</t>
  </si>
  <si>
    <t>36b46510-c414-9804-8b5d-44bc65a86401</t>
  </si>
  <si>
    <t>Women at the Border of a Lake Irradiate by the Passage of a Swan, plate seventeen from Constellations</t>
  </si>
  <si>
    <t>eebecbd8-1460-d65e-ba66-286eb7c0ceaf</t>
  </si>
  <si>
    <t>Migratory Bird, plate eighteen from Constellations</t>
  </si>
  <si>
    <t>241b2f2c-d324-4eed-cf90-3d52f845a819</t>
  </si>
  <si>
    <t>Ciphers and Constellations in Love with a Woman, plate nineteen from Constellations</t>
  </si>
  <si>
    <t>ae1a2735-b284-3393-6da9-bf82f3cf72fb</t>
  </si>
  <si>
    <t>The Beautiful Bird Revealing the Unknown to a Pair of Lovers, plate 20 from Constellations</t>
  </si>
  <si>
    <t>5a818b2a-7f53-4497-7cb9-d5347a48c470</t>
  </si>
  <si>
    <t>The Rose-Colored Dusk Caresses the Women and the Birds, plate 21 from Constellations</t>
  </si>
  <si>
    <t>87268626-9333-b778-9076-d7e04e7179a8</t>
  </si>
  <si>
    <t>The Passage of the Divine Bird, plate 22 from Constellations</t>
  </si>
  <si>
    <t>bcccc625-7a69-adee-9bf5-b6083718d679</t>
  </si>
  <si>
    <t>Schmolnau Near Ischl</t>
  </si>
  <si>
    <t>Rudolf von Alt</t>
  </si>
  <si>
    <t>28e56e28-7cd0-ba75-7d4f-0b4b116cfe5c</t>
  </si>
  <si>
    <t>Two Old Men beside a Sled Bearing the Coats of Arms of Amsterdam and Utrecht</t>
  </si>
  <si>
    <t>Opaque and translucent watercolors, with pen and brown ink, over graphite, on cream laid paper</t>
  </si>
  <si>
    <t>Hendric Avercamp</t>
  </si>
  <si>
    <t>7fa0814e-3d78-c876-b025-9dab522ec0c5</t>
  </si>
  <si>
    <t>Venus Healing Aeneas</t>
  </si>
  <si>
    <t>Merry Joseph Blondel</t>
  </si>
  <si>
    <t>59511df1-03d0-aea4-369a-959669ccfe51</t>
  </si>
  <si>
    <t>Watercolor and brush and black ink on tracing paper</t>
  </si>
  <si>
    <t>Margaret Fisher</t>
  </si>
  <si>
    <t>2e2d5ada-97b7-ae1c-c8fa-2472b53edefa</t>
  </si>
  <si>
    <t>Oil and graphite on canvas</t>
  </si>
  <si>
    <t>Joan Snyder</t>
  </si>
  <si>
    <t>9506a159-b5e0-2a26-f9f4-30fc5705c6b7</t>
  </si>
  <si>
    <t>0ab74aa3-e09a-6571-d531-6fbaa327cbd4</t>
  </si>
  <si>
    <t>Portrait of a Painter</t>
  </si>
  <si>
    <t>Maternite</t>
  </si>
  <si>
    <t>6076ae8b-08bb-134a-1bd2-1cca81b1cbd1</t>
  </si>
  <si>
    <t>4356f98f-475d-e00c-cb40-8f401c402511</t>
  </si>
  <si>
    <t>Brush and black ink and white opaque watercolor  with thin wove paper collaged elements on cream wove paper</t>
  </si>
  <si>
    <t>e97dd4b6-4bfa-b367-6fda-eb98ae90bd98</t>
  </si>
  <si>
    <t>Kenneth Noland</t>
  </si>
  <si>
    <t>Gunther Gerzso</t>
  </si>
  <si>
    <t>The Hanged Monk</t>
  </si>
  <si>
    <t>afb4a096-e233-f27c-7da9-0cee3dfa81ee</t>
  </si>
  <si>
    <t>Brush and brown and black watercolor, with touches of scratching, on cream wove paper</t>
  </si>
  <si>
    <t>ec11d545-d213-f0de-6b1a-91245d437aad</t>
  </si>
  <si>
    <t>Tilkayat Dauji II Maharaj with a Visitor</t>
  </si>
  <si>
    <t>ffd9d207-89e9-5071-56a4-5eb3a1754398</t>
  </si>
  <si>
    <t>The Garden of Paradise</t>
  </si>
  <si>
    <t>Imitator of Hieronymus Bosch</t>
  </si>
  <si>
    <t>3e82db48-5f93-ada3-7ab2-f97328ccc1bd</t>
  </si>
  <si>
    <t>Saint Matthias (?) and a Donor; Saint Andrew (reverse)</t>
  </si>
  <si>
    <t>Workshop of Jacob Cornelisz. van Oostsanen</t>
  </si>
  <si>
    <t>bff0be75-0833-2ee1-993a-5934993e08fb</t>
  </si>
  <si>
    <t>Galaxy (Fugetsudoten; é¢¨æœˆåŒå¤©)</t>
  </si>
  <si>
    <t>Pair of paintings stretched on frames; old documents, mineral pigments, mica, gold and silver on gampi paper</t>
  </si>
  <si>
    <t>Ibe Kyoko</t>
  </si>
  <si>
    <t>8439d75b-bc3f-fbfc-0f5b-bb4d9d3f0571</t>
  </si>
  <si>
    <t>Saint Peter and a Donor; Saint Thomas (reverse)</t>
  </si>
  <si>
    <t>77afdb88-dd75-5dab-c58b-ef6ac91bee7a</t>
  </si>
  <si>
    <t>Christ on the Living Cross</t>
  </si>
  <si>
    <t>Master of Saint Veronica</t>
  </si>
  <si>
    <t>4b9e255e-4a22-334d-1a57-fee2d84cd426</t>
  </si>
  <si>
    <t>Moonrise</t>
  </si>
  <si>
    <t>23-G</t>
  </si>
  <si>
    <t>Gouache with traces of graphite on white wove paper</t>
  </si>
  <si>
    <t>Rebecca Shore</t>
  </si>
  <si>
    <t>aa50e1e3-6bfb-b7e5-8971-8ec9b99523af</t>
  </si>
  <si>
    <t>29-G</t>
  </si>
  <si>
    <t>6d80ce96-88af-8a5a-ea95-6a5323bfd4f3</t>
  </si>
  <si>
    <t>Day by day, good day (Tag um Tag gutter Tag) Nr. 887 (Night)</t>
  </si>
  <si>
    <t>Peter Dreher</t>
  </si>
  <si>
    <t>21facd89-2310-71c9-c9e3-e202bf922007</t>
  </si>
  <si>
    <t>Day by day, good day (Tag um Tag gutter Tag) Nr. 1748 (Night)</t>
  </si>
  <si>
    <t>52167013-b3dd-f910-af09-b098e7ca280e</t>
  </si>
  <si>
    <t>Day by day, good day (Tag um Tag gutter Tag) Nr. 1806 (Night)</t>
  </si>
  <si>
    <t>52993585-9c1f-0504-fce6-27b3e7efb789</t>
  </si>
  <si>
    <t>Day by day, good day (Tag um Tag gutter Tag) Nr. 2544 (Night)</t>
  </si>
  <si>
    <t>9901cdf7-2ef1-4f5e-2d6e-d2e35f89fe72</t>
  </si>
  <si>
    <t>Day by day, good day (Tag um Tag gutter Tag) Nr. 256 (Day)</t>
  </si>
  <si>
    <t>635053ed-dba4-d6e5-4926-dc7d891886b7</t>
  </si>
  <si>
    <t>Day by day, good day (Tag um Tag gutter Tag) Nr. 1830 (Day)</t>
  </si>
  <si>
    <t>52c3571f-f6f9-265f-0748-7ba033e245bc</t>
  </si>
  <si>
    <t>Day by day, good day (Tag um Tag gutter Tag) Nr. 2013 (Day)</t>
  </si>
  <si>
    <t>7200abbe-fe0f-6609-f2ea-8c04d84d8bb2</t>
  </si>
  <si>
    <t>Day by day, good day (Tag um Tag gutter Tag) Nr. 2279 (Day)</t>
  </si>
  <si>
    <t>5b40d3ae-fb00-a000-e106-21b6f280d7d4</t>
  </si>
  <si>
    <t>Jericho III</t>
  </si>
  <si>
    <t>Acrylic on chipboard</t>
  </si>
  <si>
    <t>Raimer Jochims</t>
  </si>
  <si>
    <t>3572974a-2d8c-dd4c-5d5c-04fbdc71784b</t>
  </si>
  <si>
    <t>c4aa4327-7a0d-de7d-ae21-dafecde6ace4</t>
  </si>
  <si>
    <t>Lorsch II</t>
  </si>
  <si>
    <t>d4c519f6-43ba-be87-2e17-6f3874166211</t>
  </si>
  <si>
    <t>Orient Express I</t>
  </si>
  <si>
    <t>099a5420-58c0-f29c-baaa-79019aadb48e</t>
  </si>
  <si>
    <t>Mezcala II</t>
  </si>
  <si>
    <t>fc71787a-5e0a-df48-3f5d-a161e0cb9dc7</t>
  </si>
  <si>
    <t>Midnight Garden</t>
  </si>
  <si>
    <t>Acrylic paint on canvas, diptych</t>
  </si>
  <si>
    <t>Imran Qureshi</t>
  </si>
  <si>
    <t>ca1921d6-ce8a-03fc-270b-9fa0fdabd892</t>
  </si>
  <si>
    <t>A Poem from the Shin Kokinshu with Design of Shinobugusa (Moss Fern)</t>
  </si>
  <si>
    <t>Fragment of a handscroll mounted as a hanging scroll; ink, gold, silver-colored pigment, and mica on paper</t>
  </si>
  <si>
    <t>bb1a0453-7921-1edb-3128-5d8bed7d5a9f</t>
  </si>
  <si>
    <t>Double-Barreled Shotgun</t>
  </si>
  <si>
    <t>edeb9256-0268-6f95-e1d6-6e3ae3fc5adf</t>
  </si>
  <si>
    <t>5cebad38-ad3b-b3c8-c9bf-cadeca6435aa</t>
  </si>
  <si>
    <t>cdbf82ed-7456-2584-349a-f4ac607a8563</t>
  </si>
  <si>
    <t>c083c3bc-0be8-0927-ca84-93151dd9c7dc</t>
  </si>
  <si>
    <t>f14efcbb-f6c3-1087-88a4-9fefc4cf910d</t>
  </si>
  <si>
    <t>a7e05376-deef-d188-f04f-3806dd04cded</t>
  </si>
  <si>
    <t>288352a0-a239-66c8-770a-a4cec2fff611</t>
  </si>
  <si>
    <t>718dda27-e2b1-0f01-637e-513bc861a76e</t>
  </si>
  <si>
    <t>The Stranger</t>
  </si>
  <si>
    <t>Heart of the Matter</t>
  </si>
  <si>
    <t>Otis Kaye</t>
  </si>
  <si>
    <t>e244fda8-c920-78ed-0f98-05c856ff88bc</t>
  </si>
  <si>
    <t>Encaustic and newspaper on canvas</t>
  </si>
  <si>
    <t>Figure 4</t>
  </si>
  <si>
    <t>2c5b6afb-7ee8-e396-93b1-4cb4b63adec8</t>
  </si>
  <si>
    <t>Alphabet</t>
  </si>
  <si>
    <t>paper on hardboard</t>
  </si>
  <si>
    <t>565827a7-d635-59fb-f10b-7158a99733c5</t>
  </si>
  <si>
    <t>Fluorescent paint and silkscreen ink on linen</t>
  </si>
  <si>
    <t>9a9737e3-c296-a2b5-4d76-d88f50a61ff8</t>
  </si>
  <si>
    <t>Little Race Riot</t>
  </si>
  <si>
    <t>Acrylic and silkscreen ink on linen; two joined canvases</t>
  </si>
  <si>
    <t>92392b95-81f3-c1bc-e137-95a0963fae05</t>
  </si>
  <si>
    <t>Acrylic, silver paint, and silkscreen ink on linen</t>
  </si>
  <si>
    <t>446680d8-037b-aea7-738e-62ac5765aaa3</t>
  </si>
  <si>
    <t>Acrylic, silkscreen ink, and pencil on linen</t>
  </si>
  <si>
    <t>629475e5-cfbc-4b47-5b40-72c806077535</t>
  </si>
  <si>
    <t>Big Electric Chair</t>
  </si>
  <si>
    <t>Acrylic and silkscreen ink on linen</t>
  </si>
  <si>
    <t>11e2413f-3e17-8c43-7e1b-b2e51ba81a04</t>
  </si>
  <si>
    <t>Four Mona Lisas</t>
  </si>
  <si>
    <t>867641a6-6b70-ae7d-f3f8-e8210e56694e</t>
  </si>
  <si>
    <t>Pat Hearn</t>
  </si>
  <si>
    <t>a0eaf95b-694c-f6fa-1a33-90777b5c62ca</t>
  </si>
  <si>
    <t>Artist's Studio "Foot Medication"</t>
  </si>
  <si>
    <t>Oil and Magna on canvas</t>
  </si>
  <si>
    <t>249173c2-0013-4624-211c-3e8fcf335048</t>
  </si>
  <si>
    <t>Woman III</t>
  </si>
  <si>
    <t>0cb68b62-a531-9b60-4536-c5d35c6ab335</t>
  </si>
  <si>
    <t>Hunting Party (Jagdgesellschaft)</t>
  </si>
  <si>
    <t>5fb98882-3c6a-3233-d548-d94fc25114dd</t>
  </si>
  <si>
    <t>Townscape (P1) [Stadtbild (P1)]</t>
  </si>
  <si>
    <t>f69c0687-7233-f1ad-d340-3e8c26334304</t>
  </si>
  <si>
    <t>Davos</t>
  </si>
  <si>
    <t>beee4148-35ff-4a0b-7752-74967746cb8d</t>
  </si>
  <si>
    <t>Venice (Staircase) [Venedig (Treppe)]</t>
  </si>
  <si>
    <t>2fc6cbcb-3c5f-c1c3-47c2-d0ccb9914058</t>
  </si>
  <si>
    <t>Study for the Muses (Eaglesmere Version)</t>
  </si>
  <si>
    <t>ddb73328-ab15-5468-5d6f-c955491c07c9</t>
  </si>
  <si>
    <t>Oil-based house paint, wax crayon, and graphite on canvas</t>
  </si>
  <si>
    <t>e3d04f27-7de4-653e-ce68-81a87561af5a</t>
  </si>
  <si>
    <t>b85c78f9-aea3-e406-7131-7e07985a9756</t>
  </si>
  <si>
    <t>Stamford after Brunch</t>
  </si>
  <si>
    <t>82087976-fbb8-4315-3070-1aa7660ceb39</t>
  </si>
  <si>
    <t>Mr. Pointy</t>
  </si>
  <si>
    <t>Takashi Murakami</t>
  </si>
  <si>
    <t>5fa7667c-0e32-1c68-7495-5d8615ef7d4a</t>
  </si>
  <si>
    <t>Saburo Murakami</t>
  </si>
  <si>
    <t>1563224a-44d0-95eb-5803-c7bcb25b4828</t>
  </si>
  <si>
    <t>Enamel on canvas</t>
  </si>
  <si>
    <t>Birth</t>
  </si>
  <si>
    <t>Rainbow (prismatic) [Regenbogen (prismatisch)]</t>
  </si>
  <si>
    <t>Oil on canvas (burlap) with painted wood frame</t>
  </si>
  <si>
    <t>Arthur Segal</t>
  </si>
  <si>
    <t>10ded856-4cd4-e1b3-24bb-024c8071c50b</t>
  </si>
  <si>
    <t>Yellow Painting</t>
  </si>
  <si>
    <t>Joseph Marioni</t>
  </si>
  <si>
    <t>9a663de0-99fe-d411-61be-c9c72a48b6d7</t>
  </si>
  <si>
    <t>Rasheed Araeen</t>
  </si>
  <si>
    <t>Landscape with Two Pink Carnations in a Glass Goblet</t>
  </si>
  <si>
    <t>Albert York</t>
  </si>
  <si>
    <t>4557f691-e3f1-d730-5f29-79b3c3388f57</t>
  </si>
  <si>
    <t>The Evening Prayer</t>
  </si>
  <si>
    <t>Opaque watercolor, over traces of black chalk, on cream laid paper, laid down on card</t>
  </si>
  <si>
    <t>dbe6a07f-0fbf-3f25-a355-c9ca22f49a8d</t>
  </si>
  <si>
    <t>Conjunction 79â€“31</t>
  </si>
  <si>
    <t>Oil on hemp cloth</t>
  </si>
  <si>
    <t>Chong-Hyun Ha</t>
  </si>
  <si>
    <t>14fa1d96-d1a2-9ab1-b911-699ebae3b072</t>
  </si>
  <si>
    <t>Conjunction 81-79</t>
  </si>
  <si>
    <t>a26e7810-d62a-2212-3ff2-0b6a5c243fef</t>
  </si>
  <si>
    <t>The Plague in the Reign of David</t>
  </si>
  <si>
    <t>8f8d29f3-dafa-b07b-e1a9-03302e948102</t>
  </si>
  <si>
    <t>Metasigne</t>
  </si>
  <si>
    <t>Encaustic on board</t>
  </si>
  <si>
    <t>30588fbb-c3d5-56a0-0f2e-6267269ea434</t>
  </si>
  <si>
    <t>Sin TÃ­tulo (Untitled)</t>
  </si>
  <si>
    <t>Acrylic, paper, and canvas on plywood</t>
  </si>
  <si>
    <t>Theresa Burga</t>
  </si>
  <si>
    <t>98bc675f-dc4e-4f27-9203-455c62f076a4</t>
  </si>
  <si>
    <t>Mass Tone Painting: Alizarin Crimson, April 24, 1974</t>
  </si>
  <si>
    <t>a8b8f1e1-5f1b-3328-2848-e1cc29ad21fc</t>
  </si>
  <si>
    <t>ee39666b-372d-ddbf-6200-b25f7d6ec472</t>
  </si>
  <si>
    <t>Fujiko Shiraga</t>
  </si>
  <si>
    <t>Oil, Japanese paper, and glass on canvas</t>
  </si>
  <si>
    <t>66caed8a-e188-f2e7-0892-ecadf7a88696</t>
  </si>
  <si>
    <t>Cavalry Exercise in a Meadow</t>
  </si>
  <si>
    <t>69c4fcd7-5553-2e13-a65f-da26ba84766d</t>
  </si>
  <si>
    <t>The Ancient Theater at Taormina with a View of Mount Etna, Study for Saint Non's Voyage Pittoresque de Naples et de Sicile</t>
  </si>
  <si>
    <t>Watercolor with touches of pen and black ink, over traces of graphite, on ivory laid paper, laid down on ivory laid paper</t>
  </si>
  <si>
    <t>a6064df8-c4f2-9d19-a1d6-cb2c24cf9a97</t>
  </si>
  <si>
    <t>Pathfinder</t>
  </si>
  <si>
    <t>Peter Cain</t>
  </si>
  <si>
    <t>6996cc74-4b5a-54ee-2109-094b543b1c39</t>
  </si>
  <si>
    <t>Still Life, Clown</t>
  </si>
  <si>
    <t>d4b8a8bc-afdf-7b84-49cc-9ca6714d04b5</t>
  </si>
  <si>
    <t>Harbor</t>
  </si>
  <si>
    <t>Gouache with watercolor, over graphite, on ivory wove paper</t>
  </si>
  <si>
    <t>b74b282b-c55a-077b-113d-e44b801ee770</t>
  </si>
  <si>
    <t>El Mocho</t>
  </si>
  <si>
    <t>Egg tempera on panel</t>
  </si>
  <si>
    <t>c98f9ff6-ee78-edb0-f0bd-9da011c4200b</t>
  </si>
  <si>
    <t>The Corner of the Balcony</t>
  </si>
  <si>
    <t>Gouache with pen and black ink, on ivory wove paper, laid down on white Japanese paper</t>
  </si>
  <si>
    <t>c0385132-ce77-8cc3-9ea3-6f1bf719f362</t>
  </si>
  <si>
    <t>Sienese School</t>
  </si>
  <si>
    <t>La Sainte-Chapelle</t>
  </si>
  <si>
    <t>911188c2-8ed7-dae2-80e2-878d7d82f9dd</t>
  </si>
  <si>
    <t>Oil on newspaper on wood</t>
  </si>
  <si>
    <t>fced132f-6c88-0a32-1308-9aca15c78698</t>
  </si>
  <si>
    <t>Dissymmetry</t>
  </si>
  <si>
    <t>829a43aa-8f40-ac23-d529-5a6933de2e7f</t>
  </si>
  <si>
    <t>The Ungrateful Son, from Tales of the Brothers Grimm</t>
  </si>
  <si>
    <t>Gouache and colored chalk, with blending and wet brush, on white wove paper</t>
  </si>
  <si>
    <t>Natalie Frank</t>
  </si>
  <si>
    <t>78f7f050-91ac-fd85-89f3-171ef8168227</t>
  </si>
  <si>
    <t>National Academy of Design: Elevation of the Proposed Stenciling for the Central Stairwell of the "N.Y. Academy of Design"</t>
  </si>
  <si>
    <t>779ccbb2-bac7-3ddf-f380-b3e5622f9250</t>
  </si>
  <si>
    <t>Chip</t>
  </si>
  <si>
    <t>Arch Connelly</t>
  </si>
  <si>
    <t>e4e04333-09d9-d66f-6ff5-7288726b4757</t>
  </si>
  <si>
    <t>Oil and collage on canvas</t>
  </si>
  <si>
    <t>1f8236d8-8a4c-669f-0767-5aa80fd5a529</t>
  </si>
  <si>
    <t>Barnacles</t>
  </si>
  <si>
    <t>Adam Emory Albright</t>
  </si>
  <si>
    <t>1cfe59ef-5b54-f766-20f8-ca72d39b0f41</t>
  </si>
  <si>
    <t>71b3d58e-52da-0034-e5bc-520bb893baca</t>
  </si>
  <si>
    <t>Ecriture 46-73</t>
  </si>
  <si>
    <t>Oil and pencil on canvas</t>
  </si>
  <si>
    <t>Seo-Bo Park</t>
  </si>
  <si>
    <t>e263a6e3-ff14-8957-4861-b44353b8366f</t>
  </si>
  <si>
    <t>Burnt Umber and Ultramarine</t>
  </si>
  <si>
    <t>Yun Hyong-Keun</t>
  </si>
  <si>
    <t>3ba59be6-618e-4914-601d-d16f77b87485</t>
  </si>
  <si>
    <t>Isolde</t>
  </si>
  <si>
    <t>Circle of Sir John Everett Millais</t>
  </si>
  <si>
    <t>Pre-Raphaelite</t>
  </si>
  <si>
    <t>ad5071c8-92d6-bbd1-c13d-3ec39d8b5587</t>
  </si>
  <si>
    <t>All Alone</t>
  </si>
  <si>
    <t>Plaster, oil, and dry pigments on paper mounted to canvas</t>
  </si>
  <si>
    <t>c60037ba-4f45-5cbb-2088-a36f5b94fc29</t>
  </si>
  <si>
    <t>MoM Block 94, MoM Block 96, MoM Block 100</t>
  </si>
  <si>
    <t>Michel Majerus</t>
  </si>
  <si>
    <t>c614238e-c705-08b5-9281-4e1657c7f621</t>
  </si>
  <si>
    <t>Out My Window</t>
  </si>
  <si>
    <t>Hanns Kralik</t>
  </si>
  <si>
    <t>5c69c19a-6659-0180-1e27-06024d4b4d37</t>
  </si>
  <si>
    <t>Bare Shouldered Beauty and the Pink Creature</t>
  </si>
  <si>
    <t>Oil on canvas, on two joined panels</t>
  </si>
  <si>
    <t>e7c6a895-ebc9-ba24-6a8f-7efca1a7f6c6</t>
  </si>
  <si>
    <t>Wowidow</t>
  </si>
  <si>
    <t>Acrylic on shaped Plexiglas, in artist's painted frame</t>
  </si>
  <si>
    <t>db57e175-65c9-880d-135b-8018ff32f8f1</t>
  </si>
  <si>
    <t>Bountiful Landscape</t>
  </si>
  <si>
    <t>653fd744-32ab-aca6-f1ac-0b70bca11288</t>
  </si>
  <si>
    <t>Chicago Symphony Orchestra</t>
  </si>
  <si>
    <t>Knights of the Road</t>
  </si>
  <si>
    <t>b4858956-caaa-28d0-f674-eb4f329fa345</t>
  </si>
  <si>
    <t>71bfa197-00f2-7c70-eda1-39dc252c0201</t>
  </si>
  <si>
    <t>Study for Warhol Flowers</t>
  </si>
  <si>
    <t>Synthetic polymer silkscreen ink on canvas</t>
  </si>
  <si>
    <t>Sturtevant</t>
  </si>
  <si>
    <t>cf9b92b8-492f-5b64-e267-ae940ce0afe6</t>
  </si>
  <si>
    <t>Cathy Wilkes</t>
  </si>
  <si>
    <t>ea487328-0600-2cb2-7fc8-fde9c8ef5fc8</t>
  </si>
  <si>
    <t>The Harvest of Buckwheat</t>
  </si>
  <si>
    <t>47634d3f-1ac9-4631-b9ea-5c40fda489be</t>
  </si>
  <si>
    <t>Saint Jerome in the Wilderness</t>
  </si>
  <si>
    <t>Christ Blessing Three Young Men, initial M from a Gradual</t>
  </si>
  <si>
    <t>Opaque watercolor, with shell gold and gold leaf, on parchment</t>
  </si>
  <si>
    <t>Maestro Daddesco</t>
  </si>
  <si>
    <t>1e0e9213-dc57-f351-a6d1-922645e40f4c</t>
  </si>
  <si>
    <t>Jacob and Rachel Lamenting their Son Joseph</t>
  </si>
  <si>
    <t>Opaque watercolor and mordent gilding on parchment</t>
  </si>
  <si>
    <t>8d005ccb-02f3-c0f4-3ea9-40a15ea30ac4</t>
  </si>
  <si>
    <t>Nehemiah before King Artaxerxes, initial â€˜Câ€™ from a Bible</t>
  </si>
  <si>
    <t>Opaque watercolor, gold leaf, mordant gilding, and pen and black ink, with touches of pen and brown ink (recto), and pen and black ink, with touches of red opaque watercolor and pen and brown ink (verso), on parchment</t>
  </si>
  <si>
    <t>38ba2c48-0beb-0c33-a8ec-087e88c6b5aa</t>
  </si>
  <si>
    <t>Christ before the High Priest Annas, from a Plenarium</t>
  </si>
  <si>
    <t>Pen and brown ink and watercolor (recto) and pen and brown ink, with brush and red opaque watercolor (verso), on cream laid paper</t>
  </si>
  <si>
    <t>0d4bb47d-ad1e-555c-21b7-d292b9092f63</t>
  </si>
  <si>
    <t>Saint Benedict, initial â€˜Oâ€™, with border fragments from a Missal</t>
  </si>
  <si>
    <t>Opaque watercolor, gold leaf with punching, mordant gilding with touches of ruled graphite on pieced parchment</t>
  </si>
  <si>
    <t>Jakob Elsner</t>
  </si>
  <si>
    <t>31b756c5-5843-7a4e-dd4d-360bcfc547b4</t>
  </si>
  <si>
    <t>The Visitation</t>
  </si>
  <si>
    <t>Opaque watercolor, over pen and brown ink, heightened with shell gold, on parchment</t>
  </si>
  <si>
    <t>2ebe622a-1b2a-741c-993c-66ff63496cef</t>
  </si>
  <si>
    <t>Miracle of the Deer of Saint Bassiano, from a Choir Book</t>
  </si>
  <si>
    <t>Opaque watercolor and shell gold on parchment</t>
  </si>
  <si>
    <t>0f508824-c688-36bc-f52f-05ec3717034e</t>
  </si>
  <si>
    <t>Inscription Rock</t>
  </si>
  <si>
    <t>Raymond Jonson</t>
  </si>
  <si>
    <t>80394944-0342-11ad-89e6-b8367b31ad6f</t>
  </si>
  <si>
    <t>About Blindness 2 (Ãœber die Blindheit 2)</t>
  </si>
  <si>
    <t>Auto lacquer on aluminum</t>
  </si>
  <si>
    <t>6bec08f2-cb32-6bd4-54f0-6ac8cb68c218</t>
  </si>
  <si>
    <t>Girl in the Arbor #6</t>
  </si>
  <si>
    <t>Collage of cut and commercially printed papers, watercolor, colored pencils, brush and black ink, crayons, and pastel, on white wove paper</t>
  </si>
  <si>
    <t>7e5a2407-9b5a-df95-acc5-393d6248805a</t>
  </si>
  <si>
    <t>Dead Fowl</t>
  </si>
  <si>
    <t>Chaim Soutine</t>
  </si>
  <si>
    <t>bdd11ec2-6566-0d64-dadf-8d1865d93ca3</t>
  </si>
  <si>
    <t>The Turkish Rider</t>
  </si>
  <si>
    <t>Gouache and watercolor, with scraping, selectively gum-varnished, on cream wove paper, laid down on tan wove paper</t>
  </si>
  <si>
    <t>c7b5d205-a9dc-d94b-088e-af57f704f6b9</t>
  </si>
  <si>
    <t>The Figure</t>
  </si>
  <si>
    <t>575b46fc-92f0-4ff2-30f1-f53db503bfa7</t>
  </si>
  <si>
    <t>Caos-Caos</t>
  </si>
  <si>
    <t>c73af721-157e-eb9e-2836-e2ca3c9d0a20</t>
  </si>
  <si>
    <t>Painting of Madame X</t>
  </si>
  <si>
    <t>e5566e0d-cd24-b2b9-4cf2-e4e4b6d92e8c</t>
  </si>
  <si>
    <t>Acrylic on Plexiglas with cut paper</t>
  </si>
  <si>
    <t>98b54959-1820-a972-5a08-b1330ea7a61a</t>
  </si>
  <si>
    <t>Great American Nude Study</t>
  </si>
  <si>
    <t>Gouache, over graphite, on ivory wove paper</t>
  </si>
  <si>
    <t>fb4ffc1b-675c-6c04-8e31-be9d07b339fc</t>
  </si>
  <si>
    <t>Fuck You: from the Liz Taylor Series (after Bert Stern)</t>
  </si>
  <si>
    <t>Acrylic and composition leaf on canvas</t>
  </si>
  <si>
    <t>Kathe Burkhart</t>
  </si>
  <si>
    <t>3a35e7a4-8f14-b7b7-abad-5d6d5dcaa18e</t>
  </si>
  <si>
    <t>Female Nude Seen from the Back</t>
  </si>
  <si>
    <t>Brown watercolor, with graphite, on white wove paper, prepared with a pink watercolor wash, tipped onto cream board</t>
  </si>
  <si>
    <t>48e418e4-1480-5381-5a02-15b1a2103eaf</t>
  </si>
  <si>
    <t>Rodney McMillian</t>
  </si>
  <si>
    <t>Johannes Bosboom</t>
  </si>
  <si>
    <t>Cape Cod, Winter</t>
  </si>
  <si>
    <t>1f5a5dce-9184-fe98-bd8c-07db675af2d7</t>
  </si>
  <si>
    <t>Combat</t>
  </si>
  <si>
    <t>Where the Shadows are so Deep</t>
  </si>
  <si>
    <t>Opaque watercolor, shell gold, and gold leaf, over traces of graphite, on paperboard</t>
  </si>
  <si>
    <t>1eedcd63-b085-275a-b0d2-7263648b99dc</t>
  </si>
  <si>
    <t>Opaque watercolor and gold leaf, over traces of graphite, on paperboard</t>
  </si>
  <si>
    <t>2de6056a-84a8-0307-e705-be177f47cc0c</t>
  </si>
  <si>
    <t>841fd85f-2e80-3196-ce2f-043fa5f9c2de</t>
  </si>
  <si>
    <t>Aesthetic Function in Space</t>
  </si>
  <si>
    <t>Oil on Masonite and cardboard with mirror, in artist-painted frame</t>
  </si>
  <si>
    <t>Knud Merrild</t>
  </si>
  <si>
    <t>658e5f8b-ca48-1271-411e-dec97a3f018a</t>
  </si>
  <si>
    <t>The Top Maker</t>
  </si>
  <si>
    <t>148c4cb0-a9e9-8dce-89b7-cae588f345b5</t>
  </si>
  <si>
    <t>bbe2f986-077d-1308-bae3-99918ec8bbe7</t>
  </si>
  <si>
    <t>Cut Out (medium)</t>
  </si>
  <si>
    <t>Acrylic, spray paint, Plexiglas, and hardboard</t>
  </si>
  <si>
    <t>97202765-03a0-6875-18d8-c60208f99475</t>
  </si>
  <si>
    <t>Opaque watercolor, over traces of blue crayon, on cream wove paper</t>
  </si>
  <si>
    <t>Wifredo Arcay</t>
  </si>
  <si>
    <t>3bbd01f0-76e3-b34d-005b-09366fbc1479</t>
  </si>
  <si>
    <t>Watercolor on cream wove tissue and printed commercial paper</t>
  </si>
  <si>
    <t>Heidi Bucher</t>
  </si>
  <si>
    <t>adfe4eea-c45d-53b4-458b-5686742563c7</t>
  </si>
  <si>
    <t>Tikpo</t>
  </si>
  <si>
    <t>Atta Kwami</t>
  </si>
  <si>
    <t>8064c3db-2152-f687-4c96-0fda8c5d217b</t>
  </si>
  <si>
    <t>Oil on canvas; fifteen panels</t>
  </si>
  <si>
    <t>David Novros</t>
  </si>
  <si>
    <t>86f5c1bb-c642-7339-5061-c5f210c0ae19</t>
  </si>
  <si>
    <t>Summer Fog</t>
  </si>
  <si>
    <t>80419e39-51ee-b123-b504-436fc38ce13e</t>
  </si>
  <si>
    <t>River Landscape with a View of Naarden</t>
  </si>
  <si>
    <t>Salomon van Ruysdael</t>
  </si>
  <si>
    <t>10429355-e9c3-c48d-1d2a-6fef025d140e</t>
  </si>
  <si>
    <t>50.8 x 61 cm (20 x 24 in.)</t>
  </si>
  <si>
    <t>Mira Schendel</t>
  </si>
  <si>
    <t>Baby in a Shooting Gallery</t>
  </si>
  <si>
    <t>Stanley Dean Edwards</t>
  </si>
  <si>
    <t>584dba11-d691-db46-ceec-be498b9bf66c</t>
  </si>
  <si>
    <t>Metasquema, No. 244</t>
  </si>
  <si>
    <t>Opaque watercolor, over traces of graphite, with blind incising, on tan paperboard</t>
  </si>
  <si>
    <t>4cfa88ec-3200-e5c9-26d4-8d0bb6fb9aba</t>
  </si>
  <si>
    <t>Untitled, No. 56</t>
  </si>
  <si>
    <t>Opaque watercolor, over traces of graphite, on tan paperboard</t>
  </si>
  <si>
    <t>60f6d98b-adf1-b548-55c4-e6879e0380ce</t>
  </si>
  <si>
    <t>Mesma Saliva Mesmo Veneno</t>
  </si>
  <si>
    <t>06f014d4-1872-577a-dfb9-2f831d086a82</t>
  </si>
  <si>
    <t>74ba3e47-d9ed-bebe-bac0-4d9d4736e412</t>
  </si>
  <si>
    <t>Wax crayon and watercolor on cream wove paper</t>
  </si>
  <si>
    <t>Luchita Hurtado</t>
  </si>
  <si>
    <t>0f0e10fc-719f-e194-7dcf-00a8ffaf4548</t>
  </si>
  <si>
    <t>Oil and black pencil on hardboard</t>
  </si>
  <si>
    <t>0343c92d-e22f-1a5c-cf5c-7f989a9d5d5b</t>
  </si>
  <si>
    <t>Mineral pigments and oil on canvas</t>
  </si>
  <si>
    <t>Ryuji  Tanaka</t>
  </si>
  <si>
    <t>4f313c8c-cdb0-2a64-6d66-d7829f7b3aea</t>
  </si>
  <si>
    <t>Nude under a Pine Tree</t>
  </si>
  <si>
    <t>reclining</t>
  </si>
  <si>
    <t>b7b7ecd0-5a50-b89a-c72a-d435a1957c73</t>
  </si>
  <si>
    <t>Brush and black and gray inks, with pen and black ink and traces of opaque green watercolor, on cream wove paper</t>
  </si>
  <si>
    <t>Nasreen Mohamedi</t>
  </si>
  <si>
    <t>60cd4cd7-e01f-9351-ce60-abddd8d0ca0d</t>
  </si>
  <si>
    <t>Capella</t>
  </si>
  <si>
    <t>ff7cad77-2c31-8f0d-94f6-ce1e980cb77d</t>
  </si>
  <si>
    <t>Yellow House 2</t>
  </si>
  <si>
    <t>cd1107b0-c82b-5e40-f762-7506081923c2</t>
  </si>
  <si>
    <t>Cyclops</t>
  </si>
  <si>
    <t>Plate 51 from The Plan of Chicago</t>
  </si>
  <si>
    <t>Brush and transparent and opaque watercolors over graphite on paper-faced laminate board</t>
  </si>
  <si>
    <t>267090d8-bbdc-0e4a-6216-9c0f92a6cf11</t>
  </si>
  <si>
    <t>Iron woman</t>
  </si>
  <si>
    <t>a007d555-b563-a1b6-ced7-8ff9a22c16c2</t>
  </si>
  <si>
    <t>Fragment II</t>
  </si>
  <si>
    <t>Kimiyo Mishima</t>
  </si>
  <si>
    <t>ed9f694d-2a01-71ff-7a79-9100446ec3e3</t>
  </si>
  <si>
    <t>Syrian Goats</t>
  </si>
  <si>
    <t>76558ea3-64d4-2c8b-983b-a2516ab0df7a</t>
  </si>
  <si>
    <t>Three Boats in Harbor, San Vigilio</t>
  </si>
  <si>
    <t>57babddc-d879-16e5-5fb6-ea83ff05f21a</t>
  </si>
  <si>
    <t>Oil on two joined canvases</t>
  </si>
  <si>
    <t>87f52901-795b-19dd-8215-c5d94ce61d90</t>
  </si>
  <si>
    <t>La Java</t>
  </si>
  <si>
    <t>e127aa5e-2154-5116-76e1-0c3f0c4a7cb4</t>
  </si>
  <si>
    <t>The Cedars of Lebanon</t>
  </si>
  <si>
    <t>Watercolor, with pen and brown ink, over graphite, on ivory wove paper</t>
  </si>
  <si>
    <t>fcf63579-f9cd-746e-ee6d-9808cef7c6c1</t>
  </si>
  <si>
    <t>Oil</t>
  </si>
  <si>
    <t>Querena</t>
  </si>
  <si>
    <t>4e634f28-2893-9d95-ab56-cd45c33b682f</t>
  </si>
  <si>
    <t>e237cd70-b5dd-10e6-1bef-23cfcd0741a1</t>
  </si>
  <si>
    <t>e7280dd2-7b6b-e515-eeaa-ba92da0ccbd6</t>
  </si>
  <si>
    <t>Black Pride Whitewashed</t>
  </si>
  <si>
    <t>Norman Parish</t>
  </si>
  <si>
    <t>69590877-38ac-38b6-de73-b0285bd643ef</t>
  </si>
  <si>
    <t>Lee Mullican</t>
  </si>
  <si>
    <t>fb2f5e90-003e-5505-e8b6-5eafd01fc3a1</t>
  </si>
  <si>
    <t>Composition in Blue</t>
  </si>
  <si>
    <t>d9315a3f-1f41-3e0e-e0af-eaa01914bd7f</t>
  </si>
  <si>
    <t>Summit of the Sierras</t>
  </si>
  <si>
    <t>Gouache over graphite, on cream laid paper</t>
  </si>
  <si>
    <t>fdca1465-3f25-bba8-8692-ac4697c0e3e8</t>
  </si>
  <si>
    <t>Shipwreck near a Rocky Coast</t>
  </si>
  <si>
    <t>9379f724-e69d-8bf6-7900-e8f3ab0e767e</t>
  </si>
  <si>
    <t>Caroline D. Wade</t>
  </si>
  <si>
    <t>Frederick Warren Freer</t>
  </si>
  <si>
    <t>e733a86c-3037-de40-0802-d171d22f0fba</t>
  </si>
  <si>
    <t>Drawing for Rabbit and Boy</t>
  </si>
  <si>
    <t>Acrylic paint and oil pastel with oiled charcoal and ink over an ink and graphite underdrawing on paper</t>
  </si>
  <si>
    <t>71b37c25-5e73-4ec9-d2a2-08d032c5dfb1</t>
  </si>
  <si>
    <t>Black Light Series #7: Ego Painting</t>
  </si>
  <si>
    <t>708195fa-7dbd-f794-1cc2-12ee696850a7</t>
  </si>
  <si>
    <t>Hyderabad Abstraction</t>
  </si>
  <si>
    <t>Brush and black and red matte opaque paints on cream wove paper</t>
  </si>
  <si>
    <t>1aac77b6-ca55-7393-cebc-418370111d69</t>
  </si>
  <si>
    <t>City of Hyderabad</t>
  </si>
  <si>
    <t>Brush and black matte opaque paint on tan wove paper</t>
  </si>
  <si>
    <t>c6a43f11-1152-b28c-e697-cd1e0818b11a</t>
  </si>
  <si>
    <t>Windcatchers in Pink</t>
  </si>
  <si>
    <t>Brush and gouache, over traces of green watercolor wash, on cream wove paper</t>
  </si>
  <si>
    <t>6774454e-8462-055e-ead7-78a3a5bc1cfa</t>
  </si>
  <si>
    <t>Graces</t>
  </si>
  <si>
    <t>Jennifer Packer</t>
  </si>
  <si>
    <t>eab789aa-8438-c229-3f70-848bcd324979</t>
  </si>
  <si>
    <t>c46618a1-bbe9-1194-cf8f-ce596b822713</t>
  </si>
  <si>
    <t>211741c9-8c08-9f9f-f8be-80db7b28b211</t>
  </si>
  <si>
    <t>Printed paper and stamped metal, with oil paint, fiber-tipped pen, and silkscreen ink on fabric</t>
  </si>
  <si>
    <t>268c1e98-dcd5-2150-1cdc-3cf0c036b919</t>
  </si>
  <si>
    <t>Prelude to a Synthesis</t>
  </si>
  <si>
    <t>Oil on masonite with cork and metal sculpture</t>
  </si>
  <si>
    <t>d627d197-2f49-35b3-8ca2-ca1afba7a448</t>
  </si>
  <si>
    <t>The Oude Kerk, Delft</t>
  </si>
  <si>
    <t>Cornelis de Man</t>
  </si>
  <si>
    <t>c68a078e-b4c1-7ea8-d37a-a30c7c28f94e</t>
  </si>
  <si>
    <t>Pietro della Vecchia</t>
  </si>
  <si>
    <t>f621af47-1f60-d479-0be5-7e3a3700041a</t>
  </si>
  <si>
    <t>The Diligence</t>
  </si>
  <si>
    <t>Nicolas Toussaint Charlet</t>
  </si>
  <si>
    <t>c0df1fbb-aa55-f109-65ae-a1de5e3707a1</t>
  </si>
  <si>
    <t>Francesco de' Medici</t>
  </si>
  <si>
    <t>Oil on panel (poplar)</t>
  </si>
  <si>
    <t>Alessandro Allori</t>
  </si>
  <si>
    <t>9a29cc5d-3779-c9ab-2aa2-0df7b6c3f391</t>
  </si>
  <si>
    <t>Yellow Hickory Leaves with Daisy</t>
  </si>
  <si>
    <t>b3688c8c-06f2-2a35-56bb-19de1a05344e</t>
  </si>
  <si>
    <t>Preparation for the Academyâ€”Old Joseph Nollekens and his Venus</t>
  </si>
  <si>
    <t>dbd9b8e8-7fe4-ce63-e301-e5e8811a0683</t>
  </si>
  <si>
    <t>Night (Noc)</t>
  </si>
  <si>
    <t>Oil on metal and hardboard</t>
  </si>
  <si>
    <t>Erna Rosenstein</t>
  </si>
  <si>
    <t>37188e34-da29-79ee-52a0-41c991b204ce</t>
  </si>
  <si>
    <t>Pen and black ink with watercolor, over graphite, on white wove paper</t>
  </si>
  <si>
    <t>e4ba57a3-85a1-01ed-158f-7ac45a268cd2</t>
  </si>
  <si>
    <t>Lily</t>
  </si>
  <si>
    <t>Thank You</t>
  </si>
  <si>
    <t>Acrylic, watercolor, flashe, crayon, colored pencil, oil pastel, pencil, hand-colored canvas, thank you bag, on canvas</t>
  </si>
  <si>
    <t>Tschabalala  Self</t>
  </si>
  <si>
    <t>b47a7a0a-8e59-7ea5-098f-0cb85d8a96e1</t>
  </si>
  <si>
    <t>The Angel Departing from the Family of Tobit (?)</t>
  </si>
  <si>
    <t>Red oil paint on ivory laid paper</t>
  </si>
  <si>
    <t>eb55a232-2209-e00d-0716-0f813cea6c64</t>
  </si>
  <si>
    <t>Magic Bubbles</t>
  </si>
  <si>
    <t>db9d179d-5a4d-bc1f-f90d-b2f000d1d294</t>
  </si>
  <si>
    <t>40.6 âœ• 61 cm (16 âœ• 24 in.)</t>
  </si>
  <si>
    <t>Woman before the Mirror</t>
  </si>
  <si>
    <t>Ellen Emmet Rand</t>
  </si>
  <si>
    <t>5bb2d4a1-4e98-eb12-615b-51f8370e5872</t>
  </si>
  <si>
    <t>70.8 âœ• 54.6 cm (27 7/8 âœ• 21 1/2 in.)</t>
  </si>
  <si>
    <t>Leaves and Shell</t>
  </si>
  <si>
    <t>magic realist</t>
  </si>
  <si>
    <t>c64319cf-35d0-e156-31bb-41f22b0e85d7</t>
  </si>
  <si>
    <t>32.4 âœ• 44.5 cm (12 3/4 âœ• 17 1/2 in.)</t>
  </si>
  <si>
    <t>Three Views of a Nude Woman, Sketches of Hands</t>
  </si>
  <si>
    <t>George Woehrl</t>
  </si>
  <si>
    <t>d85f52f9-d60a-1485-cccb-892cd18fdfcd</t>
  </si>
  <si>
    <t>Arapaho II</t>
  </si>
  <si>
    <t>Ludwig Sander</t>
  </si>
  <si>
    <t>44a93609-f0ba-916e-2b21-f8cb6712550c</t>
  </si>
  <si>
    <t>Plum</t>
  </si>
  <si>
    <t>9e17cdd0-b22c-a3aa-5f94-9ac14e93c110</t>
  </si>
  <si>
    <t>Expanding</t>
  </si>
  <si>
    <t>69a36139-05ff-c2cc-3316-d97e15606714</t>
  </si>
  <si>
    <t>90 x 72" (228.6 x 182.9 cm.)</t>
  </si>
  <si>
    <t>Staircase in the Park of Villa Chigi di Ariccia</t>
  </si>
  <si>
    <t>Oil on paper, laid on canvas</t>
  </si>
  <si>
    <t>0b7a4670-30f1-1232-b53c-bddf1ebf3e8a</t>
  </si>
  <si>
    <t>15 1/2 in. v., 13 in.h.</t>
  </si>
  <si>
    <t>The Sand Pits, Hampstead Heath</t>
  </si>
  <si>
    <t>5e02eebd-547f-28d1-508e-5a6d56453110</t>
  </si>
  <si>
    <t>9 1/2 in.v., 15 in.h.</t>
  </si>
  <si>
    <t>Venice Seen from the Public Garden</t>
  </si>
  <si>
    <t>Jean Jules Antoine Lecomte du NoÃ¼y</t>
  </si>
  <si>
    <t>dc92647e-40e2-8a20-45d1-7ccf569e39da</t>
  </si>
  <si>
    <t>5 1/2 in.v., 12 13/16 in.h.</t>
  </si>
  <si>
    <t>Venice from the Riva looking toward the Piazzale San Marco</t>
  </si>
  <si>
    <t>68b74f5d-dfc8-6f40-f819-06eab21cc26d</t>
  </si>
  <si>
    <t>5 1/2 in.v., 9 1/4 in.h.</t>
  </si>
  <si>
    <t>Untitled (Paris, rue des Grands-Augustins)</t>
  </si>
  <si>
    <t>Bram van Velde</t>
  </si>
  <si>
    <t>afc24e4c-6367-50be-efc5-637e0dd123f9</t>
  </si>
  <si>
    <t>STOP</t>
  </si>
  <si>
    <t>Vern  Blosum</t>
  </si>
  <si>
    <t>f9d38d35-4593-fc21-3b83-bd155a974b47</t>
  </si>
  <si>
    <t>Sir Joshua Reynolds</t>
  </si>
  <si>
    <t>White Cap</t>
  </si>
  <si>
    <t>Felrath Hines</t>
  </si>
  <si>
    <t>4f9d508c-6826-c024-2a87-6d6127bffc33</t>
  </si>
  <si>
    <t>Gold Drawing #77</t>
  </si>
  <si>
    <t>Opaque blue watercolor and metallic gold ink on ivory wove paper</t>
  </si>
  <si>
    <t>Sara Sosnowy</t>
  </si>
  <si>
    <t>94387fff-971c-d2d2-737d-de157d09fc03</t>
  </si>
  <si>
    <t>Untitled (candles)</t>
  </si>
  <si>
    <t>eb3e3e8b-2099-c68a-4b05-42f2d75c4841</t>
  </si>
  <si>
    <t>Elihu Vedder</t>
  </si>
  <si>
    <t>27.9 x 35.6 cm (11 x 14 in.)</t>
  </si>
  <si>
    <t>Oil, ping pong and tennis balls, string and other material on canvas</t>
  </si>
  <si>
    <t>Christo Coetzee</t>
  </si>
  <si>
    <t>655c775b-ae0c-1b34-fb34-b07e05d63722</t>
  </si>
  <si>
    <t>Egon Schiele</t>
  </si>
  <si>
    <t>The Milliners</t>
  </si>
  <si>
    <t>Theresa F. Bernstein</t>
  </si>
  <si>
    <t>38c1cbfd-fbb9-f05c-d743-a6cf1e2f68e9</t>
  </si>
  <si>
    <t>Self-Portrait (recto); Female Nude Reclining (verso)</t>
  </si>
  <si>
    <t>Graphite with oil paint (recto), and graphite (verso), on ivory wove paper</t>
  </si>
  <si>
    <t>128c10f1-7327-eaf0-acd4-b49f265c201e</t>
  </si>
  <si>
    <t>Ernest Mancoba</t>
  </si>
  <si>
    <t>c4b267b7-9808-87d4-5b0a-dae3b4b9f017</t>
  </si>
  <si>
    <t>Final Judgment (JuÃ­zo final)</t>
  </si>
  <si>
    <t>Valente Ngwenya Malangatana</t>
  </si>
  <si>
    <t>184e13cf-f4c9-d0ae-e2d2-f8f50f105f56</t>
  </si>
  <si>
    <t>121.5 x 149 cm (48 x 58 5/8 in.)</t>
  </si>
  <si>
    <t>Wake</t>
  </si>
  <si>
    <t>f91929d8-c766-89cd-5bc4-8dde360373e5</t>
  </si>
  <si>
    <t>Not buried, but just under the surface</t>
  </si>
  <si>
    <t>acrylic on unstretched canvas</t>
  </si>
  <si>
    <t>Caroline Kent</t>
  </si>
  <si>
    <t>8a362cc1-8c24-4bba-c5be-e59d26441a76</t>
  </si>
  <si>
    <t>30.5 x 30.5 cm (12 x 12 in.)</t>
  </si>
  <si>
    <t>22.9 x 19.1 cm (9 x 7 1/2 in.)</t>
  </si>
  <si>
    <t>De la nada vida a la nada muerte</t>
  </si>
  <si>
    <t>Metallic powder in polymer emulsion on canvas</t>
  </si>
  <si>
    <t>4e80023a-aff6-9b82-b1cd-0d8325e3f783</t>
  </si>
  <si>
    <t>Venus, Cupid and Ceres</t>
  </si>
  <si>
    <t>Cornelis Cornelisz.</t>
  </si>
  <si>
    <t>1dae4ac9-d33c-56e4-06d5-985b6be3898c</t>
  </si>
  <si>
    <t>At the River's Bend (On the River II)</t>
  </si>
  <si>
    <t>Lilla Cabot Perry</t>
  </si>
  <si>
    <t>6fdfe01f-c348-e668-d203-b8330ac49b2d</t>
  </si>
  <si>
    <t>Lacquer and oil on Dibond</t>
  </si>
  <si>
    <t>f19e8be0-7cec-1a3c-c10f-14f46382d643</t>
  </si>
  <si>
    <t>Luna Park</t>
  </si>
  <si>
    <t>2ffcc6cb-b96a-fcd8-09ba-6bf83da17574</t>
  </si>
  <si>
    <t>101.6 x 76. 2 cm (40 x 30 in.)</t>
  </si>
  <si>
    <t>Multitudes</t>
  </si>
  <si>
    <t>Norman Lewis</t>
  </si>
  <si>
    <t>1f6b23e1-fbe7-b604-f4bb-aadb2a763d48</t>
  </si>
  <si>
    <t>Painted wood, oil on plastic and glass on wooden base</t>
  </si>
  <si>
    <t>Forrest Bess</t>
  </si>
  <si>
    <t>7f9fe328-f224-cad2-03eb-50d4b3337ebc</t>
  </si>
  <si>
    <t>61 x 66 x 21 cm (24 x 26 x 8 1/4 in.)</t>
  </si>
  <si>
    <t>Peau de soleil</t>
  </si>
  <si>
    <t>Oil, sand, pebbles and string on canvas</t>
  </si>
  <si>
    <t>Alice Rahon</t>
  </si>
  <si>
    <t>254ed3d4-db9b-fa80-6cc4-46eab289dd01</t>
  </si>
  <si>
    <t>71 x 91.4 cm  (28 x 36 in.)</t>
  </si>
  <si>
    <t>Self-Portrait and Autobiography</t>
  </si>
  <si>
    <t>823bc25a-b7ad-ab19-6d13-d1aa8eb3a439</t>
  </si>
  <si>
    <t>73.6 x 55.9 cm (28 x 22 in.)</t>
  </si>
  <si>
    <t>Mountain</t>
  </si>
  <si>
    <t>Oil and wax on canvas mounted on wood</t>
  </si>
  <si>
    <t>Anne Appleby</t>
  </si>
  <si>
    <t>ef503b09-c475-44b3-20c7-c9d7b257c06d</t>
  </si>
  <si>
    <t>oldblueshanging, while she waits</t>
  </si>
  <si>
    <t>Acrylic, mixed papers, wood</t>
  </si>
  <si>
    <t>Suzanne Jackson</t>
  </si>
  <si>
    <t>a28c18ed-ef98-b94a-c711-44f3e122031c</t>
  </si>
  <si>
    <t>221 x 226.1 x 40.6 cm (87 x 89 x 16 in.)</t>
  </si>
  <si>
    <t>Scenes from the Life of Saint John the Baptist</t>
  </si>
  <si>
    <t>Bartolomeo di Giovanni</t>
  </si>
  <si>
    <t>a6c18204-e035-5fd0-408e-46b27d1ee6c5</t>
  </si>
  <si>
    <t>Blacklash</t>
  </si>
  <si>
    <t>045cd4c2-5123-9187-0a01-e3a33916b994</t>
  </si>
  <si>
    <t>Raffaello Botticini</t>
  </si>
  <si>
    <t>24c1565b-f22d-fb73-4a7f-f35bcb3dcc09</t>
  </si>
  <si>
    <t>Diameter: 104.2 cm (41 in.)</t>
  </si>
  <si>
    <t>Fragment from Christ Carrying the Cross: Saint John the Evangelist</t>
  </si>
  <si>
    <t>266ebd5c-bc67-1e1e-9696-5a8e40e6de80</t>
  </si>
  <si>
    <t>Two Putti</t>
  </si>
  <si>
    <t>79a40120-87bf-ff0f-4a97-fdda3a26743c</t>
  </si>
  <si>
    <t>The Mystic Marriage of Saint Catherine of Alexandria</t>
  </si>
  <si>
    <t>Oil and tempera on panel, transferred to canvas</t>
  </si>
  <si>
    <t>Workshop of Francesco Francia</t>
  </si>
  <si>
    <t>30402fa5-7626-1294-25ad-b2d8d560e58d</t>
  </si>
  <si>
    <t>Tempera on panel transferred to canvas</t>
  </si>
  <si>
    <t>e0f46736-df2f-6908-da04-41a82268d002</t>
  </si>
  <si>
    <t>Virgin and Child with Two Angels</t>
  </si>
  <si>
    <t>Lorenzo di Bicci</t>
  </si>
  <si>
    <t>b6c59979-033c-0f53-c6e4-393378e372e8</t>
  </si>
  <si>
    <t>The Virgin Adoring the Child with the Young Saint John</t>
  </si>
  <si>
    <t>Follower of Domenico Ghirlandaio</t>
  </si>
  <si>
    <t>d375f02e-3fce-115a-f23d-f9ae9736469a</t>
  </si>
  <si>
    <t>Size: 38 3/8" diam. (97.5 cm diam)</t>
  </si>
  <si>
    <t>Francescuccio Ghissi</t>
  </si>
  <si>
    <t>4c862fdf-89d6-7c37-ccd2-3c5ee85e5161</t>
  </si>
  <si>
    <t>Virgin and Child Enthroned with Saints Peter, Paul, John the Baptist, and Dominic and a Dominican Supplicant</t>
  </si>
  <si>
    <t>Ugolino di Nerio</t>
  </si>
  <si>
    <t>e3c6d59b-4f1b-aee9-5ae4-a8f4a735eded</t>
  </si>
  <si>
    <t>Saint Catherine of Siena</t>
  </si>
  <si>
    <t>Spagna, Lo</t>
  </si>
  <si>
    <t>0457fe58-3a6e-155e-5185-e121db1e0bfd</t>
  </si>
  <si>
    <t>Francesco Botticini</t>
  </si>
  <si>
    <t>9c9e75ff-f131-2fdc-d29c-0584c80e0ca4</t>
  </si>
  <si>
    <t>Francesco Paolo Michetti</t>
  </si>
  <si>
    <t>The Virgin and Saint John the Evangelist</t>
  </si>
  <si>
    <t>4a17bb4f-36a8-e032-506f-77f8a214877b</t>
  </si>
  <si>
    <t>Running with Black Panthers and White Doves (from the Panthers In My Father's Palace Series)</t>
  </si>
  <si>
    <t>Mary Lovelace O'Neal</t>
  </si>
  <si>
    <t>6e9ec19f-334b-adce-ee47-d053fd44b749</t>
  </si>
  <si>
    <t>205.7 x 350.5 cm (81 x 138 in.)</t>
  </si>
  <si>
    <t>The Adoration of the Eucharist</t>
  </si>
  <si>
    <t>15a87438-df7b-8fe1-203f-e0b4d36236a0</t>
  </si>
  <si>
    <t>Woman Reading Before Window</t>
  </si>
  <si>
    <t>8ba8818f-81ee-d892-f01e-9fe2699eb17f</t>
  </si>
  <si>
    <t>Agrigente</t>
  </si>
  <si>
    <t>Jean Michel Atlan</t>
  </si>
  <si>
    <t>751fe63c-9e4c-32e8-2e21-e32cb3c9f3de</t>
  </si>
  <si>
    <t>Mud and house paint on plywood</t>
  </si>
  <si>
    <t>Jimmy Lee Sudduth</t>
  </si>
  <si>
    <t>612ba451-ab9f-0ad2-431a-485410b5b66f</t>
  </si>
  <si>
    <t>By the Sea, Dieppe</t>
  </si>
  <si>
    <t>e2913e3f-0feb-7481-4fed-683dcd3e1c7f</t>
  </si>
  <si>
    <t>View of Genoa</t>
  </si>
  <si>
    <t>bd8432e6-65f7-a32a-4e1a-85593633fa8f</t>
  </si>
  <si>
    <t>The Courtyard</t>
  </si>
  <si>
    <t>fb2e2757-1362-3ea0-ff55-fd25bfbc43b2</t>
  </si>
  <si>
    <t>38636be8-f1bc-c451-ae65-c441919bd0c3</t>
  </si>
  <si>
    <t>Woman at the Piano</t>
  </si>
  <si>
    <t>8f06717c-9ede-f22b-d13b-327a50c22f9c</t>
  </si>
  <si>
    <t>Jean Renoir Sewing</t>
  </si>
  <si>
    <t>41728a11-a073-6efa-387c-a40384477ad2</t>
  </si>
  <si>
    <t>Screen (Trees and Moon)</t>
  </si>
  <si>
    <t>Watercolor on canvas, five joined panels</t>
  </si>
  <si>
    <t>Silke Otto-Knapp</t>
  </si>
  <si>
    <t>0f715034-c46c-d741-2984-cdca07efa611</t>
  </si>
  <si>
    <t>243.8 x 81.3 x 1.9 cm (96 x 32 x 3/4 in.), each panel</t>
  </si>
  <si>
    <t>Watercolor with graphite on cream wove paper, laid down on tan wove paper</t>
  </si>
  <si>
    <t>ff4eb409-5b54-0443-8c05-270921a5de20</t>
  </si>
  <si>
    <t>71.1 x 55.9 cm (28 x 22 in.)</t>
  </si>
  <si>
    <t>A Vanitas Still Life with a Flag, Candlestick, Musical Instruments, Books, Writing Paraphernalia, Globes and Hourglass</t>
  </si>
  <si>
    <t>Edwaert Collier</t>
  </si>
  <si>
    <t>56e1a594-eb9e-c8cb-bc53-7965237accd1</t>
  </si>
  <si>
    <t>98 x 129.7 cm (38 1/2 x 51 in.)</t>
  </si>
  <si>
    <t>Fishing Boat</t>
  </si>
  <si>
    <t>Watercolor and gouache, with black chalk, on cream laid paper</t>
  </si>
  <si>
    <t>3d83b910-3db6-2a60-427c-46ef6db5789f</t>
  </si>
  <si>
    <t>Tempera on canvas</t>
  </si>
  <si>
    <t>nonobjective</t>
  </si>
  <si>
    <t>c0336616-0e02-20f7-ff4d-e86fd9578de6</t>
  </si>
  <si>
    <t>91.5 x 130 cm (36 x 51 1/4 in.)</t>
  </si>
  <si>
    <t>Silver Springs</t>
  </si>
  <si>
    <t>3d211b5a-be7c-0551-a9fd-7b89c97edebc</t>
  </si>
  <si>
    <t>Our River Hudson</t>
  </si>
  <si>
    <t>d5abb02d-d273-6f31-c628-a1cf41423943</t>
  </si>
  <si>
    <t>On the Ganges, Benares</t>
  </si>
  <si>
    <t>Oil paint, with graphite, on cream wove paper, laid down on cream wove card</t>
  </si>
  <si>
    <t>9a8134c1-6e15-dd15-b832-7242c31c71d8</t>
  </si>
  <si>
    <t>The White Bridge</t>
  </si>
  <si>
    <t>b2b488b9-99f2-d091-ead4-538f20a94592</t>
  </si>
  <si>
    <t>Harriet White</t>
  </si>
  <si>
    <t>Samuel Lovett Waldo</t>
  </si>
  <si>
    <t>4841c80c-ecd9-047b-8590-c975964ad879</t>
  </si>
  <si>
    <t>Watercolor and gouache, with pastel and touches of colored pencil on cream laid paper, laid down on cream wove paper</t>
  </si>
  <si>
    <t>deed30c9-ebb0-c8f8-aeaa-72e31e2db34f</t>
  </si>
  <si>
    <t>Two Fence Posts</t>
  </si>
  <si>
    <t>Watercolor, with gouache and traces of charcoal on cream wove paper, laid down on gray wood-pulp laminate board</t>
  </si>
  <si>
    <t>c106d395-8539-148b-a005-eb7142da469a</t>
  </si>
  <si>
    <t>Woman with Cigar</t>
  </si>
  <si>
    <t>6c8a505c-45ce-e792-f7dd-5feaa6d3246a</t>
  </si>
  <si>
    <t>Once a Noun, Now a Verb #2</t>
  </si>
  <si>
    <t>Matte oil on mahogany panel</t>
  </si>
  <si>
    <t>b29d52a7-b82a-0dc0-3621-f0b3e5193731</t>
  </si>
  <si>
    <t>121.9 x 91.4 cm (48 x 36 in.)</t>
  </si>
  <si>
    <t>94cdf00a-373d-0f0f-685a-8eebe8d26bc2</t>
  </si>
  <si>
    <t>The Cloisters</t>
  </si>
  <si>
    <t>596d9fb7-e748-b510-85cc-ca1cf7ca8046</t>
  </si>
  <si>
    <t>Composition #275</t>
  </si>
  <si>
    <t>Jean Xceron</t>
  </si>
  <si>
    <t>b6376e12-57e9-96bd-2629-49cca70560d0</t>
  </si>
  <si>
    <t>A Long Road</t>
  </si>
  <si>
    <t>Watercolor, with black chalk, touches of red chalk, and wiping, on cream wood-pulp card</t>
  </si>
  <si>
    <t>82774429-2548-57c4-da95-f6c234403933</t>
  </si>
  <si>
    <t>St. John of Matha and St. Felix of Valois Ransoming Christian Slaves</t>
  </si>
  <si>
    <t>Franz Xavier Karl Palko</t>
  </si>
  <si>
    <t>f1f3e628-5778-24be-aad0-628eef05a5a2</t>
  </si>
  <si>
    <t>Twentieth Century Ruin</t>
  </si>
  <si>
    <t>306b073a-8ba7-3ce9-bafb-5522225a1535</t>
  </si>
  <si>
    <t>On a Balcony</t>
  </si>
  <si>
    <t>3b404ec5-bef6-2614-570c-37d2c2386826</t>
  </si>
  <si>
    <t>La Piana</t>
  </si>
  <si>
    <t>Watercolor and pen and brush and brown ink, over graphite, on ivory wove paper</t>
  </si>
  <si>
    <t>be1006e2-e77f-3344-4b26-59d78fde58dd</t>
  </si>
  <si>
    <t>View of the Grotta di Palazzo with Banquet</t>
  </si>
  <si>
    <t>Pen and black ink and brush and watercolor, over traces of graphite, on ivory laid paper, laid down on card</t>
  </si>
  <si>
    <t>5bbc0c4b-ace9-38ef-460f-4a9efedad60a</t>
  </si>
  <si>
    <t>Watercolor, with pen and black ink, on cream laid paper</t>
  </si>
  <si>
    <t>021e6f13-725d-3a1b-d995-6054957b6f5e</t>
  </si>
  <si>
    <t>Robert Bartholow Harshe</t>
  </si>
  <si>
    <t>The Rock of Hautepierre</t>
  </si>
  <si>
    <t>e0f47937-a1ee-76b4-6505-35a33119a634</t>
  </si>
  <si>
    <t>Beside the Sea #34</t>
  </si>
  <si>
    <t>Black oil paint on paper</t>
  </si>
  <si>
    <t>857653de-8087-38f4-0a4c-305862f85154</t>
  </si>
  <si>
    <t>Henry Gibbs</t>
  </si>
  <si>
    <t>78d9bb83-436f-18d4-d525-264ea6957a60</t>
  </si>
  <si>
    <t>John Hesselius</t>
  </si>
  <si>
    <t>A Friendly Warning</t>
  </si>
  <si>
    <t>Thomas Hicks</t>
  </si>
  <si>
    <t>e1f6ef79-7216-4f19-ac78-a307a2fb4f32</t>
  </si>
  <si>
    <t>John Neagle</t>
  </si>
  <si>
    <t>Mrs. William Carmichael</t>
  </si>
  <si>
    <t>dd3ea854-1e8b-de71-a536-031ceb389b98</t>
  </si>
  <si>
    <t>Portrait of a Naval Officer</t>
  </si>
  <si>
    <t>John Wollaston</t>
  </si>
  <si>
    <t>4340ff79-2795-b564-a39d-440716edbcac</t>
  </si>
  <si>
    <t>Niagara Falls in Winter</t>
  </si>
  <si>
    <t>42924282-d483-cd95-e676-52aee4bc4164</t>
  </si>
  <si>
    <t>Chester Harding</t>
  </si>
  <si>
    <t>19967481-f358-3d6d-781e-9aa9187d6007</t>
  </si>
  <si>
    <t>Madam Pompadour</t>
  </si>
  <si>
    <t>fdc1a755-ff86-487d-f16b-f03c40a30bee</t>
  </si>
  <si>
    <t>Two Monks in a Landscape</t>
  </si>
  <si>
    <t>0f1d3bfb-cbd3-80cb-dfb9-d157e77d1542</t>
  </si>
  <si>
    <t>Saint Marie-sur-mer</t>
  </si>
  <si>
    <t>Florence Vincent Robinson</t>
  </si>
  <si>
    <t>7ce4c805-8e51-e752-efed-270c47c61cfb</t>
  </si>
  <si>
    <t>Watercolor, with gouache and touches of scraping, over traces of graphite, on ivory wove paper</t>
  </si>
  <si>
    <t>3abcd6ed-f46b-ce19-ea1c-74d4a7bdded6</t>
  </si>
  <si>
    <t>Mystic Night</t>
  </si>
  <si>
    <t>Millard Owen Sheets</t>
  </si>
  <si>
    <t>6ab5951d-068c-ba4e-c451-b16bc7b1b7b7</t>
  </si>
  <si>
    <t>Marine Scene</t>
  </si>
  <si>
    <t>English Harbor, the Pier at Brighton</t>
  </si>
  <si>
    <t>709f364e-4594-779d-53a7-315b36db8048</t>
  </si>
  <si>
    <t>View of IJsselmonde Seen Across the New Maas</t>
  </si>
  <si>
    <t>Brush and black and yellow ochre watercolors, over black chalk, on ivory laid paper</t>
  </si>
  <si>
    <t>5d3d7ee4-268d-97dd-b557-35c99edbca31</t>
  </si>
  <si>
    <t>The Dream of Paris</t>
  </si>
  <si>
    <t>Landscape with Wayside Cross and Cottages</t>
  </si>
  <si>
    <t>Pen and brown ink with brush and brown wash and watercolor, over traces of graphite, on cream wove paper, laid down on ivory wove paper</t>
  </si>
  <si>
    <t>8c5331a0-7076-8b99-83b0-3ea9c8bbded7</t>
  </si>
  <si>
    <t>My Mother</t>
  </si>
  <si>
    <t>04cb7292-b20b-b313-2c08-19e685b70e7e</t>
  </si>
  <si>
    <t>27a32fa4-9517-3ba2-fe0c-3ffcf44df04f</t>
  </si>
  <si>
    <t>The Scullion</t>
  </si>
  <si>
    <t>07fb7c7a-7645-00c1-5b45-26467724f194</t>
  </si>
  <si>
    <t>Eugene Speicher</t>
  </si>
  <si>
    <t>Christmas at Taos</t>
  </si>
  <si>
    <t>Erminio Scapicchi</t>
  </si>
  <si>
    <t>9ddac125-a1b4-7372-6308-886676b7a5b2</t>
  </si>
  <si>
    <t>Flowers (Cyclamen)</t>
  </si>
  <si>
    <t>b2ac0e87-792d-186b-4a79-0b08f522cb02</t>
  </si>
  <si>
    <t>8ee88552-aee8-57d8-0cd9-d9eb0c3e442b</t>
  </si>
  <si>
    <t>50b2dee2-6011-fe79-58bc-b9d9ae140d0c</t>
  </si>
  <si>
    <t>afa38424-ea2d-87ea-1b98-97afb17bec1b</t>
  </si>
  <si>
    <t>Mahana no atua (Day of the God)</t>
  </si>
  <si>
    <t>a4bef587-48a4-d186-813d-f297441b1ab3</t>
  </si>
  <si>
    <t>Madame Roulin Rocking the Cradle (La berceuse)</t>
  </si>
  <si>
    <t>9325e3ea-2d5d-120f-5bfb-faa0f8266ca6</t>
  </si>
  <si>
    <t>Terrace and Observation Deck at the Moulin de Blute-Fin, Montmartre</t>
  </si>
  <si>
    <t>Oil on canvas, mounted on pressboard</t>
  </si>
  <si>
    <t>6cb22407-be79-bf0a-1a63-fdf2b99e035b</t>
  </si>
  <si>
    <t>The Grand Muveran</t>
  </si>
  <si>
    <t>758ea592-795a-8395-e148-c5f4bfd10b07</t>
  </si>
  <si>
    <t>James Vibert, Sculptor</t>
  </si>
  <si>
    <t>caf7fb08-39ef-7bd8-b81a-181ee31cc324</t>
  </si>
  <si>
    <t>fe1ce641-f5f4-c4f6-9229-4958126dd25e</t>
  </si>
  <si>
    <t>The Ladies of Avignon</t>
  </si>
  <si>
    <t>ea2f41e0-8129-2491-66bf-decabaf34d3c</t>
  </si>
  <si>
    <t>Gouache, with pen and brownish-black ink, on ivory wove paper</t>
  </si>
  <si>
    <t>c419b756-6cfe-59b1-766d-7ab86b00156b</t>
  </si>
  <si>
    <t>The Brook</t>
  </si>
  <si>
    <t>Watercolor with rewetting, blotting, wiping, and touches of scraping, over touches of graphite, on thick, rough-textured, ivory wove paper (lower and right edges trimmed)</t>
  </si>
  <si>
    <t>d8f50197-8976-671b-9714-da126ec50ad3</t>
  </si>
  <si>
    <t>Woman on Rose Divan</t>
  </si>
  <si>
    <t>65e58fc4-4dd1-7149-b76b-94547745bece</t>
  </si>
  <si>
    <t>Street in Paris</t>
  </si>
  <si>
    <t>8574f0a6-8713-bd6e-0f22-29af8894c36c</t>
  </si>
  <si>
    <t>Coast at Cerberre</t>
  </si>
  <si>
    <t>James Dickson Innes</t>
  </si>
  <si>
    <t>32c5ff42-bb51-acef-ae5a-27df326ef9dc</t>
  </si>
  <si>
    <t>Pears in a Garden</t>
  </si>
  <si>
    <t>Watercolor, with graphite on cream laid paper</t>
  </si>
  <si>
    <t>38ab393b-d731-a862-76fa-f3f7935f97e9</t>
  </si>
  <si>
    <t>c65c4d31-4c8e-0135-1271-433a10c8350a</t>
  </si>
  <si>
    <t>f6f8ebf0-b3a4-066d-d4c7-32aeaba44d1f</t>
  </si>
  <si>
    <t>Thomas Walker and Peter Monamy</t>
  </si>
  <si>
    <t>Gawen Hamilton</t>
  </si>
  <si>
    <t>7f13cc17-67d7-fdec-329a-dc7d431213f5</t>
  </si>
  <si>
    <t>Wounded Stag and Dog</t>
  </si>
  <si>
    <t>d51d6837-5331-4b12-6e97-ca0bd1021940</t>
  </si>
  <si>
    <t>Architectural Landscape with Belisarius Receiving Alms</t>
  </si>
  <si>
    <t>3fa36102-97ed-7065-d072-ce0b15a9a2f1</t>
  </si>
  <si>
    <t>Alpine Scene</t>
  </si>
  <si>
    <t>07bdc94a-7d44-fde8-c0e1-f19fefce359d</t>
  </si>
  <si>
    <t>50ac4789-b167-eb84-b8da-3b3ddc1c095d</t>
  </si>
  <si>
    <t>Portrait of Woman in White</t>
  </si>
  <si>
    <t>2dc3f568-78ec-8475-7c96-9d9a104e308f</t>
  </si>
  <si>
    <t>8f385b97-9e44-4b7b-a7ce-acd9bee0a732</t>
  </si>
  <si>
    <t>The Idols</t>
  </si>
  <si>
    <t>Cady Wells</t>
  </si>
  <si>
    <t>261e8e9f-4fca-f21a-bc4d-9a7b25455750</t>
  </si>
  <si>
    <t>Costume Design: Woman in Red Dress with Green Apron</t>
  </si>
  <si>
    <t>Graphite, with erasing and gouache, heightened with lead white (discolored) on ivory wove paper, laid down on cream board</t>
  </si>
  <si>
    <t>48e3461b-13ab-6156-c75f-9cc9cbb1bff4</t>
  </si>
  <si>
    <t>fafc6d1b-1165-a1cb-b8ef-8634a1a01764</t>
  </si>
  <si>
    <t>b7366293-7fcc-bbdc-b577-bc70c3ab69e2</t>
  </si>
  <si>
    <t>Black Number Two</t>
  </si>
  <si>
    <t>Watercolor and gouache on white wove paper, laid down on gray board</t>
  </si>
  <si>
    <t>0cf06adb-83b7-58e2-acfc-7c1bd14aed21</t>
  </si>
  <si>
    <t>The Woodchopper</t>
  </si>
  <si>
    <t>Randall Davey</t>
  </si>
  <si>
    <t>Texturology LX (Vacation in the Sun)</t>
  </si>
  <si>
    <t>10af2bf0-434b-d27c-9ce6-17eaddf4c71f</t>
  </si>
  <si>
    <t>Figure and Flowers</t>
  </si>
  <si>
    <t>28834991-650e-202c-d5e1-51f4236e9cef</t>
  </si>
  <si>
    <t>Passerelle de la Tournelle</t>
  </si>
  <si>
    <t>c0df9197-8352-53f8-ec81-182a2ebe14fb</t>
  </si>
  <si>
    <t>Shipwreck</t>
  </si>
  <si>
    <t>A Pagan Sacrifice</t>
  </si>
  <si>
    <t>Oil paint on tan laid paper, laid down on cream wove paper</t>
  </si>
  <si>
    <t>4a8d1a44-32c7-8106-daf6-14673cc9e2e0</t>
  </si>
  <si>
    <t>Prancing Horse</t>
  </si>
  <si>
    <t>Watercolor and gouache, with pen and black ink, over charcoal on ivory wove paper</t>
  </si>
  <si>
    <t>57d85c59-0c55-f133-61f5-e1696abb5934</t>
  </si>
  <si>
    <t>Street Scene in Northern France</t>
  </si>
  <si>
    <t>Watercolor heightened with touches of white gouache on cream wove card</t>
  </si>
  <si>
    <t>Ambrose Poynter</t>
  </si>
  <si>
    <t>e0480086-9e05-5e8a-a0a1-2c412c596e43</t>
  </si>
  <si>
    <t>River Boat</t>
  </si>
  <si>
    <t>24f5a9ff-fe25-e1be-65f5-d65f2d509ad4</t>
  </si>
  <si>
    <t>Man with a Ruff</t>
  </si>
  <si>
    <t>edf68284-ce38-4d0b-3c93-91b05d575e1b</t>
  </si>
  <si>
    <t>Study for "William Rush Carving His Allegorical Figure of the Schuylkill River"</t>
  </si>
  <si>
    <t>Oil on canvas mounted on board</t>
  </si>
  <si>
    <t>bb08408a-0650-380f-4f0f-c3f012d1113e</t>
  </si>
  <si>
    <t>A Peasant Woman Digging in Front of Her Cottage</t>
  </si>
  <si>
    <t>1d3a275d-45dd-6026-b6ed-d7d8df417a3d</t>
  </si>
  <si>
    <t>Woman and Child (Silence)</t>
  </si>
  <si>
    <t>37ec2508-412c-ed9f-569a-666938fc71ee</t>
  </si>
  <si>
    <t>St. Albert of Louvain</t>
  </si>
  <si>
    <t>58f58363-f567-0e49-7956-d49400721b1c</t>
  </si>
  <si>
    <t>032420c7-9605-8f39-7180-dc38299f0431</t>
  </si>
  <si>
    <t>Mrs. Darrow</t>
  </si>
  <si>
    <t>62156c9a-2bb6-b533-7cc2-d116c1531e9a</t>
  </si>
  <si>
    <t>Fragment of "Mother and Child"</t>
  </si>
  <si>
    <t>Return to Order</t>
  </si>
  <si>
    <t>2a269129-0a2a-75e7-4e7c-01d184a146e1</t>
  </si>
  <si>
    <t>Ascending and Descending Hero</t>
  </si>
  <si>
    <t>Acrylic emulsion on canvas</t>
  </si>
  <si>
    <t>c44dbabd-ab24-673d-bbf3-60c39451c894</t>
  </si>
  <si>
    <t>Santorini</t>
  </si>
  <si>
    <t>ed659075-b9d4-c4bd-caad-1f0d081467c2</t>
  </si>
  <si>
    <t>Commerce Counselor Ebenstein</t>
  </si>
  <si>
    <t>513f71f2-18d3-7d99-25a3-d9d1110bf729</t>
  </si>
  <si>
    <t>Green Mountains, Canada</t>
  </si>
  <si>
    <t>e358588d-f0b2-69a2-5b26-7d8594687a29</t>
  </si>
  <si>
    <t>Watercolor with re-wetting and blotting on lightweight, slightly textured, off-white wove paper, pieced</t>
  </si>
  <si>
    <t>190e7ba1-6d23-89d6-a220-8b142a38fa7f</t>
  </si>
  <si>
    <t>Watercolor and graphite on lightweight, slightly textured, off-white wove paper</t>
  </si>
  <si>
    <t>c215b9d5-6de7-1b9d-819d-91271cc2115a</t>
  </si>
  <si>
    <t>The Gladiator</t>
  </si>
  <si>
    <t>3d73a66a-3cf3-64e0-b98b-e8d7ab1d7f3d</t>
  </si>
  <si>
    <t>Watercolor with rewetting and blotting, and graphite, on lightweight, slightly textured, off-white wove paper, laid down on ivory wove card</t>
  </si>
  <si>
    <t>fff98d98-2ea4-ab6b-dcea-f3de4417e14c</t>
  </si>
  <si>
    <t>A Vision</t>
  </si>
  <si>
    <t>New York Skyline, Boats in Foreground</t>
  </si>
  <si>
    <t>Watercolor and graphite on lightweight, smooth, tan wove paper (right and lower edges trimmed)</t>
  </si>
  <si>
    <t>6dd51655-7621-8084-af99-0cc0b783a76b</t>
  </si>
  <si>
    <t>New York with View of the Flatiron Building</t>
  </si>
  <si>
    <t>Watercolor with graphite on lightweight, smooth, cream wove paper, discolored to tan, laid down on white wove card (top and lower edges trimmed)</t>
  </si>
  <si>
    <t>8c542a5f-7a56-a3d1-621d-9f29e75732b9</t>
  </si>
  <si>
    <t>Watercolor with blotting, on lightweight, moderately textured, ivory wove paper, laid down on white wove paper (left edge trimmed)</t>
  </si>
  <si>
    <t>d5009db9-9943-909f-2fed-9cb2de7804d1</t>
  </si>
  <si>
    <t>fe17bc32-9512-fc0c-4c84-d812c8ea144c</t>
  </si>
  <si>
    <t>West Shore Docks, Weehawken, New Jersey</t>
  </si>
  <si>
    <t>Watercolor with blotting, wiping and scraping, on lightweight, slightly textured, ivory wove paper (top, right and left edges trimmed), laid down on white card</t>
  </si>
  <si>
    <t>ae94411c-2348-0c03-6116-dd35291b76a2</t>
  </si>
  <si>
    <t>Skyline with Boats in Foreground</t>
  </si>
  <si>
    <t>Watercolor with wiping, scraping, and blotting, and graphite with charcoal, on lightweight, smooth, cream wove paper (left and lower edges trimmed), laid down on white wove card</t>
  </si>
  <si>
    <t>b6391e64-f8a2-0118-7319-ef7958cd63cd</t>
  </si>
  <si>
    <t>Mills and Footbridge, Meaux</t>
  </si>
  <si>
    <t>Watercolor with touches of blotting, over traces of graphite, on lightweight, moderately textured, ivory wove paper, laid down on off-white wood-pulp laminate board</t>
  </si>
  <si>
    <t>fba3c53d-f118-18f6-9bd8-13e984323aee</t>
  </si>
  <si>
    <t>Scene on a Lake in the Morning</t>
  </si>
  <si>
    <t>Watercolor on gouache, on Japanese paper</t>
  </si>
  <si>
    <t>Charles Conder</t>
  </si>
  <si>
    <t>19887133-6419-dc38-4e43-4f37bb966cca</t>
  </si>
  <si>
    <t>The Great War of the Wonder Women</t>
  </si>
  <si>
    <t>197e4d0c-4f34-3193-c609-4b442be816e5</t>
  </si>
  <si>
    <t>Weehawken, New Jersey</t>
  </si>
  <si>
    <t>Watercolor with opaque watercolor, rewetting and touches of blotting, on lightweight, slightly textured, off-white wove paper, laid down on white wove paper</t>
  </si>
  <si>
    <t>b14a9202-9f19-8794-e15e-968b96c0f5b7</t>
  </si>
  <si>
    <t>Study for the Silkscreen Interior</t>
  </si>
  <si>
    <t>be1661ba-7171-2d8a-e915-3d9a563c7170</t>
  </si>
  <si>
    <t>The Forester's Cart</t>
  </si>
  <si>
    <t>f36d46c0-a885-c81d-c9dd-605b4880f2c2</t>
  </si>
  <si>
    <t>Spring (Montbarbin)</t>
  </si>
  <si>
    <t>Watercolor with blotting and rewetting, on lightweight, slightly textured, off-white wove paper (top and lower edges trimmed)</t>
  </si>
  <si>
    <t>719521fe-fc63-0f65-f5dd-4313d8859cbc</t>
  </si>
  <si>
    <t>Tree and Mountain Forms, Delaware River Country</t>
  </si>
  <si>
    <t>Watercolor with rewetting, blotting, wiping, and scraping, on moderately thick, rough, off-white wove paper (all edges trimmed)</t>
  </si>
  <si>
    <t>98d3ca34-e264-af12-2c46-ea77000f79d9</t>
  </si>
  <si>
    <t>Watercolor with blotting, over graphite, on lightweight, slightly textured, off-white wove paper, laid down on ivory wove card</t>
  </si>
  <si>
    <t>055dc7e6-b6b8-8ac9-021d-bfb27fa0e525</t>
  </si>
  <si>
    <t>Saint Paul's, with Other Buildings</t>
  </si>
  <si>
    <t>Watercolor and graphite on lightweight, moderately textured, off-white wove paper</t>
  </si>
  <si>
    <t>794a2068-3ce8-d651-369c-82b132eb87c0</t>
  </si>
  <si>
    <t>Buildings, One with Tower</t>
  </si>
  <si>
    <t>Watercolor with blotting and scraping, over graphite, on medium-weight, moderately textured, ivory wove paper (all edges trimmed), laid down on wood-pulp laminate board</t>
  </si>
  <si>
    <t>e3d683ee-d24c-cd8e-db91-a98cbad3851a</t>
  </si>
  <si>
    <t>Watercolor and graphite on lightweight, smooth, cream wove paper, laid down on white wove card</t>
  </si>
  <si>
    <t>cac7ff54-ce8a-1d8b-f7ff-319831c60d15</t>
  </si>
  <si>
    <t>Sunset and Moonrise</t>
  </si>
  <si>
    <t>Watercolor and gouache over traces of graphite, on ivory wove paper, laid down on board</t>
  </si>
  <si>
    <t>5cd5edc1-be1a-486c-9210-468da7668939</t>
  </si>
  <si>
    <t>db370ca6-29bc-af9e-bc57-1d3126076d0e</t>
  </si>
  <si>
    <t>In the Heather</t>
  </si>
  <si>
    <t>efbc8786-6890-1993-df69-237507461334</t>
  </si>
  <si>
    <t>5a922de0-9ce7-6431-26b4-3eb2bfac1363</t>
  </si>
  <si>
    <t>Triptych of the Virgin and Child with Scenes from the Life of Christ</t>
  </si>
  <si>
    <t>df2196d5-6d12-1cbe-18f2-47ee362fc7a2</t>
  </si>
  <si>
    <t>Fairy Land</t>
  </si>
  <si>
    <t>b42c5036-147b-fafb-9bdb-f46b3d1b7f76</t>
  </si>
  <si>
    <t>The Ant and the Grasshopper</t>
  </si>
  <si>
    <t>Watercolor, with touches of gouache, on cream wove card</t>
  </si>
  <si>
    <t>Jehan Georges Vibert</t>
  </si>
  <si>
    <t>51ce5b8f-0df4-0313-0468-1f38d3bd6370</t>
  </si>
  <si>
    <t>After Khorkum</t>
  </si>
  <si>
    <t>23479ed2-468f-b2d6-00d1-e909b8fa2d57</t>
  </si>
  <si>
    <t>The Cold Wave</t>
  </si>
  <si>
    <t>Gouache, over graphite, on ivory wood-pulp laminate board</t>
  </si>
  <si>
    <t>Dale Nichols</t>
  </si>
  <si>
    <t>3dcc6229-af6a-eb6b-5878-d36fc07814eb</t>
  </si>
  <si>
    <t>Rifka Angel</t>
  </si>
  <si>
    <t>Rene Magritte</t>
  </si>
  <si>
    <t>173 x 245 mm</t>
  </si>
  <si>
    <t>Saint-Simeon</t>
  </si>
  <si>
    <t>Watercolor and yellow ochre pastel, with touches of pen and black ink, on tan wove paper</t>
  </si>
  <si>
    <t>Anton Faistauer</t>
  </si>
  <si>
    <t>26c49390-c7bd-413f-0e49-b55b05fd172f</t>
  </si>
  <si>
    <t>3f3c5575-a5fd-013c-fb11-bdb9feae26a8</t>
  </si>
  <si>
    <t>Entrance to the Port of Honfleur</t>
  </si>
  <si>
    <t>d1549113-7586-2193-de9f-80c1ce58ed64</t>
  </si>
  <si>
    <t>Portrait of a Grand Master of the Knights of Malta, Martin de Redin</t>
  </si>
  <si>
    <t>Mattia Preti</t>
  </si>
  <si>
    <t>5510e671-04eb-e498-51b1-09e177bb5b46</t>
  </si>
  <si>
    <t>Colonnade and Gardens of the Medici Palace</t>
  </si>
  <si>
    <t>Style of Hubert Robert</t>
  </si>
  <si>
    <t>97958731-7377-844e-0a17-1c9c3214800f</t>
  </si>
  <si>
    <t>fc7ba5e5-5aaa-61a1-b744-cec37b4f5266</t>
  </si>
  <si>
    <t>The Man with a Pipe</t>
  </si>
  <si>
    <t>30a451d0-c798-b513-8258-8f039a5818f3</t>
  </si>
  <si>
    <t>The Green Circus Riders</t>
  </si>
  <si>
    <t>Gouache, with watercolor and graphite on cream watercolor paper</t>
  </si>
  <si>
    <t>428bf60e-ade9-72bd-ebbe-bbbcb30eac13</t>
  </si>
  <si>
    <t>The Old Mill</t>
  </si>
  <si>
    <t>9c2e39ad-fc3f-356e-cd98-db0038cfe8da</t>
  </si>
  <si>
    <t>The Shoe Shop</t>
  </si>
  <si>
    <t>Elizabeth Sparhawk-Jones</t>
  </si>
  <si>
    <t>2ffde7b6-d57c-eba4-c6af-9f4e1dc91d72</t>
  </si>
  <si>
    <t>Unknown Venetian</t>
  </si>
  <si>
    <t>Portrait of Cardinal Zelada</t>
  </si>
  <si>
    <t>Anton Raffael Mengs</t>
  </si>
  <si>
    <t>e53b4972-30dc-5aed-1696-2b5778277d60</t>
  </si>
  <si>
    <t>The Denial of Saint Peter</t>
  </si>
  <si>
    <t>Hendrick Terbrugghen</t>
  </si>
  <si>
    <t>f8a1f3b3-4506-d336-aceb-5aec6c4a2e3d</t>
  </si>
  <si>
    <t>French Town, Buildings and River</t>
  </si>
  <si>
    <t>a5e8fa44-1cdc-d5b7-2768-b3b71c029c54</t>
  </si>
  <si>
    <t>The Terrace Bridge, Central Park</t>
  </si>
  <si>
    <t>7182fe78-c4dd-c30d-2ae7-d1e018aacfd8</t>
  </si>
  <si>
    <t>Bahamas Coal Vendor, Nassau</t>
  </si>
  <si>
    <t>Watercolor and gouache, over graphite, on off-white wove paper, laid down on cream wood-pulp laminate board</t>
  </si>
  <si>
    <t>Joseph W. Jicha</t>
  </si>
  <si>
    <t>553725da-24a2-c646-7cc3-bae92a0b71d4</t>
  </si>
  <si>
    <t>Along the Beach, England</t>
  </si>
  <si>
    <t>Watercolor with charcoal on cream wove paper, laid down on tan card</t>
  </si>
  <si>
    <t>Jean Myrtle MacLane</t>
  </si>
  <si>
    <t>1d9568c3-a338-2daf-0e6c-5242f8bba142</t>
  </si>
  <si>
    <t>Yea, They're Bucking Up Old Bob</t>
  </si>
  <si>
    <t>Watercolor, over traces of graphite, on off-white watercolor paper</t>
  </si>
  <si>
    <t>David Sharpe</t>
  </si>
  <si>
    <t>e4e4ef26-c628-82bf-9b76-acd6a09dbb44</t>
  </si>
  <si>
    <t>Watercolor, over graphite, on off-white watercolor paper</t>
  </si>
  <si>
    <t>c94727ad-eecf-2944-8b96-575ef4518f1a</t>
  </si>
  <si>
    <t>Gabriele MÃ¼nter</t>
  </si>
  <si>
    <t>Roscoff</t>
  </si>
  <si>
    <t>Watercolor and gouache, over traces of graphite, on ivory watercolor paper</t>
  </si>
  <si>
    <t>f4bacab6-cefe-2389-7132-99202b614e0f</t>
  </si>
  <si>
    <t>Nuns in Convent Yard</t>
  </si>
  <si>
    <t>Watercolor and brush and black ink, with pen and black ink, over traces of graphite on cream Japanese paper, laid down on brown wood-pulp board</t>
  </si>
  <si>
    <t>07a98d53-6ee3-f330-ae59-b1ef24aa35b4</t>
  </si>
  <si>
    <t>Watercolor, opaque watercolor, pen and black ink, and gold leaf, with glue and coarse pigments on cream Japanese paper</t>
  </si>
  <si>
    <t>f4cf14de-118f-16f8-86e9-8e344c6fa5dc</t>
  </si>
  <si>
    <t>Watercolor, gold leaf, and brush and black ink, with pen and black ink, over graphite on beige Japanese paper, prepared with a black gouache ground</t>
  </si>
  <si>
    <t>593bbd2b-4bae-1938-4fd9-221fdb3e9e2e</t>
  </si>
  <si>
    <t>c216ea7d-91ed-72d4-3427-9df52e71ce18</t>
  </si>
  <si>
    <t>Jan Baptist Weenix</t>
  </si>
  <si>
    <t>7294d631-6406-924b-ee40-6e4c9d1ac907</t>
  </si>
  <si>
    <t>Portrait of Constance Pipelet</t>
  </si>
  <si>
    <t>9ca3be44-a673-2ad9-f0d8-a8e28ee8d397</t>
  </si>
  <si>
    <t>The Zither Player</t>
  </si>
  <si>
    <t>99d71d28-08a8-badf-409c-f8739deab72a</t>
  </si>
  <si>
    <t>f8950b7f-b2ad-6f45-bb6a-d278d06a5a83</t>
  </si>
  <si>
    <t>The Cliffs at Dieppe</t>
  </si>
  <si>
    <t>Watercolor, over graphite, on ivory wove paper, tipped on cream laid paper</t>
  </si>
  <si>
    <t>4cc06c77-e18b-5128-dbbf-38075fc33c04</t>
  </si>
  <si>
    <t>Stage Design: Five Draped Figures at the Top of a Grand</t>
  </si>
  <si>
    <t>Watercolor with charcoal and graphite on ivory wove paper</t>
  </si>
  <si>
    <t>c9338edc-7b2a-59d5-c8bb-59b133eaa568</t>
  </si>
  <si>
    <t>The King's Card Game, copy</t>
  </si>
  <si>
    <t>Watercolor, with black crayon, heightened with touches of lead white (discolored) on ivory watercolor paper</t>
  </si>
  <si>
    <t>Imitator of Henri de Toulouse-Lautrec</t>
  </si>
  <si>
    <t>1e6a7fbf-ec88-2a0c-1764-fa6a4ff5de56</t>
  </si>
  <si>
    <t>Man Confronting Woman</t>
  </si>
  <si>
    <t>Gouache on tan wove card</t>
  </si>
  <si>
    <t>R. Pannett</t>
  </si>
  <si>
    <t>13244e9e-a474-6230-edca-7a3a0bfa71b4</t>
  </si>
  <si>
    <t>Howard Giles</t>
  </si>
  <si>
    <t>Girl on a Cliff</t>
  </si>
  <si>
    <t>Pen and black ink and watercolor, with touches of blue chalk, on cream laid paper, laid down on cream woodpulp laminate board</t>
  </si>
  <si>
    <t>5327435b-c61c-3a9e-c16f-20d8cc937db5</t>
  </si>
  <si>
    <t>Pueblo Country</t>
  </si>
  <si>
    <t>Watercolor, over graphite, on gray wove laminate illustration board</t>
  </si>
  <si>
    <t>94906989-2dd6-a4be-74f8-bed12cee17e9</t>
  </si>
  <si>
    <t>a5b07250-68d3-5c93-d818-5fcefbd35308</t>
  </si>
  <si>
    <t>After the Bullfight</t>
  </si>
  <si>
    <t>08a7289e-5ac0-70f5-a9ff-62d3f6ea9a63</t>
  </si>
  <si>
    <t>Pierrot Catching a Fly</t>
  </si>
  <si>
    <t>275c4f90-f010-853e-4cd2-0aa306472ee8</t>
  </si>
  <si>
    <t>Snails, Strawberries and a Flower in a Decorated Initial "A" from a Manuscript</t>
  </si>
  <si>
    <t>Manuscript cutting in tempera, gold paint, and brown ink on vellum</t>
  </si>
  <si>
    <t>c5134c9e-1a65-c27f-8fdf-940216ba4973</t>
  </si>
  <si>
    <t>Decorated Initial "P" with Flowers from a Manuscript</t>
  </si>
  <si>
    <t>d258b6e5-ace8-dda7-b8b4-360dcdfab059</t>
  </si>
  <si>
    <t>Little Lie-A-Bed's Sad Breakfast</t>
  </si>
  <si>
    <t>cfc29577-a594-de0b-9db7-4fcce8003ad0</t>
  </si>
  <si>
    <t>View in Wales</t>
  </si>
  <si>
    <t>Watercolor with black pastel on ivory wove paper, partially laid down on ivory wove paper</t>
  </si>
  <si>
    <t>63751ec8-a6c9-9a24-8cba-5cbaf0b4db27</t>
  </si>
  <si>
    <t>La Grande Capucine</t>
  </si>
  <si>
    <t>Brush and black gouache, heightened with white gouache, over traces of graphite, on tan wove card</t>
  </si>
  <si>
    <t>Lex de Renault</t>
  </si>
  <si>
    <t>b668452c-8804-a008-984c-f1aeb4b55e24</t>
  </si>
  <si>
    <t>"Ho": Yatsuhashi Bridge in Mikawa Province, from the series "Tales of Ise in Fashionable Brocade Pictures (Furyu nishiki-e Ise monogatari)"</t>
  </si>
  <si>
    <t>William Gifford</t>
  </si>
  <si>
    <t>afa5d7bf-fa98-a267-b9e2-d8ba8b77a0b2</t>
  </si>
  <si>
    <t>Giulio Cesare Procaccini</t>
  </si>
  <si>
    <t>28cdca78-e3f4-9d13-df34-92585f1e8938</t>
  </si>
  <si>
    <t>Portrait of an Artist</t>
  </si>
  <si>
    <t>Ary Scheffer</t>
  </si>
  <si>
    <t>0f393afe-c66f-43af-c235-087014be8cf4</t>
  </si>
  <si>
    <t>City</t>
  </si>
  <si>
    <t>a8fe598b-a83b-1cd4-e4fb-ffc63599f249</t>
  </si>
  <si>
    <t>Schoolhouse</t>
  </si>
  <si>
    <t>Oil on paper, on board</t>
  </si>
  <si>
    <t>6968cad5-0a4b-95a0-6010-7f69fe93d9f8</t>
  </si>
  <si>
    <t>cc69dbe2-86ab-27cb-9b1b-4a067ebdd4e9</t>
  </si>
  <si>
    <t>Flesh (Smaller Than Tears Are the Little Blue Flowers)</t>
  </si>
  <si>
    <t>543d2011-2055-35e1-8b69-c93d59d52b01</t>
  </si>
  <si>
    <t>The Black Place</t>
  </si>
  <si>
    <t>0d8382f8-b876-8c93-c88b-2e89b4f0d2d9</t>
  </si>
  <si>
    <t>Adriaen van de Velde</t>
  </si>
  <si>
    <t>St. Peterâ€™s Seen Through the Porta Angelica</t>
  </si>
  <si>
    <t>27493885-3545-f65a-2971-06a8d17d0818</t>
  </si>
  <si>
    <t>Midsummer in the Alleghenies</t>
  </si>
  <si>
    <t>53752314-963a-7336-3a31-4d295fb4ef7d</t>
  </si>
  <si>
    <t>Jordan Davies</t>
  </si>
  <si>
    <t>70c937e7-5bac-ce09-f7eb-75f25d3e25f2</t>
  </si>
  <si>
    <t>Young Spanish Lady in Costume of Manola</t>
  </si>
  <si>
    <t>Gouache and watercolor, with traces of scraping, over graphite, on cream wove paper, discolored to tan, perimeter mounted on pale brown wove paper</t>
  </si>
  <si>
    <t>98b1d82e-0ab6-b597-1f26-ef858b043b46</t>
  </si>
  <si>
    <t>Fox Hunt</t>
  </si>
  <si>
    <t>Johann Friedrich August Tischbein</t>
  </si>
  <si>
    <t>56ae1356-1bc1-90a0-3a0e-9cd0812ca823</t>
  </si>
  <si>
    <t>32 x 39 1/4";  45" o.w.</t>
  </si>
  <si>
    <t>The Arcueil Aqueduct at Sceaux Railroad Crossing</t>
  </si>
  <si>
    <t>f38d16d0-7fa8-d6db-7922-3d0d057604c1</t>
  </si>
  <si>
    <t>White Median</t>
  </si>
  <si>
    <t>17183011-05ab-8948-2a24-c4e703615af0</t>
  </si>
  <si>
    <t>Sebastiano Ricci</t>
  </si>
  <si>
    <t>71d54071-9aa9-b702-99ba-914b1b23278e</t>
  </si>
  <si>
    <t>Last Day</t>
  </si>
  <si>
    <t>Watercolor, with touches of gouache, over graphite, selectively gum(?) varnished, on ivory wove paper</t>
  </si>
  <si>
    <t>3760fa6e-fb8c-c72e-6383-a6781ce215c5</t>
  </si>
  <si>
    <t>The Avenue of Success</t>
  </si>
  <si>
    <t>Watercolor, with brush and brown ink, on grayish-white wove paper</t>
  </si>
  <si>
    <t>cfef919c-490c-9b66-8c14-ec513cbe57e6</t>
  </si>
  <si>
    <t>Thomas Abthorpe Cooper (1776-1849)</t>
  </si>
  <si>
    <t>4900a490-b98a-a072-d753-1e57ec16767b</t>
  </si>
  <si>
    <t>Lousy Fear</t>
  </si>
  <si>
    <t>8eb4413a-1e72-5c3c-0393-604906e5a1f2</t>
  </si>
  <si>
    <t>Rape of the Sabines</t>
  </si>
  <si>
    <t>Golden Sea Garden</t>
  </si>
  <si>
    <t>c6737a7c-f6fe-b6de-7907-a459f27d59f3</t>
  </si>
  <si>
    <t>A Grey Day, Tangier</t>
  </si>
  <si>
    <t>Sir John Lavery</t>
  </si>
  <si>
    <t>eed81daf-23af-bc1d-7c71-a3c08192a30f</t>
  </si>
  <si>
    <t>Balloon Ride From Hendon to Wrotham</t>
  </si>
  <si>
    <t>Brush and black gouache, with gray wash, traces of graphite, heightened with white gouache, on tan board</t>
  </si>
  <si>
    <t>28c341f3-c8ea-eb3b-4e7e-4d4c4b054a14</t>
  </si>
  <si>
    <t>Some Disadvantages of Being too Novel of a Fancy Dress Ball</t>
  </si>
  <si>
    <t>Gouache, with graphite, on tan board</t>
  </si>
  <si>
    <t>Pirkis</t>
  </si>
  <si>
    <t>e98bc3fa-1027-d6da-3804-410581562471</t>
  </si>
  <si>
    <t>Vincent and Tony</t>
  </si>
  <si>
    <t>f1c1fd79-266b-26d8-3c14-ccb4cf3248a6</t>
  </si>
  <si>
    <t>Mid American</t>
  </si>
  <si>
    <t>3c8a4360-27d8-bba2-a434-8b04dbe3f829</t>
  </si>
  <si>
    <t>Funeral Services at Gotha</t>
  </si>
  <si>
    <t>Black gouache, with brush and gray wash, heightened with white gouache, over graphite, on cream board</t>
  </si>
  <si>
    <t>A. E. Wilson</t>
  </si>
  <si>
    <t>c4415692-d48d-0e07-1813-078d95aaf256</t>
  </si>
  <si>
    <t>Coming and Going</t>
  </si>
  <si>
    <t>Oil paint, over black crayon, on tan wove paper</t>
  </si>
  <si>
    <t>f2ecf32e-81c0-9723-2a9c-1f2e6632d912</t>
  </si>
  <si>
    <t>Painted Banner (Thangka) of Sage Guru Padmasambhava Seated Holding a Thunderbolt (Vajra) and Skull Cup (Kapala)</t>
  </si>
  <si>
    <t>Opaque watercolor with some powdered gold on a woven textile support</t>
  </si>
  <si>
    <t>1e1bd116-2cb0-f7ab-afce-dad372f2559b</t>
  </si>
  <si>
    <t>Our Singer of the Snows</t>
  </si>
  <si>
    <t>Gouache on cream board</t>
  </si>
  <si>
    <t>Louis Fairfax Muckley</t>
  </si>
  <si>
    <t>1d3fd04d-3597-8ed4-824b-856341719ae0</t>
  </si>
  <si>
    <t>Gurnet's Head</t>
  </si>
  <si>
    <t>Watercolor and gouache on blue wove paper</t>
  </si>
  <si>
    <t>Imitator of Joseph Mallord William Turner</t>
  </si>
  <si>
    <t>3dee6d12-d0d1-89e1-f2c2-bdc5af529d8a</t>
  </si>
  <si>
    <t>Polynesian Woman with Children</t>
  </si>
  <si>
    <t>cc5cdb81-14cf-27e9-eda8-94c08244ebaa</t>
  </si>
  <si>
    <t>A Small Tower (Moonlight)</t>
  </si>
  <si>
    <t>30783723-d400-3d07-a43b-5039ddd28889</t>
  </si>
  <si>
    <t>3e4d6d1b-a435-c5d3-e3d2-7da959a6936d</t>
  </si>
  <si>
    <t>Old Woman and Young Woman Seated in Train Compartment</t>
  </si>
  <si>
    <t>Gouache, over traces of graphite, on cream board</t>
  </si>
  <si>
    <t>Harold Copping</t>
  </si>
  <si>
    <t>5f5209e6-2e4b-367a-67cb-cd85beb26c56</t>
  </si>
  <si>
    <t>Hatra I</t>
  </si>
  <si>
    <t>5c37c31b-e14e-12db-710c-d6b1ce3c9106</t>
  </si>
  <si>
    <t>Lung'Arno from Hotel Window, Florence</t>
  </si>
  <si>
    <t>Watercolor with traces of gouache, over graphite, on cream watercolor paper</t>
  </si>
  <si>
    <t>Charles Sydney Hopkinson</t>
  </si>
  <si>
    <t>f2931a47-b4fb-8be5-4916-9d1b2e9cc2b0</t>
  </si>
  <si>
    <t>Four Women Getting Water</t>
  </si>
  <si>
    <t>Watercolor and pen and brown ink, with gouache, over graphite, on cream wove paper, laid down on cream wove paper</t>
  </si>
  <si>
    <t>Carl Schwalbach</t>
  </si>
  <si>
    <t>ae74d545-4e40-e654-534a-c6386bd24bd3</t>
  </si>
  <si>
    <t>Chief Cook and Dishwasher</t>
  </si>
  <si>
    <t>Felicie Waldo Howell</t>
  </si>
  <si>
    <t>3277ec85-3442-b502-0eae-f23625dde099</t>
  </si>
  <si>
    <t>Pierre Andrieu</t>
  </si>
  <si>
    <t>8a842898-2164-97ca-d746-8eab031fb3ed</t>
  </si>
  <si>
    <t>Nymphs Leaving the Bath</t>
  </si>
  <si>
    <t>acad549c-db73-4b1f-8cbd-2f5b99e000ab</t>
  </si>
  <si>
    <t>Education of Cupid</t>
  </si>
  <si>
    <t>Narcisse Virgile Diaz de la PeÃ±a</t>
  </si>
  <si>
    <t>3dae143d-6840-2e6e-dff5-cd2eea745da2</t>
  </si>
  <si>
    <t>Gainsborough Dupont</t>
  </si>
  <si>
    <t>Travellers Halting at an Inn</t>
  </si>
  <si>
    <t>Isaac van Ostade</t>
  </si>
  <si>
    <t>451ba11b-1cfc-da58-d7f7-ec7f8734ae83</t>
  </si>
  <si>
    <t>Classical Landscape with Two Women and a Man on a Path</t>
  </si>
  <si>
    <t>53957710-4a92-1028-4cbd-f38faaac5861</t>
  </si>
  <si>
    <t>The Fall of Man with Scenes of the Creation</t>
  </si>
  <si>
    <t>Augustus Cordus</t>
  </si>
  <si>
    <t>ea6031f9-0588-1f5c-126e-fe297744a4af</t>
  </si>
  <si>
    <t>Andrea Vaccaro</t>
  </si>
  <si>
    <t>76017100-be7f-4c3c-2622-064f1472c889</t>
  </si>
  <si>
    <t>Oil and gold on panel</t>
  </si>
  <si>
    <t>Raphael Vergos</t>
  </si>
  <si>
    <t>de6ea525-c0a3-b5ec-6061-d65d3ed0e5a8</t>
  </si>
  <si>
    <t>Saint Agatha</t>
  </si>
  <si>
    <t>0aaa4cff-d1d8-8241-d230-0cecc9956f39</t>
  </si>
  <si>
    <t>Capriccio: Lake, Bridge and Ruins</t>
  </si>
  <si>
    <t>5bd779cb-9115-7548-85dc-acac68187d32</t>
  </si>
  <si>
    <t>Peasants and Horses</t>
  </si>
  <si>
    <t>Adolphe Schreyer</t>
  </si>
  <si>
    <t>d9cf4060-4c56-5e66-3f18-fde22e19b924</t>
  </si>
  <si>
    <t>The Earl of Coventry's Horse</t>
  </si>
  <si>
    <t>Benjamin Marshall</t>
  </si>
  <si>
    <t>3b097a0b-d945-9122-f50d-f567ff8684e5</t>
  </si>
  <si>
    <t>Wheatfield</t>
  </si>
  <si>
    <t>dcb642f8-7b0b-1254-bad3-0fb49e6f0e64</t>
  </si>
  <si>
    <t>Nymphs Bathing</t>
  </si>
  <si>
    <t>Dirck van der Lisse</t>
  </si>
  <si>
    <t>a7fb57e1-d5d2-8569-7314-9dc35c573640</t>
  </si>
  <si>
    <t>Young Mother Nursing Her Child</t>
  </si>
  <si>
    <t>128c88c2-26a6-3ce4-830b-8578eb878cd9</t>
  </si>
  <si>
    <t>Drugs</t>
  </si>
  <si>
    <t>01d8cabb-2159-b415-03bb-08fa10ab35f3</t>
  </si>
  <si>
    <t>The Three Look the Other Way</t>
  </si>
  <si>
    <t>Oil paint, with touches of gouache, on tan corrugated paper</t>
  </si>
  <si>
    <t>Alan Davie</t>
  </si>
  <si>
    <t>f5e767e4-c0f5-72ba-8a54-a862dd95ef4b</t>
  </si>
  <si>
    <t>Untitled (For Matisse)</t>
  </si>
  <si>
    <t>Ronnie Landfield</t>
  </si>
  <si>
    <t>1170399d-c903-d0d2-1f0b-178eee54601d</t>
  </si>
  <si>
    <t>The Valley of Les Puits-Noir</t>
  </si>
  <si>
    <t>2a2163db-9351-018a-0d65-47be9c84dce8</t>
  </si>
  <si>
    <t>Study for "Arrangement in Grey and Black, No. 2: Portrait of Thomas Carlyle"</t>
  </si>
  <si>
    <t>b7637e1b-47d7-123c-fe43-46981a93550e</t>
  </si>
  <si>
    <t>An Old Salt</t>
  </si>
  <si>
    <t>f8424c6e-a066-ab4f-7664-3d5cd1c4fcf3</t>
  </si>
  <si>
    <t>Morrocan Landscape</t>
  </si>
  <si>
    <t>6ba3f94d-fc76-ff62-aff7-d4d5e16b2d1e</t>
  </si>
  <si>
    <t>Watercolor, with pen and ink, on paper</t>
  </si>
  <si>
    <t>461c0069-45a9-c67e-7210-bfb512c3ea58</t>
  </si>
  <si>
    <t>af58a797-da9b-fc47-4ee0-1e493b25d18d</t>
  </si>
  <si>
    <t>Ceremony in a Cathedral</t>
  </si>
  <si>
    <t>Watercolor and gouache, heightened with gum varnish, on tan wove paper</t>
  </si>
  <si>
    <t>Louis Haghe</t>
  </si>
  <si>
    <t>4722bcd3-3bb7-11d0-386c-6e042c30bb58</t>
  </si>
  <si>
    <t>Man and Female Nude Leaning on a Chair</t>
  </si>
  <si>
    <t>80428948-574a-7dc2-8956-d920921c394f</t>
  </si>
  <si>
    <t>Gertrude Schweitzer</t>
  </si>
  <si>
    <t>5dbc6579-4eb7-667e-bbd5-d207c22c5c92</t>
  </si>
  <si>
    <t>His and Hers</t>
  </si>
  <si>
    <t>3c420b48-dd78-c39b-81bf-dad5552cae7f</t>
  </si>
  <si>
    <t>Sprayed polyester resin</t>
  </si>
  <si>
    <t>Ron Cooper</t>
  </si>
  <si>
    <t>02972e87-fe2d-1bb6-34e6-0b9a07959ead</t>
  </si>
  <si>
    <t>2b49a619-07e7-fa85-3ee7-70bfe6e08064</t>
  </si>
  <si>
    <t>Exploratory Studies</t>
  </si>
  <si>
    <t>Watercolor and ink on white wove paper</t>
  </si>
  <si>
    <t>255eb9f1-e364-76db-373f-7f1edad353dd</t>
  </si>
  <si>
    <t>Meandering Woman</t>
  </si>
  <si>
    <t>Watercolor over traces of graphite on off-white wove paper</t>
  </si>
  <si>
    <t>Louis Michel Eilshemius</t>
  </si>
  <si>
    <t>13e81d0c-5e61-dc13-4c9a-739c00bf4bec</t>
  </si>
  <si>
    <t>Charity</t>
  </si>
  <si>
    <t>Francesco de Mura</t>
  </si>
  <si>
    <t>c5333dc5-c2a8-489a-70fc-2371ec6c68be</t>
  </si>
  <si>
    <t>Liberation of Saint Peter from Prison</t>
  </si>
  <si>
    <t>d4f6a55e-a66a-fa8f-22d8-49cf88764082</t>
  </si>
  <si>
    <t>Landscape with Figures and Buildings</t>
  </si>
  <si>
    <t>084d1143-6073-96e5-433c-6a3bb83a1bbd</t>
  </si>
  <si>
    <t>Young Woman with Hunter</t>
  </si>
  <si>
    <t>7f1e29c0-b320-cf0c-57f6-379131e8ec0c</t>
  </si>
  <si>
    <t>Felice Ficherelli</t>
  </si>
  <si>
    <t>5a7c5a7a-39f2-a172-9d98-2544c49d39f6</t>
  </si>
  <si>
    <t>Church Interior</t>
  </si>
  <si>
    <t>Watercolor and gouache, over graphite, on cream laid paper, laid down on cream board</t>
  </si>
  <si>
    <t>80fa42ac-5473-6f07-0979-c35b5c2ed7da</t>
  </si>
  <si>
    <t>Women's Bathhouse and Laundry</t>
  </si>
  <si>
    <t>53e194e7-5073-00d3-99e6-d18ec4882670</t>
  </si>
  <si>
    <t>Girl with Cherries</t>
  </si>
  <si>
    <t>ec4367a5-52b8-79a5-7e7d-dbaff46d4f4e</t>
  </si>
  <si>
    <t>Fig. 204â€“Gastro-duodenostomy (Kocher)</t>
  </si>
  <si>
    <t>Oil on canvas over wood</t>
  </si>
  <si>
    <t>Jess</t>
  </si>
  <si>
    <t>9b7673ac-c076-d883-7aac-a5d3e8993b98</t>
  </si>
  <si>
    <t>Cape Cod, No. 12</t>
  </si>
  <si>
    <t>Watercolor, with gouache and touches of silver metallic paint, on ivory wove paper, prepared with a yellow watercolor wash</t>
  </si>
  <si>
    <t>a41c3a73-a525-2b48-edc7-862e55121fc5</t>
  </si>
  <si>
    <t>Summer in New York</t>
  </si>
  <si>
    <t>62ea5580-3ca9-67e2-25be-b3758eff9fe8</t>
  </si>
  <si>
    <t>d6efd7d7-b824-5052-00e4-2767faa0ce1d</t>
  </si>
  <si>
    <t>Allegheny Uprising</t>
  </si>
  <si>
    <t>Polyester resin and lacquer on aluminum</t>
  </si>
  <si>
    <t>Billy Al Bengston</t>
  </si>
  <si>
    <t>38d7d91b-2d88-0f05-0d0e-7105e8ed66de</t>
  </si>
  <si>
    <t>Brush and black and red ink, with watercolor and touches of white gouache, selectively varnished, on white watercolor paper</t>
  </si>
  <si>
    <t>dd95321d-623a-c4e9-b343-d2843a84cec1</t>
  </si>
  <si>
    <t>North Avenue Beach</t>
  </si>
  <si>
    <t>Watercolor with pen and black ink and graphite on ivory wove paper</t>
  </si>
  <si>
    <t>Albert E. Henselmann</t>
  </si>
  <si>
    <t>2b9f3908-70b2-a05c-dc6d-22b3a8fb6111</t>
  </si>
  <si>
    <t>Solitude at Strawberry Hill</t>
  </si>
  <si>
    <t>Pen and brown ink, with brush and watercolor, on cream wove paper, laid down on board</t>
  </si>
  <si>
    <t>aa3a0aa1-1db8-4c6c-fc98-6d31d71a95b0</t>
  </si>
  <si>
    <t>Inner eye</t>
  </si>
  <si>
    <t>12b0312f-7db9-98b1-ee15-e5156cd76d8d</t>
  </si>
  <si>
    <t>John Edward Costigan</t>
  </si>
  <si>
    <t>The Old Farm Hand</t>
  </si>
  <si>
    <t>81ee9028-3fe7-ad98-210a-ab78f60a6518</t>
  </si>
  <si>
    <t>Watering Place at Marly</t>
  </si>
  <si>
    <t>ed7aa098-e5c9-04dd-b09c-3416d1c56854</t>
  </si>
  <si>
    <t>Frans Francken, II</t>
  </si>
  <si>
    <t>1865cfaa-51b3-8916-56eb-6b57cf95c772</t>
  </si>
  <si>
    <t>Departing.</t>
  </si>
  <si>
    <t>0b7617ff-b55b-1abe-6c56-93637fdb9444</t>
  </si>
  <si>
    <t>A Day at the Races</t>
  </si>
  <si>
    <t>Gouache, with touches of graphite, on white wove paper</t>
  </si>
  <si>
    <t>Douglas Binder</t>
  </si>
  <si>
    <t>42c9a4b9-2cbf-0f6f-11e5-2a9b26ea0bcb</t>
  </si>
  <si>
    <t>Greek Village</t>
  </si>
  <si>
    <t>Watercolor, with touches of gouache, on cream wove paper, tipped onto cream wove paper</t>
  </si>
  <si>
    <t>ba162c4d-ff7f-cfb9-1839-b8dc66375864</t>
  </si>
  <si>
    <t>John Russell</t>
  </si>
  <si>
    <t>Fontana Village</t>
  </si>
  <si>
    <t>Watercolor with touches of graphite on white wove watercolor paper</t>
  </si>
  <si>
    <t>54bf65cd-fa21-368a-f47d-150ff6685114</t>
  </si>
  <si>
    <t>Napoleon</t>
  </si>
  <si>
    <t>The Full Moon Crawled Through the Trees</t>
  </si>
  <si>
    <t>Watercolor and black, blue, and brown fiber-tipped pens on white wove paper</t>
  </si>
  <si>
    <t>9c28c4e8-6c80-351b-386b-1119348d319a</t>
  </si>
  <si>
    <t>The Water Fan</t>
  </si>
  <si>
    <t>Watercolor, with blotting and touches of scraping, over graphite, on thick, rough twill-textured, ivory wove paper</t>
  </si>
  <si>
    <t>1de73bb7-52d6-e099-f4e1-763e201e78fa</t>
  </si>
  <si>
    <t>The Grammer School, Christ's Hospital</t>
  </si>
  <si>
    <t>Watercolor with pen and black ink, heightened with touches of white gouache, over graphite, selectively varnished, on cream wove paper, laid down on cream wove paper</t>
  </si>
  <si>
    <t>7fb19f0f-5806-4983-066f-ede56dda270a</t>
  </si>
  <si>
    <t>Environs of Windsor Castle</t>
  </si>
  <si>
    <t>Watercolor, with touches of scraping, heightened with white gouache, over traces of graphite, on tan wove paper</t>
  </si>
  <si>
    <t>9ff86b53-e966-9bc9-9c3b-534e86607efa</t>
  </si>
  <si>
    <t>Study for Comforts of Bath</t>
  </si>
  <si>
    <t>Pen and brown ink with brush and watercolor, on cream wove paper</t>
  </si>
  <si>
    <t>d8a6c3c7-bf03-3603-d82f-c2a786c6058a</t>
  </si>
  <si>
    <t>University Buildings from Exeter College Gardens</t>
  </si>
  <si>
    <t>Watercolor, over graphite, on cream wove paper, laid down on ivory wove paper</t>
  </si>
  <si>
    <t>Frederick MacKenzie</t>
  </si>
  <si>
    <t>a8c89409-38c9-857d-badd-657d107818e1</t>
  </si>
  <si>
    <t>Interior of Christ Church</t>
  </si>
  <si>
    <t>Watercolor, with touches of gouache, heightened with white gouache, over graphite, on cream wove paper, laid down on cream wove paper</t>
  </si>
  <si>
    <t>cf644300-1a6f-54c5-634a-51744540b28d</t>
  </si>
  <si>
    <t>Old Magdalen Hall from the Gravel Walk Burnt Down A.D.</t>
  </si>
  <si>
    <t>Watercolor, with pen and brown ink, selectively varnished, on cream wove paper, laid down on ivory wove paper</t>
  </si>
  <si>
    <t>4db3352c-491c-b70b-6ef6-2f8888eee987</t>
  </si>
  <si>
    <t>Study for Dr. Syntax at a Book Auction</t>
  </si>
  <si>
    <t>Pen and brown and gray ink with brush and watercolor, on tan wove paper, laid down on card</t>
  </si>
  <si>
    <t>f6708fae-c387-9fc3-2be1-3337189e913c</t>
  </si>
  <si>
    <t>The Doctor's Punishment Put in Execution to the Small Entertainment of the Whole Village</t>
  </si>
  <si>
    <t>Pen and brown and gray ink with brush, and watercolor with graphite, on tan wove paper, laid down on card</t>
  </si>
  <si>
    <t>6ffe71f1-d350-8b00-91bd-45f457a5fbe0</t>
  </si>
  <si>
    <t>Study for The Honeymoon</t>
  </si>
  <si>
    <t>Brush with brown ink and watercolor, over graphite, on cream wove paper</t>
  </si>
  <si>
    <t>f9098289-6387-430d-0448-8a9bf2953f39</t>
  </si>
  <si>
    <t>Captain Squander Bang Up to the Mark</t>
  </si>
  <si>
    <t>Pen and brown ink with brush and watercolor, over graphite, on cream wove paper, tipped onto cream wove paper</t>
  </si>
  <si>
    <t>12d02b8b-032f-27d2-0b5d-0da1a331cfed</t>
  </si>
  <si>
    <t>Village on the River</t>
  </si>
  <si>
    <t>Pen and brown and gray ink with brush and  watercolor, over graphite, on ivory wove paper, laid down on tan wove paper</t>
  </si>
  <si>
    <t>e99d689e-d340-9362-a43d-6184d139f751</t>
  </si>
  <si>
    <t>Lay Figure at Somerset House</t>
  </si>
  <si>
    <t>Pen and brown ink with brush and watercolor over graphite, on ivory wove paper</t>
  </si>
  <si>
    <t>a36b457b-4137-dc8f-90bc-a5799a0b0c8d</t>
  </si>
  <si>
    <t>London Scene: Malefactors on Their Way to Tyburn</t>
  </si>
  <si>
    <t>4adfeed0-fa08-cc25-0dd2-f22e2323cf66</t>
  </si>
  <si>
    <t>Rider Thrown at a Hunt</t>
  </si>
  <si>
    <t>Pen and brown ink with brush and watercolor over traces of graphite, on cream wove paper, laid down on card</t>
  </si>
  <si>
    <t>569da606-059b-e845-b8d4-98c770951059</t>
  </si>
  <si>
    <t>The Basket Seller</t>
  </si>
  <si>
    <t>547d43f6-6d28-275e-2920-a68dc090781e</t>
  </si>
  <si>
    <t>Woman Caught Stealing a Drink</t>
  </si>
  <si>
    <t>Pen and brown ink with brush and watercolor, over graphite, on ivory wove paper, tipped onto brown wove paper</t>
  </si>
  <si>
    <t>c816dae8-d4f2-a630-9d95-633a0fad3cb8</t>
  </si>
  <si>
    <t>Vicar of Wakefield</t>
  </si>
  <si>
    <t>Brush and brown ink and watercolor, over graphite, on ivory laid paper</t>
  </si>
  <si>
    <t>404b1ce2-0521-b67a-3ede-863e4c1f7d54</t>
  </si>
  <si>
    <t>Study for Royal Chapel, Whitehall, in Micocosm of London</t>
  </si>
  <si>
    <t>Pen and ink and watercolor on paper</t>
  </si>
  <si>
    <t>9b36a197-acc5-676e-67af-73ae47b65616</t>
  </si>
  <si>
    <t>Two Figures Beside Medieval Ruins, with Church in Distance</t>
  </si>
  <si>
    <t>Watercolor and brush and brown ink on cream wove paper</t>
  </si>
  <si>
    <t>26ac8270-415b-7f00-b736-9cd8e3dd769c</t>
  </si>
  <si>
    <t>Entrance to the Avenue from Clare Hall Piece, Cambridge</t>
  </si>
  <si>
    <t>Watercolor, with graphite and touches of gouache, heightened with white gouache, on cream wove paper</t>
  </si>
  <si>
    <t>William Westall</t>
  </si>
  <si>
    <t>ba709ea4-81aa-0832-1e0c-e0e565113aeb</t>
  </si>
  <si>
    <t>Remains of the Old Priory and Mathematical School, Christ's Hospital</t>
  </si>
  <si>
    <t>Watercolor, with pen and blue ink and touches of pen and black ink, on cream wove paper</t>
  </si>
  <si>
    <t>Samuel Ireland</t>
  </si>
  <si>
    <t>0d156da4-b563-634b-89bb-ca3cac662b82</t>
  </si>
  <si>
    <t>View on the Tagus</t>
  </si>
  <si>
    <t>Watercolor on cream wove card, laid down on cream mat board</t>
  </si>
  <si>
    <t>e01578a9-c6d8-8fdf-2add-62fb48088d6b</t>
  </si>
  <si>
    <t>All Soul's College from the Radcliffe Library</t>
  </si>
  <si>
    <t>Watercolor with pen and brown ink on cream wove paper, laid down on ivory wove paper</t>
  </si>
  <si>
    <t>d7f1cef3-110f-5a71-d602-1cd861405ea8</t>
  </si>
  <si>
    <t>View From Radcliffe Library</t>
  </si>
  <si>
    <t>Watercolor, with pen and brown ink, heightened with white gouache, selectively varnished, on cream wove paper, laid down on ivory wove paper</t>
  </si>
  <si>
    <t>1bf89e36-68be-877a-0ac7-33ba269b0253</t>
  </si>
  <si>
    <t>Magdalen College and Tower, Oxford</t>
  </si>
  <si>
    <t>41314d46-ec3a-c023-5616-fa9d293cb6f8</t>
  </si>
  <si>
    <t>Eton from the Playing-Fields</t>
  </si>
  <si>
    <t>Watercolor heightened with touches of white gouache over graphite on cream wove paper</t>
  </si>
  <si>
    <t>2e9a9fcc-d009-9076-9f32-df12a0327a48</t>
  </si>
  <si>
    <t>High Street, Eton</t>
  </si>
  <si>
    <t>Watercolor heightened with white gouache over graphite on cream wove paper</t>
  </si>
  <si>
    <t>4fd2664d-c81f-fd65-adbe-6bbf6cf4f85b</t>
  </si>
  <si>
    <t>Library of Winchester College</t>
  </si>
  <si>
    <t>Watercolor, with touches of gouache, heightened with white gouache, over graphite, on cream wove paper</t>
  </si>
  <si>
    <t>109d158d-9c29-148b-3391-141a2fd84ef7</t>
  </si>
  <si>
    <t>Study for Royal Chapel, Whitehall, from Microcosm of London</t>
  </si>
  <si>
    <t>fe0f421a-d383-f851-18e9-d344133f7786</t>
  </si>
  <si>
    <t>South Side of King's College Chapel, Cambridge</t>
  </si>
  <si>
    <t>dfc6b8ff-6ad3-8f18-d586-61c29fb6ac5f</t>
  </si>
  <si>
    <t>Writing School, Christ's Hospital</t>
  </si>
  <si>
    <t>Watercolor, with pen and brown ink, heightened with white gouache, over graphite, on cream wove paper</t>
  </si>
  <si>
    <t>bc671ac7-ae50-62fe-d799-5cab56672b35</t>
  </si>
  <si>
    <t>Hall of Christ's Hospital</t>
  </si>
  <si>
    <t>Watercolor, heightened with traces of white gouache, over graphite, on cream wove paper</t>
  </si>
  <si>
    <t>e120da94-53f8-c223-6216-1fdb9d939e12</t>
  </si>
  <si>
    <t>Study for Dr. Syntax and Rural Sports</t>
  </si>
  <si>
    <t>73c42f7a-b1d7-242c-084c-9fd5b8b56c21</t>
  </si>
  <si>
    <t>Study for Dr. Syntax Entertained at College</t>
  </si>
  <si>
    <t>Pen and brown ink with brush and watercolor on ivory laid paper</t>
  </si>
  <si>
    <t>4a4b2cde-106f-b8c3-b09e-e1053c74d940</t>
  </si>
  <si>
    <t>Study for Dr. Syntax made Free of the Cellar</t>
  </si>
  <si>
    <t>Pen and brown ink with brush and watercolor, over graphite, on ivory wove paper</t>
  </si>
  <si>
    <t>dc563a6c-7453-54e1-b63b-19919436c328</t>
  </si>
  <si>
    <t>Ladies at Archery</t>
  </si>
  <si>
    <t>Watercolor, and pen and brown ink, over graphite, on ivory laid paper, laid down on cream wove paper</t>
  </si>
  <si>
    <t>William McTaggart</t>
  </si>
  <si>
    <t>e1ec249e-6c94-a209-7f4d-f66c511020bc</t>
  </si>
  <si>
    <t>The Assembly of the Gifted: Mr.Bullock Addresses His Friends</t>
  </si>
  <si>
    <t>Graphite, with watercolor, on ivory wove paper</t>
  </si>
  <si>
    <t>6ac122aa-7c77-7ca2-1ff1-550afbe3bd26</t>
  </si>
  <si>
    <t>Quakers' Meeting</t>
  </si>
  <si>
    <t>Pen and brown ink and watercolor on paper</t>
  </si>
  <si>
    <t>081c0a83-2ec1-83ad-8440-75bb2adb0b5f</t>
  </si>
  <si>
    <t>Great Holiday in Mr. Punch's Park</t>
  </si>
  <si>
    <t>Watercolor, and pen and brown ink, over graphite, on cream wove paper</t>
  </si>
  <si>
    <t>90715591-116b-9820-81f1-7cf4a2266cb5</t>
  </si>
  <si>
    <t>Mr. Briggs Goes Out with the Brighton Harriers</t>
  </si>
  <si>
    <t>11ce6260-9111-6e40-edd2-c8ca93892470</t>
  </si>
  <si>
    <t>Jean Baptiste Regnault</t>
  </si>
  <si>
    <t>550326b2-8256-839f-7e2d-4d91dda67875</t>
  </si>
  <si>
    <t>Oh! The Merry, Merry Month of May!!!</t>
  </si>
  <si>
    <t>7748adbf-eb27-3c30-da95-f23da4dc7767</t>
  </si>
  <si>
    <t>An Economical Mode of Putting Troops into White Trousers</t>
  </si>
  <si>
    <t>0b246c60-b590-7143-1952-337694137fc5</t>
  </si>
  <si>
    <t>Juvenile: I say Charley, that's a jeuced fine girl</t>
  </si>
  <si>
    <t>3750e240-236f-d8d6-e733-4ccbd7752430</t>
  </si>
  <si>
    <t>Conducter, 'Now Marm! Wait-Chapel or Mile Hend-only a</t>
  </si>
  <si>
    <t>50e9566f-7b03-c96a-f807-600122f3a3fc</t>
  </si>
  <si>
    <t>Just Up to Your Weight</t>
  </si>
  <si>
    <t>Watercolor and black crayon, heightened with white gouache, on pale brown wove paper, laid down on gray wove paper</t>
  </si>
  <si>
    <t>8ae4014a-ca16-fe65-080b-e503075bdf00</t>
  </si>
  <si>
    <t>Having All the Fun to Themselves</t>
  </si>
  <si>
    <t>Watercolor and graphite, with pink gouache, heightened with white gouache, on gray wove paper, perimeter mounted on ivory wove paper</t>
  </si>
  <si>
    <t>259d2061-bf9c-f112-0700-265a15a81759</t>
  </si>
  <si>
    <t>Well, This is a New Way of Taking a Fence-She Doesn't Seem to Take Offence Anyhow</t>
  </si>
  <si>
    <t>Watercolor, with graphite, heightened with touches of white gouache, on gray wove paper, perimeter mounted on ivory wove paper</t>
  </si>
  <si>
    <t>08ed18f5-0f9c-99d3-ccc1-54442bdeb9d9</t>
  </si>
  <si>
    <t>This Way Uncle</t>
  </si>
  <si>
    <t>Watercolor, with touches of pink gouache, heightened with touches of white gouache, over graphite, on gray wove paper, perimeter mounted on ivory wove paper</t>
  </si>
  <si>
    <t>0f1e55e2-c25c-f5cb-08cf-5e5ba950407b</t>
  </si>
  <si>
    <t>No Admittance Except on Business</t>
  </si>
  <si>
    <t>Watercolor, with graphite and touches of yellow gouache, heightened with white gouache, on gray wove paper, perimeter mounted on ivory wove paper</t>
  </si>
  <si>
    <t>de8632e6-c267-2a34-acc4-ade0b39f43df</t>
  </si>
  <si>
    <t>Sir James Stuart of Coltness</t>
  </si>
  <si>
    <t>Gouache, with watercolor, graphite, and pen and brown ink, selectively varnished, on cream wove paper</t>
  </si>
  <si>
    <t>Richard Dighton</t>
  </si>
  <si>
    <t>a621eff2-7863-cb63-93ad-83ca06c2eb4c</t>
  </si>
  <si>
    <t>Boy in an Eton Collar</t>
  </si>
  <si>
    <t>Watercolor, with graphite, selectively varnished, on cream wove paper</t>
  </si>
  <si>
    <t>48379aa5-a23a-941e-39ce-a170ffc4f3a9</t>
  </si>
  <si>
    <t>Lord William Pawlett</t>
  </si>
  <si>
    <t>Watercolor, selectively varnished, on ivory wove card, laid down on ivory wove card</t>
  </si>
  <si>
    <t>82c3d0b0-3ca9-8576-429c-4764c23c5a68</t>
  </si>
  <si>
    <t>Equestrian Portrait of Lord Simpson</t>
  </si>
  <si>
    <t>Watercolor and gouache, selectively varnished, on cream wove paper, laid down on gray board</t>
  </si>
  <si>
    <t>Joshua Dighton</t>
  </si>
  <si>
    <t>8b3ba335-be8f-8426-5803-b6df1cecca1f</t>
  </si>
  <si>
    <t>Portrait of Man in Black Coat and Blue and White Cravat</t>
  </si>
  <si>
    <t>Watercolor and gouache, selectively varnished, on cream board</t>
  </si>
  <si>
    <t>6ea87fdd-c30d-4190-8a8e-f85e5794e385</t>
  </si>
  <si>
    <t>Mounted Hunters with Dogs</t>
  </si>
  <si>
    <t>a8b6e339-6fb8-5809-4122-daa66e13f74f</t>
  </si>
  <si>
    <t>The Dover Express</t>
  </si>
  <si>
    <t>Watercolor, heightened with white gouache, and selectively varnished on gray wove paper</t>
  </si>
  <si>
    <t>842ae433-806c-64ca-055a-dd5393174cb7</t>
  </si>
  <si>
    <t>Hunt Crossing Stream Shooting Ducks</t>
  </si>
  <si>
    <t>Watercolor and graphite on cream wove card</t>
  </si>
  <si>
    <t>0e323d8c-25ad-2e7a-b500-4b5a3e00b2b5</t>
  </si>
  <si>
    <t>Horse with Rider Shying Away From Woman with Dog</t>
  </si>
  <si>
    <t>Watercolor, with pen and black ink, heightened with touches of white gouache, over graphite, selectively varnished, on ivory wove paper</t>
  </si>
  <si>
    <t>08ca4cb7-4f5f-46a5-aba0-965830d3e3be</t>
  </si>
  <si>
    <t>Hunter with Retriever</t>
  </si>
  <si>
    <t>42359450-a2cd-43a4-9546-4a4d92cff142</t>
  </si>
  <si>
    <t>Equestrian Portrait of Man in Profile</t>
  </si>
  <si>
    <t>Watercolor with graphite, selectively varnished, on ivory wove paper</t>
  </si>
  <si>
    <t>2216f7ac-9093-701e-7c35-7c95abbab83e</t>
  </si>
  <si>
    <t>Young Ireland in Business for Himself</t>
  </si>
  <si>
    <t>9be7358b-6cf9-0d3f-d5f5-854a5116f7d3</t>
  </si>
  <si>
    <t>Watercolor, over graphite, heightened with traces of white gouache, on cream wove paper, laid down on gray wove paper</t>
  </si>
  <si>
    <t>ab9ee648-c086-8889-68e7-5de2bdf40336</t>
  </si>
  <si>
    <t>Hallali</t>
  </si>
  <si>
    <t>e2f8facd-908f-d419-c223-d303bef69c45</t>
  </si>
  <si>
    <t>A Sketch from the Stand at Scarboro</t>
  </si>
  <si>
    <t>18b80a84-0d11-becd-d6f2-e0ee0dc9c839</t>
  </si>
  <si>
    <t>Pleasant Prospect: A Day with the Stag</t>
  </si>
  <si>
    <t>db0b5990-cab8-133e-97ac-530ea42a86c0</t>
  </si>
  <si>
    <t>Pride Humbled or Jenkins is Compelled to Clean Masters</t>
  </si>
  <si>
    <t>Watercolor and pen and brown ink, with graphite, on cream wove paper, laid down on blue wove paper</t>
  </si>
  <si>
    <t>d715fe0a-82ce-7a59-9757-c9ab089021e0</t>
  </si>
  <si>
    <t>Overtaken by the Tide-Margate</t>
  </si>
  <si>
    <t>Watercolor, with pen and brown ink, on cream wove paper</t>
  </si>
  <si>
    <t>b02629be-1490-6ec1-ed82-74f52125a61e</t>
  </si>
  <si>
    <t>Our Butcher</t>
  </si>
  <si>
    <t>Watercolor and pen and brown ink, with graphite, on cream wove paper</t>
  </si>
  <si>
    <t>1b981821-69da-8086-0aab-c5366694d42f</t>
  </si>
  <si>
    <t>The Little Lecturer</t>
  </si>
  <si>
    <t>Watercolor and black crayon, heightened with white and pink gouache, on lgray wove paper</t>
  </si>
  <si>
    <t>af1fab5d-3bd4-744b-718e-37362d0e685a</t>
  </si>
  <si>
    <t>Ladies Coaxing Baby to Walk</t>
  </si>
  <si>
    <t>Watercolor, with touches of red, blue and green gouache, heightened with white gouache, over graphite, on cream board</t>
  </si>
  <si>
    <t>d68f295c-8847-bb32-2cb9-b7756f356080</t>
  </si>
  <si>
    <t>Boy Baking Bread</t>
  </si>
  <si>
    <t>Watercolor, with touches of blue and pink gouache, heightened with white gouache, over graphite, on cream wove card</t>
  </si>
  <si>
    <t>5161d528-37e3-977d-5ed4-5edde3d7e42a</t>
  </si>
  <si>
    <t>Boy Eating Fruit</t>
  </si>
  <si>
    <t>Watercolor and charcoal, with gouache, on gray wove paper</t>
  </si>
  <si>
    <t>cb64485c-9784-6bab-0042-7b500664633f</t>
  </si>
  <si>
    <t>171 mm (height)</t>
  </si>
  <si>
    <t>Little Girl and Dog</t>
  </si>
  <si>
    <t>Watercolor and gouache, over charcoal, on ivory wove paper</t>
  </si>
  <si>
    <t>ff7db5da-789d-a4eb-734c-b889f5074d01</t>
  </si>
  <si>
    <t>Two Ladies and Little Girl Before Hairdresser's Shop</t>
  </si>
  <si>
    <t>Watercolor and black crayon, heightened with touches of white and blue gouache, on grayish-green wove paper</t>
  </si>
  <si>
    <t>16009086-2c51-87c4-244b-07fb07b8e4f9</t>
  </si>
  <si>
    <t>A Knight of the Round Table</t>
  </si>
  <si>
    <t>Watercolor, with touches of green and pink gouache, heightened with white gouache, on ivory wove paper, laid down on cream wove paper</t>
  </si>
  <si>
    <t>febe37c6-c437-d503-fa3a-9629ec0846a4</t>
  </si>
  <si>
    <t>The Broken Cart-Rope</t>
  </si>
  <si>
    <t>Watercolor, with touches of blue and pink gouache and red chalk, heightened with touches of white gouache, over traces of charcoal, on ivory wove paper</t>
  </si>
  <si>
    <t>658add8a-9651-5036-03d9-0248cc5605bc</t>
  </si>
  <si>
    <t>Family on a Beach</t>
  </si>
  <si>
    <t>Watercolor, with black crayon, heightened with white gouache, on grayish-green wove paper</t>
  </si>
  <si>
    <t>28772189-c2b7-73df-5d21-be22ff3d4787</t>
  </si>
  <si>
    <t>Telegraphic Love</t>
  </si>
  <si>
    <t>Charcoal, with watercolor, heightened with white gouache, on grayish-green wove paper</t>
  </si>
  <si>
    <t>3dcf83bc-0a11-318e-31d5-22a75dbd0e46</t>
  </si>
  <si>
    <t>Rest Thee! Rest Thee! Wearied Heart!</t>
  </si>
  <si>
    <t>Watercolor and gouache, with black crayon, over touches of graphite, on grayish-green wove paper</t>
  </si>
  <si>
    <t>4d351987-4048-db1b-5d33-dac39830ebec</t>
  </si>
  <si>
    <t>Bright Have Thy Young Days Been!</t>
  </si>
  <si>
    <t>753770cc-a070-5876-a0f2-cac362675db2</t>
  </si>
  <si>
    <t>Mr. Love, Architect</t>
  </si>
  <si>
    <t>Watercolor and gouache, with black crayon, over traces of graphite, on grayish-green wove paper</t>
  </si>
  <si>
    <t>6633031c-ca52-3adc-8cbd-0a720bf4c7e3</t>
  </si>
  <si>
    <t>D-Yard Attica</t>
  </si>
  <si>
    <t>8991bc76-a1f2-f5bd-f033-98fb0039f603</t>
  </si>
  <si>
    <t>A Thirsty Soul</t>
  </si>
  <si>
    <t>Watercolor and charcoal, with touches of gouache, on grayish-green wove paper</t>
  </si>
  <si>
    <t>da7dba84-76ba-8d9a-1e0b-c36ea7d11c8f</t>
  </si>
  <si>
    <t>Terrestrial Adoration</t>
  </si>
  <si>
    <t>Watercolor and black crayon, with gouache, and touches of graphite, on grayish-green wove paper</t>
  </si>
  <si>
    <t>d18d4c79-ed26-0a80-2df1-d2d764a7911f</t>
  </si>
  <si>
    <t>Green Marfak</t>
  </si>
  <si>
    <t>f16d5b7d-eec5-f5b4-e7f8-4fb39c751bd8</t>
  </si>
  <si>
    <t>A Lecture!</t>
  </si>
  <si>
    <t>Black crayon, with watercolor and gouache, over touches of graphite, on grayish-green wove paper</t>
  </si>
  <si>
    <t>c7d83997-7f33-1b89-b17a-7298d66ea789</t>
  </si>
  <si>
    <t>Girl Bringing Food to Poor Children</t>
  </si>
  <si>
    <t>Black crayon, with watercolor and gouache, on tan wove paper</t>
  </si>
  <si>
    <t>6d7417b2-451b-516f-5151-c0c5fca45648</t>
  </si>
  <si>
    <t>H. 178 mm</t>
  </si>
  <si>
    <t>The Dirty Rat</t>
  </si>
  <si>
    <t>e3d4be23-a20a-0f16-64df-dd4da9c4246d</t>
  </si>
  <si>
    <t>Room Leading to the Chapel, Knowle, Kent</t>
  </si>
  <si>
    <t>Watercolor and gouache, with touches of brush and black ink, heightened with white gouache, over graphite on cream wove paper</t>
  </si>
  <si>
    <t>9c15b0f6-c5d3-ffa3-a853-0a62a4520400</t>
  </si>
  <si>
    <t>Ocean Park No. 45</t>
  </si>
  <si>
    <t>d8ec86ef-8261-e933-857d-b21c7256bac2</t>
  </si>
  <si>
    <t>The Hall, Levens, Westmoreland</t>
  </si>
  <si>
    <t>Watercolor and gouache, heightened with white gouache, over graphite selectively gum varnished on cream wove card</t>
  </si>
  <si>
    <t>9b308930-d0ac-5884-c9cf-b583ab1fc368</t>
  </si>
  <si>
    <t>Portrait of the Artist's Niece in Chinese Costume</t>
  </si>
  <si>
    <t>Watercolor over graphite, retouched in pen and ink, on light tan wove paper</t>
  </si>
  <si>
    <t>74032dc0-ae53-5276-b555-7f8e8c3682e2</t>
  </si>
  <si>
    <t>Flowers and Fruit</t>
  </si>
  <si>
    <t>Oil on prestwood</t>
  </si>
  <si>
    <t>Copeland Charles Burg</t>
  </si>
  <si>
    <t>60ed58d6-27db-b9e1-20e5-542aecc21299</t>
  </si>
  <si>
    <t>Violinist</t>
  </si>
  <si>
    <t>Trial of Pierrot</t>
  </si>
  <si>
    <t>Watercolor and gouache, over graphite, on cream board</t>
  </si>
  <si>
    <t>bd17ef2d-5d68-de42-22b2-e42e95d152a3</t>
  </si>
  <si>
    <t>Springtime and Love</t>
  </si>
  <si>
    <t>addf957f-c7db-68eb-0c78-9d8d8aa0e981</t>
  </si>
  <si>
    <t>Jean Victor Bertin</t>
  </si>
  <si>
    <t>Hugo Charlemont</t>
  </si>
  <si>
    <t>862608e5-8953-b1a3-53fd-ec009662516f</t>
  </si>
  <si>
    <t>The Wrestler's Challenge</t>
  </si>
  <si>
    <t>efe1099f-d131-b964-b1f4-7eec47b9af0f</t>
  </si>
  <si>
    <t>At the Railway Station</t>
  </si>
  <si>
    <t>2ba51712-835e-c17c-5f48-240bc76561a0</t>
  </si>
  <si>
    <t>Treasures of the Sea</t>
  </si>
  <si>
    <t>Hans Makart</t>
  </si>
  <si>
    <t>d790fdf8-7b1f-c24a-ce2b-ca0f3d5ed2f3</t>
  </si>
  <si>
    <t>The Out-Post</t>
  </si>
  <si>
    <t>34d77a00-363a-a62f-429f-bd17808a15b9</t>
  </si>
  <si>
    <t>Cattle at Rest on a Hillside in the Alps</t>
  </si>
  <si>
    <t>efdd5540-5579-8761-fd1d-af318f65a0a6</t>
  </si>
  <si>
    <t>An Alpine Scene</t>
  </si>
  <si>
    <t>54b7fd5e-3467-f777-45e7-0719400ecfc0</t>
  </si>
  <si>
    <t>2eeb2c2e-a35a-2d54-f89b-f4e3ce880780</t>
  </si>
  <si>
    <t>Workshop of Paolo Veronese</t>
  </si>
  <si>
    <t>Study for Sadlers Wells Theater</t>
  </si>
  <si>
    <t>Brush and watercolor over graphite, on ivory laid paper</t>
  </si>
  <si>
    <t>606beaaf-543c-8025-bf4d-4ef7217c457f</t>
  </si>
  <si>
    <t>Maria Sheldon Scammon</t>
  </si>
  <si>
    <t>8b49881c-2e3d-be54-bf70-c131d60c1c93</t>
  </si>
  <si>
    <t>Venezuelan Fantasy</t>
  </si>
  <si>
    <t>Gouache with watercolor on canvas</t>
  </si>
  <si>
    <t>7f015565-5755-cc82-c2cd-1e6fbc4071b2</t>
  </si>
  <si>
    <t>The New Second-Hand Sofa</t>
  </si>
  <si>
    <t>Watercolor with touches of gouache, over traces of graphite, on off-white watercolor paper</t>
  </si>
  <si>
    <t>39cf9b9b-ed07-f615-1503-70a187c5e556</t>
  </si>
  <si>
    <t>Watercolor and gouache, over graphite, on off-white watercolor paper</t>
  </si>
  <si>
    <t>Maurice Gordon</t>
  </si>
  <si>
    <t>f96f59ce-3ccb-6312-010d-60fcd85cfce8</t>
  </si>
  <si>
    <t>Portrait of Charles Lawrence Hutchinson</t>
  </si>
  <si>
    <t>610db6a0-d4f9-13d9-11e7-41c4460859aa</t>
  </si>
  <si>
    <t>Nantasket Beach</t>
  </si>
  <si>
    <t>e420a236-8068-a82f-04b2-36fe3d2c7a3d</t>
  </si>
  <si>
    <t>Pilots, Port of Pasajes, Spain</t>
  </si>
  <si>
    <t>4f45d4ab-a501-c43d-8167-8beb16b11749</t>
  </si>
  <si>
    <t>Lamia</t>
  </si>
  <si>
    <t>Brown and white gouache on wooden board, backed with fabric and paper</t>
  </si>
  <si>
    <t>31b9e8ca-9f64-9ac0-4d81-3f70583b2567</t>
  </si>
  <si>
    <t>Title to List of Drawings</t>
  </si>
  <si>
    <t>Gray and white gouache, with touches of black gouache, over traces of graphite, on cream wood-pulp laminate board</t>
  </si>
  <si>
    <t>164392fb-6e2c-4ba8-ca31-e53d5d3770ac</t>
  </si>
  <si>
    <t>Pale Grew Her Immortality, For Woe of All These Lovers</t>
  </si>
  <si>
    <t>Brown and white gouache on cream wood-pulp laminate board</t>
  </si>
  <si>
    <t>c8ce1960-2213-ea18-0a34-1717015879f7</t>
  </si>
  <si>
    <t>d86f09ec-ad2e-e94a-fb48-e01c639dea5b</t>
  </si>
  <si>
    <t>7 7/8 x 6 1/4 in. (20 x 15.8 cm)</t>
  </si>
  <si>
    <t>Philip the Good, Duke of Burgundy; Isabelle of Bourbon (?)</t>
  </si>
  <si>
    <t>0c840df0-6d98-46d2-9828-b23ddcd34081</t>
  </si>
  <si>
    <t>Odes and Sonnets List of Drawings</t>
  </si>
  <si>
    <t>Brown and white gouache on tan wood-pulp laminate board</t>
  </si>
  <si>
    <t>1ffca75c-1fb2-cdce-d01b-8a832586abc0</t>
  </si>
  <si>
    <t>Odes and Sonnets Table of Contents</t>
  </si>
  <si>
    <t>Brown, white and gray oil paint, over traces of graphite, prepared with white oil paint, on linen</t>
  </si>
  <si>
    <t>8b6fb7b5-5da1-0e60-6566-e8f810190b74</t>
  </si>
  <si>
    <t>Seventeenth-Century Interior</t>
  </si>
  <si>
    <t>Charles Gifford Dyer</t>
  </si>
  <si>
    <t>be4d3662-4e77-6e13-9ff9-bcdebff0f56d</t>
  </si>
  <si>
    <t>Portrait of a Princess</t>
  </si>
  <si>
    <t>38619dcc-7b32-1aba-e8b0-77624d1904fd</t>
  </si>
  <si>
    <t>Composition with Figures</t>
  </si>
  <si>
    <t>Interior with a Portrait of a Young Lady Before a Bust</t>
  </si>
  <si>
    <t>Gouache on vellum, laid down on cream laid paper</t>
  </si>
  <si>
    <t>eb6539fc-c9ab-c524-2c77-d0af798592c3</t>
  </si>
  <si>
    <t>The Illinois River</t>
  </si>
  <si>
    <t>Brush and brown and black ink with watercolor and black crayon on cream wove paper</t>
  </si>
  <si>
    <t>39fe0ea4-bdb0-4ee5-831f-e6e90c2f706e</t>
  </si>
  <si>
    <t>Imitator of Narcisse Virgile Diaz de la PeÃ±a</t>
  </si>
  <si>
    <t>3bae5e81-c63d-6118-2322-02fd447fbf5b</t>
  </si>
  <si>
    <t>Olivia Simes Morris</t>
  </si>
  <si>
    <t>James Peale</t>
  </si>
  <si>
    <t>b247c76d-5ab2-8d14-9ac6-65bd5b5df90e</t>
  </si>
  <si>
    <t>Christ in the Storm</t>
  </si>
  <si>
    <t>Heinrich Jansen</t>
  </si>
  <si>
    <t>e99fba95-e252-1cfc-4204-55d2f3143a5e</t>
  </si>
  <si>
    <t>The Valley of Arconville</t>
  </si>
  <si>
    <t>Theodore Robinson</t>
  </si>
  <si>
    <t>a9771181-0ff7-d85a-9ec5-d43f97426531</t>
  </si>
  <si>
    <t>Tea Drinking Under the Wutong Tree</t>
  </si>
  <si>
    <t>Handscroll; ink and slight color on paper</t>
  </si>
  <si>
    <t>Tang Yin</t>
  </si>
  <si>
    <t>b537efd5-9719-2f33-ff5d-89578177002b</t>
  </si>
  <si>
    <t>Oil on panel, mounted on aluminum sheet</t>
  </si>
  <si>
    <t>Anthonis Mor</t>
  </si>
  <si>
    <t>6e93633b-1b96-c3ba-201e-5be700a6df71</t>
  </si>
  <si>
    <t>Watercolor with touches of pen and black ink on off-white watercolor paper</t>
  </si>
  <si>
    <t>85d355c4-8b7d-a77b-537e-83dc59c5d6d7</t>
  </si>
  <si>
    <t>Jean Bellows</t>
  </si>
  <si>
    <t>b2023ca4-d773-a394-31a5-f94d0fef0961</t>
  </si>
  <si>
    <t>Dressage</t>
  </si>
  <si>
    <t>f858d461-c592-271d-c108-d49cce0749b9</t>
  </si>
  <si>
    <t>5cde06a4-c11d-ab9a-8016-a1644a967a89</t>
  </si>
  <si>
    <t>"Portrait of the Artist"</t>
  </si>
  <si>
    <t>John Jackson</t>
  </si>
  <si>
    <t>ea28a707-426a-35bf-7989-bdd155f4596d</t>
  </si>
  <si>
    <t>The Last Horse in the Corral, Arizona</t>
  </si>
  <si>
    <t>Watercolor with touches of gouache and traces of scraping, over graphite, on cream laminate wood-pulp board</t>
  </si>
  <si>
    <t>Earl Gross</t>
  </si>
  <si>
    <t>dd4f5aed-da59-ee11-98b7-a862a07ff3a5</t>
  </si>
  <si>
    <t>Centre Bridge</t>
  </si>
  <si>
    <t>16b1279a-dd39-b765-8708-9a8636f865ef</t>
  </si>
  <si>
    <t>Virgin and Child with Saints John the Baptist and Anthony Abbot</t>
  </si>
  <si>
    <t>0ccbf8fe-3d94-b231-a6a8-018e67a42d77</t>
  </si>
  <si>
    <t>Venus and Mars with Cupid and the Three Graces in a Landscape</t>
  </si>
  <si>
    <t>Domenico Tintoretto</t>
  </si>
  <si>
    <t>beb2f648-c934-34ba-ba3d-f30db836c6b1</t>
  </si>
  <si>
    <t>Arcadian Landscape with Figures</t>
  </si>
  <si>
    <t>60a6eba1-7d17-796d-df04-7d1f8b0f1f94</t>
  </si>
  <si>
    <t>"'The unwelcome hints of Mr. Shepherd, his Agent,' Chapter I" frontispiece for Jane Austen's Persuasion</t>
  </si>
  <si>
    <t>Pen and black ink with brush and watercolor, on ivory wove card</t>
  </si>
  <si>
    <t>Charles Edmund Brock</t>
  </si>
  <si>
    <t>dbfcdaa8-ce31-febb-3960-9b38c6ad7b41</t>
  </si>
  <si>
    <t>The Old Cabman</t>
  </si>
  <si>
    <t>b86681a1-6d00-02a3-b956-6442a8b925bc</t>
  </si>
  <si>
    <t>19e681d5-4586-a390-bdb0-a66fd3c3aea4</t>
  </si>
  <si>
    <t>Stefano Pozzi</t>
  </si>
  <si>
    <t>749250e6-883e-d22b-4cf4-621e22b5178d</t>
  </si>
  <si>
    <t>Portrait of Philip IV</t>
  </si>
  <si>
    <t>a2450337-afed-2797-17e7-2e1f2158235c</t>
  </si>
  <si>
    <t>Pentecost</t>
  </si>
  <si>
    <t>Follower of Bernard van Orley</t>
  </si>
  <si>
    <t>3c7ee4ec-96a8-553a-1010-06b1619c01d2</t>
  </si>
  <si>
    <t>Manhattan Dawn</t>
  </si>
  <si>
    <t>277a3134-d98a-3c5f-488d-4c92ef6fdd9a</t>
  </si>
  <si>
    <t>Portrait of Florence Arquin</t>
  </si>
  <si>
    <t>1630e6a7-697e-3deb-cb9e-62b1f1239791</t>
  </si>
  <si>
    <t>Gouache with pen and black ink, on cream wove paper</t>
  </si>
  <si>
    <t>ea742a26-1a2c-66f6-9dc2-b080d65d189a</t>
  </si>
  <si>
    <t>The Cliff Dwellers</t>
  </si>
  <si>
    <t>Watercolor and pen and brush and black ink, with black crayon, charcoal, and touches of scraping on ivory wove paper</t>
  </si>
  <si>
    <t>07a49736-f021-8da5-324c-7cf0141567af</t>
  </si>
  <si>
    <t>Watercolor, with gouache and touches of pen and black ink, selectively gum varnished, on ivory wove paper</t>
  </si>
  <si>
    <t>34c193ec-5d22-5edd-d84e-6c7848cd4b3d</t>
  </si>
  <si>
    <t>House of Mystery</t>
  </si>
  <si>
    <t>Watercolor over graphite on heavy textured cream wove watercolor paper, laid down on cardboard and varnished</t>
  </si>
  <si>
    <t>d94eadf9-e9de-cc72-f9eb-e170506f6f89</t>
  </si>
  <si>
    <t>Pierre-Jacques Volaire</t>
  </si>
  <si>
    <t>Design for a Wall Decoration</t>
  </si>
  <si>
    <t>Acke Andersson</t>
  </si>
  <si>
    <t>6b3720ee-9254-f29c-c451-4ca1650d4adf</t>
  </si>
  <si>
    <t>The Temptation of St. Anthony</t>
  </si>
  <si>
    <t>Portrait of Jeanne Wenz</t>
  </si>
  <si>
    <t>c2a4b60c-bf43-6a37-e001-a91cba741168</t>
  </si>
  <si>
    <t>The Butcher Cart</t>
  </si>
  <si>
    <t>b50c59a4-bd4d-b549-8c38-c20a1b30e0df</t>
  </si>
  <si>
    <t>Randolph Caldecott</t>
  </si>
  <si>
    <t>Black Man, Port of Marseilles</t>
  </si>
  <si>
    <t>Brush and black ink, and watercolor, on cream wove paper</t>
  </si>
  <si>
    <t>Frans Masereel</t>
  </si>
  <si>
    <t>65ab6189-82b4-7fb5-42a3-b6cf298bedb5</t>
  </si>
  <si>
    <t>The Angel and the Reader</t>
  </si>
  <si>
    <t>Gouache with encaustic and oil paint on cream wove paper</t>
  </si>
  <si>
    <t>fea50f9b-8f23-b467-e065-76687bf2aec1</t>
  </si>
  <si>
    <t>Interior of the Oude Kerk, Delft</t>
  </si>
  <si>
    <t>Emanuel de Witte</t>
  </si>
  <si>
    <t>0905c8a0-b2f1-b534-fa37-0f1aa016bec5</t>
  </si>
  <si>
    <t>Sir Lancelot Approaching the Castle of Astolat</t>
  </si>
  <si>
    <t>Gouache with pen and black ink, heightened with lead white (partially discolored), on cream wove paper prepared with a brown ink ground</t>
  </si>
  <si>
    <t>e2a59ec2-2850-ad48-806a-cdc8557f47fe</t>
  </si>
  <si>
    <t>Snow White and Rose Red</t>
  </si>
  <si>
    <t>Watercolor over graphite on ivory wove paper, laid down on card</t>
  </si>
  <si>
    <t>Richard Doyle</t>
  </si>
  <si>
    <t>02ff4e50-48f1-207f-bcbb-be29c61178c0</t>
  </si>
  <si>
    <t>Illustration for The Rubaiyat of Omar Khayyam</t>
  </si>
  <si>
    <t>ae33d87b-673e-fed6-dd55-a98e8e5fcf9d</t>
  </si>
  <si>
    <t>Pier on Sunday</t>
  </si>
  <si>
    <t>James Lechay</t>
  </si>
  <si>
    <t>40760892-948f-94ea-2211-4f1019010192</t>
  </si>
  <si>
    <t>Backyard scene</t>
  </si>
  <si>
    <t>b6e351f8-15a8-748a-3a09-6f87386eb7c8</t>
  </si>
  <si>
    <t>82e492fb-a00a-ac9d-58e7-0124c4758aa1</t>
  </si>
  <si>
    <t>Cave Canem</t>
  </si>
  <si>
    <t>500f7396-cb06-bbce-6730-4112445bf49f</t>
  </si>
  <si>
    <t>View of Paris, from Meuden</t>
  </si>
  <si>
    <t>Watercolor, with traces of gouache, over graphite, on ivory wove paper</t>
  </si>
  <si>
    <t>0344689e-0b2d-ab79-335e-818522c63ad7</t>
  </si>
  <si>
    <t>Railroad Yards with New York Skyline</t>
  </si>
  <si>
    <t>147542f4-be32-b5a9-3535-2f3d7918f7ab</t>
  </si>
  <si>
    <t>Man in the Forest</t>
  </si>
  <si>
    <t>Watercolor, crayon, and pastel, with brush and black ink and colored pencils, over graphite, on white watercolor paper</t>
  </si>
  <si>
    <t>Jerome C. Krause</t>
  </si>
  <si>
    <t>d045a9ef-729a-17b4-13f0-f5599c70a6e2</t>
  </si>
  <si>
    <t>The City</t>
  </si>
  <si>
    <t>Gouache on white wood-pulp laminate board</t>
  </si>
  <si>
    <t>Raymond Breinin</t>
  </si>
  <si>
    <t>9c8995ba-019a-c8f4-8898-f658b2eed1c0</t>
  </si>
  <si>
    <t>Calhoun Street, Charleston</t>
  </si>
  <si>
    <t>Watercolor and gouache, with touches of graphite, on off-white wove paper, edge mounted to linen mat</t>
  </si>
  <si>
    <t>Hardie Gramatky</t>
  </si>
  <si>
    <t>0d3caa94-b15a-00b4-7f31-834f35abbae8</t>
  </si>
  <si>
    <t>Street in New Orleans</t>
  </si>
  <si>
    <t>Watercolor with traces of pen and black ink on white wove 2-ply laminate paper</t>
  </si>
  <si>
    <t>40e7f4bc-d674-afee-08d4-7cd06b00790e</t>
  </si>
  <si>
    <t>The Bird Catcher</t>
  </si>
  <si>
    <t>f27dad32-9804-0df1-6fea-e0cd5c0141cd</t>
  </si>
  <si>
    <t>Just Dessert</t>
  </si>
  <si>
    <t>e49ad195-1f62-2fd4-f4df-61f0f0f4951f</t>
  </si>
  <si>
    <t>Anne of Austria</t>
  </si>
  <si>
    <t>School of Frans Pourbus, Frans, the Younger</t>
  </si>
  <si>
    <t>92671023-95bc-70c5-45e5-428b188085cd</t>
  </si>
  <si>
    <t>Woman with a Bird Cage</t>
  </si>
  <si>
    <t>dc9af737-9245-f432-8507-88b20daa4a4a</t>
  </si>
  <si>
    <t>Deborah Remington</t>
  </si>
  <si>
    <t>Spanish Chestnut</t>
  </si>
  <si>
    <t>Pen and brown ink, with brush and watercolor, over graphite, on ivory wove card</t>
  </si>
  <si>
    <t>1a69b1a5-4b45-2581-6e2b-9131dea3b4fd</t>
  </si>
  <si>
    <t>Peacock Feather</t>
  </si>
  <si>
    <t>Watercolor, over traces of graphite, on buff wove card</t>
  </si>
  <si>
    <t>90893791-4cff-562e-6eb9-a8f9f4e023d1</t>
  </si>
  <si>
    <t>Greta</t>
  </si>
  <si>
    <t>Watercolor and white gouache, with pen and brown ink, over graphite, on gray wove paper</t>
  </si>
  <si>
    <t>ddfc11b2-74a9-91c0-e902-6913e1db8475</t>
  </si>
  <si>
    <t>Woman Feeding Pigeons, Grant Park</t>
  </si>
  <si>
    <t>Gouache with watercolor on off-white watercolor paper</t>
  </si>
  <si>
    <t>5ee12d1c-0249-666e-91d6-9aa3448c945b</t>
  </si>
  <si>
    <t>Milton Dictating to His Daughter</t>
  </si>
  <si>
    <t>6006b9e7-567a-4fb8-34e2-a120886690fe</t>
  </si>
  <si>
    <t>Are They Thinking about the Grape? (Pensent-ils au raisin?)</t>
  </si>
  <si>
    <t>12662645-5164-4bb1-cfec-3517a4c9779c</t>
  </si>
  <si>
    <t>Love in the Open Air</t>
  </si>
  <si>
    <t>75986fc1-2e22-156a-9914-23119865ad1b</t>
  </si>
  <si>
    <t>Eleanor Margaret Gibson-Carmichael</t>
  </si>
  <si>
    <t>9a93001d-887a-f34d-ecc2-83240e2ad54c</t>
  </si>
  <si>
    <t>f2a05278-c678-41d0-f72b-fc7e0b6e42f8</t>
  </si>
  <si>
    <t>Polycrates and the Fisherman</t>
  </si>
  <si>
    <t>26ec4ba5-0571-aded-9bbb-601973682b07</t>
  </si>
  <si>
    <t>Polycrates' Crucifixion</t>
  </si>
  <si>
    <t>118eacd7-3e92-a96d-7b0e-160eb0c0bf20</t>
  </si>
  <si>
    <t>Boston Common</t>
  </si>
  <si>
    <t>fad138a8-80f1-45a3-1dc7-b9ff991b4812</t>
  </si>
  <si>
    <t>Loose Beauty</t>
  </si>
  <si>
    <t>cb097c1a-2695-d1b0-0f9b-e5796c7a43c8</t>
  </si>
  <si>
    <t>Distemper on paper, mounted on canvas</t>
  </si>
  <si>
    <t>d6d442e8-4c4c-75d1-4e1a-06e536fabd4d</t>
  </si>
  <si>
    <t>They Are Dressed in Black</t>
  </si>
  <si>
    <t>Watercolor with gouache on off-white watercolor paper</t>
  </si>
  <si>
    <t>Thomas Craig</t>
  </si>
  <si>
    <t>cceee6fd-e62d-fd3f-7923-e8ba6a7581d1</t>
  </si>
  <si>
    <t>Surrender (Spain)</t>
  </si>
  <si>
    <t>Watercolor over graphite on off-white watercolor paper</t>
  </si>
  <si>
    <t>de3b3f7d-d205-d8d9-c8ee-3b4b36eab635</t>
  </si>
  <si>
    <t>Books</t>
  </si>
  <si>
    <t>a60a8cce-bfd2-c344-5e11-b67e660f5e84</t>
  </si>
  <si>
    <t>Back to the Corral</t>
  </si>
  <si>
    <t>Cameron Booth</t>
  </si>
  <si>
    <t>c3558d97-23db-02e6-3440-24e0e182d762</t>
  </si>
  <si>
    <t>Invasion: The Bivouac</t>
  </si>
  <si>
    <t>John Atherton</t>
  </si>
  <si>
    <t>6b83aa9a-feaa-be8f-97b3-a5d4bf72694e</t>
  </si>
  <si>
    <t>Musical Instruments</t>
  </si>
  <si>
    <t>de600ca7-30e2-a9d0-0f57-2e0b6666e3a4</t>
  </si>
  <si>
    <t>Woman in a Straw Hat</t>
  </si>
  <si>
    <t>8e096d6a-92c9-9e6c-d978-b5817d187f2d</t>
  </si>
  <si>
    <t>Paul Lucien Dessau</t>
  </si>
  <si>
    <t>a0f62efb-ef9d-8532-2a14-e2432819f35f</t>
  </si>
  <si>
    <t>King Charles IV of Spain</t>
  </si>
  <si>
    <t>Watercolor, with touches of pen and black ink, and traces of black crayon, on ivory watercolor paper</t>
  </si>
  <si>
    <t>Eugenio Lucas y Padilla</t>
  </si>
  <si>
    <t>edccecb4-0ca4-a3e6-ab4b-3b9e2e20c97e</t>
  </si>
  <si>
    <t>911e0b3f-7b25-4fe7-f019-0f7647cc2959</t>
  </si>
  <si>
    <t>Watercolor, over graphite on buff wove paper, laid down on tan wove paper, laid down on cream wove card</t>
  </si>
  <si>
    <t>4f7bebb2-8eb2-5e1e-e5e3-370e83b99db2</t>
  </si>
  <si>
    <t>Caryatid: Rose and Blue</t>
  </si>
  <si>
    <t>Watercolor, with pen and black ink, graphite, and touches of brown crayon on tan wove paper (pieced), laid down on tan wove paper, laid down on cream wove paper</t>
  </si>
  <si>
    <t>a054b605-ab6d-4f5b-f787-b10a2df09d93</t>
  </si>
  <si>
    <t>Nude with Cats</t>
  </si>
  <si>
    <t>96c25381-bdfb-81c4-de91-1186aa38ace4</t>
  </si>
  <si>
    <t>Monte Pincio, Rome</t>
  </si>
  <si>
    <t>0aff6ae5-99ae-d92c-1239-0bc9bb0ad9ae</t>
  </si>
  <si>
    <t>Kenneth P. Becker</t>
  </si>
  <si>
    <t>Watercolor with pen and brush and black ink on off-white watercolor paper</t>
  </si>
  <si>
    <t>Lake Scene with Beached Boat</t>
  </si>
  <si>
    <t>5fe5252f-c668-45bb-7069-54ac9a546014</t>
  </si>
  <si>
    <t>Watercolor and pen and black ink on white wove paper, laid down on cream board</t>
  </si>
  <si>
    <t>William Halle</t>
  </si>
  <si>
    <t>85e142e7-d28f-5412-9b4e-8fe9e7521f2d</t>
  </si>
  <si>
    <t>Appenines, Umbria</t>
  </si>
  <si>
    <t>Gouache and watercolor, with scraping, on off-white paper</t>
  </si>
  <si>
    <t>ad15c19c-6c96-26e8-7a10-9544347a2950</t>
  </si>
  <si>
    <t>Olive Trees Greece, Delphi</t>
  </si>
  <si>
    <t>7d470b45-7d4e-7c12-d839-d515e65aa542</t>
  </si>
  <si>
    <t>Women Fighting</t>
  </si>
  <si>
    <t>Watercolor and pen and black ink, with red chalk and graphite, over lithograph, on cream laid paper, laid down on white wood-pulp laminate board</t>
  </si>
  <si>
    <t>a0774533-b4f8-1069-e9c5-91ce9620debc</t>
  </si>
  <si>
    <t>Columbia Ice Field</t>
  </si>
  <si>
    <t>Watercolor and gouache, with scraping, on off-white paper</t>
  </si>
  <si>
    <t>61984ede-4b4e-129b-df0d-069fa4677842</t>
  </si>
  <si>
    <t>Cornwall Near Land's End</t>
  </si>
  <si>
    <t>Watercolor on off-white paper</t>
  </si>
  <si>
    <t>01114f8a-eeff-1405-1196-c1726a849094</t>
  </si>
  <si>
    <t>Spanish Market Place</t>
  </si>
  <si>
    <t>Watercolor over graphite on ivory wove paper, laid down on gray board</t>
  </si>
  <si>
    <t>a77a29fe-f765-8f26-0156-737ab08992e9</t>
  </si>
  <si>
    <t>The Outposts Christmas Letter</t>
  </si>
  <si>
    <t>Oil on pressed wood board</t>
  </si>
  <si>
    <t>fecf4055-dd87-8680-c1c3-ceb6eafb77f4</t>
  </si>
  <si>
    <t>Reports from the Front</t>
  </si>
  <si>
    <t>Oil wash, over black wax crayon, on prepared pressed wood board</t>
  </si>
  <si>
    <t>463b0367-be21-038c-91e0-cac1218f2c1d</t>
  </si>
  <si>
    <t>Landscape with a Herdsman and Goats</t>
  </si>
  <si>
    <t>Gaspard Dughet</t>
  </si>
  <si>
    <t>91f56173-2f20-70fa-c0ac-f00bed4268d0</t>
  </si>
  <si>
    <t>Snow at Louveciennes</t>
  </si>
  <si>
    <t>d4e43d76-594b-ce65-c1a3-45c865624f70</t>
  </si>
  <si>
    <t>Electric Lights and Buildings</t>
  </si>
  <si>
    <t>87d041cf-17e8-9847-2416-34baee59fe6d</t>
  </si>
  <si>
    <t>The Happy Life</t>
  </si>
  <si>
    <t>Pen and black ink and watercolor on off-white wove paper, tipped to blue card</t>
  </si>
  <si>
    <t>Alice E. Job</t>
  </si>
  <si>
    <t>3c95ffea-e1df-bbe2-9ca9-38f7f64dfc4e</t>
  </si>
  <si>
    <t>Martin Rico y Ortega</t>
  </si>
  <si>
    <t>ec7fea8a-1b10-2ebe-7bb3-0c431f1a3f68</t>
  </si>
  <si>
    <t>Head (I)</t>
  </si>
  <si>
    <t>cf8ef405-4be2-f656-7ee5-3833c35b7277</t>
  </si>
  <si>
    <t>Watercolor, with brush and brown ink (discolored from purple), over graphite, on cream wove paper</t>
  </si>
  <si>
    <t>6d107d39-0cfc-7417-3b88-d3e69f57f197</t>
  </si>
  <si>
    <t>Still Life: Preparation for Lunch</t>
  </si>
  <si>
    <t>Gouache, with touches of watercolor and graphite on cream wove paper</t>
  </si>
  <si>
    <t>d3f28428-17d7-f9d1-afe5-356783821f31</t>
  </si>
  <si>
    <t>Allegory of Venus and Cupid</t>
  </si>
  <si>
    <t>Imitator of Titian</t>
  </si>
  <si>
    <t>19d1878d-943a-d47f-c32e-2ce56f917bc2</t>
  </si>
  <si>
    <t>On the Seine</t>
  </si>
  <si>
    <t>Homer Dodge Martin</t>
  </si>
  <si>
    <t>75d767b8-38ca-42af-ef70-f5960a7e86e7</t>
  </si>
  <si>
    <t>Cape Split, Maine</t>
  </si>
  <si>
    <t>Watercolor with touches of blotting, and with graphite and black colored pencil, on lightweight (estimated), slightly textured, ivory wove paper (top, left and right edges trimmed), laid down on artistsâ€™ board faced with ivory wove paper, in original frame</t>
  </si>
  <si>
    <t>39c493e4-4952-6591-674f-00af5c67b3d2</t>
  </si>
  <si>
    <t>Nymphs and Satyrs Drinking</t>
  </si>
  <si>
    <t>Johann Georg Platzer</t>
  </si>
  <si>
    <t>3762151c-77be-f530-12b7-dfb6b5889ec5</t>
  </si>
  <si>
    <t>Bacchic Revels</t>
  </si>
  <si>
    <t>4346487d-e18a-d27e-76c1-7529c7f53742</t>
  </si>
  <si>
    <t>Scene from Faust: Auerbach's Cellar</t>
  </si>
  <si>
    <t>Watercolor and gouache, over graphite, with pen and brown ink, heightened with gum arabic, on cream wove paper, laid down on cream board</t>
  </si>
  <si>
    <t>Theodore Matthias von Holst</t>
  </si>
  <si>
    <t>990cdd0e-fd56-75c3-bcb3-0041ff037d7b</t>
  </si>
  <si>
    <t>Watercolor with touches of charcoal on off-white watercolor paper</t>
  </si>
  <si>
    <t>9e365fbb-4390-6492-d3f3-dd45b16e4bac</t>
  </si>
  <si>
    <t>A Cavalier</t>
  </si>
  <si>
    <t>Watercolor on cream wove board</t>
  </si>
  <si>
    <t>e858fc0a-7900-0103-098e-f87440262427</t>
  </si>
  <si>
    <t>Plum Blossoms, Crane, and Spring</t>
  </si>
  <si>
    <t>96c6856f-c731-3378-577f-ea21875b4d35</t>
  </si>
  <si>
    <t>Water Painting IX</t>
  </si>
  <si>
    <t>d367c578-7f80-b7f7-78aa-ffa9d9dff0cc</t>
  </si>
  <si>
    <t>Nude Seated in a Bathtub</t>
  </si>
  <si>
    <t>e438d818-9c7b-824a-74f9-5b1e663ad7a4</t>
  </si>
  <si>
    <t>Mother and Child on a Seashore</t>
  </si>
  <si>
    <t>8f60ebd1-f959-01a6-78b8-58aa1fadcf4b</t>
  </si>
  <si>
    <t>Meekness</t>
  </si>
  <si>
    <t>Eustache Le Sueur</t>
  </si>
  <si>
    <t>d065e4c4-6aef-3d16-b3ac-63883282e8f0</t>
  </si>
  <si>
    <t>Portrait of Mr. Delvalle</t>
  </si>
  <si>
    <t>Claude Marie Dubufe</t>
  </si>
  <si>
    <t>5ec4aa8b-bbc6-4417-8c77-aca4f24ceb58</t>
  </si>
  <si>
    <t>Wellfleet Harbor</t>
  </si>
  <si>
    <t>Julian Edwin Levi</t>
  </si>
  <si>
    <t>e76af0cb-c464-8cc9-6788-d42cd4fa3c4e</t>
  </si>
  <si>
    <t>Female Saint in a Historiated Initial "L" from a Choir Book</t>
  </si>
  <si>
    <t>Manuscript cutting in tempera and gold leaf, with gothica textura inscriptions in Latin in black ink, ruled in red, on parchment</t>
  </si>
  <si>
    <t>3fa2ef5b-ba12-b8ad-860f-aefbf0af906e</t>
  </si>
  <si>
    <t>Coastal View with Shipping</t>
  </si>
  <si>
    <t>Watercolor and gouache with scraping, heightened withgum varnish, on cream wove paper, laid down on tan wove paper</t>
  </si>
  <si>
    <t>Edwin Hayes</t>
  </si>
  <si>
    <t>11d28f11-3198-602c-ed89-5ef51304e404</t>
  </si>
  <si>
    <t>Eggbeater</t>
  </si>
  <si>
    <t>Watercolor, over graphite, on tan wove paper</t>
  </si>
  <si>
    <t>7d4f7b4f-b1c8-a1e9-0064-74699938eb3d</t>
  </si>
  <si>
    <t>Brooklyn Bridge New York</t>
  </si>
  <si>
    <t>Watercolor, over graphite, on tan card</t>
  </si>
  <si>
    <t>2b13dd8a-7e50-bd11-109a-52caa897d738</t>
  </si>
  <si>
    <t>Winter Day at Key West</t>
  </si>
  <si>
    <t>Watercolor with touches of gouache, over graphite, on ivory watercolor paper</t>
  </si>
  <si>
    <t>260c6e72-4bd2-9e6c-efed-e464043b3923</t>
  </si>
  <si>
    <t>Room 18, Virginia City, (Molinelli House)</t>
  </si>
  <si>
    <t>Watercolor with gouache, over traces of graphite, on ivory watercolor paper</t>
  </si>
  <si>
    <t>c9257759-d77a-7ae1-9d92-5cfe04c4ee33</t>
  </si>
  <si>
    <t>Still Life Decoration</t>
  </si>
  <si>
    <t>23fe0fec-9566-cacd-99ed-6ecb7cddbd27</t>
  </si>
  <si>
    <t>Mrs. George Swinton (Elizabeth Ebsworth)</t>
  </si>
  <si>
    <t>074c1b1b-fe92-01ce-9e62-cc99369142dd</t>
  </si>
  <si>
    <t>955a3bb2-0e15-4f03-5ed1-1914b5fc9c26</t>
  </si>
  <si>
    <t>Hampstead, Stormy Sky</t>
  </si>
  <si>
    <t>02bc3896-bc28-57bd-c829-cc4de184c7a8</t>
  </si>
  <si>
    <t>Portrait of the Honorable George Canning, M.P.</t>
  </si>
  <si>
    <t>ff77b16c-b8d7-00fe-abc5-d8290f7b26eb</t>
  </si>
  <si>
    <t>Mrs. Allan Maconochie</t>
  </si>
  <si>
    <t>James Northcote</t>
  </si>
  <si>
    <t>4059d913-1ed9-a1f3-60de-571f921acc38</t>
  </si>
  <si>
    <t>bc3d8e34-905a-2ca0-81a1-1122479aca9f</t>
  </si>
  <si>
    <t>Bathing Nymphs and Child</t>
  </si>
  <si>
    <t>4f5ea323-3f98-2487-26d3-f55ee1274de5</t>
  </si>
  <si>
    <t>Gypsy Women at Les Saintes Maries, Provence</t>
  </si>
  <si>
    <t>2f1de1e4-08f1-c680-0641-a70db3163af3</t>
  </si>
  <si>
    <t>Rhythm of Bird Flight</t>
  </si>
  <si>
    <t>Oil on canvas, mounted on board</t>
  </si>
  <si>
    <t>e791648c-5b8c-8a05-4c1b-7716f003c3a7</t>
  </si>
  <si>
    <t>Wooded Landscape with Cottage and Horseman</t>
  </si>
  <si>
    <t>Meindert Hobbema</t>
  </si>
  <si>
    <t>b68961a6-eed0-da9d-2196-fe5732503064</t>
  </si>
  <si>
    <t>The Keeper of the Herd</t>
  </si>
  <si>
    <t>0ace29f2-7bc1-714a-c364-12b57bcf8a93</t>
  </si>
  <si>
    <t>Poppy Field (Giverny)</t>
  </si>
  <si>
    <t>db94c894-a24c-c2e0-9db9-0506567a0152</t>
  </si>
  <si>
    <t>Mrs. Francis Russell</t>
  </si>
  <si>
    <t>c15f9720-702d-10ee-85f8-80008d2bc8ca</t>
  </si>
  <si>
    <t>Fragment of a City</t>
  </si>
  <si>
    <t>Gouache with casein, on ivory wove paper, laid down on ivory wove paper</t>
  </si>
  <si>
    <t>Robert Jay Wolff</t>
  </si>
  <si>
    <t>5f3d5a1c-1f83-536f-99ab-8c54beedbf8d</t>
  </si>
  <si>
    <t>Passing Locomotive</t>
  </si>
  <si>
    <t>Watercolor with scraping on off-white watercolor paper</t>
  </si>
  <si>
    <t>Dong Kingman</t>
  </si>
  <si>
    <t>245235e5-a974-3076-a44f-8b55cfce5469</t>
  </si>
  <si>
    <t>Richard Bone, Illustration for Spoon River Anthology</t>
  </si>
  <si>
    <t>Gouache and graphite on cream wood-pulp laminate board</t>
  </si>
  <si>
    <t>Boardman Robinson</t>
  </si>
  <si>
    <t>83dc355b-c9db-cf0e-ca39-11f6a1f7ffd8</t>
  </si>
  <si>
    <t>Coot Hunter</t>
  </si>
  <si>
    <t>e49bc7c4-573b-ead6-46be-407ccfdd26bd</t>
  </si>
  <si>
    <t>Italian Landscape</t>
  </si>
  <si>
    <t>Egypto</t>
  </si>
  <si>
    <t>3afd3d00-7068-3794-c94a-4b150d7624a0</t>
  </si>
  <si>
    <t>Pivoting Nude, Seen from Above</t>
  </si>
  <si>
    <t>d2d902ae-f195-d1a3-a5d5-5fa9fb0f3aa0</t>
  </si>
  <si>
    <t>Row of Ties</t>
  </si>
  <si>
    <t>5bc13eb5-3406-9b7e-db22-360d8dbb8428</t>
  </si>
  <si>
    <t>The Infants Christ and Saint John the Baptist Embracing</t>
  </si>
  <si>
    <t>4188f4df-ca48-3e3a-ecdf-aa79771093c4</t>
  </si>
  <si>
    <t>Joseph Siffred Duplessis</t>
  </si>
  <si>
    <t>20e3a1c6-7842-5693-67c8-a0f2b4abc363</t>
  </si>
  <si>
    <t>Naples with Mt. Vesuvius</t>
  </si>
  <si>
    <t>e9bc80e2-186e-0144-d434-0429dddc2afd</t>
  </si>
  <si>
    <t>Basket of Flowers</t>
  </si>
  <si>
    <t>Opaque and transparent watercolor on cream wove paper</t>
  </si>
  <si>
    <t>32b6ce0e-5177-73d5-3ff6-8c59288c96e3</t>
  </si>
  <si>
    <t>Watercolor and gouache, over traces of graphite, on tan wove paper</t>
  </si>
  <si>
    <t>aa0a7237-374a-78aa-afd4-94ad84ea4e5f</t>
  </si>
  <si>
    <t>Saint Blasius</t>
  </si>
  <si>
    <t>Antonio Molleno</t>
  </si>
  <si>
    <t>f80705b7-da44-81b0-ee12-6a6b1f52da08</t>
  </si>
  <si>
    <t>General with Troops in Background</t>
  </si>
  <si>
    <t>Watercolor, heightened with lead white, over graphite, selectively varnished with gum arabic, on cream wove paper</t>
  </si>
  <si>
    <t>355d17af-8b9e-a545-00a7-903806972e88</t>
  </si>
  <si>
    <t>Laundresses</t>
  </si>
  <si>
    <t>Watercolor, gouache, pen and black ink on cream wove paper</t>
  </si>
  <si>
    <t>b420a278-4eed-36ad-6372-783a0836596c</t>
  </si>
  <si>
    <t>Sheet of Sketches: Men, Women and Mice</t>
  </si>
  <si>
    <t>Watercolor and graphite, on white wove paper, tipped onto gray laid paper</t>
  </si>
  <si>
    <t>d4c6fa2f-fa6c-d2e2-09dc-5e2c657c617f</t>
  </si>
  <si>
    <t>Young People</t>
  </si>
  <si>
    <t>Watercolor and gouache with touches of graphite, on cream wove card</t>
  </si>
  <si>
    <t>5955099b-7e11-bf53-eb90-e6b3cd7c66a5</t>
  </si>
  <si>
    <t>Robert Hyde, Squire of Hyde</t>
  </si>
  <si>
    <t>2f8c0896-069a-af5b-5aad-adac25b43980</t>
  </si>
  <si>
    <t>Man in Armour</t>
  </si>
  <si>
    <t>Antonio Puga</t>
  </si>
  <si>
    <t>e8c48b99-4c1f-7ecf-0747-c5957b48f4f7</t>
  </si>
  <si>
    <t>Design for a China Plate</t>
  </si>
  <si>
    <t>Brush and brown wash and white gouache, over graphite, on blue wove paper, faded to brown</t>
  </si>
  <si>
    <t>72aa6340-3833-ab28-c85f-b0ed924e6fad</t>
  </si>
  <si>
    <t>Irises</t>
  </si>
  <si>
    <t>1f925e43-ff81-5ad7-da75-b28ea651c09f</t>
  </si>
  <si>
    <t>Chicago Harbor</t>
  </si>
  <si>
    <t>Prince Otto von Bismarck</t>
  </si>
  <si>
    <t>Franz Seraph von Lenbach</t>
  </si>
  <si>
    <t>64ef1e21-5241-6d3c-385d-a1e3dd97bc22</t>
  </si>
  <si>
    <t>Lady Playing with a Dog</t>
  </si>
  <si>
    <t>Eglon van der Neer</t>
  </si>
  <si>
    <t>dbc7219b-0da0-6610-0fe8-da17fb2b2e1e</t>
  </si>
  <si>
    <t>The Acorn and the Pumpkin</t>
  </si>
  <si>
    <t>Watercolor on ivory wove card</t>
  </si>
  <si>
    <t>83b5ccc5-9c14-e535-a4af-ebec7cc855ac</t>
  </si>
  <si>
    <t>bd267e4b-ff15-4745-0ad0-419938f4a641</t>
  </si>
  <si>
    <t>Horses at a Fountain</t>
  </si>
  <si>
    <t>William Rimmer</t>
  </si>
  <si>
    <t>3938ca9e-f376-7f58-7bde-0030c2a4e4f3</t>
  </si>
  <si>
    <t>The Death of St. Francis Xavier</t>
  </si>
  <si>
    <t>Oil on vellum</t>
  </si>
  <si>
    <t>Veronica Stern</t>
  </si>
  <si>
    <t>82ebb537-935c-eb38-1183-71290c889b0b</t>
  </si>
  <si>
    <t>Madonna and Child Appearing to Saint Louis Gonzaga</t>
  </si>
  <si>
    <t>4bf91735-17c3-2065-1686-20d6adcc3e6f</t>
  </si>
  <si>
    <t>Sketch of Foliage and Branches</t>
  </si>
  <si>
    <t>Black chalk, white and gray gouache, on tan laid paper, laid down on perimeter to cream wove card</t>
  </si>
  <si>
    <t>6350c51d-9533-ac1e-90ec-7434b69ddc9d</t>
  </si>
  <si>
    <t>Coast Scene</t>
  </si>
  <si>
    <t>5a47a0b8-d21b-b5ae-c8f2-3b99476e6e75</t>
  </si>
  <si>
    <t>Midmost</t>
  </si>
  <si>
    <t>40a8a8d9-2dba-9a94-1229-339cd463e9ef</t>
  </si>
  <si>
    <t>f0591862-bb4e-a9d9-054b-33fc56d15e38</t>
  </si>
  <si>
    <t>45 1/2 x 35 in.  (115.6 x 88.9 cm)</t>
  </si>
  <si>
    <t>Landscape with Cottages</t>
  </si>
  <si>
    <t>a414da01-a3bf-85e0-53a6-9dd1918bf4c2</t>
  </si>
  <si>
    <t>Portrait of Natalia Goncharova and Mikhail Larionov</t>
  </si>
  <si>
    <t>Aleksei Alekseevich Morgunov</t>
  </si>
  <si>
    <t>d9996508-fe3a-d390-debb-2fdefce0cf81</t>
  </si>
  <si>
    <t>10c31086-2515-1348-2c37-ed41aaa7dc88</t>
  </si>
  <si>
    <t>A Mother Feeding her Child (The Happy Mother)</t>
  </si>
  <si>
    <t>Willem van Mieris</t>
  </si>
  <si>
    <t>a161daf3-6766-63ed-3de6-0fc4f6d196fe</t>
  </si>
  <si>
    <t>The Song of the Poet</t>
  </si>
  <si>
    <t>Peppino Mangravite</t>
  </si>
  <si>
    <t>6b5d02d1-d607-e0f0-19f9-9634c45bd855</t>
  </si>
  <si>
    <t>Gouache, over traces of graphite, on cream wove paper</t>
  </si>
  <si>
    <t>92d6e078-723e-04fd-9c3e-9edf629c65b5</t>
  </si>
  <si>
    <t>Old Age</t>
  </si>
  <si>
    <t>3222a207-26a0-59c1-ba7c-c1ba4eaee588</t>
  </si>
  <si>
    <t>Figures in a Park</t>
  </si>
  <si>
    <t>Oil paint and gouache, with pen and brush and brown ink on tan wove paper</t>
  </si>
  <si>
    <t>9b751213-31cf-be53-ad2c-9330b41af470</t>
  </si>
  <si>
    <t>Inland Sea, Japan</t>
  </si>
  <si>
    <t>Undersea Tensions</t>
  </si>
  <si>
    <t>Watercolor with blue ball-point pen, red fiber-tipped pen, touches of black gouache, and traces of black fiber-tipped pen and graphite, on cream wove paper</t>
  </si>
  <si>
    <t>264d02d2-ff2b-2a3c-5a85-0b0472dd51b9</t>
  </si>
  <si>
    <t>The Facetted Cliffs</t>
  </si>
  <si>
    <t>Gouache and watercolor, with graphite and touches pen and black ink, on ivory wove paper</t>
  </si>
  <si>
    <t>4420ea12-f9db-c78b-abed-2e858913cc66</t>
  </si>
  <si>
    <t>7b540d96-1b2a-3e23-c2e4-ddb8096d70a6</t>
  </si>
  <si>
    <t>65 1/2" x 77 1/2" (166.4 x 196.9 cm)</t>
  </si>
  <si>
    <t>Praying Virgin</t>
  </si>
  <si>
    <t>0f16b763-7dd4-8c2f-3fde-321729f6c552</t>
  </si>
  <si>
    <t>Hercules and Hesione</t>
  </si>
  <si>
    <t>Bartolomeo Salvestrini</t>
  </si>
  <si>
    <t>5c9652f0-33b4-7b2b-2be5-007d2e6ea214</t>
  </si>
  <si>
    <t>Cube and Vent</t>
  </si>
  <si>
    <t>6eeb9454-7f05-80a3-01d5-d3810da74795</t>
  </si>
  <si>
    <t>Daniel Urrabieta Vierge</t>
  </si>
  <si>
    <t>Scene from the Suppression of the Paris Commune in May, 1871</t>
  </si>
  <si>
    <t>Pen and black ink and brush and gray gouache, with brush and gray wash and graphite, heightened with lead white (discolored), on cream wove paper</t>
  </si>
  <si>
    <t>9c8ff5c3-5078-1fdd-6daa-1b3802c6d714</t>
  </si>
  <si>
    <t>A Terrace in Winter</t>
  </si>
  <si>
    <t>Watercolor, with touches of gouache, over charcoal, on ivory watercolor paper</t>
  </si>
  <si>
    <t>Henry George Keller</t>
  </si>
  <si>
    <t>2e070878-d5f2-a141-d76e-814fad5388fe</t>
  </si>
  <si>
    <t>Patricia Sitting in a Chair</t>
  </si>
  <si>
    <t>Watercolor and gouache, with scraping, over graphite, on off-white wove paper</t>
  </si>
  <si>
    <t>Emil Eugen Holzhauer</t>
  </si>
  <si>
    <t>05f3fe93-38af-24eb-f094-0416e1d1a0c1</t>
  </si>
  <si>
    <t>Physiognomy of Fragments</t>
  </si>
  <si>
    <t>e793a8b7-5e80-a91b-a15d-5d070a981670</t>
  </si>
  <si>
    <t>Environment of Chipmunks</t>
  </si>
  <si>
    <t>Watercolor and gouache on ivory watercolor paper</t>
  </si>
  <si>
    <t>Vance Hall Kirkland</t>
  </si>
  <si>
    <t>5ae59acc-9e98-654e-f9b8-f77052b527aa</t>
  </si>
  <si>
    <t>Painter Working Outdoors</t>
  </si>
  <si>
    <t>Watercolor, over graphite, on ivory watercolor paper</t>
  </si>
  <si>
    <t>Lloyd R. Jones</t>
  </si>
  <si>
    <t>9eaaa1b1-1d2b-9638-a22e-f93e03091017</t>
  </si>
  <si>
    <t>#10</t>
  </si>
  <si>
    <t>1900a32b-cb66-e710-58a5-09e2161dd77f</t>
  </si>
  <si>
    <t>Clay Lake, Morning Sundown</t>
  </si>
  <si>
    <t>Oil on canvas, diptych</t>
  </si>
  <si>
    <t>e670c806-e68d-ae6e-588a-f09ef483d124</t>
  </si>
  <si>
    <t>A Sensitive Young Woman</t>
  </si>
  <si>
    <t>Watercolor, heightened with white gouache, on cream wove paper</t>
  </si>
  <si>
    <t>ec155006-7758-ba1e-714a-5230fbf043af</t>
  </si>
  <si>
    <t>Hills of the West</t>
  </si>
  <si>
    <t>Barse Miller</t>
  </si>
  <si>
    <t>22405831-1241-d2a5-0925-266bd1465b0b</t>
  </si>
  <si>
    <t>My Man</t>
  </si>
  <si>
    <t>Casein on board</t>
  </si>
  <si>
    <t>a7129310-a11f-06ee-001e-660d58d278d3</t>
  </si>
  <si>
    <t>The Creation of Eve</t>
  </si>
  <si>
    <t>6f67b87f-5e9c-3a35-143a-122ffeb0caee</t>
  </si>
  <si>
    <t>Time Unveiling Truth</t>
  </si>
  <si>
    <t>39018e31-6200-f4e3-7fc0-17ef919a6723</t>
  </si>
  <si>
    <t>c6d153e4-bf86-24f4-c1a3-a9f2424919ff</t>
  </si>
  <si>
    <t>Village Street</t>
  </si>
  <si>
    <t>Making Apple Butter</t>
  </si>
  <si>
    <t>d7a979af-872c-aa59-bd5c-0378da4c86ed</t>
  </si>
  <si>
    <t>Boat Composition (Menemsha)</t>
  </si>
  <si>
    <t>Watercolor with gouache, black pastel, touches of orange pastel, and cut-and-pasted colored papers on white watercolor paper</t>
  </si>
  <si>
    <t>85e85bb0-38cc-6757-8510-186809b7735e</t>
  </si>
  <si>
    <t>The Sorceress of the Yakuts in North East Asia</t>
  </si>
  <si>
    <t>1bf5c49e-8eeb-c3de-8d16-bb31fd285c6a</t>
  </si>
  <si>
    <t>a7aabc96-a81c-fa64-177c-5a80ef01e848</t>
  </si>
  <si>
    <t>The White Tablecloth</t>
  </si>
  <si>
    <t>7085f5ee-b5da-bd9f-e8f9-b692be466ea0</t>
  </si>
  <si>
    <t>Mark Pringle</t>
  </si>
  <si>
    <t>Sir William Beechey</t>
  </si>
  <si>
    <t>d1f47e86-bad8-3a32-8da9-b921b5d66b66</t>
  </si>
  <si>
    <t>Saint Gregory as Author</t>
  </si>
  <si>
    <t>Opaque watercolor on parchment</t>
  </si>
  <si>
    <t>School of Weingarten Abbey</t>
  </si>
  <si>
    <t>db1bd28c-9e96-b641-886f-196d44a92bbc</t>
  </si>
  <si>
    <t>Watercolor, with charcoal and touches of gouache, on ivory wove paper</t>
  </si>
  <si>
    <t>da04d818-1f1f-aedd-9675-0082b21ee784</t>
  </si>
  <si>
    <t>The Artist's Farm and Vineyard</t>
  </si>
  <si>
    <t>92272a75-e704-6a0b-fb04-88a21bdc4581</t>
  </si>
  <si>
    <t>Coss Ballance II</t>
  </si>
  <si>
    <t>Gouache with graphite, on ivory wove paper</t>
  </si>
  <si>
    <t>Winifred Nicholson</t>
  </si>
  <si>
    <t>901d01d7-bcc5-429d-e8bb-983daf0b457f</t>
  </si>
  <si>
    <t>Machine</t>
  </si>
  <si>
    <t>Graphite and watercolor on white wove paper, mounted on board</t>
  </si>
  <si>
    <t>dd521f46-c380-5d14-51d0-da4ededc4c88</t>
  </si>
  <si>
    <t>Brieve, France</t>
  </si>
  <si>
    <t>Watercolor and gouache, with brush and black ink, on off-white wove paper</t>
  </si>
  <si>
    <t>2276c90e-c3f6-2a94-1f95-2d19521d4282</t>
  </si>
  <si>
    <t>Twin Figures</t>
  </si>
  <si>
    <t>53afd7af-a05d-50fa-33e6-046317c0c034</t>
  </si>
  <si>
    <t>The Drying After</t>
  </si>
  <si>
    <t>921038c5-e638-c607-07ed-3b0ebcc4cf90</t>
  </si>
  <si>
    <t>Still Life with Fish and Shells</t>
  </si>
  <si>
    <t>47a66ae9-b3b8-82c9-beca-ad8cfd9c6a2a</t>
  </si>
  <si>
    <t>Holy Family with the Infant St. John</t>
  </si>
  <si>
    <t>Francesco Trevisani</t>
  </si>
  <si>
    <t>e9855650-5773-cddc-34ac-7240cd634a2f</t>
  </si>
  <si>
    <t>Washerwomen at the Edge of the Pond</t>
  </si>
  <si>
    <t>30f72d2d-0771-981a-b5e7-5848513aeb42</t>
  </si>
  <si>
    <t>Artist in the Suburbs</t>
  </si>
  <si>
    <t>80788034-c44c-5869-ad9a-c1a87c655653</t>
  </si>
  <si>
    <t>Prince and Princess Hunting Blackbuck</t>
  </si>
  <si>
    <t>4ab20567-ffb7-e5e5-1904-666467e8a4b7</t>
  </si>
  <si>
    <t>L'Endymien</t>
  </si>
  <si>
    <t>Watercolor, with touches of white gouache, on cream wove paper, laid down on rounded shaped cream wove paper, laid down on commercially prepared gray wood pulp board</t>
  </si>
  <si>
    <t>7c3ea0e2-4c31-e22a-e08c-e6eb6fef1597</t>
  </si>
  <si>
    <t>Antiquity: Centaur With a Genius</t>
  </si>
  <si>
    <t>9b1cb66b-4163-2631-195d-3e56a147f70e</t>
  </si>
  <si>
    <t>O. Louis Guglielmi</t>
  </si>
  <si>
    <t>6503a528-7691-65bf-d1b9-0af69edb17a1</t>
  </si>
  <si>
    <t>ff5ad798-0635-329c-4969-856886f97f31</t>
  </si>
  <si>
    <t>The Spectacles of Life</t>
  </si>
  <si>
    <t>Watercolor and pen and black ink, with touches of graphite, varnished overall, on vellum, laid down on off-white wove paper</t>
  </si>
  <si>
    <t>b2c1d70f-847a-9347-95f5-826e971887f8</t>
  </si>
  <si>
    <t>Portico with a Lantern</t>
  </si>
  <si>
    <t>Follower of Canaletto</t>
  </si>
  <si>
    <t>edf097b5-d326-afec-6bbd-2915e145364c</t>
  </si>
  <si>
    <t>The Terrace</t>
  </si>
  <si>
    <t>39a6fc6e-acc4-304e-534f-2134a1b69244</t>
  </si>
  <si>
    <t>Two Experts, Tattoo</t>
  </si>
  <si>
    <t>Brush and black and gray wash, with watercolor, over black crayon and graphite on off-white wove paper</t>
  </si>
  <si>
    <t>f9f368a4-04f5-db67-0cfd-3727165e2e3d</t>
  </si>
  <si>
    <t>The Alameda</t>
  </si>
  <si>
    <t>7a234567-f4e5-b0a5-8408-eb82938fb565</t>
  </si>
  <si>
    <t>The Past and the Present</t>
  </si>
  <si>
    <t>bd4991b1-dd2c-da63-d259-14d908e00644</t>
  </si>
  <si>
    <t>6fb1366a-1228-c0a4-01cd-00f087830219</t>
  </si>
  <si>
    <t>Mystical Head: Andrej</t>
  </si>
  <si>
    <t>Oil on paper, mounted on board</t>
  </si>
  <si>
    <t>Alexei Jawlensky</t>
  </si>
  <si>
    <t>39149ead-2dec-befd-b24b-3783502c4f3d</t>
  </si>
  <si>
    <t>The Glass of Absinthe</t>
  </si>
  <si>
    <t>de6450e9-93a7-a19c-2d70-dfdc98e505b9</t>
  </si>
  <si>
    <t>Mario Sironi</t>
  </si>
  <si>
    <t>2d12a122-7a9d-3f93-f1b1-8a940155cf6d</t>
  </si>
  <si>
    <t>3335b163-8cb5-cbec-8d8e-6d1159247c2d</t>
  </si>
  <si>
    <t>36ab3a2f-2573-7bdb-de9b-a8b9e23168bf</t>
  </si>
  <si>
    <t>Roadsters Old and Young</t>
  </si>
  <si>
    <t>Jack Butler Yeats</t>
  </si>
  <si>
    <t>fdb0b101-b858-e7f4-26d2-d75a992cd767</t>
  </si>
  <si>
    <t>Treasure Hunt</t>
  </si>
  <si>
    <t>1a878162-93e7-53f9-91e7-3d1b400c3e3e</t>
  </si>
  <si>
    <t>Homer Dictating</t>
  </si>
  <si>
    <t>8eed2fbf-5090-4fb2-8f7a-74e97c8e6eaf</t>
  </si>
  <si>
    <t>Wrigley's</t>
  </si>
  <si>
    <t>fc831cd3-8a53-4d12-43e9-55635c833d84</t>
  </si>
  <si>
    <t>Oil on pulpboard</t>
  </si>
  <si>
    <t>577b6054-9ad7-cf9a-1118-41768f4faaec</t>
  </si>
  <si>
    <t>bfc9b17a-cc18-7bd3-4d78-e925bb1a8b27</t>
  </si>
  <si>
    <t>Christ on the Cross with Mary Magdalene</t>
  </si>
  <si>
    <t>Follower of Simon Vouet</t>
  </si>
  <si>
    <t>8f22ca73-94f1-a426-6656-8ab825657c25</t>
  </si>
  <si>
    <t>Antiochus Yearning for Stratonice</t>
  </si>
  <si>
    <t>b5944ae0-5c91-20dd-79af-33a523393c33</t>
  </si>
  <si>
    <t>Saint Jame's Vision of the Virgin of the Pillar</t>
  </si>
  <si>
    <t>3286d3c2-5ccc-7c03-9b44-573222930b86</t>
  </si>
  <si>
    <t>Gouache, watercolor, and black and ochre chalks, manipulated with stump and wet brush, on cream laid paper</t>
  </si>
  <si>
    <t>3bebd534-9481-3a50-f6cf-7bab3a6934da</t>
  </si>
  <si>
    <t>Reflected Reeds</t>
  </si>
  <si>
    <t>Watercolor, heightened with white gouache, over traces of graphite, on blue wove paper</t>
  </si>
  <si>
    <t>Alfred Thompson Bricher</t>
  </si>
  <si>
    <t>fba36313-17e3-5670-f90d-5782cd7735b1</t>
  </si>
  <si>
    <t>Dragon Fly</t>
  </si>
  <si>
    <t>Cecelia Mak Yeung</t>
  </si>
  <si>
    <t>f4b64ea3-3a09-ef99-a418-05ac815056f1</t>
  </si>
  <si>
    <t>Nude Girl in Doorway</t>
  </si>
  <si>
    <t>0f9304d9-e93d-7169-e1ab-48d3cc664dde</t>
  </si>
  <si>
    <t>c6f933da-b9af-0c38-340c-0e2bc737ad1e</t>
  </si>
  <si>
    <t>Composition #45</t>
  </si>
  <si>
    <t>Watercolor, with pen and black ink, over graphite on cream wove paper</t>
  </si>
  <si>
    <t>Paul Kelpe</t>
  </si>
  <si>
    <t>5a58f204-16e2-e655-39b9-8be35a688b5d</t>
  </si>
  <si>
    <t>In the Third Sleep</t>
  </si>
  <si>
    <t>20c72625-9ab4-2e8e-04d5-4f038c18b2a9</t>
  </si>
  <si>
    <t>Portrait of a Bearded Man</t>
  </si>
  <si>
    <t>97211e61-5f3d-19e9-279d-61e8eefdefe0</t>
  </si>
  <si>
    <t>14 x 8 5/8"  
19 1/2 x 13 7/8"</t>
  </si>
  <si>
    <t>Giuseppe Angeli</t>
  </si>
  <si>
    <t>709f4ad8-d170-c3ca-0b43-51fa6fdeffaa</t>
  </si>
  <si>
    <t>New England Headlands</t>
  </si>
  <si>
    <t>f72dbf42-8655-8788-d899-9e87a0466d28</t>
  </si>
  <si>
    <t>A Witches' Sabbath</t>
  </si>
  <si>
    <t>Cornelis Saftleven</t>
  </si>
  <si>
    <t>c612af6e-f630-487e-5b85-3a15381065fc</t>
  </si>
  <si>
    <t>Francisco Street, City of Mexico</t>
  </si>
  <si>
    <t>Watercolor over graphite, heightened with touches of white gouache, on cream wove paper</t>
  </si>
  <si>
    <t>Thomas Worthington Whittredge</t>
  </si>
  <si>
    <t>55322641-0860-783e-6fb0-d5aa90a0b1a6</t>
  </si>
  <si>
    <t>Trinity</t>
  </si>
  <si>
    <t>Charles Howard</t>
  </si>
  <si>
    <t>833fb562-9d72-0bc1-8e2f-b05d3d352fde</t>
  </si>
  <si>
    <t>Connecticut Hillside</t>
  </si>
  <si>
    <t>4e966946-87b6-8ff1-554a-a928853c07e3</t>
  </si>
  <si>
    <t>Village in Brittany</t>
  </si>
  <si>
    <t>43642ffb-2bd7-3f70-d6e6-3c0bee12d83c</t>
  </si>
  <si>
    <t>Blooming Plant</t>
  </si>
  <si>
    <t>Watercolor, with touches of gouache, over charcoal, on tan laid paper, laid down on tan wood-pulp laminate board</t>
  </si>
  <si>
    <t>02872ecc-a5b6-25dc-3d50-977bb9cb68f2</t>
  </si>
  <si>
    <t>Unreal Construction</t>
  </si>
  <si>
    <t>Gouache on blue wove paper</t>
  </si>
  <si>
    <t>51a5ba71-25fd-4da8-127f-8c75a81f0f5b</t>
  </si>
  <si>
    <t>The Gardens No.2</t>
  </si>
  <si>
    <t>Gouache on gray wove paper with white and black fibers</t>
  </si>
  <si>
    <t>a9e2fe96-46c6-4b1b-c60a-93cb9a315e3f</t>
  </si>
  <si>
    <t>151ca624-38e8-7d2a-985a-f006c422d53a</t>
  </si>
  <si>
    <t>The Carousal</t>
  </si>
  <si>
    <t>Watercolor, with pen and brown ink, over traces of graphite, on ivory laid paper</t>
  </si>
  <si>
    <t>7a769444-d4d3-1134-3574-c316cdd465cf</t>
  </si>
  <si>
    <t>6a47cb9b-b219-7ba1-b57c-1aebf1d3d4ea</t>
  </si>
  <si>
    <t>Sea Horses</t>
  </si>
  <si>
    <t>Watercolor and pen and brush and black ink on cream wove paper, laid down on to buff wove paper</t>
  </si>
  <si>
    <t>326ab521-d1c0-6253-6598-055a78a8f29a</t>
  </si>
  <si>
    <t>Gouache and watercolor on ivory watercolor paper</t>
  </si>
  <si>
    <t>d413cf18-0d3c-63f9-c472-384370a8c4c8</t>
  </si>
  <si>
    <t>Morris Graves</t>
  </si>
  <si>
    <t>The Rapidity of Sleep</t>
  </si>
  <si>
    <t>4c57d38e-c3ca-2e57-057d-7a74f4616fb0</t>
  </si>
  <si>
    <t>Femme au fond blanc</t>
  </si>
  <si>
    <t>fd54d402-a162-8c1c-4cbc-03bedb1bf703</t>
  </si>
  <si>
    <t>Murder Mystery</t>
  </si>
  <si>
    <t>Oil and casein on canvas board</t>
  </si>
  <si>
    <t>8077c8ff-93f5-de61-edb9-10185ea85429</t>
  </si>
  <si>
    <t>Two Nude Figures with Flowers</t>
  </si>
  <si>
    <t>26973d0e-f7b3-cefa-5a07-e31952655d00</t>
  </si>
  <si>
    <t>River Bend in Winter</t>
  </si>
  <si>
    <t>Karl Mattern</t>
  </si>
  <si>
    <t>689a4ec4-479d-3f3e-bf64-f33aa62ec1cb</t>
  </si>
  <si>
    <t>Oil on paper, lined to canvas</t>
  </si>
  <si>
    <t>490b43a2-72a0-e246-c716-c305ac9aac48</t>
  </si>
  <si>
    <t>An Italian Comedy in Verona</t>
  </si>
  <si>
    <t>Marco Marcola</t>
  </si>
  <si>
    <t>492284f3-4636-8e6b-1cdb-a658d20de3df</t>
  </si>
  <si>
    <t>Bascule</t>
  </si>
  <si>
    <t>(discard) French School</t>
  </si>
  <si>
    <t>707ae10c-f5ec-9577-4584-5453e601fca0</t>
  </si>
  <si>
    <t>Investiture Certificate of Sister Maria Theresa Baglioni</t>
  </si>
  <si>
    <t>Manuscript cutting in opaque and translucent water-based paint and metalic paint over traces of black chalk on parchment</t>
  </si>
  <si>
    <t>8e1c4097-0e79-68f7-7a3d-93c2bff86d12</t>
  </si>
  <si>
    <t>Two Tahitian Women in a Landscape</t>
  </si>
  <si>
    <t>Monotype matrix in watercolor and gouache, with brush and green ink, over traces of graphite, on cream Japanese paper, laid down on tan wove paper (partially removed)</t>
  </si>
  <si>
    <t>1747f921-5112-2be8-6afa-0d0dba3e6e05</t>
  </si>
  <si>
    <t>Seated Tahitian Youth</t>
  </si>
  <si>
    <t>Watercolor and graphite on irregularly shaped cream wove Japanese paper, laid down on ivory laid paper with brown and blue fibers, laid down on cream wove paper</t>
  </si>
  <si>
    <t>88c7bd4e-c93f-dedb-feca-0e180239108f</t>
  </si>
  <si>
    <t>Mummy Portrait of a Man Wearing an Ivy Wreath</t>
  </si>
  <si>
    <t>Lime (linden) wood, beeswax, pigments, gold, textile, and natural resin</t>
  </si>
  <si>
    <t>6db509c1-1283-e323-c451-d2fc48f1aa01</t>
  </si>
  <si>
    <t>Armenian Fathers</t>
  </si>
  <si>
    <t>e0660e3e-77ef-4a52-7b08-20ceb41c2ccd</t>
  </si>
  <si>
    <t>Wings</t>
  </si>
  <si>
    <t>Old Virginia Home</t>
  </si>
  <si>
    <t>David Gilmour Blythe</t>
  </si>
  <si>
    <t>15528954-446e-cb43-cbb4-c22dc82c1bd0</t>
  </si>
  <si>
    <t>Leaf from the Memoirs of an Old Woman</t>
  </si>
  <si>
    <t>Watercolor and pen and brown ink, over graphite, on off-white wove paper, tipped on ivory wove paper</t>
  </si>
  <si>
    <t>05338c56-41da-6115-5531-d4235bb6ed3b</t>
  </si>
  <si>
    <t>Peach Blossoms</t>
  </si>
  <si>
    <t>6efc1bea-c900-28c5-e02a-c14189b10fb3</t>
  </si>
  <si>
    <t>d864624c-75c3-b1dc-68bf-7243e303c371</t>
  </si>
  <si>
    <t>MarÃ­a Izquierdo</t>
  </si>
  <si>
    <t>a5ed8247-1427-586e-d37c-6bdc04948350</t>
  </si>
  <si>
    <t>From Inside</t>
  </si>
  <si>
    <t>Watercolor and tempera, with pen and black and brown and blue ink, heightened with gum varnish, on white wove paper</t>
  </si>
  <si>
    <t>Humberto Aquino</t>
  </si>
  <si>
    <t>94e4d78a-6812-a6e3-0f9e-510143d05d67</t>
  </si>
  <si>
    <t>North Avenue Market</t>
  </si>
  <si>
    <t>Gouache, with touches of brush and black ink and watercolor, on cream wove paper</t>
  </si>
  <si>
    <t>83d7bdfd-f336-e9a6-c522-6ef90f104cbf</t>
  </si>
  <si>
    <t>Boats in the Harbor</t>
  </si>
  <si>
    <t>42a938aa-f99d-f097-f16c-2b735728b7e2</t>
  </si>
  <si>
    <t>The Church of Santa Maria della Salute, Venice</t>
  </si>
  <si>
    <t>Michele Giovanni Marieschi</t>
  </si>
  <si>
    <t>70ebfef5-7a98-2834-1be7-cc95e038fe82</t>
  </si>
  <si>
    <t>Pine Bluff Arkansas</t>
  </si>
  <si>
    <t>2f61bed2-078b-c4c8-d93a-dfa517344f29</t>
  </si>
  <si>
    <t>Eural Mtn Uremburg Germany</t>
  </si>
  <si>
    <t>9750779f-af5f-648c-6276-53524bedc351</t>
  </si>
  <si>
    <t>Giovanni Antonio Fasolo</t>
  </si>
  <si>
    <t>cf9fbcbd-3b50-ec79-e80a-9c60c9def6d7</t>
  </si>
  <si>
    <t>Muddy Pass Hazleton Park Wyoming</t>
  </si>
  <si>
    <t>Blue ballpoint pen, watercolor, and varnish on tan wove paper</t>
  </si>
  <si>
    <t>6b33b315-419b-cfd5-b4f4-bb76176b6e93</t>
  </si>
  <si>
    <t>2904f2bd-0b6c-b057-1b92-90521117e50b</t>
  </si>
  <si>
    <t>[...]Rganau Range[...]inehaulds France</t>
  </si>
  <si>
    <t>74eb8af6-cd3c-9b3a-6aec-76c6279df036</t>
  </si>
  <si>
    <t>Dividing Ridge Bolling Green, Mo.</t>
  </si>
  <si>
    <t>Blue ballpoint pen, blue fountain pen, and watercolor on tan wove paper</t>
  </si>
  <si>
    <t>7a439f03-fcb1-ea36-ca5b-8f2bca6e5aad</t>
  </si>
  <si>
    <t>Homage to the Square: Light Passage</t>
  </si>
  <si>
    <t>e81e3afd-69a7-915d-d93d-4b1c2ab91bfe</t>
  </si>
  <si>
    <t>Dinaric Alps Yugoslavia</t>
  </si>
  <si>
    <t>Graphite pencil, blue felt-tip pen, and watercolor on tan wove paper</t>
  </si>
  <si>
    <t>d5bde603-f3f1-14bd-310c-4b15084fba1e</t>
  </si>
  <si>
    <t>New England Country Seat</t>
  </si>
  <si>
    <t>e10efc2c-b1a4-92c2-6180-813866c58c38</t>
  </si>
  <si>
    <t>Abbicromba Range Idaho</t>
  </si>
  <si>
    <t>5c2b0e26-7c53-0e36-ed77-27db951fc9f5</t>
  </si>
  <si>
    <t>A Family Choice?</t>
  </si>
  <si>
    <t>Carbon transfer, graphite pencil, watercolor, and colored pencil on cream Japanese paper</t>
  </si>
  <si>
    <t>120798bb-0825-0abc-f4ad-84762c5f1dfc</t>
  </si>
  <si>
    <t>Ammi Phillips</t>
  </si>
  <si>
    <t>The Last Judgment from Les Sept Articles de la Foi by Jean Chappuis</t>
  </si>
  <si>
    <t>836a64e8-ba94-c0c0-407b-1a5dabd66f79</t>
  </si>
  <si>
    <t>Mrs. Reuben Allerton (Lois Atherton)</t>
  </si>
  <si>
    <t>880cf164-a140-49b0-6e6b-3456388e2782</t>
  </si>
  <si>
    <t>Back Where I, Were Born. 2/20-1888 AD;</t>
  </si>
  <si>
    <t>ba1a368e-48f1-3489-224d-c28130452ed5</t>
  </si>
  <si>
    <t>Baltimore Oriol.</t>
  </si>
  <si>
    <t>Watercolor and graphite pencil on cream wove paper</t>
  </si>
  <si>
    <t>6fdc2d6f-5ae7-6c9d-24f4-cd2a2d0182f7</t>
  </si>
  <si>
    <t>Baltimore Oriole Paint</t>
  </si>
  <si>
    <t>095f625f-71a6-cb53-35ce-c83f826594f4</t>
  </si>
  <si>
    <t>Flowers of Sharon</t>
  </si>
  <si>
    <t>46201a72-1cfe-d8c5-b7dd-c72d5f2d2025</t>
  </si>
  <si>
    <t>Cliff 400 Hayward Wis.</t>
  </si>
  <si>
    <t>Blue ballpoint pen, graphite pencil, watercolor, and varnish on ivory wove paper</t>
  </si>
  <si>
    <t>34b08526-61fc-d16a-bd5d-d0e4370f6459</t>
  </si>
  <si>
    <t>Still-Life with Mirror, Fruit Dish and Almonds</t>
  </si>
  <si>
    <t>Watercolor and gouache on off-white wove paper, laid down on gray wood-pulp board</t>
  </si>
  <si>
    <t>902cace4-9d5f-b2f6-d01e-8d1266c72dc6</t>
  </si>
  <si>
    <t>Beaver Head Mts of Bitter Root Range Montana</t>
  </si>
  <si>
    <t>84b4f9ab-6eab-c894-b070-dd9e51532267</t>
  </si>
  <si>
    <t>Section #2, of Florida Mtns Range Near Deming New Mexico 12/4-64.</t>
  </si>
  <si>
    <t>Blue ballpoint pen, graphite pencil, and watercolor on tan wove paper</t>
  </si>
  <si>
    <t>56132b65-17d3-f304-aa77-2f57764363f3</t>
  </si>
  <si>
    <t>Granet Mts Near Nome Alaska</t>
  </si>
  <si>
    <t>874e7d50-1a28-f0c9-19f6-053eba453e62</t>
  </si>
  <si>
    <t>Mount Horeb Palestine</t>
  </si>
  <si>
    <t>Black ballpoint pen and watercolor on cream wove paper</t>
  </si>
  <si>
    <t>feddd9a4-1cdb-212b-ff92-b98d98c52bab</t>
  </si>
  <si>
    <t>Two Figures in a Garden</t>
  </si>
  <si>
    <t>Watercolor, with charcoal and touches of gouache on cream wove paper, laid down on ivory wove paper</t>
  </si>
  <si>
    <t>174364e1-e036-fbf2-d861-f8e8ecbafa20</t>
  </si>
  <si>
    <t>Norkura-Dake Mtn/ [N]ear Takayama Japan</t>
  </si>
  <si>
    <t>dfdef1d5-e905-3bac-ad40-1b605b0992dd</t>
  </si>
  <si>
    <t>Hanford Desert Pasco Washington</t>
  </si>
  <si>
    <t>Watercolor, blue felt-tip pen, and blue ballpoint pen on tan wove paper</t>
  </si>
  <si>
    <t>49b8face-d09a-b878-e557-197ad6c974a5</t>
  </si>
  <si>
    <t>Platte River Denver Col</t>
  </si>
  <si>
    <t>9a16e3ad-6afa-44e4-59dc-a06a3e7c650f</t>
  </si>
  <si>
    <t>St Clar Oil Refinery on Guantannama Bay Cuba. 1910 A.D.</t>
  </si>
  <si>
    <t>Graphite pencil, watercolor, and varnish on ivory wove paper</t>
  </si>
  <si>
    <t>61ab88bc-be08-0aa5-dbb6-72e17d23b88d</t>
  </si>
  <si>
    <t>Synthi Walwo Only Indian Million (Air) in U.S. Derived from Oil Wells and Refinery in Boley Oklahoma</t>
  </si>
  <si>
    <t>Graphite pencil on translucent, cream wove paper (tracing paper)</t>
  </si>
  <si>
    <t>f256b665-f3ad-dfd0-c75a-7c890b5a5cc4</t>
  </si>
  <si>
    <t>What I Saw in Alberta B.C. Pacific Coastle Range.</t>
  </si>
  <si>
    <t>Watercolor, graphite pencil, and blue ballpoint pen on tan wove paper</t>
  </si>
  <si>
    <t>20713dd5-5491-3b2c-776d-7baff323fdce</t>
  </si>
  <si>
    <t>The House, of Great Joy Palm Springs California</t>
  </si>
  <si>
    <t>Watercolor and graphite pencil on ivory wove paper</t>
  </si>
  <si>
    <t>37169817-c34b-9f33-2ddd-66321b30a8f4</t>
  </si>
  <si>
    <t>Landscape with Cat</t>
  </si>
  <si>
    <t>Brush and pen and black inks, and gouache on cream wove paper</t>
  </si>
  <si>
    <t>7a657728-2a7d-aef1-0a50-70c9516b3a4f</t>
  </si>
  <si>
    <t>Car on the Black Road that Reflects Red</t>
  </si>
  <si>
    <t>9e09e7e2-250e-a19f-81c9-1be829f8dd20</t>
  </si>
  <si>
    <t>Elizabeth Engelhard</t>
  </si>
  <si>
    <t>Watercolor, over pen and black ink, on cream watercolor paper</t>
  </si>
  <si>
    <t>f6667ca7-fb03-d65b-cc16-220b6620ab0d</t>
  </si>
  <si>
    <t>That is Me-No! This is Me, But No, Because That One is Me, Then Which One is Me?</t>
  </si>
  <si>
    <t>Fileman Santiago Avendano</t>
  </si>
  <si>
    <t>e5de1ff3-33ff-7066-b2b7-74655d6aa293</t>
  </si>
  <si>
    <t>What Shall I Do Today</t>
  </si>
  <si>
    <t>Watercolor with gouache, over graphite, on off-white wove paper</t>
  </si>
  <si>
    <t>8aeb8873-93f0-31c1-579b-1dcf980264bc</t>
  </si>
  <si>
    <t>Paul Trebilcock</t>
  </si>
  <si>
    <t>ec5afc47-91bc-328b-63e5-0cc4c404547a</t>
  </si>
  <si>
    <t>The Family Concert</t>
  </si>
  <si>
    <t>Jan Steen</t>
  </si>
  <si>
    <t>87433360-2578-5b1b-c0b7-67921dc226fa</t>
  </si>
  <si>
    <t>474d2283-78fc-1dbe-1d45-f67908f69033</t>
  </si>
  <si>
    <t>Portrait of Henry Field</t>
  </si>
  <si>
    <t>95ad6bb3-00e0-cb37-fae0-915f5ebacf84</t>
  </si>
  <si>
    <t>Alexander N. Fullerton</t>
  </si>
  <si>
    <t>James Forbes</t>
  </si>
  <si>
    <t>79d6ad93-50d3-8b6a-66d5-f24d0a3d1ecd</t>
  </si>
  <si>
    <t>Returning Life</t>
  </si>
  <si>
    <t>21d2bcd1-5e34-1a64-2bbd-a4ae8e646188</t>
  </si>
  <si>
    <t>Purple Plums</t>
  </si>
  <si>
    <t>Carducius Plantagenet Ream</t>
  </si>
  <si>
    <t>7649eda7-1cc3-2b84-257e-670c0953b26b</t>
  </si>
  <si>
    <t>The Old Temple</t>
  </si>
  <si>
    <t>00fdacbb-872a-1091-3272-39967374ec07</t>
  </si>
  <si>
    <t>The Obelisk</t>
  </si>
  <si>
    <t>3b8084b4-5fb4-700a-bc0a-16e6fa4698b8</t>
  </si>
  <si>
    <t>The Landing Place</t>
  </si>
  <si>
    <t>83092988-7180-21d1-b8a3-cf39ddf39a68</t>
  </si>
  <si>
    <t>The Death of Procris</t>
  </si>
  <si>
    <t>6fb6c48d-5877-1077-0f9d-6a17cee3c4f8</t>
  </si>
  <si>
    <t>New England Scenery</t>
  </si>
  <si>
    <t>99e276fd-f076-f396-b5c1-b22c3ce62b45</t>
  </si>
  <si>
    <t>The Sea in Black</t>
  </si>
  <si>
    <t>Albert Zavaro</t>
  </si>
  <si>
    <t>03e4aa53-7b4e-4354-5cde-dc60722f2057</t>
  </si>
  <si>
    <t>On the Nile, Near Philae</t>
  </si>
  <si>
    <t>e4c12381-da4c-d972-ed94-ed4d7985c1d3</t>
  </si>
  <si>
    <t>Landscape, Sunset</t>
  </si>
  <si>
    <t>73a313aa-e456-199d-3329-514f232c132c</t>
  </si>
  <si>
    <t>North View Across the Michigan Avenue Bridge, Chicago</t>
  </si>
  <si>
    <t>Watercolor and pen and black and blue ink, over graphite, on cream laid paper</t>
  </si>
  <si>
    <t>8900606e-3b6d-a8c8-8d2e-4de45d4ca75b</t>
  </si>
  <si>
    <t>Queen Philippa at the Battle of Neville's Cross</t>
  </si>
  <si>
    <t>c8c3973f-971a-83d3-e3ed-e5f76101f7b3</t>
  </si>
  <si>
    <t>The Show (La Parade)</t>
  </si>
  <si>
    <t>Nicolas Antoine Taunay</t>
  </si>
  <si>
    <t>321bef42-2c5d-29e9-de42-77ebf8221f7b</t>
  </si>
  <si>
    <t>922b2b75-4c9a-e93b-1c2d-baa90cbedab0</t>
  </si>
  <si>
    <t>View of Peters' Island on the Schuylkill</t>
  </si>
  <si>
    <t>f231ab88-fd43-f437-a352-b4c3c130dbe7</t>
  </si>
  <si>
    <t>View from Wilmots Hill, Kent</t>
  </si>
  <si>
    <t>Watercolor over black chalk on cream wove paper</t>
  </si>
  <si>
    <t>774dde27-8eaf-e910-14cc-43d67b3d7062</t>
  </si>
  <si>
    <t>The Eruption of Vesuvius</t>
  </si>
  <si>
    <t>6a676ee7-39c0-0b88-c37e-36ba0c5e3065</t>
  </si>
  <si>
    <t>Jacopo Butera</t>
  </si>
  <si>
    <t>4a20ad0e-e6f5-6471-7cba-1631a8a642ea</t>
  </si>
  <si>
    <t>Christ Washing the Feet of His Disciples</t>
  </si>
  <si>
    <t>Nicolas Bertin</t>
  </si>
  <si>
    <t>44fce132-4eb4-7541-06c5-1b6f61c32912</t>
  </si>
  <si>
    <t>Striptease at New Gotham Theatre</t>
  </si>
  <si>
    <t>3bf9c648-ae7c-c741-4be9-4b9858a98760</t>
  </si>
  <si>
    <t>For the Incantation to the Entrance</t>
  </si>
  <si>
    <t>Watercolor, with gouache, on cream wove paper, laid down on white mat board</t>
  </si>
  <si>
    <t>99e4b777-54c9-61a5-8eb7-7f8c5b9fc45a</t>
  </si>
  <si>
    <t>Amazone Pass So West Chilli.</t>
  </si>
  <si>
    <t>Blue ballpoint pen and watercolor on cream wove paper</t>
  </si>
  <si>
    <t>1fcc06bd-66ee-5b81-0664-e2eb6b8f92b8</t>
  </si>
  <si>
    <t>Ranch #101 Red Cloud Nebraska.</t>
  </si>
  <si>
    <t>cab26317-506d-4dfb-e2a3-ee4eb40002de</t>
  </si>
  <si>
    <t>Tropic Range West Chilli So America</t>
  </si>
  <si>
    <t>Graphite pencil, watercolor, and blue felt-tip pen on tan wove paper</t>
  </si>
  <si>
    <t>4a2a5285-082a-1bea-7f43-151542e78d26</t>
  </si>
  <si>
    <t>8a729d33-3f04-6858-3d77-fbb642c7457d</t>
  </si>
  <si>
    <t>Pen and black ink and watercolor on cream wove paper, laid down on gray board</t>
  </si>
  <si>
    <t>7fcb2643-f153-a9d4-6e42-900b1e39e391</t>
  </si>
  <si>
    <t>Angel Over a Table with Flowers</t>
  </si>
  <si>
    <t>Watercolor and gouache, with colored chalks, over graphite, on cream wove paper, perimeter mounted to wood pulp board</t>
  </si>
  <si>
    <t>aedc67b3-16c3-c5f7-7dc7-12a985da73cd</t>
  </si>
  <si>
    <t>Boardwalk with Palm Tree</t>
  </si>
  <si>
    <t>25bf73e5-3275-125f-48f6-6b9cb0e2704a</t>
  </si>
  <si>
    <t>Landscape at Grimaud, Provence</t>
  </si>
  <si>
    <t>c9c4f53b-11d4-ae83-0f34-1559216f47ed</t>
  </si>
  <si>
    <t>Still Life with Newspaper</t>
  </si>
  <si>
    <t>315f62a3-34a7-40a7-24f8-4ce495568e2f</t>
  </si>
  <si>
    <t>a18f060c-6693-6246-0fe9-abc512841002</t>
  </si>
  <si>
    <t>Portrait of a Woman with a Prayer Book</t>
  </si>
  <si>
    <t>Bartholomaeus Bruyn, the younger</t>
  </si>
  <si>
    <t>41966cec-34ad-7600-ee8e-40c86081334e</t>
  </si>
  <si>
    <t>Matthias Gerung</t>
  </si>
  <si>
    <t>550d7d97-e4ae-e023-21ad-066559632a12</t>
  </si>
  <si>
    <t>Garden on Debris</t>
  </si>
  <si>
    <t>Watercolor and black ink transfer on cream wove paper, mounted on cream card</t>
  </si>
  <si>
    <t>e7d3569b-8a77-f190-3444-51c8c4ab990c</t>
  </si>
  <si>
    <t>Landscape along the Seine with the Institut de France and the Pont des Arts</t>
  </si>
  <si>
    <t>2bcffdac-951e-569f-8f05-f4c8e4228302</t>
  </si>
  <si>
    <t>The Park Gateway</t>
  </si>
  <si>
    <t>741d2bfb-a768-5ab3-6504-7d9d3079f46a</t>
  </si>
  <si>
    <t>Salcia Bahnc</t>
  </si>
  <si>
    <t>b3fb0fe6-cc84-097e-e417-2360fab7279d</t>
  </si>
  <si>
    <t>Still Life with Fruit</t>
  </si>
  <si>
    <t>d349a360-3690-bbc4-5883-22f4cd8bac84</t>
  </si>
  <si>
    <t>Souvenir of the Environs of Lake Nemi</t>
  </si>
  <si>
    <t>25cae01d-82c7-7060-0070-643727437126</t>
  </si>
  <si>
    <t>On the Bank of the Seine at Portejoie</t>
  </si>
  <si>
    <t>70d375a0-25bd-7fe1-c586-0e8919aaf395</t>
  </si>
  <si>
    <t>View From an Attic Room</t>
  </si>
  <si>
    <t>37a47ee5-4524-ca65-02c8-1df82c9bb647</t>
  </si>
  <si>
    <t>Woman Looking Over a Valley</t>
  </si>
  <si>
    <t>Watercolor and gouache, with pen and blue ink, touches of brush and black ink, and traces of graphite, on ivory wove paper</t>
  </si>
  <si>
    <t>08e83f34-0c59-9e26-a0a6-fa9607ed3b7d</t>
  </si>
  <si>
    <t>The Little Tree, Maine</t>
  </si>
  <si>
    <t>Watercolor with rewetting and touches of blotting, on thick, slightly textured, off-white wove paper (left and lower edges trimmed)</t>
  </si>
  <si>
    <t>a2668384-4fe0-fcdf-5147-addc87309e2a</t>
  </si>
  <si>
    <t>A Bundle of Lavender</t>
  </si>
  <si>
    <t>ea7337ab-2828-a953-5860-33a2dc028103</t>
  </si>
  <si>
    <t>Mitin al aire libre</t>
  </si>
  <si>
    <t>Acrylic on masonite</t>
  </si>
  <si>
    <t>7daa0e2b-91a5-e9a6-50a5-f073e9e47279</t>
  </si>
  <si>
    <t>9900fb25-4f31-a0c4-88a0-04dc5d3f2fbd</t>
  </si>
  <si>
    <t>Pierre Roy</t>
  </si>
  <si>
    <t>62c97df6-5d26-e9f8-764e-602961915a39</t>
  </si>
  <si>
    <t>Meetinghouse Hill, Roxbury, Massachusetts</t>
  </si>
  <si>
    <t>John Ritto Penniman</t>
  </si>
  <si>
    <t>498e45a7-5721-25dd-e26c-09b3e5b8010b</t>
  </si>
  <si>
    <t>Oct. 31, 1978 (Today Series, "Tuesday")</t>
  </si>
  <si>
    <t>Acrylic on canvas, with two newspapers</t>
  </si>
  <si>
    <t>On Kawara</t>
  </si>
  <si>
    <t>8806d7fe-0e1d-128a-5e2b-67fbbdb009cb</t>
  </si>
  <si>
    <t>e1e8e197-93e7-bd6a-5870-36200c27445e</t>
  </si>
  <si>
    <t>Daniel Hubbard</t>
  </si>
  <si>
    <t>65451ace-5cb3-377b-403a-9b16531a81bc</t>
  </si>
  <si>
    <t>Carrington</t>
  </si>
  <si>
    <t>Brush and black ink, with watercolor and gouache, on ivory laid paper</t>
  </si>
  <si>
    <t>William George Gillies</t>
  </si>
  <si>
    <t>4e6b3bb5-3c44-4e2f-64d4-e2ac58874636</t>
  </si>
  <si>
    <t>Winged Figure</t>
  </si>
  <si>
    <t>Abbott Handerson Thayer</t>
  </si>
  <si>
    <t>e7f7d1fb-9b18-45b4-1279-204a150279f5</t>
  </si>
  <si>
    <t>Robert Brown of Newhall</t>
  </si>
  <si>
    <t>719de593-24aa-69cb-9e02-64a7c8b640b0</t>
  </si>
  <si>
    <t>Tattoo and Haircut</t>
  </si>
  <si>
    <t>Egg tempera on Masonite</t>
  </si>
  <si>
    <t>6669679c-0fb7-eb39-74d5-6e827f9e0dab</t>
  </si>
  <si>
    <t>Nuclear I, CH</t>
  </si>
  <si>
    <t>f56dc4cb-3215-9e1e-2fef-9b9005cd7068</t>
  </si>
  <si>
    <t>La Touques near Deauville</t>
  </si>
  <si>
    <t>8a55bdea-0087-deb5-01b2-def2d7ba27a8</t>
  </si>
  <si>
    <t>Thatched Cottage at Trouville</t>
  </si>
  <si>
    <t>684c0725-97f5-1c12-6877-111d1b15f65f</t>
  </si>
  <si>
    <t>54.5 x 65.5 cm.</t>
  </si>
  <si>
    <t>Portrait of Charles H. Worcester</t>
  </si>
  <si>
    <t>Wayman Adams</t>
  </si>
  <si>
    <t>4139acbb-b0a6-78ed-4c56-16d67d1f9997</t>
  </si>
  <si>
    <t>Madonna of Humility</t>
  </si>
  <si>
    <t>Carlo da Camerino</t>
  </si>
  <si>
    <t>33fb43be-8efc-4d35-a6fe-e92c890338bc</t>
  </si>
  <si>
    <t>f5eb11a2-945f-f7cb-9994-ab54e8f24804</t>
  </si>
  <si>
    <t>Woman Looking For Fleas</t>
  </si>
  <si>
    <t>2ee1ea7b-4ad8-e8fd-6821-394bab14c395</t>
  </si>
  <si>
    <t>At Jennie Turner. She Tells of her Unusual Experience. Vivian Girls Being Lost in Blizzard are Attacked by Glandelinian Sharpehooter and Four are Injured Seriously before They are Rescued. 17 At Norma Catherine. Are Almost Being Strangled to Death but...</t>
  </si>
  <si>
    <t>Graphite, ink, carbon tracing, watercolor, and collage on wove paper</t>
  </si>
  <si>
    <t>Henry Darger</t>
  </si>
  <si>
    <t>198f9f20-b86a-f3f8-bca0-eddb0598b6e7</t>
  </si>
  <si>
    <t>Ballet Dancer</t>
  </si>
  <si>
    <t>ef0b4c76-c524-053a-f171-3e05f01f8d27</t>
  </si>
  <si>
    <t>Landscape in Provence</t>
  </si>
  <si>
    <t>89f059fb-4919-6783-6b7e-ec960a639b60</t>
  </si>
  <si>
    <t>Hans Eworth</t>
  </si>
  <si>
    <t>00ca7b9d-5cf8-6e05-aea6-bf10ae13e393</t>
  </si>
  <si>
    <t>The Carousal (Scene from Faust?)</t>
  </si>
  <si>
    <t>47e85960-5411-6a5e-002d-83066fa724b7</t>
  </si>
  <si>
    <t>Blue</t>
  </si>
  <si>
    <t>Watercolor with charcoal and touches of gouache on white wove paper</t>
  </si>
  <si>
    <t>67bfea84-9005-1461-0e09-04ba6ea52d21</t>
  </si>
  <si>
    <t>Portrait of a Young Artist</t>
  </si>
  <si>
    <t>519f5442-5d72-3cf3-3fe7-f3d7b2e16c3c</t>
  </si>
  <si>
    <t>The Rommel-Pot Player</t>
  </si>
  <si>
    <t>Follower of Frans Hals</t>
  </si>
  <si>
    <t>3dea7add-50e5-fe2c-8f05-2fb433a9e4ef</t>
  </si>
  <si>
    <t>Master of the Worcester Panel</t>
  </si>
  <si>
    <t>84899261-2add-0f0d-b7fa-eba017663d07</t>
  </si>
  <si>
    <t>Coast of Cornwall</t>
  </si>
  <si>
    <t>4d3a50f1-12e4-463a-52d4-a88a2a8b425f</t>
  </si>
  <si>
    <t>Portrait of a girl with a dog</t>
  </si>
  <si>
    <t>6010f431-9cce-39c8-e53b-ebaf9906ccdb</t>
  </si>
  <si>
    <t>Fernand Lungren</t>
  </si>
  <si>
    <t>7e242ca2-5c5f-bb08-ccff-7e8ef645deaf</t>
  </si>
  <si>
    <t>383e0434-48e9-5cde-d1a1-eea79a300ecd</t>
  </si>
  <si>
    <t>Portrait of Leonhard Fuchs</t>
  </si>
  <si>
    <t>Fuchs Leonhart</t>
  </si>
  <si>
    <t>944214ae-3994-9db1-591b-1b0e77f07ff9</t>
  </si>
  <si>
    <t>Ercole de'Roberti</t>
  </si>
  <si>
    <t>c92e6967-fe67-1d55-da3e-42a2a2d62f0d</t>
  </si>
  <si>
    <t>Woman with a Necklace</t>
  </si>
  <si>
    <t>1e528894-545f-9fe0-c1a5-288a52cab0df</t>
  </si>
  <si>
    <t>eaf98472-70cc-0005-c2c9-6109f549f24a</t>
  </si>
  <si>
    <t>The Princesses</t>
  </si>
  <si>
    <t>98349f35-f768-6a6b-3c41-c7f43207ba58</t>
  </si>
  <si>
    <t>Diptych of Saints Achatius, Barbara, Apollonia, and Sebald</t>
  </si>
  <si>
    <t>Distemper on linen, mounted on panel</t>
  </si>
  <si>
    <t>d11784fc-b853-f0ff-9870-d6405ae362f6</t>
  </si>
  <si>
    <t>Portrait of Lady Helen Boyle</t>
  </si>
  <si>
    <t>Painting. Oil.
Oil on canvas</t>
  </si>
  <si>
    <t>7a27c7fb-6363-27d6-462b-5cec65799291</t>
  </si>
  <si>
    <t>49##" x 39".  30 x 25"</t>
  </si>
  <si>
    <t>98d3c331-a4ef-f4a5-53a4-b9632a0b727c</t>
  </si>
  <si>
    <t>Summer (Nude)</t>
  </si>
  <si>
    <t>Giovanni Romagnoli</t>
  </si>
  <si>
    <t>b6904d79-4916-6bad-8302-ceaa789cb541</t>
  </si>
  <si>
    <t>The Poor Church</t>
  </si>
  <si>
    <t>Gouache and black watercolor, with pastel on ivory wove watercolor paper</t>
  </si>
  <si>
    <t>1450ddf5-e8ad-f847-9204-a3a0e6c021df</t>
  </si>
  <si>
    <t>The Wedding of Peleus and Thetis</t>
  </si>
  <si>
    <t>5ee19981-a8f5-1306-3ec5-eb79c14ac1a6</t>
  </si>
  <si>
    <t>Oil on parchment, mounted on panel</t>
  </si>
  <si>
    <t>Martin Schaffner</t>
  </si>
  <si>
    <t>0f1b4de0-bf06-fd85-3646-9671e349efbb</t>
  </si>
  <si>
    <t>Sketch for "The Sad Inheritance"</t>
  </si>
  <si>
    <t>JoaquÃ­n Sorolla y Bastida</t>
  </si>
  <si>
    <t>96c09fd1-9b7f-13d6-17bc-083effa801c8</t>
  </si>
  <si>
    <t>Landscape at Cagnes</t>
  </si>
  <si>
    <t>7b3b8278-694a-f990-76e8-984573b36997</t>
  </si>
  <si>
    <t>Portrait Presumed to Be of Antonio Zantani</t>
  </si>
  <si>
    <t>f3b42980-b546-95d6-2052-65e60ecf7ff5</t>
  </si>
  <si>
    <t>a1775398-4fc3-0e36-d0dd-dd0587ef4918</t>
  </si>
  <si>
    <t>Madame Arthur Fontaine in a Pink Shawl</t>
  </si>
  <si>
    <t>Gouache and oil on cardboard mounted on cardboard</t>
  </si>
  <si>
    <t>55b7b6c6-6999-b856-e7fb-d49dec971ec3</t>
  </si>
  <si>
    <t>The Dressing Room, Madame Hessel Reading at Amfreville</t>
  </si>
  <si>
    <t>Oil and tempera on cardboard</t>
  </si>
  <si>
    <t>c0230fcf-364c-a11e-85e7-f9ed106bd4cc</t>
  </si>
  <si>
    <t>Sketch for "Oath on the RÃ¼tli," Female Figure (verso)</t>
  </si>
  <si>
    <t>2838cff5-9ea3-0101-3f34-193d49416101</t>
  </si>
  <si>
    <t>Alice</t>
  </si>
  <si>
    <t>The Print Collector</t>
  </si>
  <si>
    <t>f1dce916-58a3-db57-d5cd-be0994dc98c7</t>
  </si>
  <si>
    <t>The Banks of the Marne in Winter</t>
  </si>
  <si>
    <t>3d950ecc-73f4-c28a-f216-0940b23fa5e8</t>
  </si>
  <si>
    <t>419dfc20-ac89-5777-60c8-af1fd05cf828</t>
  </si>
  <si>
    <t>The Beggar Boy (The Young Pilgrim)</t>
  </si>
  <si>
    <t>2ae161a1-d263-f3b4-b41f-3d1901ddefcc</t>
  </si>
  <si>
    <t>Number 19</t>
  </si>
  <si>
    <t>7724c5f0-27e4-43b8-41e4-7658edaef088</t>
  </si>
  <si>
    <t>The Essex Canal</t>
  </si>
  <si>
    <t>1f1931d1-06f4-c005-a75d-1a0b12470d92</t>
  </si>
  <si>
    <t>Invention</t>
  </si>
  <si>
    <t>acb12d59-97a4-2348-6038-370dbe4c2a68</t>
  </si>
  <si>
    <t>La Ciudad Perdida (The Lost City)</t>
  </si>
  <si>
    <t>Modern Latin American Art</t>
  </si>
  <si>
    <t>484231b1-94a4-16d8-0bb1-72945fef0d50</t>
  </si>
  <si>
    <t>Towards the Unknown</t>
  </si>
  <si>
    <t>781513e2-b5bd-2b7c-3156-9db115f2d22f</t>
  </si>
  <si>
    <t>Estela</t>
  </si>
  <si>
    <t>39f36121-d0ce-4b5c-5ecc-ea465ea0d629</t>
  </si>
  <si>
    <t>Homage to the Square: Promise</t>
  </si>
  <si>
    <t>76af207b-150d-c328-d8ef-189fc6848ae8</t>
  </si>
  <si>
    <t>Royal Dirge</t>
  </si>
  <si>
    <t>39a51b83-794b-1781-cf39-d5be0f842217</t>
  </si>
  <si>
    <t>New York Street</t>
  </si>
  <si>
    <t>8ed7e389-dbe7-ed35-ade2-fe7743943479</t>
  </si>
  <si>
    <t>Oil, metallic paint, and charcoal on burlap with blue neon tube</t>
  </si>
  <si>
    <t>Mario Merz</t>
  </si>
  <si>
    <t>76dc037b-53e9-67f1-0df7-eb5432ffaf25</t>
  </si>
  <si>
    <t>Hogs Killing a Snake</t>
  </si>
  <si>
    <t>e1e20a4f-bd35-6b51-775c-32d2a500b3fa</t>
  </si>
  <si>
    <t>Black gouache, with brush and gray wash, heightened with white gouache on brown wove paper</t>
  </si>
  <si>
    <t>a99d1e6e-8c3d-be27-4a00-4fa868f54673</t>
  </si>
  <si>
    <t>Saint Augustine</t>
  </si>
  <si>
    <t>f7433947-21bb-5b7f-c02f-e6f15c72bcd0</t>
  </si>
  <si>
    <t>Central Park Magnolia</t>
  </si>
  <si>
    <t>William Garbe</t>
  </si>
  <si>
    <t>c765e00d-4fb7-96e6-dbed-7a9784249537</t>
  </si>
  <si>
    <t>Iao Park</t>
  </si>
  <si>
    <t>Watercolor over graphite on white wove watercolor paper</t>
  </si>
  <si>
    <t>9a8d2a58-40e6-7c16-eb55-ab960252ac33</t>
  </si>
  <si>
    <t>Young Bird</t>
  </si>
  <si>
    <t>Brush and black ink, gouache, and colored crayons on ivory wove paper</t>
  </si>
  <si>
    <t>7040b771-3716-260a-9cb5-b594fc27c75e</t>
  </si>
  <si>
    <t>Elevated Nite</t>
  </si>
  <si>
    <t>Tempera and gold and silver leaf, with incising, on board prepared with a white gesso ground</t>
  </si>
  <si>
    <t>437013e0-4894-4776-54c6-14029989e535</t>
  </si>
  <si>
    <t>Young Woman with Flowers, Two Birds and Butterfly</t>
  </si>
  <si>
    <t>Lunette watercolor and gouache on silk</t>
  </si>
  <si>
    <t>Alessandro Milesi</t>
  </si>
  <si>
    <t>f8fd865b-ef78-a338-64a9-9d1344bdf905</t>
  </si>
  <si>
    <t>Quadrangles in Two Planes</t>
  </si>
  <si>
    <t>Oil on glass and board</t>
  </si>
  <si>
    <t>Irene Rice Pereira</t>
  </si>
  <si>
    <t>84346127-0ac3-f514-9fbf-1c2a1be58f03</t>
  </si>
  <si>
    <t>Lady at Her Toilette</t>
  </si>
  <si>
    <t>1e20645b-8935-70b9-0e56-11de72066c35</t>
  </si>
  <si>
    <t>Lawyer</t>
  </si>
  <si>
    <t>Gouache, with touches of yellow crayon, and traces of metallic gold paint on cream wove paper, tipped on cream wove paper</t>
  </si>
  <si>
    <t>4d438892-b7b5-c017-3ed2-945af5a5e91c</t>
  </si>
  <si>
    <t>Capitol Losses and Gains</t>
  </si>
  <si>
    <t>Watercolor and black fiber-tipped pen on white wove paper</t>
  </si>
  <si>
    <t>221c8fcb-e8b8-755b-e19d-ce83ba6996f6</t>
  </si>
  <si>
    <t>William Baziotes</t>
  </si>
  <si>
    <t>300f4c4e-5105-3b72-8444-7653874faf6c</t>
  </si>
  <si>
    <t>Bella Venezia</t>
  </si>
  <si>
    <t>33ba9efe-0932-4552-e817-efa70474d5c2</t>
  </si>
  <si>
    <t>John Van der Wall</t>
  </si>
  <si>
    <t>247e6198-73d4-1c31-f6d7-1ffc2c5e4622</t>
  </si>
  <si>
    <t>a304d1a0-b3f4-5d9f-98b2-0323c0d3c89a</t>
  </si>
  <si>
    <t>General Juan Prim (1814-1870)</t>
  </si>
  <si>
    <t>Henri Regnault</t>
  </si>
  <si>
    <t>dcdbdc15-e10a-f366-2250-141b6017f593</t>
  </si>
  <si>
    <t>Swappin' Grounds</t>
  </si>
  <si>
    <t>Rudolph F. Ingerle</t>
  </si>
  <si>
    <t>7f17d572-34c3-eef8-0c03-ebde7a19e9dd</t>
  </si>
  <si>
    <t>68452122-d983-a200-2ba1-a8ac6d2fbc80</t>
  </si>
  <si>
    <t>Woman in a Blue Dress</t>
  </si>
  <si>
    <t>Oil on academy board</t>
  </si>
  <si>
    <t>School of William Matthew Prior</t>
  </si>
  <si>
    <t>749a476d-3d32-f10b-01e4-a6b9ee167923</t>
  </si>
  <si>
    <t>Portrait of Fred Adelbert Haywood</t>
  </si>
  <si>
    <t>942257ef-6f95-3c91-d62f-a17841912b26</t>
  </si>
  <si>
    <t>The Clipper Ship Eagle Wing</t>
  </si>
  <si>
    <t>f0d9b392-68bd-3b60-6761-5be00afa48e1</t>
  </si>
  <si>
    <t>Emblems for Royal Crown Lodge No. 22</t>
  </si>
  <si>
    <t>5da9b6e8-6ef8-d408-3261-2097eb0561e2</t>
  </si>
  <si>
    <t>Woman in Green Dress</t>
  </si>
  <si>
    <t>6b0b401b-afad-86c1-47fa-16bcf76c4c0b</t>
  </si>
  <si>
    <t>Sailing Accident off Sandy Hook, New Jersey</t>
  </si>
  <si>
    <t>3f929f3c-1c14-0f6b-ffeb-a8a21176fee2</t>
  </si>
  <si>
    <t>Man in Black</t>
  </si>
  <si>
    <t>c79efbd9-7cda-18d4-38d1-87b9a9f89a24</t>
  </si>
  <si>
    <t>Mountain Village</t>
  </si>
  <si>
    <t>e3dd6549-4e60-1c64-3304-5d112cbe27eb</t>
  </si>
  <si>
    <t>Lady in Brown</t>
  </si>
  <si>
    <t>Frederick R. Spencer</t>
  </si>
  <si>
    <t>befbea43-31d3-3093-c53f-399c047c50c9</t>
  </si>
  <si>
    <t>William Bonham</t>
  </si>
  <si>
    <t>William Bonnell</t>
  </si>
  <si>
    <t>29ed4a54-868c-a158-f574-cddfdffe809c</t>
  </si>
  <si>
    <t>Mrs. William Bonham (Ann Warford)</t>
  </si>
  <si>
    <t>5522b060-d700-cd12-de83-0ebf1161c656</t>
  </si>
  <si>
    <t>J. Ellis Bonham</t>
  </si>
  <si>
    <t>77da3827-005a-2149-c590-34d31fdfa83c</t>
  </si>
  <si>
    <t>Mr. Benjamin Schaum</t>
  </si>
  <si>
    <t>Jacob Eichholtz</t>
  </si>
  <si>
    <t>4703b7c5-4b71-2c46-02af-38f959ef958c</t>
  </si>
  <si>
    <t>Mrs. Benjamin Schaum (Anna Maria Heckensweiler)</t>
  </si>
  <si>
    <t>0da87889-35af-df93-2e73-3227ddc48749</t>
  </si>
  <si>
    <t>Master Schaum</t>
  </si>
  <si>
    <t>a8b03e58-1568-2e09-4c08-8fca03774e8c</t>
  </si>
  <si>
    <t>Woman with a Green Book (Louisa Gallond Cook)</t>
  </si>
  <si>
    <t>Erastus Salisbury Field</t>
  </si>
  <si>
    <t>8e7bbaa0-1748-3844-56ce-f6c22c50e583</t>
  </si>
  <si>
    <t>Dover Harbor</t>
  </si>
  <si>
    <t>Watercolor and gouache, with pen and brown and black ink, over graphite, heightened with gum arabic, on cream laid paper, laid down on ivory card</t>
  </si>
  <si>
    <t>54163ffb-d3a7-f614-2f74-9c35692c296e</t>
  </si>
  <si>
    <t>Le Matin, November</t>
  </si>
  <si>
    <t>Gouache with charcoal and graphite on tan wove paper</t>
  </si>
  <si>
    <t>84aaa9fd-d738-7ef4-a2ed-5855e8d4d8dc</t>
  </si>
  <si>
    <t>Perseus Starting from the Cave of the Gorgons</t>
  </si>
  <si>
    <t>Oil and oil wash, over graphite and with touches of pen and black ink, on tan laid paper, laid down on off-white Japanese paper</t>
  </si>
  <si>
    <t>668ae4ff-7fac-5f49-184b-d3f6c658c7aa</t>
  </si>
  <si>
    <t>Oil and oil wash, with pen and black ink, charcoal, and touches of incising, heightened with touches of white chalk, on tan laid paper, laid down on off-white Japanese paper</t>
  </si>
  <si>
    <t>265a8ea5-ca29-c834-7211-63f140986d67</t>
  </si>
  <si>
    <t>Peasant Women from the Region of the Eaux-Bonnes</t>
  </si>
  <si>
    <t>Watercolor, with touches of gouache, over traces of graphite, on cream wove paper, laid down on cream wove paper</t>
  </si>
  <si>
    <t>dc28a17d-2967-1d8c-669d-8fbb031baa96</t>
  </si>
  <si>
    <t>Nude with a Pitcher</t>
  </si>
  <si>
    <t>aa7ac006-5b63-12aa-3ab7-705cc612aa0a</t>
  </si>
  <si>
    <t>Oil Sketch for "La Grande Jatte"</t>
  </si>
  <si>
    <t>d6c806d3-5a81-22c5-11fb-04100ed93838</t>
  </si>
  <si>
    <t>Entrance to the Park at Saint-Cloud</t>
  </si>
  <si>
    <t>199b5d9f-92ce-78b2-85f7-d731a786da51</t>
  </si>
  <si>
    <t>11th January 1981</t>
  </si>
  <si>
    <t>Colored pencils and watercolor, with graphite, on white wove card, laid down on white board</t>
  </si>
  <si>
    <t>Ben Albert Benson</t>
  </si>
  <si>
    <t>ede9a31c-2c3c-8a6a-95ee-ad238143387b</t>
  </si>
  <si>
    <t>Duncan Stuart McCandless</t>
  </si>
  <si>
    <t>ed17bc92-fbe0-cf12-7e01-dee7bc0ba13f</t>
  </si>
  <si>
    <t>Saint Romanus of Antioch and Saint Barulas</t>
  </si>
  <si>
    <t>2f047ef8-34c1-4fcf-37ee-6f433ff9091f</t>
  </si>
  <si>
    <t>Gouache, over graphite on ivory wove paper</t>
  </si>
  <si>
    <t>07cf615d-2a48-4541-9374-e768102db6cd</t>
  </si>
  <si>
    <t>The Artist's Studio</t>
  </si>
  <si>
    <t>Gouache, with touches of watercolor, over graphite on ivory wove paper, laid down on ivory card</t>
  </si>
  <si>
    <t>Max Jacob</t>
  </si>
  <si>
    <t>b1deb0bb-2248-4216-ce99-e5019b56db3f</t>
  </si>
  <si>
    <t>Public Garden: Poor Lovers</t>
  </si>
  <si>
    <t>Gouache, with touches of black watercolor on black card</t>
  </si>
  <si>
    <t>3a1b6752-bb06-82ef-88ec-c30473105d99</t>
  </si>
  <si>
    <t>Watercolor and brush and black ink on white Japanese paper</t>
  </si>
  <si>
    <t>201d2ae9-6943-6e1f-3db1-0186f6a34903</t>
  </si>
  <si>
    <t>Francis Cyril Rose</t>
  </si>
  <si>
    <t>3d2e7727-b473-9726-89fd-2c5c93092599</t>
  </si>
  <si>
    <t>The Promenade des Anglais in Nice</t>
  </si>
  <si>
    <t>Watercolor, with touches of gouache, and graphite, on ivory wove paper</t>
  </si>
  <si>
    <t>42462a70-3018-4f76-aa2e-dbc593e82bdd</t>
  </si>
  <si>
    <t>Portrait of a Woman Artist</t>
  </si>
  <si>
    <t>360e3e61-bb1c-1eb5-a9f5-e620f305b75b</t>
  </si>
  <si>
    <t>Brilliant Yellow #9</t>
  </si>
  <si>
    <t>2d384434-c049-7f51-ce4f-b03b8168154a</t>
  </si>
  <si>
    <t>fedbdde6-fbcf-bb3b-627a-bcbb133aa6bd</t>
  </si>
  <si>
    <t>Sunrise with Columns</t>
  </si>
  <si>
    <t>Joseph Parker</t>
  </si>
  <si>
    <t>44113804-ce2c-a0e8-786f-319ba4474a28</t>
  </si>
  <si>
    <t>The Fruit Vendor</t>
  </si>
  <si>
    <t>Gouache, over graphite, on white wove paper laid down on white wove paper</t>
  </si>
  <si>
    <t>d51b8a23-ca14-298b-1004-52f4dc4925b1</t>
  </si>
  <si>
    <t>Design for a Circular Ceiling Decoration</t>
  </si>
  <si>
    <t>Watercolor, with pen and black ink, over graphite, on cream laid paper</t>
  </si>
  <si>
    <t>f026dc5c-c114-b7b1-a406-512c610f5b83</t>
  </si>
  <si>
    <t>Fishing Boat on Heavy Sea</t>
  </si>
  <si>
    <t>Watercolor with gouache, over graphite, on ivory wood-pulp laminate board</t>
  </si>
  <si>
    <t>aaffaf58-ed52-469e-e724-68d0cb1b8e5f</t>
  </si>
  <si>
    <t>Jaguar Standing</t>
  </si>
  <si>
    <t>Watercolor, with black crayon, touches of gouache, and wiping, on cream laid paper, laid down on Japanese paper</t>
  </si>
  <si>
    <t>becf3af6-3520-f77e-2b2e-e9853031af4d</t>
  </si>
  <si>
    <t>Back Teria One Oh! One</t>
  </si>
  <si>
    <t>4544af4a-3bdf-4feb-1578-d14f66ba77c7</t>
  </si>
  <si>
    <t>Watercolor, with graphite, on ivory wove paper, laid down on Japanese paper</t>
  </si>
  <si>
    <t>ffc2e917-6349-2674-0159-b566fdaec601</t>
  </si>
  <si>
    <t>Doorways</t>
  </si>
  <si>
    <t>Tempera on gray wood-pulp board, on paper</t>
  </si>
  <si>
    <t>c76ccc27-bdca-9aaf-0d6d-4058050f0294</t>
  </si>
  <si>
    <t>Portrait of Emperor Jahangir</t>
  </si>
  <si>
    <t>746e5978-311c-68dc-9f75-0fe34394391d</t>
  </si>
  <si>
    <t>528f813c-9a8b-b07a-d28f-ac443bac4dd8</t>
  </si>
  <si>
    <t>f1cf9e7a-a0f3-3ec9-00b8-a9cbb62244c9</t>
  </si>
  <si>
    <t>Flowers and Lamp</t>
  </si>
  <si>
    <t>7c42d99b-2284-8106-afc4-ebc5874aaa60</t>
  </si>
  <si>
    <t>Pink Cock</t>
  </si>
  <si>
    <t>853791c4-6cb6-5479-96c5-8b2d0b61ca70</t>
  </si>
  <si>
    <t>Oil and enamel on paper, mounted on composition board</t>
  </si>
  <si>
    <t>71600387-912a-2bf2-d166-e50ca392186e</t>
  </si>
  <si>
    <t>The Farmer Wanted a Boy</t>
  </si>
  <si>
    <t>3a6d468f-7432-7f5c-8790-ff00d902fefb</t>
  </si>
  <si>
    <t>Wound Interrogation</t>
  </si>
  <si>
    <t>b0576730-8095-b9e6-c6f4-288113d70529</t>
  </si>
  <si>
    <t>The Send-Off</t>
  </si>
  <si>
    <t>Alton Pickens</t>
  </si>
  <si>
    <t>368bc137-9907-9c06-bf51-002effa7c68a</t>
  </si>
  <si>
    <t>The Environs of the Chateau d'Argol</t>
  </si>
  <si>
    <t>a8300772-733f-2467-c9bf-80dd997aac68</t>
  </si>
  <si>
    <t>fa5d0591-d4d5-2a96-fa6d-5c12d2745ccc</t>
  </si>
  <si>
    <t>Exotic garden</t>
  </si>
  <si>
    <t>b77d4b7b-abc7-f1ef-a8c2-377167820d63</t>
  </si>
  <si>
    <t>The Inventors</t>
  </si>
  <si>
    <t>54f504e4-d6a4-075e-444b-d74ae24d27e7</t>
  </si>
  <si>
    <t>Magnetic Mountain</t>
  </si>
  <si>
    <t>bafd0b1b-49bb-4af5-554a-7054abe2943a</t>
  </si>
  <si>
    <t>1d7d470b-4325-212b-1398-305b51a79cd1</t>
  </si>
  <si>
    <t>Bones and Buzzards</t>
  </si>
  <si>
    <t>Brush and black ink, watercolor, and gouache, over traces of graphite, on cream wove paper</t>
  </si>
  <si>
    <t>George Buehr</t>
  </si>
  <si>
    <t>1cca0372-86c6-360c-7e21-35753e9f0fca</t>
  </si>
  <si>
    <t>Snowstorm in the Woods</t>
  </si>
  <si>
    <t>8f82f2fd-1935-c0e9-0552-d537d4162d81</t>
  </si>
  <si>
    <t>Singed Garden</t>
  </si>
  <si>
    <t>Watercolor and black ink transfer, on ivory laid paper, laid down on gray wood-pulp laminate board</t>
  </si>
  <si>
    <t>00685fbd-5ecd-da39-d04b-d11df41c54f0</t>
  </si>
  <si>
    <t>Snow Field, Morning, Roxbury</t>
  </si>
  <si>
    <t>Oil on beveled mahogany panel</t>
  </si>
  <si>
    <t>8e5f3773-9396-0fde-8547-490cca07b68b</t>
  </si>
  <si>
    <t>Studies of Trees and Foliage</t>
  </si>
  <si>
    <t>Pen and black ink with opaque and transparent watercolor on ivory wove paper</t>
  </si>
  <si>
    <t>613c9cf8-f984-c02b-af44-7e4c4b2a6dbf</t>
  </si>
  <si>
    <t>Mine Disaster</t>
  </si>
  <si>
    <t>Tempera on plywood</t>
  </si>
  <si>
    <t>55e19e15-ad9f-9207-b44d-a6ad640c7260</t>
  </si>
  <si>
    <t>Still Life with a Basket of Fruit and a Bunch of Asparagus</t>
  </si>
  <si>
    <t>Louise Moillon</t>
  </si>
  <si>
    <t>87d426ca-4537-1386-50bf-6c2d5a5d7d17</t>
  </si>
  <si>
    <t>086f1a92-1a07-1805-3321-d238009fcda0</t>
  </si>
  <si>
    <t>db64e9cf-c51f-edad-962b-cd7d76d1c266</t>
  </si>
  <si>
    <t>Still Life with Cat</t>
  </si>
  <si>
    <t>Watercolor on cream laid paper, laid down on cream Japanese paper</t>
  </si>
  <si>
    <t>ec366a5f-e152-b4eb-3822-6473f644a21b</t>
  </si>
  <si>
    <t>South Boston Pier</t>
  </si>
  <si>
    <t>Watercolor over graphite, with traces of white gouache, on ivory wove paper</t>
  </si>
  <si>
    <t>9cfdaeda-5a61-b74c-a62d-c28efaea197d</t>
  </si>
  <si>
    <t>George de Forest Brush</t>
  </si>
  <si>
    <t>e4577497-99cc-0fe7-d910-18c158f282d1</t>
  </si>
  <si>
    <t>William Merchant Richardson French, Director of Art Institute 1879-1914</t>
  </si>
  <si>
    <t>2e6364b7-f97c-46cd-e3b7-bb87054d33ae</t>
  </si>
  <si>
    <t>Jack in the Pulpit</t>
  </si>
  <si>
    <t>d405f006-5220-6b52-50b6-a65efd2a4c35</t>
  </si>
  <si>
    <t>Four Triangles within a Circle, #1</t>
  </si>
  <si>
    <t>Acrylic and pencil on canvas</t>
  </si>
  <si>
    <t>86146d96-7d4e-cf48-1cd7-16638b1df176</t>
  </si>
  <si>
    <t>91.4 cm diameter (36 in. diameter)</t>
  </si>
  <si>
    <t>Dan Lutz</t>
  </si>
  <si>
    <t>6a2332ea-16a6-d960-47fc-4ef6c8670f49</t>
  </si>
  <si>
    <t>Forest Interior</t>
  </si>
  <si>
    <t>4da06460-1314-a2af-c1b0-bf4d12e76d45</t>
  </si>
  <si>
    <t>Woman and Birds in Front of the Sun</t>
  </si>
  <si>
    <t>Pen and brush and black ink, watercolor and gouache, with wiping and scraping, and touches of pastel, on cream wove paper, laid down</t>
  </si>
  <si>
    <t>dffed9fe-527f-ce41-f0c6-a4247a267dcc</t>
  </si>
  <si>
    <t>Confusion of Christmas</t>
  </si>
  <si>
    <t>Gouache with incising and traces of graphite and charcoal, on tan cardboard</t>
  </si>
  <si>
    <t>da54b267-8531-2d34-bdb4-6185c609ebd3</t>
  </si>
  <si>
    <t>Clio</t>
  </si>
  <si>
    <t>02a6954b-18f9-8f7d-0084-c3a04b28b3f6</t>
  </si>
  <si>
    <t>Five Heads</t>
  </si>
  <si>
    <t>21d09325-ed82-4235-d7ab-c0c39760c792</t>
  </si>
  <si>
    <t>Heraldry</t>
  </si>
  <si>
    <t>27bec91b-ea27-851a-24b9-d1909ac2bf7f</t>
  </si>
  <si>
    <t>Melusine and the Great Transparents</t>
  </si>
  <si>
    <t>e529ea2c-e8c9-bd4f-fd8a-3116f7b93b22</t>
  </si>
  <si>
    <t>The Red Table</t>
  </si>
  <si>
    <t>6b245b09-5285-adb1-0273-e60838bea600</t>
  </si>
  <si>
    <t>Stakim</t>
  </si>
  <si>
    <t>Oil on plaster</t>
  </si>
  <si>
    <t>87a116f3-12bb-0ac3-df95-aae108579e28</t>
  </si>
  <si>
    <t>Apples</t>
  </si>
  <si>
    <t>b2bc0fc2-8d17-1fcd-8cae-8626421c11ef</t>
  </si>
  <si>
    <t>The Beautiful Greek Woman</t>
  </si>
  <si>
    <t>8c83be98-5682-ddd1-b873-09c1ebcfa8dd</t>
  </si>
  <si>
    <t>Still Life: Fruit and Flowers</t>
  </si>
  <si>
    <t>Paul Theodor van Brussel</t>
  </si>
  <si>
    <t>7f0fbb4b-82ff-2f51-f8b0-3dc169fa8144</t>
  </si>
  <si>
    <t>Bouquet of Flowers in an Earthenware Vase</t>
  </si>
  <si>
    <t>Jan Brueghel, the elder</t>
  </si>
  <si>
    <t>599e0546-ed58-0224-a623-39a8e3b51ef8</t>
  </si>
  <si>
    <t>Still-life: Flowers</t>
  </si>
  <si>
    <t>a8e5f1fa-28d5-5b99-61fc-f5d436afe933</t>
  </si>
  <si>
    <t>White Phlox</t>
  </si>
  <si>
    <t>Gouache, over charcoal, on ivory laid paper</t>
  </si>
  <si>
    <t>Alfred Henry Maurer</t>
  </si>
  <si>
    <t>f6d4295a-be9e-9fe9-9eeb-c11f9844eadd</t>
  </si>
  <si>
    <t>Michigan Summer Days</t>
  </si>
  <si>
    <t>c7312d29-c06c-1b0d-dfaf-a685f84f7b84</t>
  </si>
  <si>
    <t>Spring Bouquet</t>
  </si>
  <si>
    <t>74f3cbdf-6131-780c-c770-8135ef58d672</t>
  </si>
  <si>
    <t>Land of Cotton</t>
  </si>
  <si>
    <t>Watercolor and gouache, with pen and black ink, and touches of scraping, over traces of graphite on ivory wood pulp laminate board (illustration board)</t>
  </si>
  <si>
    <t>b98fbe80-6285-12d6-d3a5-e9146ad2ac09</t>
  </si>
  <si>
    <t>Two Women at a Table</t>
  </si>
  <si>
    <t>Brush and black ink, with watercolor, over graphite on cream wove paper, tipped onto ivory wove paper</t>
  </si>
  <si>
    <t>e0f50570-320d-5d2d-32cf-e739d30088e8</t>
  </si>
  <si>
    <t>Strange Worlds</t>
  </si>
  <si>
    <t>c4a64a92-e53e-f33e-9243-94e8ae678c49</t>
  </si>
  <si>
    <t>Study of a Cow</t>
  </si>
  <si>
    <t>Emile van Marcke de Lummen</t>
  </si>
  <si>
    <t>c66cff23-22a1-e440-b390-ef4e68facd6a</t>
  </si>
  <si>
    <t>Hills of Byram</t>
  </si>
  <si>
    <t>Daniel Garber</t>
  </si>
  <si>
    <t>bb63a340-8c0f-3412-9342-ef6784e3d6b6</t>
  </si>
  <si>
    <t>The Winter Sun</t>
  </si>
  <si>
    <t>George Gardner Symons</t>
  </si>
  <si>
    <t>d1cda60c-c21d-9fbc-8195-4e7c3d6e9650</t>
  </si>
  <si>
    <t>Rainy Day</t>
  </si>
  <si>
    <t>8c92737a-9766-eb66-d0b2-1f042b219674</t>
  </si>
  <si>
    <t>Young Woman in Black</t>
  </si>
  <si>
    <t>3edec075-6e0b-0ccc-0036-5328de3e064c</t>
  </si>
  <si>
    <t>Maya, Mirror of Illusions</t>
  </si>
  <si>
    <t>55ceb009-39ab-e7ea-ee6d-671dd3c3a69b</t>
  </si>
  <si>
    <t>George Elmer Browne</t>
  </si>
  <si>
    <t>Miss Schaum</t>
  </si>
  <si>
    <t>7dd956f2-4d5e-66d9-e37c-d6359ff385c2</t>
  </si>
  <si>
    <t>After a Summer Shower</t>
  </si>
  <si>
    <t>a9546ba5-6191-4e04-e209-d22a10e7d0d7</t>
  </si>
  <si>
    <t>0b66bb30-3170-f7d1-543a-93e02ffe194f</t>
  </si>
  <si>
    <t>Sunlit Valley</t>
  </si>
  <si>
    <t>50b12a25-63da-2db1-34ea-4bf1d4d082a1</t>
  </si>
  <si>
    <t>4425984b-e241-6413-1404-cdac0fb06518</t>
  </si>
  <si>
    <t>Oil on artist's board</t>
  </si>
  <si>
    <t>84bc6762-6a64-dde5-5dc3-ec31c75aa32b</t>
  </si>
  <si>
    <t>April Twentieth</t>
  </si>
  <si>
    <t>Lawrence Mazzanovich</t>
  </si>
  <si>
    <t>ed4654ae-3ea6-68a8-1258-d68680ba32d5</t>
  </si>
  <si>
    <t>Grapes, Lemons, Pears, and Apples</t>
  </si>
  <si>
    <t>f11bd233-6cc3-4221-59eb-f7363be4119e</t>
  </si>
  <si>
    <t>Counter-Composition VIII</t>
  </si>
  <si>
    <t>Theo van Doesburg</t>
  </si>
  <si>
    <t>cc7d2ecc-f4ae-393e-7ab0-fe3716f49502</t>
  </si>
  <si>
    <t>The Cloisters, San Lorenzo fuori le mura</t>
  </si>
  <si>
    <t>f72718c3-1fec-dce3-8c41-85b42a5ea273</t>
  </si>
  <si>
    <t>Jupiter Rebuked by Venus</t>
  </si>
  <si>
    <t>Abraham Janssens</t>
  </si>
  <si>
    <t>dd6290e0-9a2b-27c8-c9ae-19837939b934</t>
  </si>
  <si>
    <t>Hillside with Trees</t>
  </si>
  <si>
    <t>eb55340f-ed2a-c068-e1fb-b51b60d9bbda</t>
  </si>
  <si>
    <t>Afterglow</t>
  </si>
  <si>
    <t>1cdde17f-3a93-7d76-4c3a-0dee432f86f8</t>
  </si>
  <si>
    <t>Towering Trees</t>
  </si>
  <si>
    <t>214ac375-94de-4c46-b518-70a8ba44485b</t>
  </si>
  <si>
    <t>05dcffe0-97a9-cd59-df71-73731a5dbd9f</t>
  </si>
  <si>
    <t>The Feast in the House of Simon</t>
  </si>
  <si>
    <t>75886aaa-002a-2047-a05c-baf73f0ac093</t>
  </si>
  <si>
    <t>Attitudes</t>
  </si>
  <si>
    <t>Gouache, over black ink, on tan wove paper, laid down on grayish-ivory card</t>
  </si>
  <si>
    <t>83676fa5-750e-e9c0-c1ae-5bad90c5677f</t>
  </si>
  <si>
    <t>The Artist in His Studio</t>
  </si>
  <si>
    <t>Oil on board mounted on wood panel</t>
  </si>
  <si>
    <t>e01a4f76-d089-8e22-8431-3488db37a293</t>
  </si>
  <si>
    <t>The Plate of Apples</t>
  </si>
  <si>
    <t>ffba2da9-51b1-9641-c95a-ab537717efbe</t>
  </si>
  <si>
    <t>Mae West's Face which May be Used as a Surrealist Apartment</t>
  </si>
  <si>
    <t>Gouache with graphite, on commercially printed magazine page</t>
  </si>
  <si>
    <t>ebbb8f9b-8b33-0c8d-9aaf-ce47d4eef6c8</t>
  </si>
  <si>
    <t>Composition (No. 1) Gray-Red</t>
  </si>
  <si>
    <t>254c654f-354a-0f4f-28b5-8eb01a02e95c</t>
  </si>
  <si>
    <t>Wheat Fields</t>
  </si>
  <si>
    <t>b6cb6d95-8ce6-91fe-c350-8caf808739b5</t>
  </si>
  <si>
    <t>View of Avignon (from Villeneuve les Avignon)</t>
  </si>
  <si>
    <t>Watercolor, with touches of gouache and scraping, selectively varnished with gum arabic, over traces of graphite, on ivory wove paper</t>
  </si>
  <si>
    <t>1db6615a-903f-5d01-b61a-3cdf68574ef9</t>
  </si>
  <si>
    <t>Charles Webster Hawthorne</t>
  </si>
  <si>
    <t>Watercolor, paint and charcoal, over black and white photo</t>
  </si>
  <si>
    <t>Arnulf Rainer</t>
  </si>
  <si>
    <t>8be3db22-29e6-3c19-b1dc-d636456fc209</t>
  </si>
  <si>
    <t>Fish Series, No. 7</t>
  </si>
  <si>
    <t>Watercolor over graphite on ivory laid paper</t>
  </si>
  <si>
    <t>7e81709d-580d-7184-6506-8710891fdcd6</t>
  </si>
  <si>
    <t>40e495e3-73b8-17c3-2c27-9d2e866d7ad1</t>
  </si>
  <si>
    <t>Fish Series, No. 6</t>
  </si>
  <si>
    <t>84aba3df-921e-614c-a802-cbf3793a6348</t>
  </si>
  <si>
    <t>Autumn River Scene, The Brook</t>
  </si>
  <si>
    <t>David Bates</t>
  </si>
  <si>
    <t>901da649-8816-41da-07e2-6140dd52d67a</t>
  </si>
  <si>
    <t>A Family Meal</t>
  </si>
  <si>
    <t>Evert Pieters</t>
  </si>
  <si>
    <t>d5b9b3c8-66b4-d061-43ee-307cc42e1ae6</t>
  </si>
  <si>
    <t>9199e18e-3591-766e-79cd-23e81211cd1a</t>
  </si>
  <si>
    <t>Salvia and Zinnia</t>
  </si>
  <si>
    <t>2f76f881-74c1-bdd5-9bca-0946f7b07320</t>
  </si>
  <si>
    <t>Waiting (Ventilators)</t>
  </si>
  <si>
    <t>Tempera and graphite on fiber board</t>
  </si>
  <si>
    <t>ce225f03-032b-389d-db14-cedbb04fe923</t>
  </si>
  <si>
    <t>Desert Wanderer, Navajo</t>
  </si>
  <si>
    <t>f541abc9-41b6-e1d9-264f-b09899dd60d8</t>
  </si>
  <si>
    <t>On "That" Street</t>
  </si>
  <si>
    <t>Watercolor over graphite, on cream laid paper, laid down on ivory board</t>
  </si>
  <si>
    <t>6a0619fd-82b2-d4ff-ba34-6a46716b738f</t>
  </si>
  <si>
    <t>Business</t>
  </si>
  <si>
    <t>62df25ca-c159-18b9-b94f-00afc08503b1</t>
  </si>
  <si>
    <t>Oil and silver paint on wood</t>
  </si>
  <si>
    <t>a2d5b612-0900-562e-a9a0-d3efac7ccb01</t>
  </si>
  <si>
    <t>From a Wasp</t>
  </si>
  <si>
    <t>6d5efb04-82ef-ff76-5700-8ba9f39aa00a</t>
  </si>
  <si>
    <t>Telegraph Pole</t>
  </si>
  <si>
    <t>Oil, metallic paint, and pencil, on steel plate</t>
  </si>
  <si>
    <t>4cffecd8-29fa-cb7d-ed97-98e18b366fbe</t>
  </si>
  <si>
    <t>Dogs Chasing Each Other</t>
  </si>
  <si>
    <t>beed3af1-8c97-1c24-7c5a-a058f5cb5eba</t>
  </si>
  <si>
    <t>Cross and Weather Vane</t>
  </si>
  <si>
    <t>fbb0cd34-bca0-661f-157e-7b352427bdc1</t>
  </si>
  <si>
    <t>4f4ad49a-b1f5-6af4-53cf-1a5c82535ba3</t>
  </si>
  <si>
    <t>Swing Music (Louis Armstrong)</t>
  </si>
  <si>
    <t>Emulsion, oil, and wax on canvas</t>
  </si>
  <si>
    <t>8851a134-ad75-3cd9-5e03-b5b604b6e48c</t>
  </si>
  <si>
    <t>A Reasonable Facsimile</t>
  </si>
  <si>
    <t>Encaustic on canvas</t>
  </si>
  <si>
    <t>8ac41eae-cddd-3f22-ba4e-c0e3f3f061e0</t>
  </si>
  <si>
    <t>The Dark Mountain</t>
  </si>
  <si>
    <t>97314d3d-dc9b-fd8e-644e-eb5150f16721</t>
  </si>
  <si>
    <t>Landscape no. 26</t>
  </si>
  <si>
    <t>d9b07617-7953-5ef1-6a0f-1f593baf06a1</t>
  </si>
  <si>
    <t>f534bce3-4746-cba6-6c46-c37a7c9199fb</t>
  </si>
  <si>
    <t>The Last of New Englandâ€”The Beginning of New Mexico</t>
  </si>
  <si>
    <t>63692198-8ab4-4747-7038-6d5278cff867</t>
  </si>
  <si>
    <t>Still Life No. 15</t>
  </si>
  <si>
    <t>adc650d5-4de1-6a0b-f2b1-53f0cd941cf6</t>
  </si>
  <si>
    <t>Landscape No. 3, Cash Entry Mines, New Mexico</t>
  </si>
  <si>
    <t>73a61bab-fcf6-7145-3e29-8edd95212db1</t>
  </si>
  <si>
    <t>Still Life No. 3</t>
  </si>
  <si>
    <t>e5ee149b-36ed-49c1-cad0-04ae6535090d</t>
  </si>
  <si>
    <t>Portrait of a Sea Doveâ€”Dead</t>
  </si>
  <si>
    <t>cf3e677c-6a9b-b17b-60b1-b6a8cee49389</t>
  </si>
  <si>
    <t>A Rolling Sky, Paris, After Storm</t>
  </si>
  <si>
    <t>Watercolor with rewetting, wiping, and blotting, over touches of graphite, ruled in graphite, on lightweight, slightly textured, ivory wove paper (all edges trimmed)</t>
  </si>
  <si>
    <t>abde16ff-e842-2c83-b3b7-7f48192b6593</t>
  </si>
  <si>
    <t>Movement: Fifth Avenue</t>
  </si>
  <si>
    <t>Watercolor with blotting and traces of scraping, and with traces of graphite, on moderately thick, moderately textured, off-white wove paper</t>
  </si>
  <si>
    <t>d9cd2a46-1189-a8ee-ebdf-d656baa45656</t>
  </si>
  <si>
    <t>Ragged Island, Maine</t>
  </si>
  <si>
    <t>Watercolor with rewetting and blotting, over graphite, on moderately thick, slightly textured, off-white wove paper (top and left edges trimmed), in original frame</t>
  </si>
  <si>
    <t>76ab2656-8c13-292c-4cac-487e5c91866d</t>
  </si>
  <si>
    <t>Ocean and Rocks</t>
  </si>
  <si>
    <t>Watercolor with charcoal and stumping, and charcoal wash, on thick, slightly textured, ivory wove paper (lower and right edges trimmed), in original frame</t>
  </si>
  <si>
    <t>e8d2a77a-9368-46bb-4756-256d79cd9c00</t>
  </si>
  <si>
    <t>Untitled (Green and White)</t>
  </si>
  <si>
    <t>Watercolor and charcoal with stumping, and with charcoal wash, on thick, slightly textured, ivory wove paper (all edges trimmed), in original frame</t>
  </si>
  <si>
    <t>e8db304c-3c1b-fba5-124b-b87439fcda4f</t>
  </si>
  <si>
    <t>Watercolor with blotting and wiping, and with charcoal, on thick, moderately textured, ivory wove paper (lower and left edges trimmed), in original frame</t>
  </si>
  <si>
    <t>bea79cf4-a005-d325-d995-796cf669d659</t>
  </si>
  <si>
    <t>Tree and Sea, Maine</t>
  </si>
  <si>
    <t>Watercolor with charcoal and charcoal wash, on moderately thick, moderately textured, off-white wove paper (lower and right edges trimmed), in original frame</t>
  </si>
  <si>
    <t>922ebb82-a5db-890c-c7f0-2a502a7301d7</t>
  </si>
  <si>
    <t>The Green Sea â€“ Movement â€“ Stonington, Maine</t>
  </si>
  <si>
    <t>Watercolor with wiping and charcoal on thick (estimated), slightly textured, ivory wove paper, hinged to paperboard, faced with ivory wove (estimated) paper, gilt with gold leaf (top and right edges trimmed), in original frame</t>
  </si>
  <si>
    <t>396bb5ff-0407-0293-54b8-ff428e919e98</t>
  </si>
  <si>
    <t>Headed for Boston</t>
  </si>
  <si>
    <t>Watercolor with blotting and touches of scraping, and with charcoal with erasing, on moderately thick (estimated), moderately textured, ivory wove paper (right and lower edges trimmed), perimeter mounted to wood-pulp board, faced with ivory paper gilt with silver leaf, in original frame</t>
  </si>
  <si>
    <t>2ccf755f-113c-30cc-3726-e3c7fca951a2</t>
  </si>
  <si>
    <t>Sea Movementâ€“Green and Blue</t>
  </si>
  <si>
    <t>Watercolor with wiping, and fabricated charcoal, over graphite, on thick, slightly textured, off-white wove paper (all edges trimmed), hinged to wood-pulp board, faced with cream paper, gilt with silver leaf, in original frame</t>
  </si>
  <si>
    <t>27b91b22-d451-ec2e-f6a5-9e345e765b9a</t>
  </si>
  <si>
    <t>Movement No 23â€“The Sea and Pertaining Thereto</t>
  </si>
  <si>
    <t>Watercolor with blotting, wiping, and touches of scraping, and with black and brown colored pencils, on moderately thick (estimated), moderately textured, ivory wove paper (top, right and lower edges trimmed), hinged to paper prepared with a black wash, with a decorative paperboard collar gilt with silver leaf, laid down on wood-pulp board faced with cream wove paper, in original frame</t>
  </si>
  <si>
    <t>45e02294-741c-17d6-7f8a-7847edea8b82</t>
  </si>
  <si>
    <t>Movement No 24â€“Pertaining to Deer Isleâ€“The Road</t>
  </si>
  <si>
    <t>Watercolor, with black colored pencil and black crayon, on moderately thick (estimated), slightly textured, ivory wove paper (all edges trimmed), laid down on wood-pulp laminate board faced with ivory wove (estimated) paper, prepared with a gray wash, with a decorative paper board collar gilt with silver leaf, in original frame</t>
  </si>
  <si>
    <t>290e0d27-95d6-0c07-f2c9-0f0fa519da38</t>
  </si>
  <si>
    <t>West Forty-Second Street from Ferryboat</t>
  </si>
  <si>
    <t>Watercolor with wiping, blotting, and scraping, and with black colored pencil, black crayon, and graphite, on moderately thick (estimated), slightly textured, ivory wove paper (all edges trimmed) perimeter mounted to wood-pulp board faced with cream wove paper, in original frame</t>
  </si>
  <si>
    <t>c8e39a7a-4ed6-ecff-183c-400a6e41f94d</t>
  </si>
  <si>
    <t>Valley of the Hondo, New Mexico</t>
  </si>
  <si>
    <t>Watercolor with black crayon, on moderately thick, moderately textured, ivory wove paper (all edges trimmed), in original frame</t>
  </si>
  <si>
    <t>b42f2aac-398b-d8d7-e047-e12a965f154f</t>
  </si>
  <si>
    <t>Mountain Forms, New Mexico</t>
  </si>
  <si>
    <t>Watercolor with black crayon on moderately thick, moderately textured ivory wove paper (all edges trimmed), in original frame</t>
  </si>
  <si>
    <t>b55a51c4-14f2-8373-8dee-83b88474a3c0</t>
  </si>
  <si>
    <t>Sea, Green and Brown, Maine</t>
  </si>
  <si>
    <t>Watercolor with wiping and scraping, and with opaque watercolor, over graphite, on medium-weight (estimated), moderately textured, ivory wove paper (all edges trimmed), laid down on wood-pulp board faced with ivory wove (estimated) paper, gilt with silver leaf, and backed with dark red wove paper, in original frame</t>
  </si>
  <si>
    <t>769157ae-5f4b-a1a1-0514-95dcc2d73760</t>
  </si>
  <si>
    <t>Nudes in Sea</t>
  </si>
  <si>
    <t>Watercolor with blotting, wiping, and scraping, and black crayon, with brown colored pencil, on heavyweight, moderately textured, ivory wove paper (all edges trimmed), in original frame</t>
  </si>
  <si>
    <t>998c52ff-350b-69d9-04ba-7706a6604463</t>
  </si>
  <si>
    <t>Entrance to New York</t>
  </si>
  <si>
    <t>c4e3bb4e-3fed-988c-3df9-d1672ac458c2</t>
  </si>
  <si>
    <t>Saint Ignatius of Antioch Disemboweled by Trajan's Torturers</t>
  </si>
  <si>
    <t>fd98e213-b300-e4e4-cda2-e9bd12911071</t>
  </si>
  <si>
    <t>diameter: 24 in. (61 cm)</t>
  </si>
  <si>
    <t>Watercolor and opaque watercolor, with graphite, on cream wove paper</t>
  </si>
  <si>
    <t>63ed6be5-a397-8d38-a772-9f057c3ef807</t>
  </si>
  <si>
    <t>Jan Mijtens</t>
  </si>
  <si>
    <t>46765075-304f-8dac-6b72-9a6262239a19</t>
  </si>
  <si>
    <t>Watercolor on cream wove paper (discolored to tan)</t>
  </si>
  <si>
    <t>b1ae51a8-b4ce-7c89-fcf6-ad918569c864</t>
  </si>
  <si>
    <t>Still Life (Centrifugal Expansion of Colors)</t>
  </si>
  <si>
    <t>e13264d2-c031-47f4-d2ac-7e56665c93d8</t>
  </si>
  <si>
    <t>Notre Dame</t>
  </si>
  <si>
    <t>Watercolor, with graphite, on white laid paper, laid down on white wove paper</t>
  </si>
  <si>
    <t>36402959-b568-d6a9-0b32-ef9443adeb60</t>
  </si>
  <si>
    <t>Trompe-l'Oeil Still Life with a Flower Garland and a Curtain</t>
  </si>
  <si>
    <t>Adriaen van der Spelt</t>
  </si>
  <si>
    <t>a3df48fa-a419-7c22-5e1a-cca92f84ad50</t>
  </si>
  <si>
    <t>The Synagogue</t>
  </si>
  <si>
    <t>2202b9d5-7eaf-d6ec-b8fd-3873c8c2933e</t>
  </si>
  <si>
    <t>Performing Seals and Riders</t>
  </si>
  <si>
    <t>Watercolor and black crayon on cream wove paper</t>
  </si>
  <si>
    <t>afea3dfe-233e-1052-9621-cbe3a7c156a7</t>
  </si>
  <si>
    <t>Sheet of Sketches: Elephant, Horses and Costumes</t>
  </si>
  <si>
    <t>5ce12339-c77f-d569-e444-f562a93b49c3</t>
  </si>
  <si>
    <t>Circus Elephants</t>
  </si>
  <si>
    <t>Watercolor with scraping and wiping, and with opaque watercolor, graphite and black crayon, on medium-weight, slightly textured, cream laid paper</t>
  </si>
  <si>
    <t>89b17a60-7e7b-201f-a645-ecb2e60de879</t>
  </si>
  <si>
    <t>Movement: Boats and Objects, Blue Gray Sea</t>
  </si>
  <si>
    <t>febc31a0-7471-4290-393d-c83b8c7bd82e</t>
  </si>
  <si>
    <t>Orphism</t>
  </si>
  <si>
    <t>b9db31ec-fbcf-2155-5de1-b1992cc3f2f8</t>
  </si>
  <si>
    <t>Rocks at the Lighthouse, Biarritz</t>
  </si>
  <si>
    <t>0558d3c0-dd86-7d26-2e55-126c1470ca41</t>
  </si>
  <si>
    <t>Sketch for Beach Scene</t>
  </si>
  <si>
    <t>ae9fccd6-8749-b82f-1170-25d9870f0ab4</t>
  </si>
  <si>
    <t>Still Life (Flowers)</t>
  </si>
  <si>
    <t>101be232-0ec8-c69c-f2de-c15bf46d6bb9</t>
  </si>
  <si>
    <t>Jeune marseillaise</t>
  </si>
  <si>
    <t>Charles Camoin</t>
  </si>
  <si>
    <t>b4d76d59-5791-949b-5267-b48d40445774</t>
  </si>
  <si>
    <t>The Glass</t>
  </si>
  <si>
    <t>e0bf3630-f854-e621-cdd5-5ca13fd13d33</t>
  </si>
  <si>
    <t>Homage to the Square: New Light</t>
  </si>
  <si>
    <t>896b2529-fd62-2a2c-80d9-3702d916f90a</t>
  </si>
  <si>
    <t>Chartres Cathedral</t>
  </si>
  <si>
    <t>Flemish II</t>
  </si>
  <si>
    <t>fd0557c1-20cd-da66-e221-ad381971906c</t>
  </si>
  <si>
    <t>Gonzalez and Shadow</t>
  </si>
  <si>
    <t>d79d9551-10c1-3c57-1823-3fb732d24965</t>
  </si>
  <si>
    <t>White in Blue</t>
  </si>
  <si>
    <t>cf662939-d255-5a42-3ab8-2eeffd181d62</t>
  </si>
  <si>
    <t>Phoenicia III</t>
  </si>
  <si>
    <t>79c1eca0-2511-01b2-4aab-513cecd54b99</t>
  </si>
  <si>
    <t>White/Black Curve</t>
  </si>
  <si>
    <t>1fdee71c-bf45-fdb6-b38d-b5b9cb6a7a85</t>
  </si>
  <si>
    <t>Number Three</t>
  </si>
  <si>
    <t>Oil, vinyl screen, and acrylic on canvas</t>
  </si>
  <si>
    <t>57985cf5-e78b-43b8-f136-130b37160a2c</t>
  </si>
  <si>
    <t>Pitt</t>
  </si>
  <si>
    <t>9b808165-427d-3ac4-bec2-ca6b904d33e0</t>
  </si>
  <si>
    <t>Dewey Square</t>
  </si>
  <si>
    <t>3b85e5ce-e2f9-2eae-43d9-b5f25ef6983e</t>
  </si>
  <si>
    <t>Ouk 2</t>
  </si>
  <si>
    <t>Oil on board laid down on panel</t>
  </si>
  <si>
    <t>461ed835-a63f-fdcc-57e3-c25c8053c09e</t>
  </si>
  <si>
    <t>End of the Season</t>
  </si>
  <si>
    <t>be60b5d5-60e9-9a24-3593-e9382833e540</t>
  </si>
  <si>
    <t>17636412-d7df-a0a8-08f9-0a37dcd277b7</t>
  </si>
  <si>
    <t>62c37fee-4f12-a8ac-f1b2-67c1104efbf9</t>
  </si>
  <si>
    <t>The Courtesans</t>
  </si>
  <si>
    <t>Gouache and oil on hardboard</t>
  </si>
  <si>
    <t>51cd17ff-e3c6-1aa3-51da-8a9fa1b94c19</t>
  </si>
  <si>
    <t>91fcc71a-50eb-f418-85f5-d11fc81e8d83</t>
  </si>
  <si>
    <t>Summer Still Life</t>
  </si>
  <si>
    <t>302df345-8db1-f03b-f150-d24b5d6283b9</t>
  </si>
  <si>
    <t>School of Contemporary Art Life Class</t>
  </si>
  <si>
    <t>Watercolor with pen and black ink, over traces of graphite, on off-white illustration board</t>
  </si>
  <si>
    <t>a2ebef13-7629-7837-b266-6172a2881768</t>
  </si>
  <si>
    <t>It Was a Sensation at the Biennale</t>
  </si>
  <si>
    <t>Watercolor and pen and black ink, over graphite, on off-white illustration board</t>
  </si>
  <si>
    <t>4fcfcf81-afba-122d-a5aa-513d9bf03ad6</t>
  </si>
  <si>
    <t>Welded Steel Xmas Trees</t>
  </si>
  <si>
    <t>Watercolor and pen and black ink, with brush and black ink, over graphite, on off-white illustration board</t>
  </si>
  <si>
    <t>270de187-b5c5-f746-d21b-c53918f5b1a8</t>
  </si>
  <si>
    <t>The Flower</t>
  </si>
  <si>
    <t>Watercolor and pen and black ink, with graphite, on off-white illustration board</t>
  </si>
  <si>
    <t>1293f088-7618-3dd7-8bbf-b0280ff04d48</t>
  </si>
  <si>
    <t>63rd Annual American Exhibition</t>
  </si>
  <si>
    <t>Watercolor and pen and black ink, with touches of white gouache and postage stamps, over graphite, on off-white illustration board</t>
  </si>
  <si>
    <t>49c1fcae-2966-1b72-a845-e70899ba610f</t>
  </si>
  <si>
    <t>See the Moon</t>
  </si>
  <si>
    <t>dd58144a-dc44-459d-b4c6-7e81bbcc353d</t>
  </si>
  <si>
    <t>I Think It Should Hang This Way</t>
  </si>
  <si>
    <t>e2d1abbe-9641-e32f-00c5-a2e4391d618a</t>
  </si>
  <si>
    <t>He Enjoys Doing Large Lithos</t>
  </si>
  <si>
    <t>7454d154-c28f-210e-0df2-8b6b0e8ff0a8</t>
  </si>
  <si>
    <t>Oy! What Will This do to the Paint Business!</t>
  </si>
  <si>
    <t>Gouache and pen and black ink, with watercolor, over graphite, on off-white illustration board</t>
  </si>
  <si>
    <t>685b2193-5f6e-cb0e-1e71-cf50627c6d07</t>
  </si>
  <si>
    <t>Dan's Nightmare</t>
  </si>
  <si>
    <t>a6246b3f-1713-41d7-ff14-92e2d4d85a74</t>
  </si>
  <si>
    <t>Bolofinsky Always did say that Someday the World Would Catch up to Him</t>
  </si>
  <si>
    <t>5a678592-1f22-7f50-42a3-d504be664270</t>
  </si>
  <si>
    <t>Bald Ego by Messovitch</t>
  </si>
  <si>
    <t>Watercolor and pen and black ink, with gouache, on off-white illustration board</t>
  </si>
  <si>
    <t>3813196d-fda9-885a-942f-d19cb113e6e9</t>
  </si>
  <si>
    <t>I See What You Mean by Some 'Art Lovers' Being Social Climbers</t>
  </si>
  <si>
    <t>8cb91b78-24ae-fb3d-fb63-5e8e5e6e09aa</t>
  </si>
  <si>
    <t>Anybody Wanna Buy any Dog Food?</t>
  </si>
  <si>
    <t>Pen and black ink and watercolor on off-white illustration board</t>
  </si>
  <si>
    <t>26e57930-42f6-1422-9f11-b7a067e138ed</t>
  </si>
  <si>
    <t>Are These for Sale Separately?</t>
  </si>
  <si>
    <t>Watercolor and pen and black ink, over graphite, varnished overall, on off-white illustration board</t>
  </si>
  <si>
    <t>b67b5cd2-e59e-7517-aca6-0b431543a9b0</t>
  </si>
  <si>
    <t>Vernissage 6845th Salon</t>
  </si>
  <si>
    <t>Watercolor and pen and black ink, with touches of red gouache, over traces of graphite, on off-white illustration board</t>
  </si>
  <si>
    <t>d0882321-97e0-b190-46f4-11f59d992764</t>
  </si>
  <si>
    <t>Such Purity...</t>
  </si>
  <si>
    <t>Pen and black ink and graphite, with watercolor, on off-white illustration board</t>
  </si>
  <si>
    <t>9add42b7-0b14-b935-d02f-d6980526671b</t>
  </si>
  <si>
    <t>Graphite and watercolor, on cream wove paper</t>
  </si>
  <si>
    <t>b3f73c5c-73f5-2567-2892-8d52f424873e</t>
  </si>
  <si>
    <t>People Fleeing a Burning Building</t>
  </si>
  <si>
    <t>Watercolor with touches of pen and black ink, over graphite, on ivory wove paper</t>
  </si>
  <si>
    <t>870674a9-ca29-f0a5-11f2-f682861c3add</t>
  </si>
  <si>
    <t>Two Little Girls in Fur-Trimmed Coats</t>
  </si>
  <si>
    <t>Watercolor, with graphite, on cream wove paper (discolored to tan)</t>
  </si>
  <si>
    <t>9e1d8033-da21-99b5-b980-e14b93bcbc74</t>
  </si>
  <si>
    <t>Seated Girl with Primroses</t>
  </si>
  <si>
    <t>0b0c6f18-e042-e5b4-f426-29ae0cb401d0</t>
  </si>
  <si>
    <t>Woman with Broom and Little Girl</t>
  </si>
  <si>
    <t>Pen and brown ink and watercolor on cream wove paper (discolored to tan), perimeter mounted onto cream wood-pulp laminate board</t>
  </si>
  <si>
    <t>b5ff639f-51b8-5465-47e7-98483dc4d312</t>
  </si>
  <si>
    <t>Girl and Boy Picking Apples</t>
  </si>
  <si>
    <t>Watercolor, over touches of graphite, on cream wove paper, laid down on wood-pulp board</t>
  </si>
  <si>
    <t>4b99e09a-55a8-8037-966c-f5a5538f794d</t>
  </si>
  <si>
    <t>Study for From Wonder World, from Marigold Garden</t>
  </si>
  <si>
    <t>Pen and brown ink and watercolor on cream wove paper</t>
  </si>
  <si>
    <t>1267dad1-948a-36ba-fbdc-6a68ba0e0c03</t>
  </si>
  <si>
    <t>Study for Tip a Toe, from Marigold Garden</t>
  </si>
  <si>
    <t>Pen and brown ink and watercolor over traces of graphite, on cream wove paper (discolored to tan)</t>
  </si>
  <si>
    <t>9dd9f0bf-86dc-dabc-84b6-aa1f3ba4224a</t>
  </si>
  <si>
    <t>Two Little Girls with Bonnets</t>
  </si>
  <si>
    <t>Pen and brown ink and watercolor, over traces of graphite, on cream wove paper (discolored to tan), perimeter mounted to cream wood-pulp laminate board</t>
  </si>
  <si>
    <t>a81f087c-5198-eda2-0dd9-ceea9516f641</t>
  </si>
  <si>
    <t>Girl with Eggs and Geese</t>
  </si>
  <si>
    <t>Watercolor, with graphite, on ivory watercolor paper</t>
  </si>
  <si>
    <t>a76fac26-0b20-3954-6490-398e0a191864</t>
  </si>
  <si>
    <t>Eddie at the Seashore</t>
  </si>
  <si>
    <t>62665cba-9a1b-d06f-d597-9c3989ad40ea</t>
  </si>
  <si>
    <t>Children Playing on the Beach</t>
  </si>
  <si>
    <t>Watercolor, with touches of white gouache, over traces of graphite, on cream wood-pulp laminate board</t>
  </si>
  <si>
    <t>beb9c7d6-8544-a6ee-9c51-f2732d8e9f76</t>
  </si>
  <si>
    <t>It's Papa Can't Bear it Out of His Sight</t>
  </si>
  <si>
    <t>Gouache and watercolor with graphite, on cream wove paper (discolored to tan), laid down on tan wood-pulp board</t>
  </si>
  <si>
    <t>426d863d-b468-be12-5d44-8544e9efa0de</t>
  </si>
  <si>
    <t>The Horse</t>
  </si>
  <si>
    <t>Watercolor and pen and black ink, with yellow gouache, on ivory wove paper</t>
  </si>
  <si>
    <t>04bc03af-edfe-5a78-16fa-6947a2161cef</t>
  </si>
  <si>
    <t>Sunlight</t>
  </si>
  <si>
    <t>Kneeling Girl, en Face (Drawing No.6)</t>
  </si>
  <si>
    <t>Watercolor, with graphite, on buff wove paper, laid down on buff wove paper</t>
  </si>
  <si>
    <t>da84c3aa-130c-40b9-e573-a70a01f898e6</t>
  </si>
  <si>
    <t>Standing Nude with Draperies</t>
  </si>
  <si>
    <t>8271a963-aeb4-a337-4676-1bbe42299a5d</t>
  </si>
  <si>
    <t>Watercolor and graphite, with smudging, on cream wove paper</t>
  </si>
  <si>
    <t>9d0b3787-9300-717b-fafb-4f21fc6e4d43</t>
  </si>
  <si>
    <t>Leaving the Earth</t>
  </si>
  <si>
    <t>9e819173-1761-ba8b-17c5-0e707a008ac8</t>
  </si>
  <si>
    <t>Saint Martin and the Beggar</t>
  </si>
  <si>
    <t>52098776-6e2e-9683-e258-7b1cec8660dd</t>
  </si>
  <si>
    <t>Path by the Sea</t>
  </si>
  <si>
    <t>f0c9e66a-4a6b-7b5e-019c-ad006cc306ac</t>
  </si>
  <si>
    <t>Portrait of Wen Zhengming</t>
  </si>
  <si>
    <t>Album leaf; ink and light color on silk</t>
  </si>
  <si>
    <t>4ca3d40b-9fcd-2302-673d-7222f35d02da</t>
  </si>
  <si>
    <t>da3e9da7-09ed-412c-16b0-8ceedd38571f</t>
  </si>
  <si>
    <t>Joseph Gerrish</t>
  </si>
  <si>
    <t>1d0775a8-a9d7-ca36-16cb-6a32e14c3b68</t>
  </si>
  <si>
    <t>Sketch for a Stained Glass Window</t>
  </si>
  <si>
    <t>Watercolor over azo-blue line reproduction print on cream wove paper</t>
  </si>
  <si>
    <t>057591bc-d892-6dbc-f83f-1ae23e890caf</t>
  </si>
  <si>
    <t>842d212c-c755-f372-d73f-7d0581051c46</t>
  </si>
  <si>
    <t>Landscape B</t>
  </si>
  <si>
    <t>Watercolor and gouache on cream wove paper, laid down onto gray board</t>
  </si>
  <si>
    <t>Xavier Fuhr</t>
  </si>
  <si>
    <t>4d619351-6e92-672f-7713-3c2ed02cba2e</t>
  </si>
  <si>
    <t>e33dae2e-dd61-2416-6671-0a695ae8a07b</t>
  </si>
  <si>
    <t>Audierne</t>
  </si>
  <si>
    <t>Watercolor, with touches of gouache and graphite on white laid paper, discolored to tan, laid down on tan board</t>
  </si>
  <si>
    <t>0c42ee33-1fe0-4bf7-c983-1287f8d2c8d5</t>
  </si>
  <si>
    <t>Landscape (Bordeaux II)</t>
  </si>
  <si>
    <t>3b82d9b3-fc9a-1ee3-0f8c-ed351450338d</t>
  </si>
  <si>
    <t>Woman with a Helmet of Hair</t>
  </si>
  <si>
    <t>Gouache on tan wood pulp board</t>
  </si>
  <si>
    <t>59771454-78ee-98a1-00b8-f51372f85b94</t>
  </si>
  <si>
    <t>The Artist's Daughter</t>
  </si>
  <si>
    <t>283433d1-bbc4-b526-eb7e-35f85cdb1cbb</t>
  </si>
  <si>
    <t>Sawmill, Outskirts of Paris</t>
  </si>
  <si>
    <t>3826e366-e82a-e853-12e4-b303a1618103</t>
  </si>
  <si>
    <t>Shop Girls</t>
  </si>
  <si>
    <t>121ff54b-91fb-99d3-ba2f-52a28f5e4a8f</t>
  </si>
  <si>
    <t>The Puff of Smoke</t>
  </si>
  <si>
    <t>81948a1a-a415-1073-9051-685e011f8d9e</t>
  </si>
  <si>
    <t>Nouvart Dzeron, A Daughter of Armenia</t>
  </si>
  <si>
    <t>b2ddc920-05f9-ad6a-db60-3cf5640c77ca</t>
  </si>
  <si>
    <t>Summer in the Catskills</t>
  </si>
  <si>
    <t>8c63372e-dfd6-ab25-cfc8-a6569f25f0c8</t>
  </si>
  <si>
    <t>A Marine</t>
  </si>
  <si>
    <t>3d2d0842-312e-8d48-708b-d6adde0777bf</t>
  </si>
  <si>
    <t>Escape</t>
  </si>
  <si>
    <t>George Franklin Archer and the Archer Residence</t>
  </si>
  <si>
    <t>Charles Spencer Humphreys</t>
  </si>
  <si>
    <t>be55cb36-241c-0760-cb70-d4b87603defe</t>
  </si>
  <si>
    <t>3cef23a8-7fca-59ce-a95d-4c27cd3d8f21</t>
  </si>
  <si>
    <t>To Your Good Health</t>
  </si>
  <si>
    <t>c50a8897-374b-f781-c533-d683b9f8551e</t>
  </si>
  <si>
    <t>Italian Landscape with Travelers</t>
  </si>
  <si>
    <t>96458291-2c6c-76ba-4be9-dca201687edf</t>
  </si>
  <si>
    <t>Persons in Louis XV Costumes</t>
  </si>
  <si>
    <t>ef2f5040-c247-bc8a-5d06-431c09fbafd5</t>
  </si>
  <si>
    <t>a045260a-e959-1521-b701-dd5a9d46e1a1</t>
  </si>
  <si>
    <t>Trepanning a Recruit</t>
  </si>
  <si>
    <t>George Morland</t>
  </si>
  <si>
    <t>bcc07abe-2cc0-116e-3460-c4633c31759c</t>
  </si>
  <si>
    <t>Gypsies Preparing the Evening Meal</t>
  </si>
  <si>
    <t>Style of George Morland</t>
  </si>
  <si>
    <t>f02abf54-270d-d65d-1a8e-7d5f59b90977</t>
  </si>
  <si>
    <t>25.5 x 32.7 cm  10" x 12 7/8"</t>
  </si>
  <si>
    <t>The Traveler</t>
  </si>
  <si>
    <t>Jacques Emile Blanche</t>
  </si>
  <si>
    <t>85525848-ca61-bf03-c114-a4d86289314f</t>
  </si>
  <si>
    <t>Old Lady</t>
  </si>
  <si>
    <t>Mary Foote</t>
  </si>
  <si>
    <t>45b53248-25e0-2751-030a-ac6b525a55c1</t>
  </si>
  <si>
    <t>Quiet History</t>
  </si>
  <si>
    <t>450f9bca-cf80-f3e4-1340-906f33c43bd8</t>
  </si>
  <si>
    <t>Bird's Nest and Ferns</t>
  </si>
  <si>
    <t>Fidelia Bridges</t>
  </si>
  <si>
    <t>ea1e120f-2a56-99a8-99d8-ea824d466d65</t>
  </si>
  <si>
    <t>Point Breeze, the Estate of Joseph Napoleon Bonaparte at Bordentown, New Jersey</t>
  </si>
  <si>
    <t>Charles B. Lawrence</t>
  </si>
  <si>
    <t>4cdc7a89-3bd3-704c-1c16-c35576a8615a</t>
  </si>
  <si>
    <t>One Dollar Silver Certificate</t>
  </si>
  <si>
    <t>Victor Dubreuil</t>
  </si>
  <si>
    <t>4ecbef85-aec1-7455-e329-28540504fe96</t>
  </si>
  <si>
    <t>Major-General Henry Dearborn</t>
  </si>
  <si>
    <t>8b2a82f5-0f04-4f9d-e6e8-c4e1247aac76</t>
  </si>
  <si>
    <t>North River Shad</t>
  </si>
  <si>
    <t>1792802f-9146-cd55-2864-f5dc24c65377</t>
  </si>
  <si>
    <t>The Lonely Farm, Nantucket</t>
  </si>
  <si>
    <t>f4269701-8862-2c0e-efb3-e5cd97fc7c09</t>
  </si>
  <si>
    <t>The Commode</t>
  </si>
  <si>
    <t>Walter Gay</t>
  </si>
  <si>
    <t>7c6f8018-34b3-7443-243c-025e9e0dabeb</t>
  </si>
  <si>
    <t>Gouache, with traces of watercolor, over charcoal, on white wove paper</t>
  </si>
  <si>
    <t>1ce686f1-9751-13be-b497-0fcba01cfe35</t>
  </si>
  <si>
    <t>Madawaskaâ€”Acadian Light-Heavy</t>
  </si>
  <si>
    <t>f368d532-9b58-62da-bd86-d16316f92487</t>
  </si>
  <si>
    <t>Ballet Skirt or Electric Light</t>
  </si>
  <si>
    <t>bbb8539a-5d43-0c6b-ca68-61adcb08c370</t>
  </si>
  <si>
    <t>It Was Yellow and Pink III</t>
  </si>
  <si>
    <t>2933251d-c4a9-d961-a702-af5d1e10ea3d</t>
  </si>
  <si>
    <t>Black Rock with Blue Sky and White Clouds</t>
  </si>
  <si>
    <t>544501c8-c144-000b-7165-f7a0b15b899d</t>
  </si>
  <si>
    <t>From a Day with Juan IV</t>
  </si>
  <si>
    <t>9a342ab4-d9a6-1187-9fe8-54886fd45620</t>
  </si>
  <si>
    <t>Tempera, possibly with oil, on panel</t>
  </si>
  <si>
    <t>74ebdee8-52f2-174e-0d4f-6bdb6e6a0639</t>
  </si>
  <si>
    <t>Jonas Lie</t>
  </si>
  <si>
    <t>2e796bd8-4e0b-f55a-7c69-75a70a3e97d7</t>
  </si>
  <si>
    <t>Old Peasant Lighting a Pipe</t>
  </si>
  <si>
    <t>Johann Carl Loth</t>
  </si>
  <si>
    <t>ec7c2bc7-7e9e-eb36-6edf-b5198533da10</t>
  </si>
  <si>
    <t>The Key</t>
  </si>
  <si>
    <t>524206a7-fb35-70d9-4b37-a0b7ac563be6</t>
  </si>
  <si>
    <t>Pastoral Landscape</t>
  </si>
  <si>
    <t>996797a3-7ae9-b84e-4cbc-90f9b1f45d84</t>
  </si>
  <si>
    <t>Portrait of a Man in a Tricorn Hat</t>
  </si>
  <si>
    <t>c06a60ae-f4a5-451c-b6e9-7054fe824813</t>
  </si>
  <si>
    <t>Mrs. Freeman Flower</t>
  </si>
  <si>
    <t>Joseph Highmore</t>
  </si>
  <si>
    <t>feae78df-5472-ea0e-b105-9865e9d149e8</t>
  </si>
  <si>
    <t>Freeman Flower</t>
  </si>
  <si>
    <t>0480fc2b-b77d-1319-6ee5-6775fd0cb9a0</t>
  </si>
  <si>
    <t>Two Japanese Wrestlers by a Sink</t>
  </si>
  <si>
    <t>ee59c1e1-c464-8f95-2e40-6daedf237e48</t>
  </si>
  <si>
    <t>De Stijlscape</t>
  </si>
  <si>
    <t>Acrylic with scraping, with painted and printed cut paper elements tipped on heavy white wove paper</t>
  </si>
  <si>
    <t>9e2fa9d1-a5ff-0ce2-dec4-219642be6a07</t>
  </si>
  <si>
    <t>Watercolor with ballpoint pen on newsprint</t>
  </si>
  <si>
    <t>20cd44d7-f48b-2c82-3ba5-c99556f7367e</t>
  </si>
  <si>
    <t>Growing City</t>
  </si>
  <si>
    <t>4c9a8fcd-afbf-b229-27fc-37ed46a0afe2</t>
  </si>
  <si>
    <t>Dogwood with Ribbons</t>
  </si>
  <si>
    <t>Harriet Shorr</t>
  </si>
  <si>
    <t>aa3d400f-1871-01d1-5c9d-8541b9d0704e</t>
  </si>
  <si>
    <t>Visions of Eternity</t>
  </si>
  <si>
    <t>11e945ce-2616-cf05-d424-ff93e1ee3d1a</t>
  </si>
  <si>
    <t>Gouache and black ink, with scraping, on gray board</t>
  </si>
  <si>
    <t>Jimmy Ernst</t>
  </si>
  <si>
    <t>34f72642-c237-be96-b395-89276e26f5e5</t>
  </si>
  <si>
    <t>Procession of Il Redentore, Venice</t>
  </si>
  <si>
    <t>Grace Ravlin</t>
  </si>
  <si>
    <t>3c5592fe-d7fe-d474-086f-5dc6765b58c7</t>
  </si>
  <si>
    <t>Building The Cofferdam</t>
  </si>
  <si>
    <t>7e19b6ab-c7ea-2c3e-f17b-9fae6dbad584</t>
  </si>
  <si>
    <t>Gouache on cream laid paper, prepared with a white ground</t>
  </si>
  <si>
    <t>c1a06b4c-d64c-0e3d-1971-523f22ab3cc2</t>
  </si>
  <si>
    <t>Head of a Roebuck and Two Ptarmigan</t>
  </si>
  <si>
    <t>e1826a0c-e20a-0e5e-a9e3-abf4fe123884</t>
  </si>
  <si>
    <t>Pope Pius II, frontispiece to a Constitution of the Sienese Church of the Year 1464</t>
  </si>
  <si>
    <t>Vecchietta (Lorenzo di Pietro di Giovanni)</t>
  </si>
  <si>
    <t>a08d47f8-5d0f-53b5-2b5e-c1d7fda55a89</t>
  </si>
  <si>
    <t>The Fisherman's Family</t>
  </si>
  <si>
    <t>ce26526c-dcc1-8967-05f8-bf74fa8d7eb8</t>
  </si>
  <si>
    <t>1f15fc6c-eb8e-38c8-c1fa-95588223bf6c</t>
  </si>
  <si>
    <t>Orvieto</t>
  </si>
  <si>
    <t>Elliot Torrey</t>
  </si>
  <si>
    <t>75454167-e33b-49ee-db9f-78f0831e1c0f</t>
  </si>
  <si>
    <t>Contemporary Icon</t>
  </si>
  <si>
    <t>Gouache with watercolor on cream watercolor paper</t>
  </si>
  <si>
    <t>ce72ffc2-bac5-701d-753c-a18e34d247b6</t>
  </si>
  <si>
    <t>Jean Colombe</t>
  </si>
  <si>
    <t>Eucalol</t>
  </si>
  <si>
    <t>72b2ac1c-7db4-85c1-3fed-8f1a39732807</t>
  </si>
  <si>
    <t>The Virgin Adored by Saints in a Historiated Initial "R" from an Antiphonary</t>
  </si>
  <si>
    <t>Manuscript cutting in tempera and gold leaf on parchment, with gothica textura inscriptions in brownish-black, verso</t>
  </si>
  <si>
    <t>67cf215c-9bc7-732a-b96a-2b95965742b8</t>
  </si>
  <si>
    <t>Saw</t>
  </si>
  <si>
    <t>6349bf10-a044-70f4-2500-eda2e8a9f9cb</t>
  </si>
  <si>
    <t>The Nativity in a Historiated Initial "P" from a Choir Book</t>
  </si>
  <si>
    <t>Manuscript cutting in tempera and gold leaf on parchment, with gothica textualis inscriptions in black ink, verso</t>
  </si>
  <si>
    <t>Master of the Brussels Initials</t>
  </si>
  <si>
    <t>f689f9b6-84dd-3849-2aab-3e5677e4efc1</t>
  </si>
  <si>
    <t>The Assumption of the Virgin in a Historiated Initial "A" from an Antiphonary</t>
  </si>
  <si>
    <t>Manuscript cutting in tempera and gold leaf on parchment, with gothica textura inscriptions in brownish-black ink, ruled in red, verso</t>
  </si>
  <si>
    <t>b2439659-f1ff-212f-67d6-0ca081670a70</t>
  </si>
  <si>
    <t>Prophet in a Historiated Initial "O" from a Gradual</t>
  </si>
  <si>
    <t>Manuscript cutting in tempera and gold leaf, with incising, on vellum</t>
  </si>
  <si>
    <t>Silvestro dei Gherarducci</t>
  </si>
  <si>
    <t>234e64a5-848f-e67a-c3bc-90f842675fb8</t>
  </si>
  <si>
    <t>The Three Marys at the Tomb in a Historiated Initial "E" from a Choirbook</t>
  </si>
  <si>
    <t>Manuscript cutting in tempera and gold leaf, with gothica textualis inscriptions in black and ruled in blue, verso, on parchment</t>
  </si>
  <si>
    <t>9ccb4351-44a9-e983-58f0-99dc528c48f4</t>
  </si>
  <si>
    <t>Saint Francis in a Historiated Initial "P"</t>
  </si>
  <si>
    <t>Manuscript cutting in tempera and gold leaf, with incising, on vellum, with inscriptions in black or brown-black ink, verso</t>
  </si>
  <si>
    <t>8bcef6a1-7b06-fbdc-290a-0c9a97349baf</t>
  </si>
  <si>
    <t>The Entombment (Stabat Mater Prayer), from a Book of Hours</t>
  </si>
  <si>
    <t>Manuscript cutting in tempera and gold paint, with littera batarda inscriptions in gold, recto, and light black, verso, on parchment dyed black</t>
  </si>
  <si>
    <t>f68b33da-7289-9c95-bd12-e5cc2445e3e2</t>
  </si>
  <si>
    <t>Richard E. Miller</t>
  </si>
  <si>
    <t>815fb024-96bb-6f38-e6fc-d398d2103c65</t>
  </si>
  <si>
    <t>Wilson Henry Irvine</t>
  </si>
  <si>
    <t>c477bcd1-8fd2-b164-7d63-f9d10cc2993c</t>
  </si>
  <si>
    <t>A Holiday</t>
  </si>
  <si>
    <t>Edward Henry Potthast</t>
  </si>
  <si>
    <t>af39af38-895d-a374-5ebd-b9089196bf31</t>
  </si>
  <si>
    <t>Kentucky Mountaineer</t>
  </si>
  <si>
    <t>James Roy Hopkins</t>
  </si>
  <si>
    <t>be8a7a2b-aa5f-e887-000e-64e3a690af80</t>
  </si>
  <si>
    <t>Among the Redwoods</t>
  </si>
  <si>
    <t>d55e5ea8-0386-6bef-3d7a-1deb98a8d301</t>
  </si>
  <si>
    <t>Perseus and Andromeda, study for The Doom Fulfilled</t>
  </si>
  <si>
    <t>Gouache with gold paint on board</t>
  </si>
  <si>
    <t>0534abcb-8bf1-dbc8-16a7-5eeb818dbcf7</t>
  </si>
  <si>
    <t>Mist Rising at Sunset in the Catskills</t>
  </si>
  <si>
    <t>30491751-fb43-fc27-51fe-d068be7b6568</t>
  </si>
  <si>
    <t>28f20fcd-a5b3-04b3-2dc9-4c5c79ff7b6b</t>
  </si>
  <si>
    <t>The Blue Forest</t>
  </si>
  <si>
    <t>26c5ab1b-b494-37d6-c0e3-7bb8ecc78b96</t>
  </si>
  <si>
    <t>Heart of Darkness</t>
  </si>
  <si>
    <t>Oil on canvas, three joined panels</t>
  </si>
  <si>
    <t>7bc2549a-7c93-cffd-49ad-f93df587102c</t>
  </si>
  <si>
    <t>94245750-c169-eb03-673e-cd03f718f885</t>
  </si>
  <si>
    <t>Still Life with Fruit and Wine Jug</t>
  </si>
  <si>
    <t>3c61e694-6a53-c3ad-8a1e-a2c5d3f25080</t>
  </si>
  <si>
    <t>Madame Vuillard in Profile</t>
  </si>
  <si>
    <t>4fde5186-dbf9-b794-d6e3-e9c2399e0681</t>
  </si>
  <si>
    <t>Still Life with Jug and Knife</t>
  </si>
  <si>
    <t>ba44b949-8cd7-6aa2-6335-710e0f176315</t>
  </si>
  <si>
    <t>The Mystic Marriage of St. Catherine</t>
  </si>
  <si>
    <t>53c5fada-ff4a-ee57-a5cd-e06e770e839b</t>
  </si>
  <si>
    <t>An Old Man in a Fur Cap</t>
  </si>
  <si>
    <t>Karel van der Pluym</t>
  </si>
  <si>
    <t>b7a594db-5c71-253b-aedc-4226d8661f11</t>
  </si>
  <si>
    <t>The Solemn Pledge, Taos Indians</t>
  </si>
  <si>
    <t>4bef095d-3908-a6b4-be27-b0507898d339</t>
  </si>
  <si>
    <t>Veneto-Lombardian School</t>
  </si>
  <si>
    <t>5bf8ad56-c6dd-195e-c894-175dd028d926</t>
  </si>
  <si>
    <t>Toby Edward Rosenthal</t>
  </si>
  <si>
    <t>27d70359-d92b-18fb-b31a-f3dd4e3c78ac</t>
  </si>
  <si>
    <t>Garden View</t>
  </si>
  <si>
    <t>Watercolor, over traces of graphite, on cream laminate card</t>
  </si>
  <si>
    <t>Henri Stanislas Rouart</t>
  </si>
  <si>
    <t>9d90c3bb-a0a1-7fcf-d939-d96a6372c66e</t>
  </si>
  <si>
    <t>053a8243-2f86-1969-c1c3-032ce9b7ca06</t>
  </si>
  <si>
    <t>Four Saints in a Historiated Initial "P" from a Choirbook or Antiphonal</t>
  </si>
  <si>
    <t>Manuscript cutting in tempera and gold leaf, with gold paint, with rounded gothica textualis inscriptions in black ink, ruled in red, on parchment</t>
  </si>
  <si>
    <t>Paolo De Ascone</t>
  </si>
  <si>
    <t>0c225238-b5e2-0556-80df-a23c45dc3a3b</t>
  </si>
  <si>
    <t>Watercolor with graphite on tan wove card</t>
  </si>
  <si>
    <t>c7f25a3f-9ac1-ff9e-7576-0289daa9f7e3</t>
  </si>
  <si>
    <t>Rysdyk's Hambletonian</t>
  </si>
  <si>
    <t>69df3ee9-1a63-8595-2078-b89e323c77db</t>
  </si>
  <si>
    <t>Mrs. Klapp (Anna Milnor)</t>
  </si>
  <si>
    <t>Thomas Sully</t>
  </si>
  <si>
    <t>eac2c2c9-fe4a-ba6f-948c-b579b0f2bca3</t>
  </si>
  <si>
    <t>Cows in a Pond at Sunset</t>
  </si>
  <si>
    <t>ea5875fc-48ab-037d-3eec-86ccf6e9be60</t>
  </si>
  <si>
    <t>George Fuller</t>
  </si>
  <si>
    <t>Kneeling Nude Woman Arranging Her Hair</t>
  </si>
  <si>
    <t>c6d942be-2c75-a2cb-51a8-bc9eef666732</t>
  </si>
  <si>
    <t>Charcoal over watercolor heightened with white gouache on tan laid paper</t>
  </si>
  <si>
    <t>1bd41fe5-f116-52eb-b9a5-afcbdd33bd80</t>
  </si>
  <si>
    <t>Ancestor Portrait of a Woman</t>
  </si>
  <si>
    <t>20a12134-66c2-a667-c6b2-0663cadbd047</t>
  </si>
  <si>
    <t>Icebound</t>
  </si>
  <si>
    <t>Riter Fitzgerald</t>
  </si>
  <si>
    <t>a75b2aba-0042-ae61-b3a0-0204e2b29b3c</t>
  </si>
  <si>
    <t>Pasture in Normandy</t>
  </si>
  <si>
    <t>Oil, gravel, pebbles, and sand on Masonite</t>
  </si>
  <si>
    <t>f2fc8911-5008-d7e5-3399-c32785e7a790</t>
  </si>
  <si>
    <t>J. Frank Currier (1843â€“1909)</t>
  </si>
  <si>
    <t>b5d37408-a467-6b70-4bfb-9f2cd382474f</t>
  </si>
  <si>
    <t>Mrs. George Lingen</t>
  </si>
  <si>
    <t>94085102-926e-6b77-8672-101ac4418eb7</t>
  </si>
  <si>
    <t>Albin Polasek, Sculptor</t>
  </si>
  <si>
    <t>00032672-2201-b161-8e46-f1837fa0cc9d</t>
  </si>
  <si>
    <t>b7a8f2b4-a17a-8266-7710-f7f82a80ccf8</t>
  </si>
  <si>
    <t>The Loire</t>
  </si>
  <si>
    <t>bcc9c3a7-f5b0-41af-210a-bd17797d77d9</t>
  </si>
  <si>
    <t>Near Tivoli</t>
  </si>
  <si>
    <t>Watercolor over graphite with gum arabic on cream laid paper</t>
  </si>
  <si>
    <t>Thomas Jones</t>
  </si>
  <si>
    <t>813cdfec-a7e4-ed1d-a816-c041fd49293a</t>
  </si>
  <si>
    <t>Ranch Wyoming</t>
  </si>
  <si>
    <t>d69c13b4-c558-5e54-2b86-83976d4510c4</t>
  </si>
  <si>
    <t>Cutty Sark</t>
  </si>
  <si>
    <t>Marianne Boers</t>
  </si>
  <si>
    <t>33b96726-572b-fdba-2020-078bf1a9efd4</t>
  </si>
  <si>
    <t>Wooden Fence</t>
  </si>
  <si>
    <t>Michiel Daniel</t>
  </si>
  <si>
    <t>d7748dac-6880-69b6-ecb4-c41413dbf28d</t>
  </si>
  <si>
    <t>Birds of Paradise</t>
  </si>
  <si>
    <t>d9b7691a-cd4b-dbe1-5b4a-7b27934ea88b</t>
  </si>
  <si>
    <t>Beacon Street</t>
  </si>
  <si>
    <t>297660a2-8355-97a7-d423-c3bf3c70fa1b</t>
  </si>
  <si>
    <t>Succession</t>
  </si>
  <si>
    <t>Watercolor over graphite on white paper</t>
  </si>
  <si>
    <t>2d3858eb-ccbc-c1e8-1bde-44bb125f6ffc</t>
  </si>
  <si>
    <t>Rockway Red</t>
  </si>
  <si>
    <t>Watercolor and gouache, with stippling, and touches of graphite, on white wove paper</t>
  </si>
  <si>
    <t>James Daniel Torlakson</t>
  </si>
  <si>
    <t>69c8a441-6f10-d996-4c94-af28c63cd586</t>
  </si>
  <si>
    <t>Templates of My Body Separated by Grease</t>
  </si>
  <si>
    <t>Pen and black ink and watercolor on ivory wove paper (discolored to tan)</t>
  </si>
  <si>
    <t>d72117a4-d4a2-b71b-0f2e-d8408f95a7ff</t>
  </si>
  <si>
    <t>Watercolor and pen and black ink, with orange and yellow crayon, graphite and touches of pink pencil, on pale green wove paper with blue fibers</t>
  </si>
  <si>
    <t>fbea6d95-5e61-9684-e13e-9ea0aa7b63d5</t>
  </si>
  <si>
    <t>24-3-86</t>
  </si>
  <si>
    <t>Acrylic on gelatin silver print</t>
  </si>
  <si>
    <t>00faab13-37f3-c758-0cc7-ce731c096a3e</t>
  </si>
  <si>
    <t>Ink and gouache on paper</t>
  </si>
  <si>
    <t>e40cf9f8-df13-dc7b-532e-6603968ecab2</t>
  </si>
  <si>
    <t>Still Life with Glass, Dice, Newspaper and Playing Card</t>
  </si>
  <si>
    <t>Oil on canvas mounted on hardboard</t>
  </si>
  <si>
    <t>cc61574d-2479-40e4-7049-cc6cd6984428</t>
  </si>
  <si>
    <t>Glass and Playing Cards</t>
  </si>
  <si>
    <t>7036097d-1d05-1548-a981-bc5177f9da4e</t>
  </si>
  <si>
    <t>0bbd74cc-32ab-ca1b-737f-16359e9f2ed7</t>
  </si>
  <si>
    <t>The Cello</t>
  </si>
  <si>
    <t>c04fa77a-c8fc-e2b6-b871-6294a4eadaba</t>
  </si>
  <si>
    <t>Glass and Pipe</t>
  </si>
  <si>
    <t>b0314562-cd95-4d6a-a17c-5fdcece143b4</t>
  </si>
  <si>
    <t>Hand Holding Cloth</t>
  </si>
  <si>
    <t>34a18ce8-f39d-059a-18c8-932c22fb0a5d</t>
  </si>
  <si>
    <t>Claude Venard</t>
  </si>
  <si>
    <t>6361da9e-9179-dd0f-cf51-68e56db9b865</t>
  </si>
  <si>
    <t>Still Life with Eggs</t>
  </si>
  <si>
    <t>5e9353c3-0ed6-319c-14a6-32f74965432c</t>
  </si>
  <si>
    <t>a0ef9792-1111-3eb5-e7a1-5125d40c09bc</t>
  </si>
  <si>
    <t>Atmospheric Chair</t>
  </si>
  <si>
    <t>36cba2a3-82c5-ac50-a029-8ef405db4368</t>
  </si>
  <si>
    <t>Anti-Slavery Picnic at Weymouth Landing, Massachusetts</t>
  </si>
  <si>
    <t>Watercolor and opaque watercolor with pen and black ink, graphite, and collage of painted and metallic papers on tan wove paper</t>
  </si>
  <si>
    <t>Susan Torrey Merritt</t>
  </si>
  <si>
    <t>eb16da06-fb8c-b1c5-fcce-1582c1a5d30a</t>
  </si>
  <si>
    <t>Ship Isabella of Kittery</t>
  </si>
  <si>
    <t>Pen and black ink, with watercolor, over graphite, on cream wove paper (discolored)</t>
  </si>
  <si>
    <t>12e70d0e-20b3-b9c9-502a-a0387ad0f9a8</t>
  </si>
  <si>
    <t>Joshua Afloat with the Girls</t>
  </si>
  <si>
    <t>0caf6fdc-1670-7244-acc0-4498398d591e</t>
  </si>
  <si>
    <t>Still Life with Flower Arrangement in Pot</t>
  </si>
  <si>
    <t>Watercolor over graphite, with gold paper additions, on cream wove paper</t>
  </si>
  <si>
    <t>735e8508-2d42-a04e-dabb-51ca80a88774</t>
  </si>
  <si>
    <t>Flowers in a Marble Vase</t>
  </si>
  <si>
    <t>e4bb3296-262d-b4c4-df6d-671ff04490ed</t>
  </si>
  <si>
    <t>Spray of Flowers</t>
  </si>
  <si>
    <t>3e05ca65-e78f-8ee5-ae12-bd352c3e8e77</t>
  </si>
  <si>
    <t>Basket of Flowers in Printed Embossed Borders</t>
  </si>
  <si>
    <t>Watercolor over traces of graphite on cream wove embossed paper</t>
  </si>
  <si>
    <t>6989854e-28d2-1e49-fc8a-db5c87599260</t>
  </si>
  <si>
    <t>A Genealogical Family Piece</t>
  </si>
  <si>
    <t>Watercolor and pen and brown ink, with lead white gouache (discolored), on cream wove paper, laid down on fabric</t>
  </si>
  <si>
    <t>Lydia Smith</t>
  </si>
  <si>
    <t>ac832eff-773e-a3c2-4a53-f88b862aef21</t>
  </si>
  <si>
    <t>Baptismal Certificate of Catharina Wentzelsin</t>
  </si>
  <si>
    <t>f8f11e33-4240-cb9c-650f-9855521333ee</t>
  </si>
  <si>
    <t>Landscape with Figures and Boats</t>
  </si>
  <si>
    <t>John Quidor</t>
  </si>
  <si>
    <t>47c40896-6a2b-aaba-666f-c969202a47c4</t>
  </si>
  <si>
    <t>Two Grasshoppers</t>
  </si>
  <si>
    <t>Watercolor and opaque watercolor, with pen and brown ink, over traces of graphite, on vellum, laid down on ivory laid paper, with pen and brown ink on paper verso</t>
  </si>
  <si>
    <t>Herman Henstenburgh</t>
  </si>
  <si>
    <t>3ee77396-f832-8a36-3157-7e731dc5457f</t>
  </si>
  <si>
    <t>Symphony in Blue</t>
  </si>
  <si>
    <t>Watercolor, over traces of graphite on ivory wove paper, laid down on cream card</t>
  </si>
  <si>
    <t>dd090337-83e6-1509-dbbe-81372fff8d96</t>
  </si>
  <si>
    <t>A Capriccio with Horses Watering in a River Outside a Walled Town</t>
  </si>
  <si>
    <t>Gouache, on kidskin, edge mounted on wood panel</t>
  </si>
  <si>
    <t>Marco Ricci</t>
  </si>
  <si>
    <t>47e54490-4761-aeb5-958c-2234aeb2da24</t>
  </si>
  <si>
    <t>Louis Nicolas van Blarenberghe</t>
  </si>
  <si>
    <t>95a1d7db-a27e-1f8f-a27c-c8dfe486e2bf</t>
  </si>
  <si>
    <t>93b81e29-46b2-4ddf-2f3b-af1e1a4651a3</t>
  </si>
  <si>
    <t>Geese and Hollyhocks</t>
  </si>
  <si>
    <t>Jessie Arms Botke</t>
  </si>
  <si>
    <t>7ba7590a-764c-458d-3234-884afb272138</t>
  </si>
  <si>
    <t>An Antique Orison</t>
  </si>
  <si>
    <t>d1af9565-b81f-f1a0-b294-d9eb916785a9</t>
  </si>
  <si>
    <t>Woman before a King</t>
  </si>
  <si>
    <t>Watercolor, over black chalk, on ivory laid paper</t>
  </si>
  <si>
    <t>Style of Frans Francken, II</t>
  </si>
  <si>
    <t>cfa9cc3f-2470-a9ec-7e81-f50a95425760</t>
  </si>
  <si>
    <t>The Embryo</t>
  </si>
  <si>
    <t>Watercolor and graphite, with red and brown colored pencils, on cream card, prepared with a gesso-wax ground</t>
  </si>
  <si>
    <t>423fb352-9b58-8bbd-9956-a82143503d59</t>
  </si>
  <si>
    <t>aa351ec2-b220-ce2d-1d22-4f3cfd670e15</t>
  </si>
  <si>
    <t>Houses at Chatou</t>
  </si>
  <si>
    <t>3c8b9059-bc65-f925-8c59-a9b7bd9f98c6</t>
  </si>
  <si>
    <t>Autumnal Storm</t>
  </si>
  <si>
    <t>06b26f78-3aa1-4671-1223-62bdd370f3d9</t>
  </si>
  <si>
    <t>Attraction</t>
  </si>
  <si>
    <t>Brian Connelly</t>
  </si>
  <si>
    <t>b8fe5b42-fd02-51a7-8b36-7ac83de092ca</t>
  </si>
  <si>
    <t>Portrait of Monsieur Rouland</t>
  </si>
  <si>
    <t>971bc877-e947-4331-5189-c5106c18dcc1</t>
  </si>
  <si>
    <t>The Fates Gathering in the Stars</t>
  </si>
  <si>
    <t>94105fa4-8d1c-cbbd-bd02-80d77e8f0a84</t>
  </si>
  <si>
    <t>The Ballet Master</t>
  </si>
  <si>
    <t>Watercolor and oil paint, with graphite and touches of pen and brown and black ink, on buff laid paper, ruled at center in charcoal, laid down on Japanese paper</t>
  </si>
  <si>
    <t>f67a4886-1edb-598b-1b17-c20e2b0db194</t>
  </si>
  <si>
    <t>e35161fb-cd78-b757-8000-15ba3ebb0fc3</t>
  </si>
  <si>
    <t>Pen and black ink and watercolor, heightened with white gouache on ivory wove paper</t>
  </si>
  <si>
    <t>dfd7f4b9-1fd7-6929-d076-5183bfa0681a</t>
  </si>
  <si>
    <t>e213941c-4621-88e4-a40c-946e0138cc31</t>
  </si>
  <si>
    <t>bafd9aa2-340c-bbfa-cfda-742937cbf922</t>
  </si>
  <si>
    <t>Brush and oil paint on tan laid paper, laid down on cream laid paper</t>
  </si>
  <si>
    <t>Rutilio Manetti</t>
  </si>
  <si>
    <t>0c33f215-34ba-5bfc-d243-1cad0fb0e074</t>
  </si>
  <si>
    <t>In the Spring the Wanton Lapwing gets himself another Crest</t>
  </si>
  <si>
    <t>Watercolor and pen and black ink, over traces of graphite, on cream wove paper</t>
  </si>
  <si>
    <t>32481e3e-4594-bf91-7416-b711c0d34cb2</t>
  </si>
  <si>
    <t>Blue Rafters</t>
  </si>
  <si>
    <t>d25dc05e-07ce-09eb-d957-4f1f621a1418</t>
  </si>
  <si>
    <t>Oil and chalk on canvas</t>
  </si>
  <si>
    <t>58f4d35a-cb4c-d92a-3c16-0630c5a0c231</t>
  </si>
  <si>
    <t>The Death of Dido</t>
  </si>
  <si>
    <t>School of Gerard de Lairesse</t>
  </si>
  <si>
    <t>0fb01e26-1dcd-bba2-a146-d0adf183a2b1</t>
  </si>
  <si>
    <t>Anna Maria Dashwood, later Marchioness of Ely</t>
  </si>
  <si>
    <t>05ec4e8c-b958-f0c9-fa63-3997e0a33de4</t>
  </si>
  <si>
    <t>Thomas Lister and Family at Gisburne Park</t>
  </si>
  <si>
    <t>b80d42a4-6840-6476-5aa8-4285753a3b8c</t>
  </si>
  <si>
    <t>Family in a Room</t>
  </si>
  <si>
    <t>a680713b-f1f9-1fd0-5b77-81d42415db5d</t>
  </si>
  <si>
    <t>Sir John Shaw and his Family in the Park at Eltham Lodge, Kent</t>
  </si>
  <si>
    <t>c892ec2a-9f7c-c8dd-bb35-0dd4135ba88a</t>
  </si>
  <si>
    <t>bdf1ac6e-8bbe-00ca-661d-9cf54c5e2235</t>
  </si>
  <si>
    <t>Watercolor, over graphite, on fabric</t>
  </si>
  <si>
    <t>efd5a82c-2fe7-6a35-728b-81bbd52ed506</t>
  </si>
  <si>
    <t>Still Life: Corner of a Table</t>
  </si>
  <si>
    <t>85d05bad-1205-6de5-e75c-ec9113a626ab</t>
  </si>
  <si>
    <t>L'Italienne</t>
  </si>
  <si>
    <t>6ef634bb-0cd2-c0b7-d5ff-c9f11ee4d28b</t>
  </si>
  <si>
    <t>Duke Leader (Ladder) Not Alone</t>
  </si>
  <si>
    <t>Oil and tempera on paper</t>
  </si>
  <si>
    <t>c058b704-5928-1c28-30c2-cad6436eaa69</t>
  </si>
  <si>
    <t>Grove of Trees</t>
  </si>
  <si>
    <t>Study for Inquisition, Illustration to Columbiad</t>
  </si>
  <si>
    <t>Oil paint, over touches of graphite, on cream wove paper, laid down on stipple etching, etching, and aquatint in black on cream wove paper</t>
  </si>
  <si>
    <t>ad7b87b9-9163-d124-fae2-c7fcbd4fe90b</t>
  </si>
  <si>
    <t>The Stoning of Saint Stephen in a Historiated Initial "A" or "C" from a Gradual</t>
  </si>
  <si>
    <t>Manuscript cutting in tempera and gold leaf, with gothica textualis inscriptions in black, ruled in red, on parchment</t>
  </si>
  <si>
    <t>79eb0de3-be72-f565-fb5e-1eaeb06d60c4</t>
  </si>
  <si>
    <t>The Birth of the Virgin in a Historiated Initial "G" from an Antiphonal</t>
  </si>
  <si>
    <t>41e63141-5319-d003-d1da-59381113f742</t>
  </si>
  <si>
    <t>Mount Washington</t>
  </si>
  <si>
    <t>ad02b33a-4aac-03cc-88e4-7db2cc03b854</t>
  </si>
  <si>
    <t>A Bird's Eye View of the Pavilion Brighton</t>
  </si>
  <si>
    <t>7f3ad851-2663-d1ba-a1dd-a4fe2173a04b</t>
  </si>
  <si>
    <t>Portrait of a Court Lady</t>
  </si>
  <si>
    <t>494a09fc-407c-8329-06b3-fbf364a594b2</t>
  </si>
  <si>
    <t>Portrait Study of a Man</t>
  </si>
  <si>
    <t>d6075ccc-174f-8015-7dcd-d3c90cf794a6</t>
  </si>
  <si>
    <t>Pietro Marescalchi</t>
  </si>
  <si>
    <t>ba00552f-6717-7a61-a948-fe98f1752940</t>
  </si>
  <si>
    <t>0b2cc98e-ed3d-48ad-d3be-aa50bf09f36d</t>
  </si>
  <si>
    <t>The Country</t>
  </si>
  <si>
    <t>Gouache, with scratching and scraping, on dark tan wove paper, prepared with a white and colored gouache ground</t>
  </si>
  <si>
    <t>34afa30e-505e-65c6-3d3a-b2d614d39753</t>
  </si>
  <si>
    <t>Portrait of Mrs. William W. Welch</t>
  </si>
  <si>
    <t>8a0f8b03-7aca-8845-baad-2b02b5278e2d</t>
  </si>
  <si>
    <t>Landscape (shepherd and shepherdess in cave)</t>
  </si>
  <si>
    <t>Oil on canvas.
*Rejected as American by American Art Dept. 1979</t>
  </si>
  <si>
    <t>f62dac7a-c546-87eb-9067-45191925126f</t>
  </si>
  <si>
    <t>Portrait of the Maistre Sisters</t>
  </si>
  <si>
    <t>Baron Antoine Jean Gros</t>
  </si>
  <si>
    <t>b325af1e-bfb6-7125-ba57-cf32e1838d29</t>
  </si>
  <si>
    <t>dc0610ff-2182-ecad-b457-97a523db2a63</t>
  </si>
  <si>
    <t>Lancaster: Peace and War</t>
  </si>
  <si>
    <t>Watercolor, with touches of gouache, black chalk, and scraping, selectively varnished with gum arabic, on cream wove paper</t>
  </si>
  <si>
    <t>d559cc07-62aa-5269-4c28-e46f04108b12</t>
  </si>
  <si>
    <t>Sentenced for Life</t>
  </si>
  <si>
    <t>e423a89e-5d9a-ed75-a6b7-595d75f06b43</t>
  </si>
  <si>
    <t>25 3/4 x 31 7/8 in. (65.4 x 81 cm)</t>
  </si>
  <si>
    <t>Horizon III</t>
  </si>
  <si>
    <t>Acrylic on Celotex and Formica on wood</t>
  </si>
  <si>
    <t>afda4b46-88bf-810e-41db-ad4ed1f41b4a</t>
  </si>
  <si>
    <t>Girl with Branch</t>
  </si>
  <si>
    <t>Brush and brown wash, copper metallic paint, and white gouache, with black ink, on cream wove paper</t>
  </si>
  <si>
    <t>Hazel Janicki</t>
  </si>
  <si>
    <t>b19b5850-a398-5cb7-df19-e0f765b69ac2</t>
  </si>
  <si>
    <t>The Cotton Gin</t>
  </si>
  <si>
    <t>Harry Leslie Hoffman</t>
  </si>
  <si>
    <t>36b03bc2-9a98-b582-f695-98e14fd118bb</t>
  </si>
  <si>
    <t>Leo Ornstein at the Piano</t>
  </si>
  <si>
    <t>e86b6d07-b669-1ece-8ebf-e013c71e50ce</t>
  </si>
  <si>
    <t>The Greedy Dog</t>
  </si>
  <si>
    <t>Opaque watercolor and shell gold on paper</t>
  </si>
  <si>
    <t>969309e2-15a1-a933-43cd-c233d2075a26</t>
  </si>
  <si>
    <t>St. Petersburg Album, top left: Iran, c. 1740; top right: Iran, c. 1748; bottom left: India, 18th century; bottom right: India, 18th century; borders: Iran</t>
  </si>
  <si>
    <t>Opaque watercolor, silver, and gold on paper</t>
  </si>
  <si>
    <t>3a193912-941b-bea3-4969-74bf9171f533</t>
  </si>
  <si>
    <t>Ruler Entertained by Dancers in a Paradise Garden</t>
  </si>
  <si>
    <t>c1e17623-1a51-8db0-e1d0-3eee0b41b4b2</t>
  </si>
  <si>
    <t>Blue Rhythm</t>
  </si>
  <si>
    <t>ea477dec-6862-82f7-b907-b5d16a02897c</t>
  </si>
  <si>
    <t>Bonimenteur</t>
  </si>
  <si>
    <t>5928ec1c-3ad5-bf23-8919-9e80bc994f88</t>
  </si>
  <si>
    <t>The Pentecost, from a Book of Hours</t>
  </si>
  <si>
    <t>Manuscript cutting with tempera and gold leaf, and pen and black ink, on parchment</t>
  </si>
  <si>
    <t>144eb47e-7be4-6075-10b7-26de379fcfd4</t>
  </si>
  <si>
    <t>The Ascension of St. Dominic in a Historiated Initial "G" from a Gradual</t>
  </si>
  <si>
    <t>Manuscript cutting with tempera and gold leaf, and gothic miniscule script inscriptions in black ink, ruled in red ink, on vellum</t>
  </si>
  <si>
    <t>Johannes von Valkenburg</t>
  </si>
  <si>
    <t>f4d07254-5a78-d32d-0385-5d6c99749332</t>
  </si>
  <si>
    <t>Illuminated Border with Snail, Insect, Bird, Grotesques and Flowers from a Manuscript</t>
  </si>
  <si>
    <t>Manuscript cutting in tempera and gold leaf, with Latin inscriptions in gothic in red ink, on vellum</t>
  </si>
  <si>
    <t>b015f022-b1d9-c934-3a14-e6e9a75a51a0</t>
  </si>
  <si>
    <t>Illuminated Border with Grotesques and Flora from a Manuscript</t>
  </si>
  <si>
    <t>7aa2ea59-9e28-bea0-b792-e8106a6512ad</t>
  </si>
  <si>
    <t>Undiscovered Place</t>
  </si>
  <si>
    <t>Gouache with graphite, touches of charcoal, and incising, on ivory board</t>
  </si>
  <si>
    <t>76c91d55-8966-09b8-a754-2fbef865893f</t>
  </si>
  <si>
    <t>Mount Equinox, Winter</t>
  </si>
  <si>
    <t>3c9eff28-3289-f650-a019-7df9db9d286c</t>
  </si>
  <si>
    <t>Painting (Figures with Stars)</t>
  </si>
  <si>
    <t>7bd4542d-3e84-e21a-d259-8d22e20bee0a</t>
  </si>
  <si>
    <t>Haunted House</t>
  </si>
  <si>
    <t>Portrait of Emily Crane Chadbourne</t>
  </si>
  <si>
    <t>Tempera and silver leaf on canvas</t>
  </si>
  <si>
    <t>ab952f7c-03cb-1850-a855-e2b8af8f57cc</t>
  </si>
  <si>
    <t>c55eda44-4613-9e40-eb94-416667483e76</t>
  </si>
  <si>
    <t>John Nicholson</t>
  </si>
  <si>
    <t>Charles Willson Peale</t>
  </si>
  <si>
    <t>458eeba4-a37b-2fc1-e458-3a95f57f4f1c</t>
  </si>
  <si>
    <t>Mrs. John Nicholson (Hannah Duncan) and John Nicholson, Jr.</t>
  </si>
  <si>
    <t>de8b304b-8250-78cf-dfa2-5f91458b78f9</t>
  </si>
  <si>
    <t>52074921-a053-5cee-814a-62baf09ff061</t>
  </si>
  <si>
    <t>43 1/4 x 31 1/8 in. (109.9 x 79.1 cm)</t>
  </si>
  <si>
    <t>Watercolor and gouache, with brush and black ink, over incising on cream wove paper</t>
  </si>
  <si>
    <t>40752f55-55aa-b64a-1d5a-a1471996cc15</t>
  </si>
  <si>
    <t>Head (As It Were a Portrait)</t>
  </si>
  <si>
    <t>Oil and gouache on paper</t>
  </si>
  <si>
    <t>41c3a22e-af16-90b8-c042-d57164137131</t>
  </si>
  <si>
    <t>Frans Pourbus, the Younger</t>
  </si>
  <si>
    <t>51b5e908-743a-04a2-b080-9f9f2a33e502</t>
  </si>
  <si>
    <t>Head No. 2</t>
  </si>
  <si>
    <t>Oil and ink wash on paper</t>
  </si>
  <si>
    <t>2e5aa431-1b04-71e0-0ea6-735e2e7a4e0d</t>
  </si>
  <si>
    <t>Watercolor, gouache, and pen and black ink on ivory wove paper, laid down on ivory wove paper</t>
  </si>
  <si>
    <t>73a12a0f-89fb-bb85-83ae-796573847f67</t>
  </si>
  <si>
    <t>James Walker</t>
  </si>
  <si>
    <t>A Sly Drink at the Camp (Study)</t>
  </si>
  <si>
    <t>cbb7a9d0-ee0f-3de2-e9bd-b84943e52672</t>
  </si>
  <si>
    <t>b1e21091-dada-2beb-234a-972444a9f3f7</t>
  </si>
  <si>
    <t>22 3/4 x 15 3/4 in. (57.8 x 40 cm)</t>
  </si>
  <si>
    <t>Dahlia and Daisies in a Vase</t>
  </si>
  <si>
    <t>07ffe0d9-4de3-6449-7a34-13e8f81a5ee4</t>
  </si>
  <si>
    <t>Mrs. Daniel Embury (Emma Catherine Manley)</t>
  </si>
  <si>
    <t>25af23d1-e955-7a98-457c-84c2b7b1beff</t>
  </si>
  <si>
    <t>View on the River Roseau, Dominica</t>
  </si>
  <si>
    <t>Agostino Brunias</t>
  </si>
  <si>
    <t>3b07d318-3be1-4e9a-e4ae-05700abcbc5b</t>
  </si>
  <si>
    <t>Seated Girl with a Coach in the Distance (The Departure)</t>
  </si>
  <si>
    <t>Watercolor over graphite, heightened with gum, with traces of red and orange pencil, on cream wove paper laid down on tan board</t>
  </si>
  <si>
    <t>Orra Louise White</t>
  </si>
  <si>
    <t>830ec8cf-2be3-78a6-45cb-8c4fb559469a</t>
  </si>
  <si>
    <t>Landscape with an Inn and a Bridge</t>
  </si>
  <si>
    <t>Watercolor over graphite on cream wove paper, laid down on tan board</t>
  </si>
  <si>
    <t>db98e7b2-d74b-c5a7-d1d0-24be7754aa70</t>
  </si>
  <si>
    <t>Grave of Captain and Mrs. Rich</t>
  </si>
  <si>
    <t>Watercolor with pen and black and blue ink and pasted collage elements on cream wove paper, laid down on masonite</t>
  </si>
  <si>
    <t>fb9d2d37-3672-4c97-093b-09059925598d</t>
  </si>
  <si>
    <t>Bates House</t>
  </si>
  <si>
    <t>b61bd0e7-cbc6-57d7-175a-d8e7443ca084</t>
  </si>
  <si>
    <t>Family Group at Piano</t>
  </si>
  <si>
    <t>Eunice Pinney</t>
  </si>
  <si>
    <t>b666dd6b-6bd7-2bb7-ab15-714d752e976e</t>
  </si>
  <si>
    <t>Grave of Hannah Harrison</t>
  </si>
  <si>
    <t>Watercolor with pen and brown ink and traces of graphite, heightened with white gouache, on cream wove paper</t>
  </si>
  <si>
    <t>515687bd-c9c1-8bbb-a731-0fa278c0a985</t>
  </si>
  <si>
    <t>Miss Gorham's Seminary</t>
  </si>
  <si>
    <t>00e22075-d8a2-3a5a-c742-961e02138418</t>
  </si>
  <si>
    <t>Bridge in Moonlight</t>
  </si>
  <si>
    <t>5969b0a0-eb19-3caf-7e86-66b6bcbb3f2e</t>
  </si>
  <si>
    <t>8a6e5b5b-7880-1b25-4bf7-621f4dae8505</t>
  </si>
  <si>
    <t>The Drinkers</t>
  </si>
  <si>
    <t>d0ff5b36-bb38-b156-6042-5c8545352c2f</t>
  </si>
  <si>
    <t>Watercolor and gouache, over graphite, on tan wove paper</t>
  </si>
  <si>
    <t>3964e355-091e-3a11-0e6a-ff6737fc50a8</t>
  </si>
  <si>
    <t>Part of a Garden</t>
  </si>
  <si>
    <t>3dc8c9c5-0566-f6c3-07e5-7cae567f5bf7</t>
  </si>
  <si>
    <t>ba078c9c-8532-73db-ffbd-bd2bd79eb032</t>
  </si>
  <si>
    <t>Portrait of Mme. Lisle and Mme Loubens</t>
  </si>
  <si>
    <t>8bcc9188-1d3d-14be-6ae7-ed211e089c0f</t>
  </si>
  <si>
    <t>Girl with the Green Face</t>
  </si>
  <si>
    <t>d5ed2404-ea30-d3ed-283a-f6e6d27f169d</t>
  </si>
  <si>
    <t>The Green Line</t>
  </si>
  <si>
    <t>Gouache on black wove paper laid down on cream laminated cardboard</t>
  </si>
  <si>
    <t>b7eaf2a3-a0cc-4819-23c2-5ee63e52f221</t>
  </si>
  <si>
    <t>Ciphers and Constellations in Love with a Woman</t>
  </si>
  <si>
    <t>Opaque watercolor with watercolor washes on ivory, rough textured wove paper</t>
  </si>
  <si>
    <t>1c3dbd1c-5134-0b3c-a414-1a6af4078309</t>
  </si>
  <si>
    <t>Above the Earth</t>
  </si>
  <si>
    <t>f8715f4b-1a10-4e55-d7a9-2d80d1d76f4a</t>
  </si>
  <si>
    <t>Design for Security</t>
  </si>
  <si>
    <t>a80da6fd-acb6-9e01-261b-ae80e39bdfb1</t>
  </si>
  <si>
    <t>b4d42569-997a-6d5e-0d21-67956efbd56e</t>
  </si>
  <si>
    <t>95e33ca7-2bbb-2954-ea06-8edcfa458541</t>
  </si>
  <si>
    <t>Les Baux</t>
  </si>
  <si>
    <t>Loren MacIver</t>
  </si>
  <si>
    <t>f30e2874-3686-fb81-1f16-d114ee586b75</t>
  </si>
  <si>
    <t>5d52a808-7eb4-8651-f7c7-4e3ffaa06389</t>
  </si>
  <si>
    <t>Saint Anthony of Padua</t>
  </si>
  <si>
    <t>11f6e7f8-9c46-1dd7-4ba8-4ef07bfc3bfa</t>
  </si>
  <si>
    <t>John Trumbull</t>
  </si>
  <si>
    <t>ff5d2e96-91df-6929-8947-a9d41be61cfa</t>
  </si>
  <si>
    <t>4d1ca626-d109-a33a-9e6d-eafff952d385</t>
  </si>
  <si>
    <t>18 1/8 x 14 3/8 in. (46 x 36.5 cm)</t>
  </si>
  <si>
    <t>70d29ea7-d9c9-947c-dc2f-a79f11844ae1</t>
  </si>
  <si>
    <t>3dcb169e-b73e-6d52-6ac5-525b67e5b8b7</t>
  </si>
  <si>
    <t>Boris Israelevich Anisfeld</t>
  </si>
  <si>
    <t>fb6f4e09-9bf8-3cd5-ad25-c913e4d0fb05</t>
  </si>
  <si>
    <t>Illustrated Legends of the Tenchi-in (Tenchi-in engi)</t>
  </si>
  <si>
    <t>d739e4da-1d03-feff-c375-a9f32be67825</t>
  </si>
  <si>
    <t>La Macarona in the Costume of a Jockey</t>
  </si>
  <si>
    <t>Oil paint and watercolor, over charcoal, on tan wove tracing paper, laid down on cream woodpulp card</t>
  </si>
  <si>
    <t>8decb8d3-aa6d-ec2b-0175-9afd2d8591d8</t>
  </si>
  <si>
    <t>Composition in Green</t>
  </si>
  <si>
    <t>Watercolor and pastel on ivory wove paper</t>
  </si>
  <si>
    <t>add98cf0-9758-5598-784d-fad21548f66d</t>
  </si>
  <si>
    <t>Watercolor and brush and black ink, with pen and brown and black ink, red chalk, and brown pastel, on cream wove paper</t>
  </si>
  <si>
    <t>449c553b-44dd-838a-1034-a3b66d6d58bb</t>
  </si>
  <si>
    <t>Japanese Fantasy</t>
  </si>
  <si>
    <t>Gouache, with touches of watercolor, on tan wove paper, laid down on cream board</t>
  </si>
  <si>
    <t>a88d7f02-5884-df24-69a9-49898ce049d8</t>
  </si>
  <si>
    <t>Gouache and watercolor on cream wove paper, laid down on ivory mat board</t>
  </si>
  <si>
    <t>957fcb09-5a19-8ed0-370c-e2c8109deea7</t>
  </si>
  <si>
    <t>Costume Design for Man in a Brown Suit, for Ballet Boutique Fastasque</t>
  </si>
  <si>
    <t>Watercolor and graphite with gouache, on ivory laid paper laid down on gray board</t>
  </si>
  <si>
    <t>215e9c47-6a90-8e0d-4c17-d37dfe736a83</t>
  </si>
  <si>
    <t>Costume Design for Girl in a Green Dress, for Ballet Boutique Fantasque</t>
  </si>
  <si>
    <t>Watercolor, gouache and graphite on ivory laid paper laid down on gray board</t>
  </si>
  <si>
    <t>5a2a4c6d-6afd-5583-ad8a-c2c40425bf06</t>
  </si>
  <si>
    <t>Costume Design for Man in a Green Jacket, for Ballet Boutique Fantasque</t>
  </si>
  <si>
    <t>Watercolor and graphite on ivory laid paper, laid down on gray board</t>
  </si>
  <si>
    <t>434d5b7b-8223-0548-bf41-bbdea6fe858f</t>
  </si>
  <si>
    <t>Costume Design for Musician, for Cleopatra</t>
  </si>
  <si>
    <t>Watercolor, with graphite and metallic paint, on ivory laid paper, laid down on tan board</t>
  </si>
  <si>
    <t>cfb704e5-090d-2d54-02dd-c54815bc96f0</t>
  </si>
  <si>
    <t>Costume Design for La Legende de Joseph</t>
  </si>
  <si>
    <t>Watercolor, with graphite, metallic paint and gouache, on ivory laid paper, laid down on white Japanese paper</t>
  </si>
  <si>
    <t>facc4c98-5efd-88b8-53d9-30a0977379b7</t>
  </si>
  <si>
    <t>The Three Skulls</t>
  </si>
  <si>
    <t>655a168b-7f9d-be19-615a-eb63adf20e7b</t>
  </si>
  <si>
    <t>Cafe Neptune</t>
  </si>
  <si>
    <t>Watercolor and pen and brush and black ink, with touches of graphite, on cream wove paper</t>
  </si>
  <si>
    <t>d80e2903-b310-d576-9fab-4bc1af3f3ead</t>
  </si>
  <si>
    <t>Watercolor, with brush and black ink, and touches of gouache, on cream Japanese paper</t>
  </si>
  <si>
    <t>dc0decbc-7b32-a7f9-ca5e-d71a6e01f5c7</t>
  </si>
  <si>
    <t>Gouche with watercolor on cream wove paper</t>
  </si>
  <si>
    <t>8471177d-aeea-ffae-f5d0-4f967b89a3a4</t>
  </si>
  <si>
    <t>Portrait of Auguste Renoir</t>
  </si>
  <si>
    <t>da4a02b1-c09e-f196-732f-072eac7b71c2</t>
  </si>
  <si>
    <t>Charles Cottet</t>
  </si>
  <si>
    <t>e30b27db-b263-abb6-0005-ff238f8fd530</t>
  </si>
  <si>
    <t>Lucien Simon</t>
  </si>
  <si>
    <t>c9138338-fe6d-9aaf-d9b6-0a3fedfdb87c</t>
  </si>
  <si>
    <t>65070e6a-e55b-01dc-1e99-a649fd7fd8b1</t>
  </si>
  <si>
    <t>cba37025-23eb-b55d-4e53-57a0a694eb37</t>
  </si>
  <si>
    <t>Mrs. James Mackie</t>
  </si>
  <si>
    <t>867b4435-fc3c-9e3d-ca53-0c4ee875c1ad</t>
  </si>
  <si>
    <t>Mr. James Mackie</t>
  </si>
  <si>
    <t>79ee6e54-8500-e26c-fb2a-04eb7f207653</t>
  </si>
  <si>
    <t>Great Walls: Walls of Steel Scraping the Sky</t>
  </si>
  <si>
    <t>2a24324d-ffea-560f-6a89-8a0391db098b</t>
  </si>
  <si>
    <t>Great Walls: The Great Wall of China</t>
  </si>
  <si>
    <t>efe1e754-dd9e-cbdb-c517-eec0c1c43c68</t>
  </si>
  <si>
    <t>Dorothea and Francesca</t>
  </si>
  <si>
    <t>Cecilia Beaux</t>
  </si>
  <si>
    <t>ed1b3063-8ce3-d4bc-50cb-b96f13f015e2</t>
  </si>
  <si>
    <t>Oil and canvas on linen</t>
  </si>
  <si>
    <t>a0205eb6-78e2-45ce-b3bb-ac5ecf1b4513</t>
  </si>
  <si>
    <t>Untitled (Composition with Grey Background)</t>
  </si>
  <si>
    <t>Gouache on gray paper</t>
  </si>
  <si>
    <t>02557d5d-7378-7d99-4aba-728241a98913</t>
  </si>
  <si>
    <t>Shore Line</t>
  </si>
  <si>
    <t>Watercolor with touches of charcoal on ivory wove paper</t>
  </si>
  <si>
    <t>6fc4dcff-48c0-9be6-30db-fcc3fd4c7412</t>
  </si>
  <si>
    <t>Portrait of a woman</t>
  </si>
  <si>
    <t>59bda4ff-c59a-ed97-5c82-b3b7556693b3</t>
  </si>
  <si>
    <t>Sandro Botticelli</t>
  </si>
  <si>
    <t>eb49ab17-f2d9-275a-ee71-e8f0016b34aa</t>
  </si>
  <si>
    <t>Diameter: 34.4 cm (13 1/2 in.)
Painted surface: Diameter: 32.5 cm (12 13/16 in.)</t>
  </si>
  <si>
    <t>Virgin and Child with an Angel</t>
  </si>
  <si>
    <t>b59cc3e9-a7c0-5aa1-1a22-bb472bb2e6d4</t>
  </si>
  <si>
    <t>Follower of Anthonie van Dyck</t>
  </si>
  <si>
    <t>a061fcd4-88da-53f4-726f-72e3d71757a3</t>
  </si>
  <si>
    <t>Vincenzo Frediani</t>
  </si>
  <si>
    <t>036eafef-d2fe-f7fb-2450-98660b0a49f9</t>
  </si>
  <si>
    <t>A Lady Reading (Saint Mary Magdalene)</t>
  </si>
  <si>
    <t>Master of the Female Half-Lengths</t>
  </si>
  <si>
    <t>a599382c-d166-8f30-904b-64b19514265e</t>
  </si>
  <si>
    <t>Paulus Moreelse</t>
  </si>
  <si>
    <t>a3ec9571-7c26-2d6a-3c60-28872828ddcf</t>
  </si>
  <si>
    <t>Portrait of Don Juan of Austria</t>
  </si>
  <si>
    <t>b978b0e6-455e-8800-40c4-fe044f8196fe</t>
  </si>
  <si>
    <t>97ddac6e-56af-1078-81f0-11c0d6313432</t>
  </si>
  <si>
    <t>Young Man in a Turban</t>
  </si>
  <si>
    <t>97ca059c-6d86-4128-e216-6dbdcf4e8f3a</t>
  </si>
  <si>
    <t>Nicolas Rubens, the artist's son</t>
  </si>
  <si>
    <t>0a991ed0-5816-1fbe-33d2-a12c384334ab</t>
  </si>
  <si>
    <t>Lady in interior</t>
  </si>
  <si>
    <t>174afc30-2bad-1d9d-fca3-155200d9102e</t>
  </si>
  <si>
    <t>Isabella of Bourbon, Wife of Philip IV of Spain</t>
  </si>
  <si>
    <t>0893821b-474d-c87c-b528-a059919089e7</t>
  </si>
  <si>
    <t>House on a River</t>
  </si>
  <si>
    <t>5c4dcaf1-f6b8-356e-33df-9a8a25e2f507</t>
  </si>
  <si>
    <t>Warriors and Philosophers</t>
  </si>
  <si>
    <t>a289e3b3-3677-1c46-27b0-98f84ab3e48a</t>
  </si>
  <si>
    <t>Marcel Ordinaire</t>
  </si>
  <si>
    <t>03be2848-416a-b7c0-a92b-37cbe4de00ba</t>
  </si>
  <si>
    <t>Street Musicians</t>
  </si>
  <si>
    <t>fdd9f9dc-6893-c608-7589-02f4f0ab5fbd</t>
  </si>
  <si>
    <t>fd23ea1a-62c4-e257-223e-195e7953efba</t>
  </si>
  <si>
    <t>Jungle Symphony</t>
  </si>
  <si>
    <t>dcdb3fae-0c6f-f729-fb4c-bc18cdd9f980</t>
  </si>
  <si>
    <t>Manuel Godoy</t>
  </si>
  <si>
    <t>fdf7c790-890a-fdf9-00df-5f47697eee0a</t>
  </si>
  <si>
    <t>e458fc80-cb2e-f5c0-3c81-8c24b0bdc15b</t>
  </si>
  <si>
    <t>Meditation (Seated Woman)</t>
  </si>
  <si>
    <t>d12a2ca4-02f7-e678-3c3f-5aed87096b6d</t>
  </si>
  <si>
    <t>Lippi-Pesellino Imitator</t>
  </si>
  <si>
    <t>f46ec5c2-3897-1c1f-4d20-f8f81ac9b983</t>
  </si>
  <si>
    <t>Portrait after a Costume Ball (Portrait of Madame Dietz-Monnin)</t>
  </si>
  <si>
    <t>Distemper, with metallic paint and pastel, on fine-weave canvas, prepared with a glue size</t>
  </si>
  <si>
    <t>a56877d3-f08c-e469-2b4c-81823ea30e40</t>
  </si>
  <si>
    <t>I See the Boys of Summer</t>
  </si>
  <si>
    <t>Charcoal, paint, and paper on canvas, mounted on hardboard</t>
  </si>
  <si>
    <t>b2a11f4d-af2a-f3cf-da12-62e99e39ef7f</t>
  </si>
  <si>
    <t>The Trial</t>
  </si>
  <si>
    <t>a3695fa5-85dc-68a0-a969-7e7470ff5afb</t>
  </si>
  <si>
    <t>Woman with a Shawl</t>
  </si>
  <si>
    <t>Watercolor and graphite, with stumping, on cream wove paper, laid down on cream Japanese vellum</t>
  </si>
  <si>
    <t>fe7d0c7b-3dbc-5c75-fe6d-898354859ca6</t>
  </si>
  <si>
    <t>Scenes from the Miracles of St. Peter, from a Bible Historiale or Pictorial New Testament</t>
  </si>
  <si>
    <t>Opaque watercolor, mordant gilding with pen and black, red and blue ink on parchment</t>
  </si>
  <si>
    <t>26193c62-8c23-8d1d-565b-3ff76358ee6a</t>
  </si>
  <si>
    <t>Leaf from a Picture Cycle: Christ Carrying the Cross, The Crucifixion, The Descent from the Cross, and the Entombment</t>
  </si>
  <si>
    <t>Opaque watercolor, gold leaf and mordant gilding with French inscriptions in gothica textualis in pen and light brown, red and blue ink, on parchment</t>
  </si>
  <si>
    <t>53be6341-8e53-9d7f-a31f-785ee82c6383</t>
  </si>
  <si>
    <t>Leaf from a Picture Cycle: Christ Appearing to the Three Marys, Christ and the Pilgrims on the Road to Emmaus, Doubting Thomas, and Christ Appearing to the Apostles</t>
  </si>
  <si>
    <t>Opaque watercolor, pen and brown, red, blue and black ink, with shell gold and gold leaf on parchment.</t>
  </si>
  <si>
    <t>3e2768f3-0d41-c57f-e424-0cbab81e4e35</t>
  </si>
  <si>
    <t>The Murder of Thomas Becket, page one, from a Book of Hours</t>
  </si>
  <si>
    <t>2d195c99-00eb-7ba0-d120-29b9d1f1fa9f</t>
  </si>
  <si>
    <t>Two Saints and Two Bishops in a Historiated Initial "E" from a Choir Book</t>
  </si>
  <si>
    <t>Manuscript cutting in tempera and gold leaf, with Latin inscriptions in brownish-black ink, ruled in red ink, verso, on vellum</t>
  </si>
  <si>
    <t>e2f5d569-d9bf-2497-b12f-f0748443e3be</t>
  </si>
  <si>
    <t>Landscape with Rock and Fortress</t>
  </si>
  <si>
    <t>Domenico Gargiuli (Micco Spadaro)</t>
  </si>
  <si>
    <t>1b605198-afe5-1052-3c7b-0c08734238e1</t>
  </si>
  <si>
    <t>Cabalistic Curtain, from Love of Three Orange</t>
  </si>
  <si>
    <t>Gouache, with watercolor and touches of gold metallic paint, selectively varnished, on off-white laid paper</t>
  </si>
  <si>
    <t>bd921120-b0d7-d1c2-d6c0-2bd4e35398f9</t>
  </si>
  <si>
    <t>Courtyard of the Royal Palace, from Love of Three Orange</t>
  </si>
  <si>
    <t>Watercolor and gouache, with gold leaf, pen and black ink, and touches of brush and black ink, over graphite, varnished overall on off-white laid paper</t>
  </si>
  <si>
    <t>af6c2cc2-aa2f-ab60-0264-140fe9d832a4</t>
  </si>
  <si>
    <t>The Castle of the Sorceress, from Love of Three Orange</t>
  </si>
  <si>
    <t>Gouache with brush and black ink, watercolor, pen and black ink, and touches of gold metallic paint, selectively varnished on off-white laid paper</t>
  </si>
  <si>
    <t>f877efa8-a769-4ebe-fb9f-f691da69df3a</t>
  </si>
  <si>
    <t>The Royal Palace, from Love of Three Orange</t>
  </si>
  <si>
    <t>Gouache, with watercolor, graphite, gold metallic paint, brush and black ink and touches of charcoal, selectively varnished, on off-white laid paper</t>
  </si>
  <si>
    <t>fc083f81-f98c-28ef-af14-2b4c0edef753</t>
  </si>
  <si>
    <t>The Prince and Truffaldino Pushing the Oranges, from Love of Three Orange</t>
  </si>
  <si>
    <t>Gouache and watercolor, with touches of black fiber-tipped pen and graphite, over green and blue pastel and graphite, on off-white laid paper</t>
  </si>
  <si>
    <t>ce6da1e9-ac33-c264-ad90-fdd74d9f9b27</t>
  </si>
  <si>
    <t>Room of the Sick Prince, from Love of Three Orange</t>
  </si>
  <si>
    <t>Watercolor and gouache, with brush and black ink, gold metallic paint, pen and black ink, and touches of graphite, selectively varnished, on off-white laid paper</t>
  </si>
  <si>
    <t>68a6b606-5aa4-6c61-71a9-531c7e08dbbf</t>
  </si>
  <si>
    <t>Pink Curtain #2, from Love of Three Orange</t>
  </si>
  <si>
    <t>Gouache and watercolor, with pen and black ink, and gold metallic paint, and charcoal, over graphite, selectively varnished, on off-white laid paper</t>
  </si>
  <si>
    <t>36c6eda8-edb0-c1b8-5d2c-1690e31591e7</t>
  </si>
  <si>
    <t>f0447c50-f4c9-ecb2-2695-22669e1469cd</t>
  </si>
  <si>
    <t>The King and the Doctors, from Love of Three Orange</t>
  </si>
  <si>
    <t>Gouache, with watercolor, gold leaf, gold metallic paint, and touches of graphite, selectively varnished, on off-white laid paper</t>
  </si>
  <si>
    <t>be86b291-2d8f-048c-4442-993b422bee96</t>
  </si>
  <si>
    <t>The Calling of Samuel</t>
  </si>
  <si>
    <t>Brush and brown wash and white gouache, with pen and black ink, on tan wove paper</t>
  </si>
  <si>
    <t>12a5ffb6-a798-53cd-edba-1d33ec28ae9b</t>
  </si>
  <si>
    <t>Domenico Mondo</t>
  </si>
  <si>
    <t>Theocritus</t>
  </si>
  <si>
    <t>6c82c31d-c89d-6bf3-6517-7726897818ae</t>
  </si>
  <si>
    <t>Dante's Bark</t>
  </si>
  <si>
    <t>85491753-2af1-475a-c492-1b73c882a33e</t>
  </si>
  <si>
    <t>Arab Horseman Attacked by a Lion</t>
  </si>
  <si>
    <t>4d6a1e9e-c011-b916-4f02-ca37fa2f3063</t>
  </si>
  <si>
    <t>Lion Hunt</t>
  </si>
  <si>
    <t>3f0cd83f-84db-23e9-fb41-286de4bdae62</t>
  </si>
  <si>
    <t>68e24e96-1f25-75cd-bb2c-232713f131a9</t>
  </si>
  <si>
    <t>Arleux-Palluel, The Bridge of Trysts</t>
  </si>
  <si>
    <t>2661329a-3c67-6216-82eb-90c755bb42b8</t>
  </si>
  <si>
    <t>db1f6435-23d1-b7ac-9c44-ad70cefdb9c3</t>
  </si>
  <si>
    <t>The Little Shepherdess</t>
  </si>
  <si>
    <t>f2bc893e-3b1a-62c9-0862-035f19cf405a</t>
  </si>
  <si>
    <t>In the Auvergne</t>
  </si>
  <si>
    <t>7a313db7-2369-1c7b-b4f7-a1d29218f778</t>
  </si>
  <si>
    <t>681c9b51-6682-3f8c-dac8-ad250ed82240</t>
  </si>
  <si>
    <t>e7928f74-f52e-e7d5-77ab-8b3d93b8b727</t>
  </si>
  <si>
    <t>The Sheepshearers</t>
  </si>
  <si>
    <t>bd921daa-25ba-3a48-5b30-ad03d8a8bacb</t>
  </si>
  <si>
    <t>bba8ef2a-2af7-e111-1269-382f38d32fdd</t>
  </si>
  <si>
    <t>The Races at Longchamp</t>
  </si>
  <si>
    <t>e9ce5aca-4c34-c8dd-b8a1-91b3e3197211</t>
  </si>
  <si>
    <t>Sea View, Calm Weather (Vue de mer, temps calme)</t>
  </si>
  <si>
    <t>8be90e71-83c3-3f98-a972-4acb9ce0e773</t>
  </si>
  <si>
    <t>Bordighera</t>
  </si>
  <si>
    <t>4d1b3ad0-14db-0d21-ad9f-17abb8bdfbb5</t>
  </si>
  <si>
    <t>On the Bank of the Seine, Bennecourt</t>
  </si>
  <si>
    <t>66f95ea3-a11a-1cf4-6599-d0a49bb25744</t>
  </si>
  <si>
    <t>6ca224d1-c3dc-a223-a127-0492301a2ebb</t>
  </si>
  <si>
    <t>Stacks of Wheat (Sunset, Snow Effect)</t>
  </si>
  <si>
    <t>be0d3e50-a600-6f33-ea8f-16a34d892442</t>
  </si>
  <si>
    <t>The Petite Creuse River</t>
  </si>
  <si>
    <t>ec1f6262-09c2-8f7e-baa9-9c0b267337ff</t>
  </si>
  <si>
    <t>335a59a4-3f5b-b9db-b8e8-861467d211ef</t>
  </si>
  <si>
    <t>The Place du Havre, Paris</t>
  </si>
  <si>
    <t>0ff20364-c795-c2ca-c1e8-e5a848f09554</t>
  </si>
  <si>
    <t>Woman and Child at the Well</t>
  </si>
  <si>
    <t>a2ddbd89-d864-8877-37bc-cd3dce12c37c</t>
  </si>
  <si>
    <t>Lunch at the Restaurant Fournaise (The Rowers' Lunch)</t>
  </si>
  <si>
    <t>1a1b74fe-ff2a-8991-0581-5d420f0b840e</t>
  </si>
  <si>
    <t>caf4fa39-e2e8-344a-542c-2d9a03ec9d4b</t>
  </si>
  <si>
    <t>Street in Moret</t>
  </si>
  <si>
    <t>c233d88b-fe56-6b9e-d5c2-47b9a7386756</t>
  </si>
  <si>
    <t>Woman from Brittany</t>
  </si>
  <si>
    <t>4872e681-f833-1533-0bc2-dbc8241cfdb8</t>
  </si>
  <si>
    <t>The Sacred Grove, Beloved of the Arts and the Muses</t>
  </si>
  <si>
    <t>94bfb508-31cc-7c9f-63a9-5478c826129a</t>
  </si>
  <si>
    <t>24a5f59f-8d6a-750d-31db-f4527d3ce884</t>
  </si>
  <si>
    <t>Trouville (Grey and Green, the Silver Sea)</t>
  </si>
  <si>
    <t>37f802ca-7831-14d6-82c6-060d825baabd</t>
  </si>
  <si>
    <t>Grey and Silver: Old Battersea Reach</t>
  </si>
  <si>
    <t>f0b3ff64-d68e-3fd2-ffc9-5470eb9fea6e</t>
  </si>
  <si>
    <t>78adbac9-61fa-f039-4ee4-58ad5e6c36db</t>
  </si>
  <si>
    <t>Bacchus in His Chariot with Attendants</t>
  </si>
  <si>
    <t>White gouache and brown watercolor, over tan and buff gouache, with black chalk, on cream laid paper, laid down on ivory laid paper</t>
  </si>
  <si>
    <t>cbf38585-f164-5b8a-2827-873a4a0a752e</t>
  </si>
  <si>
    <t>Satyr, Faun and Nymphs</t>
  </si>
  <si>
    <t>ff0713bf-fb22-2fd2-5bf9-92e1094f2049</t>
  </si>
  <si>
    <t>Charles-Edouard de Beaumont</t>
  </si>
  <si>
    <t>837198bb-7a5e-ba0b-79dd-3b91da82fb95</t>
  </si>
  <si>
    <t>Approaching Gothenburg, Sweden</t>
  </si>
  <si>
    <t>a0d316e5-ae90-ecde-68d8-67d78bfa5d3d</t>
  </si>
  <si>
    <t>Sheet of Sketches: Nude and Clothed Figures</t>
  </si>
  <si>
    <t>Watercolor, with black crayon and touches of gouache, over green pencil and graphite, on gray laid paper</t>
  </si>
  <si>
    <t>a0a2ef51-0282-e2af-3b68-debf1fd1a942</t>
  </si>
  <si>
    <t>Old Man and Dancer</t>
  </si>
  <si>
    <t>Watercolor, on tan wove paper, laid down on blue wove laminate board</t>
  </si>
  <si>
    <t>4915ab1d-a57d-0a07-b818-fc69846894f7</t>
  </si>
  <si>
    <t>Manuscript cutting in tempera, gold leaf and gold paint on vellum</t>
  </si>
  <si>
    <t>Standing Female Nude, Seen From Rear</t>
  </si>
  <si>
    <t>Watercolor, with graphite, on cream wove paper</t>
  </si>
  <si>
    <t>04d17e6d-99f2-7ab6-6abc-afee1e0526c1</t>
  </si>
  <si>
    <t>Illuminated Initial "H" in Diaper Pattern from a Choirbook</t>
  </si>
  <si>
    <t>e11dfc91-b8d2-eddd-6339-bd3fef07e6d3</t>
  </si>
  <si>
    <t>Pink Composition (Composition en rose)</t>
  </si>
  <si>
    <t>28789d64-9012-0b86-782a-cdb6e847ba84</t>
  </si>
  <si>
    <t>Cristoforo Roncalli</t>
  </si>
  <si>
    <t>Untitled (Painting)</t>
  </si>
  <si>
    <t>df0a03a4-be1c-3f8d-73b1-5941dca57bba</t>
  </si>
  <si>
    <t>Oil and gouache on paper, mounted on cardboard and backed with canvas</t>
  </si>
  <si>
    <t>e1bd416f-ec68-4dea-7ddd-70bb8c8b6156</t>
  </si>
  <si>
    <t>7dc26746-4025-40ae-f682-4a43084d1100</t>
  </si>
  <si>
    <t>The First Step</t>
  </si>
  <si>
    <t>Oil, over graphite, on brown woodpulp board, prepared with shellac</t>
  </si>
  <si>
    <t>ec3561ff-0793-a9e4-51c7-ab9bf12392d7</t>
  </si>
  <si>
    <t>Ancient Windows</t>
  </si>
  <si>
    <t>Horacio Renteria Rocha</t>
  </si>
  <si>
    <t>ae593ea2-9fce-817d-7bad-940415beddd8</t>
  </si>
  <si>
    <t>Elie Lascaux</t>
  </si>
  <si>
    <t>7d6e2c73-0bf3-84e0-01c6-a456eba87204</t>
  </si>
  <si>
    <t>Icon with the Virgin and Child</t>
  </si>
  <si>
    <t>a8383044-2d0b-e592-efde-0b72bfe6e460</t>
  </si>
  <si>
    <t>Gouache and brush and black ink, selectively varnished, on off-white watercolor paper</t>
  </si>
  <si>
    <t>68229901-e7a6-7fc7-b053-0a81969b520c</t>
  </si>
  <si>
    <t>Gouache and brush and black ink, over graphite, on ivory watercolor paper</t>
  </si>
  <si>
    <t>7107e105-cba2-bb61-b68f-b7fd08e6d9d2</t>
  </si>
  <si>
    <t>2f0197e2-7d1e-0aa7-e0cc-aa8354937762</t>
  </si>
  <si>
    <t>2dceebb6-0091-6f07-98d3-b287e965d5dd</t>
  </si>
  <si>
    <t>Bust of Boy in a Plaid Sweater</t>
  </si>
  <si>
    <t>e89de053-03f9-1107-80c6-698d7848d344</t>
  </si>
  <si>
    <t>Lovesick Girl</t>
  </si>
  <si>
    <t>Gouache, with touches of brush and black wash, over graphite, on tan board</t>
  </si>
  <si>
    <t>Hal Hurst</t>
  </si>
  <si>
    <t>d652a205-9ee6-8950-aaf4-4f0475cfbb21</t>
  </si>
  <si>
    <t>Charles Robert Leslie</t>
  </si>
  <si>
    <t>Home Port</t>
  </si>
  <si>
    <t>285966f6-0c9b-3568-2893-45da79ebe80a</t>
  </si>
  <si>
    <t>Goulart House, Provincetown</t>
  </si>
  <si>
    <t>Watercolor and gouache, over graphite, on white wove paper</t>
  </si>
  <si>
    <t>John Robinson Frazier</t>
  </si>
  <si>
    <t>11184783-1210-1927-4e8e-b9c732b01651</t>
  </si>
  <si>
    <t>Cottage in Wales</t>
  </si>
  <si>
    <t>401b4049-ac97-3227-4e44-5aaa5d5e6619</t>
  </si>
  <si>
    <t>Standing Female Nude, Looking in a Mirror</t>
  </si>
  <si>
    <t>Gouache and watercolor, over graphite, on cream wood pulp laminate board</t>
  </si>
  <si>
    <t>Frank Snapp</t>
  </si>
  <si>
    <t>35f3586a-7208-cac6-057b-3ee9af77e96c</t>
  </si>
  <si>
    <t>The Mirage</t>
  </si>
  <si>
    <t>Hume Nisbet</t>
  </si>
  <si>
    <t>bdc171d9-4a98-d483-9690-ac8a152f92da</t>
  </si>
  <si>
    <t>Scene from Romantic Novel</t>
  </si>
  <si>
    <t>be98f0f7-bd63-0905-87e6-e73a440ddac6</t>
  </si>
  <si>
    <t>Palace of Justice, Rouen</t>
  </si>
  <si>
    <t>Watercolor and graphite, with charcoal, on cream wove paper, tipped onto cream laid paper</t>
  </si>
  <si>
    <t>f1f504de-e88f-47ff-52c5-74c2031dfada</t>
  </si>
  <si>
    <t>Carriage Horses and Hostlers</t>
  </si>
  <si>
    <t>Pen and black ink with brush and gray wash on tan laid paper, (background cut away) laid down on board</t>
  </si>
  <si>
    <t>b1108b2c-2443-44be-09a0-b21454e5f770</t>
  </si>
  <si>
    <t>Te burao (The Hibiscus Tree)</t>
  </si>
  <si>
    <t>Oil on cotton canvas</t>
  </si>
  <si>
    <t>604fe021-6008-f666-bce8-456b2fdc9bd4</t>
  </si>
  <si>
    <t>Gouache with graphite on ivory wove paper</t>
  </si>
  <si>
    <t>83b2fdf3-9d40-7894-e441-2942593932ef</t>
  </si>
  <si>
    <t>Seated Nude with Bent Knee</t>
  </si>
  <si>
    <t>Watercolor, with graphite, on pale gray wove paper</t>
  </si>
  <si>
    <t>2009eae8-4c2d-c8a9-5c36-c0704fd70def</t>
  </si>
  <si>
    <t>Painter's Studio</t>
  </si>
  <si>
    <t>Watercolor, over graphite, on off-white wove paper, hinged on cream wove card</t>
  </si>
  <si>
    <t>9aeb1b2f-51fc-8fad-b64d-40a5bd1a60df</t>
  </si>
  <si>
    <t>Market Place No. 2, Barcelona</t>
  </si>
  <si>
    <t>afda0d88-b56d-9f19-cf01-0511e53e1b58</t>
  </si>
  <si>
    <t>Poinsettias</t>
  </si>
  <si>
    <t>4ba9dc92-d063-2f61-7a86-937a3111db88</t>
  </si>
  <si>
    <t>The Orator and the Ladies</t>
  </si>
  <si>
    <t>774ee859-50d5-c409-ae4d-91cca87785b8</t>
  </si>
  <si>
    <t>March 10th</t>
  </si>
  <si>
    <t>bb09b66b-3fa6-f16d-b136-4420d10b9705</t>
  </si>
  <si>
    <t>a867af78-9a29-c75b-33ab-2f21a2d92b3f</t>
  </si>
  <si>
    <t>Le Terrain Vague</t>
  </si>
  <si>
    <t>Watercolor and oil paint, with graphite and colored pencils, on cream wove paper</t>
  </si>
  <si>
    <t>622494bc-53b2-d530-ef9d-ce97e0f34076</t>
  </si>
  <si>
    <t>Violet and Silver - The Deep Sea</t>
  </si>
  <si>
    <t>9e72fb46-920e-86a7-bc49-9a525eac4e1c</t>
  </si>
  <si>
    <t>Widow Selling Her Paintings</t>
  </si>
  <si>
    <t>Gouache, with touches of pastel, over traces of graphite, on cream laid paper</t>
  </si>
  <si>
    <t>888c0d64-22a4-9ef3-b748-2ad13c8479ea</t>
  </si>
  <si>
    <t>Roma Antica</t>
  </si>
  <si>
    <t>Pen and black ink, watercolor, and brush and gray wash, heightened with touches of white gouache, over graphite, on ivory laid paper, laid down on cream laid card</t>
  </si>
  <si>
    <t>99c8eeea-f07a-af30-c79e-1da4d55243a3</t>
  </si>
  <si>
    <t>The Gatherer of Simples</t>
  </si>
  <si>
    <t>c732e80f-693b-c8cc-6423-b6520fa9cddf</t>
  </si>
  <si>
    <t>Dead Birds and Shot Bags</t>
  </si>
  <si>
    <t>Pieter Boel</t>
  </si>
  <si>
    <t>3ecca8f0-53ab-a7b8-b115-fa8e9b3a7a3b</t>
  </si>
  <si>
    <t>Frans Floris, I</t>
  </si>
  <si>
    <t>By-Products Plants</t>
  </si>
  <si>
    <t>e71f73ca-b5d3-4baa-4384-f2218b9df22a</t>
  </si>
  <si>
    <t>Plastic Invention on the Theme of Love</t>
  </si>
  <si>
    <t>Gouache and watercolor, with gouache and watercolor transfer, over graphite, on off-white wove paper</t>
  </si>
  <si>
    <t>8fecaf58-9c6c-a31f-e2e7-cc5ba3894651</t>
  </si>
  <si>
    <t>Still Life: Barbera</t>
  </si>
  <si>
    <t>f858c002-6cc0-a82c-f7b6-2a319d18f133</t>
  </si>
  <si>
    <t>Portrait of Sylvette David</t>
  </si>
  <si>
    <t>872371ff-d773-f209-8062-7f88c95f2691</t>
  </si>
  <si>
    <t>Tetuan, Morocco</t>
  </si>
  <si>
    <t>Watercolor and gouache on ivory wove paper, laid down on gray board</t>
  </si>
  <si>
    <t>d0f301be-3bf3-c34b-6bd4-ac980cdc82ef</t>
  </si>
  <si>
    <t>Affiche Metro</t>
  </si>
  <si>
    <t>Oil on paper on masonite</t>
  </si>
  <si>
    <t>Philip Martin</t>
  </si>
  <si>
    <t>dea90198-56f3-0880-632b-2ce3333aac98</t>
  </si>
  <si>
    <t>White (Bianco)</t>
  </si>
  <si>
    <t>Oil, enamel, metallic paint, fabric, synthetic polymer, tar, paper, thread, and gold leaf on fabric</t>
  </si>
  <si>
    <t>f0c598c9-db4c-13a2-0c80-8db94af7ca2e</t>
  </si>
  <si>
    <t>Archaeological Treasure</t>
  </si>
  <si>
    <t>d0caaaab-50cd-f335-3b64-5f5135ca7cb9</t>
  </si>
  <si>
    <t>Watercolor and graphite, with blue gouache on tan wove tracing paper, laid down on cream wove paper, laid down on cream wove paper</t>
  </si>
  <si>
    <t>afeea952-16f1-7e9d-c64f-b3a7abbc4cc1</t>
  </si>
  <si>
    <t>Watercolor, with brush and black ink and pen and black ink, over graphite on tan wove tracing paper, laid down on off-white wove paper</t>
  </si>
  <si>
    <t>fe0be58f-40c3-db52-73cd-c06c835d55e3</t>
  </si>
  <si>
    <t>Sheep at the Gate</t>
  </si>
  <si>
    <t>4d47d2ca-5e09-c3c1-f8dc-cb7409b401cd</t>
  </si>
  <si>
    <t>Outside the Salutation Inn, Greenwich</t>
  </si>
  <si>
    <t>Watercolor and pen and black ink and brush and black ink over graphite, on cream wove paper</t>
  </si>
  <si>
    <t>05b411d2-8ed9-b07c-cb49-c04665b373b5</t>
  </si>
  <si>
    <t>Charles Thorp as Lord Mayor of Dublin</t>
  </si>
  <si>
    <t>William Cuming</t>
  </si>
  <si>
    <t>bbd1f8a4-2a16-a7cb-7adc-7e6c30c82a66</t>
  </si>
  <si>
    <t>Sir Thomas Rumbold, Bt.</t>
  </si>
  <si>
    <t>a9e815b9-d203-e110-8b2b-d929276cbc61</t>
  </si>
  <si>
    <t>Red and Pink Rocks and Teeth</t>
  </si>
  <si>
    <t>ded89c7f-e204-d5de-f60a-53de3d28e69a</t>
  </si>
  <si>
    <t>James William Wallack</t>
  </si>
  <si>
    <t>e3b91cbd-674a-5da7-1a01-42a2e9a3cadf</t>
  </si>
  <si>
    <t>Junius Brutus Booth</t>
  </si>
  <si>
    <t>Robert Matthew Sully</t>
  </si>
  <si>
    <t>1f99a0f0-a2f2-c551-75ef-be7f7c23b046</t>
  </si>
  <si>
    <t>Cat Licking Paw</t>
  </si>
  <si>
    <t>Lead white gouache (discolored), with graphite, on blue laid paper</t>
  </si>
  <si>
    <t>227f20ab-e1c0-4269-03ac-e23f49b92392</t>
  </si>
  <si>
    <t>David and Abigail</t>
  </si>
  <si>
    <t>Pen and brush and black ink, with brush and gray and white gouache and brown wash, over traces of black chalk, on cream laid paper</t>
  </si>
  <si>
    <t>a29ac15e-f73f-6e07-0f62-436a755ce782</t>
  </si>
  <si>
    <t>Forge of Vulcan</t>
  </si>
  <si>
    <t>Brush and black ink, with gray and white gouache, over pink-gray ground on buff laid paper</t>
  </si>
  <si>
    <t>bb285067-a75a-fb85-1ddc-c5cb27817128</t>
  </si>
  <si>
    <t>Giorgio Giulio Clovio</t>
  </si>
  <si>
    <t>Peasant Family at a Well</t>
  </si>
  <si>
    <t>The Master of the Children's Caps</t>
  </si>
  <si>
    <t>8b728f79-4937-4a98-5552-a3419cd6358f</t>
  </si>
  <si>
    <t>c95d58bf-fe9e-e5bb-2c71-ab8bad984759</t>
  </si>
  <si>
    <t>The Checkerboard</t>
  </si>
  <si>
    <t>5dff7c08-8552-778b-2673-87f2d04296f5</t>
  </si>
  <si>
    <t>Black and red chalk, and watercolor, on ivory wove paper, laid down on ivory laid paper</t>
  </si>
  <si>
    <t>1d621ca3-ec7a-f7d7-63f1-c2fd60abbf61</t>
  </si>
  <si>
    <t>Black Chart</t>
  </si>
  <si>
    <t>1ee07727-c2df-d9c8-f2c4-56e8de36d859</t>
  </si>
  <si>
    <t>38237270-d7bc-c89f-3276-f5a7281f9f81</t>
  </si>
  <si>
    <t>Two Boats in a Storm</t>
  </si>
  <si>
    <t>6e7e8593-f529-4b73-9f96-75ff24623fe9</t>
  </si>
  <si>
    <t>c2bf35ea-3878-ffd1-18c3-311f13db873a</t>
  </si>
  <si>
    <t>Pastoral Landscape with Ruins</t>
  </si>
  <si>
    <t>a34d9d72-c4ec-0750-389e-a01215c9aab0</t>
  </si>
  <si>
    <t>b30b708a-be47-c3cc-f3af-2a6798b7b088</t>
  </si>
  <si>
    <t>Portrait of a Man with a Pink</t>
  </si>
  <si>
    <t>Quentin Massys</t>
  </si>
  <si>
    <t>f731615e-ee25-f8e5-b957-69635e1e2d60</t>
  </si>
  <si>
    <t>Oil on oak panel</t>
  </si>
  <si>
    <t>Flemish School</t>
  </si>
  <si>
    <t>1bb08195-44b0-030c-c610-9fb6bb45e9b0</t>
  </si>
  <si>
    <t>Selectmen of Provincetown</t>
  </si>
  <si>
    <t>Oil on fabric on pulp board</t>
  </si>
  <si>
    <t>59338344-fdf2-a6b9-0748-6cf10370a10e</t>
  </si>
  <si>
    <t>Helena Tromper Du Bois</t>
  </si>
  <si>
    <t>8f899167-2faf-bd0d-cf9c-9ca2fcb07a4b</t>
  </si>
  <si>
    <t>The Guardhouse</t>
  </si>
  <si>
    <t>18adfd19-6c76-989e-36ae-1343aa15701b</t>
  </si>
  <si>
    <t>Village Fair: Harlequin and Quack</t>
  </si>
  <si>
    <t>d3ba371b-802d-6db2-561d-f232e02a1f0d</t>
  </si>
  <si>
    <t>Edge of the Plain</t>
  </si>
  <si>
    <t>Watercolor, with pen and black ink and touches of gouache, over graphite, on ivory wove paper</t>
  </si>
  <si>
    <t>ae7a1a4e-3f7f-0c02-535b-c9c3bb57fe53</t>
  </si>
  <si>
    <t>49f45b42-b565-199f-6ef5-f09dea142205</t>
  </si>
  <si>
    <t>6246e043-2b40-bf6b-ab7d-f2a4109e25d8</t>
  </si>
  <si>
    <t>The Conservatory</t>
  </si>
  <si>
    <t>Watercolor, with graphite, on white wove paper</t>
  </si>
  <si>
    <t>15d7c9b3-898e-d769-1b58-399898df79bf</t>
  </si>
  <si>
    <t>Fashionable Figures, with Two Women Holding Fans</t>
  </si>
  <si>
    <t>54158bba-a588-ead7-adec-fb177c29203b</t>
  </si>
  <si>
    <t>e78894c9-ee7a-d4b2-6d7f-1493432cb726</t>
  </si>
  <si>
    <t>Woman Undressing</t>
  </si>
  <si>
    <t>29aa6ca5-6ebc-518c-1e35-54a07aaad039</t>
  </si>
  <si>
    <t>fa3a5bb5-1ab9-6007-41c6-543c3face31c</t>
  </si>
  <si>
    <t>Earl of Coningsby with daughters Margaret and Frances.</t>
  </si>
  <si>
    <t>Kneller, Godfrey, School of</t>
  </si>
  <si>
    <t>e4a33089-1112-09b3-752c-a6e84a476372</t>
  </si>
  <si>
    <t>30 x 25 1/4 (76.2 x 64.2 cm.)  31 3/4" w. x 36 1/2" h. (overall)  3 3/4" w. (frame).</t>
  </si>
  <si>
    <t>Sandvika, Norway</t>
  </si>
  <si>
    <t>07d8dd31-d44b-85aa-ab09-ca51ee86f631</t>
  </si>
  <si>
    <t>b84a9755-ca8d-8bd5-5a59-e910b20e3ba5</t>
  </si>
  <si>
    <t>The Covenant</t>
  </si>
  <si>
    <t>5b32e8a4-c214-bd41-1d29-9ba3bfb13f1f</t>
  </si>
  <si>
    <t>Monsieur Tortoni</t>
  </si>
  <si>
    <t>9e0a66f0-2404-7c56-b45b-dabccabe011d</t>
  </si>
  <si>
    <t>Water Lily Pond</t>
  </si>
  <si>
    <t>8534685d-1102-e1e3-e194-94f6e925e8b0</t>
  </si>
  <si>
    <t>Two Women with Vine Decoration</t>
  </si>
  <si>
    <t>Watercolor and graphite, with traces of white gouache on tan wove paper</t>
  </si>
  <si>
    <t>881c7d6d-d06d-6e27-4af9-697778d59327</t>
  </si>
  <si>
    <t>Sailboat in Harbor</t>
  </si>
  <si>
    <t>Watercolor and gouache, with charcoal on cream wove paper, laid down on ivory wove paper</t>
  </si>
  <si>
    <t>14139757-a59e-6b43-57b2-e0a6ac732dc7</t>
  </si>
  <si>
    <t>3a32bf1b-5094-f06b-1ea1-a54cd847a5d5</t>
  </si>
  <si>
    <t>3a34f988-f779-2e96-1786-8945b6b9c87d</t>
  </si>
  <si>
    <t>Jim and His Daughter</t>
  </si>
  <si>
    <t>4c290ea6-7969-d1c8-3c4c-132bd99f629a</t>
  </si>
  <si>
    <t>Kummeralp Mountain and Two Sheds</t>
  </si>
  <si>
    <t>bd944158-acd3-3e76-e208-b5dd2636c1ac</t>
  </si>
  <si>
    <t>Colossal Figure</t>
  </si>
  <si>
    <t>fe547b75-e337-dade-9c38-0d0107d22ea1</t>
  </si>
  <si>
    <t>dd4f9115-150c-2f1a-0f37-50899553d6b4</t>
  </si>
  <si>
    <t>5403c6fd-fb8b-c22c-abaa-9c30eb3710f4</t>
  </si>
  <si>
    <t>A Lady</t>
  </si>
  <si>
    <t>38972058-6e4d-50a0-ae60-863f276262d0</t>
  </si>
  <si>
    <t>Watercolor on cream board</t>
  </si>
  <si>
    <t>b8f0d60c-3ac3-5328-9531-c37e2ecb1479</t>
  </si>
  <si>
    <t>October Day</t>
  </si>
  <si>
    <t>3ef69544-a84c-dfa4-df6a-346b4b59c351</t>
  </si>
  <si>
    <t>Jacob's Farewell to Benjamin</t>
  </si>
  <si>
    <t>ff93ff9f-3a49-581d-f6a3-01c078ff987e</t>
  </si>
  <si>
    <t>The Birth of Bacchus</t>
  </si>
  <si>
    <t>d706c6bf-968d-8fe1-200d-21963291e8fc</t>
  </si>
  <si>
    <t>1501b057-0441-f1fa-e949-298b06ec6270</t>
  </si>
  <si>
    <t>Portrait of Magdalena of Saxony, Wife of Elector Joachim II of Brandenburg</t>
  </si>
  <si>
    <t>c210a649-8de9-866e-2a5f-0a506a02b19b</t>
  </si>
  <si>
    <t>Henry VIII, Elizabeth I, and Edward VI</t>
  </si>
  <si>
    <t>73e55d5b-8076-f5d9-1dd6-309d29b1fdea</t>
  </si>
  <si>
    <t>Wounded Eurydice</t>
  </si>
  <si>
    <t>f024968c-3cb1-f1cc-b1af-2a1d40b7e193</t>
  </si>
  <si>
    <t>Landscape (The Lock)</t>
  </si>
  <si>
    <t>ff3b5c8a-5b14-5c35-8775-3d021e92a381</t>
  </si>
  <si>
    <t>0faa1fea-aaaa-83bf-8324-8b7f90266dd2</t>
  </si>
  <si>
    <t>96fe74e1-7085-09bc-407f-464d1524730b</t>
  </si>
  <si>
    <t>Study of Pigs</t>
  </si>
  <si>
    <t>Oil on paper (mounted on canvas)</t>
  </si>
  <si>
    <t>a77f410d-fb47-e103-485b-19a7de1d432e</t>
  </si>
  <si>
    <t>Wounded Lioness</t>
  </si>
  <si>
    <t>565dd29f-6c02-3f31-3db2-46902059f047</t>
  </si>
  <si>
    <t>Portrait of the Artist's Father, Ismael Mengs</t>
  </si>
  <si>
    <t>707eaea7-b325-b93d-37c1-b79b1876384b</t>
  </si>
  <si>
    <t>Portrait of a Musician</t>
  </si>
  <si>
    <t>60699af7-9aab-5e2b-7309-1266286b0810</t>
  </si>
  <si>
    <t>Tiger Resting</t>
  </si>
  <si>
    <t>1bc44619-6b1d-5398-cf41-f4af38f6e17f</t>
  </si>
  <si>
    <t>Warrior Saint</t>
  </si>
  <si>
    <t>Master of the Visitation</t>
  </si>
  <si>
    <t>2cd72c96-2052-3527-d512-94c927a5523e</t>
  </si>
  <si>
    <t>A Mounted Officer</t>
  </si>
  <si>
    <t>9c1e2826-e79b-4b4d-73f9-2ba8c8b00180</t>
  </si>
  <si>
    <t>Watercolor and gouache, with gouache spatter and charcoal, on off-white watercolor paper</t>
  </si>
  <si>
    <t>52aa325f-0e87-48d7-de17-e95ce2e21fec</t>
  </si>
  <si>
    <t>Toulon</t>
  </si>
  <si>
    <t>Gouache and pen and black ink, with touches of scraping on cream wove paper, laid down on ivory wove card</t>
  </si>
  <si>
    <t>aca5a3ff-46b4-f522-c150-fe3854cfe8e3</t>
  </si>
  <si>
    <t>eb4de760-69fa-b63e-3926-3055f5b41ef7</t>
  </si>
  <si>
    <t>8b526140-7667-b1df-97bb-2d0f6e1be095</t>
  </si>
  <si>
    <t>Aeneas Rescuing Anchises from Burning Troy</t>
  </si>
  <si>
    <t>Hendrick van Steenwijck, the Younger</t>
  </si>
  <si>
    <t>e1befa02-cfce-08bf-a2f6-1da4ebaa2887</t>
  </si>
  <si>
    <t>77f1c8e3-16c6-1147-f4aa-4cfc8bd3eb8b</t>
  </si>
  <si>
    <t>ad3280c6-611a-c136-29b8-8f303a02f416</t>
  </si>
  <si>
    <t>bca79c06-b1f7-b53d-ccae-0d550bb57923</t>
  </si>
  <si>
    <t>Swedish Peasant Girls</t>
  </si>
  <si>
    <t>Watercolor with gouache, over graphite, on ivory watercolor paper</t>
  </si>
  <si>
    <t>b0660aaa-e147-b82d-9f6c-250e6f16c862</t>
  </si>
  <si>
    <t>Barks Fleeing Before the Storm</t>
  </si>
  <si>
    <t>80df29cd-493f-23c0-3e51-4ddc38b3f34f</t>
  </si>
  <si>
    <t>On the Road</t>
  </si>
  <si>
    <t>e0d8a305-15b0-bdcd-1e83-06d8594a2f7e</t>
  </si>
  <si>
    <t>The Call of the Cuckoo from above the Clouds (parody of Minamoto no Yorimasa)</t>
  </si>
  <si>
    <t>631479e8-fb15-07f9-cb06-0dac4462d27c</t>
  </si>
  <si>
    <t>5553b728-cc59-1d08-7505-f9b3826334b8</t>
  </si>
  <si>
    <t>The Cottage by the Roadside, Stormy Sky</t>
  </si>
  <si>
    <t>f4d85da1-5c80-3c7b-38cc-bf324d6ce670</t>
  </si>
  <si>
    <t>ea1d48e5-4bc1-0cbc-3e19-dde71e8feeef</t>
  </si>
  <si>
    <t>Red No. 2</t>
  </si>
  <si>
    <t>80f82ae8-b4a2-9f77-a3b4-bc2b5b794488</t>
  </si>
  <si>
    <t>3527f037-a9b2-9253-1a92-dcd281b54340</t>
  </si>
  <si>
    <t>f5731565-80bd-6d4c-8790-d0c252d92bd4</t>
  </si>
  <si>
    <t>Man with Lance Riding through the Snow</t>
  </si>
  <si>
    <t>fa96ef54-c3b1-8f4d-390a-219f7bc64c4a</t>
  </si>
  <si>
    <t>The Capture of Samson</t>
  </si>
  <si>
    <t>a8fd8a92-d5fd-bb98-5d70-f970ab1788b8</t>
  </si>
  <si>
    <t>The Road to Market</t>
  </si>
  <si>
    <t>6aaa3537-abbf-f49e-877f-4d8e8e4d50c2</t>
  </si>
  <si>
    <t>Toning the Bell</t>
  </si>
  <si>
    <t>1aa11ac3-944e-93b7-da42-79af1fce71c1</t>
  </si>
  <si>
    <t>Beggar with Oysters (Philosopher)</t>
  </si>
  <si>
    <t>4e074d70-4424-331b-ec89-0776a45d6825</t>
  </si>
  <si>
    <t>5ae91cbf-66c5-cf9b-f355-629e458cb063</t>
  </si>
  <si>
    <t>Coast of Maine</t>
  </si>
  <si>
    <t>de060306-b5a3-5139-cad9-57e9c274d7c3</t>
  </si>
  <si>
    <t>Arrangement</t>
  </si>
  <si>
    <t>31e2f8fd-2dd8-e806-a40d-c73e038e8701</t>
  </si>
  <si>
    <t>Forest at Martigues</t>
  </si>
  <si>
    <t>60914149-0e1e-b3a0-81b5-23f3c10d37c8</t>
  </si>
  <si>
    <t>House and Flowering Cherry Trees, Hamburg</t>
  </si>
  <si>
    <t>6084cc74-d0ca-51b0-4f29-603b8249d362</t>
  </si>
  <si>
    <t>Unfinished Study of Sheep</t>
  </si>
  <si>
    <t>e204d686-0e19-c10c-cf72-1000aae5be4a</t>
  </si>
  <si>
    <t>Landscape with Two Poplars</t>
  </si>
  <si>
    <t>9694ca0c-c4c4-e48d-566f-4d248990cff4</t>
  </si>
  <si>
    <t>Painting with Troika</t>
  </si>
  <si>
    <t>Oil on cardboard; in artist's painted frame</t>
  </si>
  <si>
    <t>08da4ff3-3bf6-9bbd-230c-492382034f3d</t>
  </si>
  <si>
    <t>Painting with Green Center</t>
  </si>
  <si>
    <t>c68f33ec-feb1-5277-334b-b71ac15ae394</t>
  </si>
  <si>
    <t>The Stronghold</t>
  </si>
  <si>
    <t>Amadeo de Souza Cardoso</t>
  </si>
  <si>
    <t>173f1f33-67ab-545e-21a2-5ff4f12eddb7</t>
  </si>
  <si>
    <t>3f860f0a-9996-4731-b43f-35468fc0e3fc</t>
  </si>
  <si>
    <t>The Leap of the Rabbit</t>
  </si>
  <si>
    <t>2ca3a5e4-f0ef-c3e2-f286-38f59abad5d6</t>
  </si>
  <si>
    <t>Interior of St. Mark's, Venice</t>
  </si>
  <si>
    <t>David Dalhoff Neal</t>
  </si>
  <si>
    <t>b55d836c-ee20-59f8-1f0c-a95e09905361</t>
  </si>
  <si>
    <t>Head of a Philosopher</t>
  </si>
  <si>
    <t>cef08eac-d4dc-b09c-b6d6-7f10517687a4</t>
  </si>
  <si>
    <t>Three Pierrots and Harlequin</t>
  </si>
  <si>
    <t>413a4dd2-8647-a376-eb3f-b976c94b2b7f</t>
  </si>
  <si>
    <t>Pasturage</t>
  </si>
  <si>
    <t>408284b1-2d5d-7d09-d5fc-bad160b63425</t>
  </si>
  <si>
    <t>Sinan the Jew and Haireddin Barbarossa</t>
  </si>
  <si>
    <t>Imitator of Gentile Bellini</t>
  </si>
  <si>
    <t>322d6d16-0fe2-c03e-9441-8a6c25cc6396</t>
  </si>
  <si>
    <t>Ghost Dance (The Vision of Life)</t>
  </si>
  <si>
    <t>9eb5693e-eeea-b2cd-a021-18628daf6182</t>
  </si>
  <si>
    <t>ab54b417-6dc1-e12b-67f7-0b6a6421d336</t>
  </si>
  <si>
    <t>Triptych of the Crucifixion with Saints Anthony, Christopher, James and George</t>
  </si>
  <si>
    <t>Tempera and oil (estimated) on panel</t>
  </si>
  <si>
    <t>cc179e1f-83df-7ddb-7e3c-8816f0c446d9</t>
  </si>
  <si>
    <t>da220459-d944-f705-3043-53ffa210f586</t>
  </si>
  <si>
    <t>04236f48-4ad1-cf0e-692d-7e9009275de5</t>
  </si>
  <si>
    <t>Still Life with Queen</t>
  </si>
  <si>
    <t>6b5916ab-baa7-caa0-fcc2-314f6ec268bc</t>
  </si>
  <si>
    <t>Movement No. 10</t>
  </si>
  <si>
    <t>3dbc5164-36fe-36b0-0213-2198ee309f82</t>
  </si>
  <si>
    <t>The Bewitched Mill</t>
  </si>
  <si>
    <t>6829aab0-8d0e-9438-aebf-a1a379572951</t>
  </si>
  <si>
    <t>An Alcove in the Art Students' League</t>
  </si>
  <si>
    <t>Charles Courtney Curran</t>
  </si>
  <si>
    <t>607d4ff1-578f-79ee-9980-ed133c743e64</t>
  </si>
  <si>
    <t>Toredor</t>
  </si>
  <si>
    <t>Watercolor and graphite, with black crayon, on buff wove paper</t>
  </si>
  <si>
    <t>583b892c-d2d9-ea0c-1cfb-719ee1207189</t>
  </si>
  <si>
    <t>Watercolor over graphite on cream wove paper, laid down on cream board</t>
  </si>
  <si>
    <t>6e1387cd-82fb-b520-53c4-91e568414aca</t>
  </si>
  <si>
    <t>Monju Dressed in a Robe of Braided Grass (Nawa Monju)</t>
  </si>
  <si>
    <t>0d52ff9e-13e6-06b2-2f37-7f1e661a7581</t>
  </si>
  <si>
    <t>acca2f6b-ee63-00c6-5f87-e162920d7b20</t>
  </si>
  <si>
    <t>ac7d2c43-e79b-b927-2c11-805ba933d717</t>
  </si>
  <si>
    <t>Abstract Cityscape</t>
  </si>
  <si>
    <t>8363dfda-5f9e-3e11-0c6c-2ddd219921cf</t>
  </si>
  <si>
    <t>Human Figure with Two Birds</t>
  </si>
  <si>
    <t>Oil on emery paper, mounted on scrap-wood panel covered with industrial-grade black paper</t>
  </si>
  <si>
    <t>5e8c0b90-e611-a3a3-4eaa-8501b9821d93</t>
  </si>
  <si>
    <t>Red Box</t>
  </si>
  <si>
    <t>6b38b7ca-39e6-b9d8-bfb1-86bc07454f35</t>
  </si>
  <si>
    <t>The Boston Clipper, Lightning</t>
  </si>
  <si>
    <t>P. Giles</t>
  </si>
  <si>
    <t>425c4529-486c-d399-1fc8-52081b884633</t>
  </si>
  <si>
    <t>Sketch for John the Baptist</t>
  </si>
  <si>
    <t>George William Eggers</t>
  </si>
  <si>
    <t>8233c6e1-19ab-d6cc-dd91-6e9317b2d19c</t>
  </si>
  <si>
    <t>Four Peaches</t>
  </si>
  <si>
    <t>Mark Adams</t>
  </si>
  <si>
    <t>bad869a4-5190-7b18-ed6d-9456fdc5a07c</t>
  </si>
  <si>
    <t>View of the Museum of Natural History</t>
  </si>
  <si>
    <t>Gouache, over graphite, on orange-brown wove paper</t>
  </si>
  <si>
    <t>Milet Andrejevic</t>
  </si>
  <si>
    <t>6ed53540-3060-1653-610f-7721aeeb51c1</t>
  </si>
  <si>
    <t>Percolator</t>
  </si>
  <si>
    <t>ca1e9316-e8cf-08b8-f101-863f578e2456</t>
  </si>
  <si>
    <t>John White Alexander</t>
  </si>
  <si>
    <t>e2dce9ba-7f4c-7ff2-78fc-3e617ddaf3a4</t>
  </si>
  <si>
    <t>Willard LeRoy Metcalf</t>
  </si>
  <si>
    <t>5bd6d810-2df1-1968-c89a-2bd12f7af426</t>
  </si>
  <si>
    <t>Lady in Green and Gray</t>
  </si>
  <si>
    <t>9604cbbd-722b-8de3-e7cc-4a80be648d79</t>
  </si>
  <si>
    <t>Two Sisters, Valencia</t>
  </si>
  <si>
    <t>79b12530-6b59-0992-322d-149cf05d4ee5</t>
  </si>
  <si>
    <t>The Squirrel</t>
  </si>
  <si>
    <t>Seymour Joseph Guy</t>
  </si>
  <si>
    <t>a7684dda-ed46-bd32-6cda-03f9998eb28a</t>
  </si>
  <si>
    <t>1b3e9a14-4deb-2b0a-6ee6-54ca60c0383f</t>
  </si>
  <si>
    <t>Ballet Dancers</t>
  </si>
  <si>
    <t>Oil on plaster, transferred to canvas</t>
  </si>
  <si>
    <t>43249182-2ef0-8d18-3d32-0b9af3606ed3</t>
  </si>
  <si>
    <t>963399d1-1ad6-e4ef-fa4b-1107fb0d1622</t>
  </si>
  <si>
    <t>Golden Sands, Bomburgh</t>
  </si>
  <si>
    <t>ba2e2260-da71-177b-06f7-543d86c6e50a</t>
  </si>
  <si>
    <t>Railroad and Steamship</t>
  </si>
  <si>
    <t>Gouache, with touches of graphite on cream wove paper</t>
  </si>
  <si>
    <t>eda6cba6-d1f4-67dd-de47-94a89b728d31</t>
  </si>
  <si>
    <t>The End of the Street</t>
  </si>
  <si>
    <t>33c96195-1d62-87dc-ba18-93ac5fc9532a</t>
  </si>
  <si>
    <t>9b82ab4a-abee-0f04-5a4f-1fd4039ac341</t>
  </si>
  <si>
    <t>40d69445-feb4-d6d5-bcad-bb142856f0a6</t>
  </si>
  <si>
    <t>Red Light</t>
  </si>
  <si>
    <t>7f3be9ae-9eaa-54c9-790a-d1c3aa44f62e</t>
  </si>
  <si>
    <t>Christa and Wolfi</t>
  </si>
  <si>
    <t>5ac548fe-ae9c-f234-e7e0-e0a4e6dac669</t>
  </si>
  <si>
    <t>Gouache, with touches of black crayon and oil paint, on torn off-white wove paper, laid down on off-white wove paper</t>
  </si>
  <si>
    <t>51e1adfe-71f4-d91b-1795-d1a52955b1b9</t>
  </si>
  <si>
    <t>Woman with Butterflies</t>
  </si>
  <si>
    <t>fb9bdf3d-0add-da85-0401-961f81ddf10e</t>
  </si>
  <si>
    <t>28 1/2 x 35 1/2 in. (72.4 x 90.2 cm)</t>
  </si>
  <si>
    <t>Study Head of a Bearded Man</t>
  </si>
  <si>
    <t>34ecfe47-70cc-7f1d-fc4d-af7ba35a570c</t>
  </si>
  <si>
    <t>a5274397-409c-1f76-866f-17d55cf31933</t>
  </si>
  <si>
    <t>For to Be a Farmer's Boy</t>
  </si>
  <si>
    <t>Transparent and opaque watercolor, with rewetting, blotting, and scraping, heightened with gum glaze, over graphite, on thick, rough-textured ivory wove paper (lower edge trimmed)</t>
  </si>
  <si>
    <t>0010bff3-4f51-8e35-46ee-0c46184354f6</t>
  </si>
  <si>
    <t>Eragny, a Rainy Day in June</t>
  </si>
  <si>
    <t>aa679e42-feeb-3036-f722-8a4b10423bfd</t>
  </si>
  <si>
    <t>61c3e72f-b453-1ada-62a5-9539afbe0641</t>
  </si>
  <si>
    <t>Portrait of a Lady of the Wentworth Family (Probably Jane Cheyne)</t>
  </si>
  <si>
    <t>30df0db9-ad8a-7671-87a9-4bdd1bee9563</t>
  </si>
  <si>
    <t>25bad661-3b81-9925-0832-1d43a4327288</t>
  </si>
  <si>
    <t>Allegory of Abundance (Sketch for a Ceiling Painting)</t>
  </si>
  <si>
    <t>Pen and brown ink, with brush and watercolor, over black chalk on ivory laid paper</t>
  </si>
  <si>
    <t>Domenico Pozzi</t>
  </si>
  <si>
    <t>3d396341-26cb-5a5f-499e-750afef0c154</t>
  </si>
  <si>
    <t>Study for the Hall of Medical Sciences Mural at the 1939 World's Fair in New York</t>
  </si>
  <si>
    <t>bd327ce2-0971-2ba5-864e-8cb3761104a4</t>
  </si>
  <si>
    <t>Alexander Grant</t>
  </si>
  <si>
    <t>Cosmo Alexander</t>
  </si>
  <si>
    <t>2d717e79-f94a-83fd-0e18-3e1a82f85310</t>
  </si>
  <si>
    <t>Study for The Horse Fair</t>
  </si>
  <si>
    <t>adabaa14-19e7-a3fd-9995-4d962f94ec09</t>
  </si>
  <si>
    <t>The Death of Orpheus</t>
  </si>
  <si>
    <t>f521c3d4-4ced-a6a0-6836-e12e48cb0a9f</t>
  </si>
  <si>
    <t>Adam Rolland of Gask II</t>
  </si>
  <si>
    <t>2308f4e9-7554-872a-a7bb-5835ef7d7d7f</t>
  </si>
  <si>
    <t>Jean Baptiste Joseph Peter</t>
  </si>
  <si>
    <t>424365f4-5c5a-e993-f5a9-34b4f732c1d8</t>
  </si>
  <si>
    <t>Capriccio</t>
  </si>
  <si>
    <t>806d6909-56d6-2071-cfbe-15bd645e68e4</t>
  </si>
  <si>
    <t>Western Industrial</t>
  </si>
  <si>
    <t>8b80ad4c-3e99-5f2f-c799-89432b5ff954</t>
  </si>
  <si>
    <t>Picture of Dorian Gray</t>
  </si>
  <si>
    <t>aa2b57e9-3773-03c1-0fb4-0135e7358dc6</t>
  </si>
  <si>
    <t>000ee963-112f-e51e-4fc6-5d0578021ac4</t>
  </si>
  <si>
    <t>Wherefore Now Ariseth the Illusion of a Third Dimension</t>
  </si>
  <si>
    <t>a2c1636a-6d3a-f3d6-71fa-740e55e48653</t>
  </si>
  <si>
    <t>Showcase Doll</t>
  </si>
  <si>
    <t>Charcoal and oil on canvas</t>
  </si>
  <si>
    <t>6e5c632f-6481-5dfa-b70d-a6510786b4c6</t>
  </si>
  <si>
    <t>A Face from Georgia</t>
  </si>
  <si>
    <t>5e8ff889-2138-0a5c-267e-c938169285cd</t>
  </si>
  <si>
    <t>Pray for These Little Ones (Perforce They Live Together)</t>
  </si>
  <si>
    <t>Oil on silk</t>
  </si>
  <si>
    <t>bbbedb77-ff47-4c12-d1c2-e94499bb6ae2</t>
  </si>
  <si>
    <t>The Lineman</t>
  </si>
  <si>
    <t>548cb50e-905e-ec08-642a-e174d0ac52e6</t>
  </si>
  <si>
    <t>I Walk To and Fro through Civilization and I Talk as I Walk (Follow Me, the Monk)</t>
  </si>
  <si>
    <t>4f5de2f2-125c-0d50-dd3d-0161dc9aa189</t>
  </si>
  <si>
    <t>I Drew A Picture in the Sand and the Water Washed It Away</t>
  </si>
  <si>
    <t>8d5a4757-388c-afac-2905-03cffcadd78a</t>
  </si>
  <si>
    <t>Memories of the Past</t>
  </si>
  <si>
    <t>4fd1fc33-24d0-0cc0-f148-2fecc6b7409f</t>
  </si>
  <si>
    <t>Divided and Divided</t>
  </si>
  <si>
    <t>5e6f27b6-811a-c415-a376-fad61a3af987</t>
  </si>
  <si>
    <t>Oh God, Herrings, Buoys, the Glittering Sea</t>
  </si>
  <si>
    <t>Gouache on ivory watercolor paper</t>
  </si>
  <si>
    <t>1ca6e186-c6b8-9b45-4c4e-0e1143fe3303</t>
  </si>
  <si>
    <t>The Rustlers</t>
  </si>
  <si>
    <t>a7b14b7c-c478-7c30-1fde-44f91f01a5db</t>
  </si>
  <si>
    <t>Poor Roomâ€”There Is No Time, No End, No Today, No Yesterday, No Tomorrow, Only the Forever, and Forever, and Forever without End</t>
  </si>
  <si>
    <t>577e1fb9-0542-07c7-ba31-4260e6ebecf4</t>
  </si>
  <si>
    <t>And Man Created God in His Own Image</t>
  </si>
  <si>
    <t>7893ede4-351d-f37d-c4fe-51a3fd967de8</t>
  </si>
  <si>
    <t>Captain Joseph Medill Patterson</t>
  </si>
  <si>
    <t>f9bd5533-4c7f-fc2d-0bd2-db8581c4ff52</t>
  </si>
  <si>
    <t>6a68206e-9f60-4af5-2d4c-e6e9c1d211ad</t>
  </si>
  <si>
    <t>Corner, 42nd and Broadway</t>
  </si>
  <si>
    <t>Watercolor, with graphite, on off-white paper</t>
  </si>
  <si>
    <t>1edbf62d-9b56-0435-125a-566d67206ce6</t>
  </si>
  <si>
    <t>Moroccan Man and Woman Standing</t>
  </si>
  <si>
    <t>Watercolor and graphite on cream wove paper (discolored to tan)</t>
  </si>
  <si>
    <t>54b65ede-b9d0-550c-07e2-5fb9a117b9c6</t>
  </si>
  <si>
    <t>Standing Moroccan Man, in Profile</t>
  </si>
  <si>
    <t>97427114-637a-954f-6804-0511df2bc64f</t>
  </si>
  <si>
    <t>Still Life, Pan and Grapes</t>
  </si>
  <si>
    <t>Gouache over graphite on white wove paper</t>
  </si>
  <si>
    <t>7876c750-f606-093d-276b-60b057372a05</t>
  </si>
  <si>
    <t>Study for Atrium II</t>
  </si>
  <si>
    <t>Gouache, graphite and brush and black wash, with charcoal, on off-white wove paper</t>
  </si>
  <si>
    <t>82b5232a-e3f0-542c-e94a-6460d94fafd7</t>
  </si>
  <si>
    <t>Study for "The Vermonter"</t>
  </si>
  <si>
    <t>Charcoal, pastel, and oil on canvas</t>
  </si>
  <si>
    <t>0b955a8d-302c-baec-55d8-6023513ae2e7</t>
  </si>
  <si>
    <t>Alicia's Azaleas on St. Mary's River, Georgia</t>
  </si>
  <si>
    <t>Gouache, over watercolor, with brush and black ink, on white wove paper</t>
  </si>
  <si>
    <t>7447cb51-40eb-b81c-665c-407ca8e0b05d</t>
  </si>
  <si>
    <t>The Amazon River, Iquitos, Peru</t>
  </si>
  <si>
    <t>98960beb-fd9b-1b44-5443-ac648a585d13</t>
  </si>
  <si>
    <t>Bridal Ten Sleep Falls, Wyoming</t>
  </si>
  <si>
    <t>Gouache with brush and black ink, on ivory wove paper</t>
  </si>
  <si>
    <t>11640643-0db0-80c9-4a74-72a7fe2e6521</t>
  </si>
  <si>
    <t>Copenhagen, Denmark</t>
  </si>
  <si>
    <t>Watercolor and gouache, with touches of charcoal, on off-white wove card</t>
  </si>
  <si>
    <t>0d85f891-1d90-ddbc-0485-da7a0212e07c</t>
  </si>
  <si>
    <t>Gouache with watercolor and charcoal, on off-white wove card</t>
  </si>
  <si>
    <t>2b100eab-d388-9a7a-01c8-e7321adaa056</t>
  </si>
  <si>
    <t>Fez Morocco</t>
  </si>
  <si>
    <t>Watercolor and gouache, with brush and black ink, on white wove paper</t>
  </si>
  <si>
    <t>909c1097-69cc-489b-e3ad-24bc1addd347</t>
  </si>
  <si>
    <t>Watercolor and gouache, with brush and black ink, on cream wove paper</t>
  </si>
  <si>
    <t>a9768cfc-6137-f015-5d15-ce33eced0045</t>
  </si>
  <si>
    <t>Inland Sea, Japan from Boat</t>
  </si>
  <si>
    <t>Watercolor and brush and black ink, with touches of gouache, on off-white wove paper</t>
  </si>
  <si>
    <t>f07ab6b9-b20a-f6a7-9f24-472ae2679cb7</t>
  </si>
  <si>
    <t>Jackson Hole, Wyoming</t>
  </si>
  <si>
    <t>7679ff21-5ba9-7953-70a7-213a656f8a2b</t>
  </si>
  <si>
    <t>Watercolor and gouache, with brush and black ink, on white, clay-coated wove paper</t>
  </si>
  <si>
    <t>b60e1fff-b50a-17ab-ff72-ab9d7cfed5a9</t>
  </si>
  <si>
    <t>Nile River at Aswan, Egypt</t>
  </si>
  <si>
    <t>Watercolor and brush and black ink, on white wove paper</t>
  </si>
  <si>
    <t>e574c432-72be-3c35-64db-921cb9311459</t>
  </si>
  <si>
    <t>Platter under Georgia Fish</t>
  </si>
  <si>
    <t>Gouache, with watercolor and brush and black ink, on ivory clay-coated paper</t>
  </si>
  <si>
    <t>162dd233-73c9-2f8c-bb89-fac6529227f1</t>
  </si>
  <si>
    <t>Plattered Fish, Georgia</t>
  </si>
  <si>
    <t>Gouache with brush and black ink, on ivory clay-coated paper</t>
  </si>
  <si>
    <t>7052eade-4416-15a4-ed58-8931ec3c2d0f</t>
  </si>
  <si>
    <t>St. Mary's Black River is Blue, Georgia</t>
  </si>
  <si>
    <t>Gouache with brush and black ink, on ivory clay-coated wove paper</t>
  </si>
  <si>
    <t>44e3b68a-918d-58a2-bc90-f84fad0a0804</t>
  </si>
  <si>
    <t>St. Mary's River, Georgia</t>
  </si>
  <si>
    <t>Gouache and brush and black ink, on ivory clay-coated wove paper</t>
  </si>
  <si>
    <t>504432f5-358b-bb3e-d2b2-b329eb0d48c3</t>
  </si>
  <si>
    <t>Three Trees, Georgia</t>
  </si>
  <si>
    <t>a807e22e-0b94-3a19-8f1a-d36931597b0f</t>
  </si>
  <si>
    <t>Tree Study Unfinished, Georgia</t>
  </si>
  <si>
    <t>Gouache with brush and black ink, and touches of watercolor, on ivory clay-coated wove paper</t>
  </si>
  <si>
    <t>282f3cc7-8276-ebc1-b293-74a20a74562e</t>
  </si>
  <si>
    <t>The Trees Rise Above the Water-Sink Below the Sky, Georgia</t>
  </si>
  <si>
    <t>f3d2804d-6497-62fb-82bb-c14d69f3f133</t>
  </si>
  <si>
    <t>Tree, Georgia</t>
  </si>
  <si>
    <t>Watercolor, heightened with touches of white gouache, on buff wove paper</t>
  </si>
  <si>
    <t>b269cdaa-745a-d455-590a-a8f9c5bbb70b</t>
  </si>
  <si>
    <t>Beverly N.J.</t>
  </si>
  <si>
    <t>30a318bf-3eda-cb15-674a-8d34c2a159a9</t>
  </si>
  <si>
    <t>Taxco Cathedral</t>
  </si>
  <si>
    <t>Watercolor and pen and black ink, with graphite and touches of yellow gouache on cream wove paper, laid down on cream laminate board</t>
  </si>
  <si>
    <t>d3bde1ed-6cb9-b69e-b313-620e06db39b3</t>
  </si>
  <si>
    <t>Sancho Panza Being Tossed in a Blanket</t>
  </si>
  <si>
    <t>1b09b81c-d793-e6f9-7862-8770be502f7b</t>
  </si>
  <si>
    <t>St. Cecilia</t>
  </si>
  <si>
    <t>25a7ba57-c5a0-7d73-1cf3-bbb531457d9b</t>
  </si>
  <si>
    <t>The Madonna with the Seven Founders of the Servite Order</t>
  </si>
  <si>
    <t>Agostino Masucci</t>
  </si>
  <si>
    <t>7f41bfb7-ea0c-f173-bb1f-19def17f06aa</t>
  </si>
  <si>
    <t>Still Life with Monkey, Fruits, and Flowers</t>
  </si>
  <si>
    <t>293ab61e-5536-c2d3-936a-4116f027260c</t>
  </si>
  <si>
    <t>Crossing the Ford</t>
  </si>
  <si>
    <t>74688577-011f-6b8f-bab7-ac459cb9c889</t>
  </si>
  <si>
    <t>a13d1a5f-0adb-3f74-e472-e7768c09e240</t>
  </si>
  <si>
    <t>43228273-29dd-c5d7-b75c-536109504fc0</t>
  </si>
  <si>
    <t>Flowers: Poppies and Daisies</t>
  </si>
  <si>
    <t>d424c734-f5c1-5f89-3bb8-d83e4e0287e3</t>
  </si>
  <si>
    <t>The Red Room, Etretat</t>
  </si>
  <si>
    <t>e4df4d4a-4cfb-5be8-3728-0d0bf1b44751</t>
  </si>
  <si>
    <t>Young Woman at an Open Half-Door</t>
  </si>
  <si>
    <t>Workshop of Rembrandt van Rijn</t>
  </si>
  <si>
    <t>f95f32f7-6e79-5fbf-b438-a3fcb11197ee</t>
  </si>
  <si>
    <t>The Song of the Lark</t>
  </si>
  <si>
    <t>Jules Adolphe Breton</t>
  </si>
  <si>
    <t>48b2de88-ba73-8e19-f448-d1cef4a1c847</t>
  </si>
  <si>
    <t>Houses in Optevoz, France</t>
  </si>
  <si>
    <t>314637b6-22f5-5c2d-5b33-cd6ef4218748</t>
  </si>
  <si>
    <t>Sketches of Snails, Flowering Plant</t>
  </si>
  <si>
    <t>Watercolor over graphite pencil on cream laid paper</t>
  </si>
  <si>
    <t>a80f8ca3-3d35-fef0-bd1a-a774519b09da</t>
  </si>
  <si>
    <t>Guelder Roses and the Venus of Milo</t>
  </si>
  <si>
    <t>b0a463e2-4c5f-4055-26ba-08d7d42f8827</t>
  </si>
  <si>
    <t>957b0506-85bc-6159-36f1-9347090c5906</t>
  </si>
  <si>
    <t>Portrait of Mary Block</t>
  </si>
  <si>
    <t>be112b4c-4249-4391-8445-a7d871cf6514</t>
  </si>
  <si>
    <t>Beggar with a Duffle Coat (Philosopher)</t>
  </si>
  <si>
    <t>1a087ef7-8455-e5d0-0b2b-9738cd33058c</t>
  </si>
  <si>
    <t>Rite</t>
  </si>
  <si>
    <t>b408d0fa-d8b9-5e8d-8918-281f27c621f4</t>
  </si>
  <si>
    <t>20a28ab8-6eac-7ca5-b717-773a0fe7aee5</t>
  </si>
  <si>
    <t>Isaku Yanaihara</t>
  </si>
  <si>
    <t>971c3cc0-b3c2-328a-8ee7-23254b43baac</t>
  </si>
  <si>
    <t>Heavy the Oar to Him Who Is Tired, Heavy the Coat, Heavy the Sea</t>
  </si>
  <si>
    <t>aab879bf-4a41-7984-101a-61d6712d333c</t>
  </si>
  <si>
    <t>The Annunciation in a Historiated Initial "M" from an Antiphonary</t>
  </si>
  <si>
    <t>Manuscript cutting in tempera and gold leaf on parchment, with gothica textura inscriptions in brown black ink, verso</t>
  </si>
  <si>
    <t>2c22a857-d68f-d8f6-e60a-7db4fbb116c4</t>
  </si>
  <si>
    <t>32796fdf-a3a9-181a-d0b4-1262fb007316</t>
  </si>
  <si>
    <t>The Dreadful Feast of Flesh</t>
  </si>
  <si>
    <t>fd80f85b-229f-e043-aead-5d959e4f51a4</t>
  </si>
  <si>
    <t>At the Justice of The Peace</t>
  </si>
  <si>
    <t>Pieter Verhaert</t>
  </si>
  <si>
    <t>d36bfff3-6670-e3c8-c087-df4b51683b71</t>
  </si>
  <si>
    <t>Near the Lake</t>
  </si>
  <si>
    <t>26e1c560-acca-3148-46dc-c144ac22bd3e</t>
  </si>
  <si>
    <t>Study for Saint Philip Neri Rescuing a Drowning Youth</t>
  </si>
  <si>
    <t>Oil paint on tan laid paper</t>
  </si>
  <si>
    <t>d9a2c241-5256-6557-9fe9-0440f2115ab7</t>
  </si>
  <si>
    <t>S. Terrason</t>
  </si>
  <si>
    <t>29f12a02-5b9a-ddc7-1a49-21fb71f4f1c3</t>
  </si>
  <si>
    <t>Pond in the Woods</t>
  </si>
  <si>
    <t>44c6f2f1-90fc-f386-734b-fbb9427b6ff3</t>
  </si>
  <si>
    <t>Skirts of the Wood (Avon Valley near Bath)</t>
  </si>
  <si>
    <t>d1889b69-77d9-eb66-48df-7593ea39956f</t>
  </si>
  <si>
    <t>16 3/8 x 21"</t>
  </si>
  <si>
    <t>0330a6dd-774e-eff1-0073-2be5f85b81d0</t>
  </si>
  <si>
    <t>Prisoners of War</t>
  </si>
  <si>
    <t>Gouache and watercolor, over graphite, on cream wove paper, laid down on woodpulp board</t>
  </si>
  <si>
    <t>William P. Welsh</t>
  </si>
  <si>
    <t>437234d2-9418-10f6-6fb5-d035a4cd7eed</t>
  </si>
  <si>
    <t>4a6139da-d54f-d2dc-a727-04f725151716</t>
  </si>
  <si>
    <t>Joan of Arc in Montebourg</t>
  </si>
  <si>
    <t>dfead5a3-efeb-d3ea-59e8-c13935267893</t>
  </si>
  <si>
    <t>Watercolor No. 475</t>
  </si>
  <si>
    <t>26cb4f0a-0551-fbd6-663a-09661474be5b</t>
  </si>
  <si>
    <t>39be9eee-83ac-15eb-de79-f657bd10aecf</t>
  </si>
  <si>
    <t>A Turn in the Road</t>
  </si>
  <si>
    <t>0f076222-52b2-9bb4-4409-72fdf485d895</t>
  </si>
  <si>
    <t>Dr. Joseph Klapp</t>
  </si>
  <si>
    <t>18bf4909-8fb1-1971-4256-9945d712a279</t>
  </si>
  <si>
    <t>View in the St. Gotthard Pass, Switzerland</t>
  </si>
  <si>
    <t>Watercolor, and pen and blue, red and gray inks, on cream wove paper</t>
  </si>
  <si>
    <t>13a6ed93-5da8-36a2-b9bc-5d42cdfd2103</t>
  </si>
  <si>
    <t>Supervielle, Large Banner Portrait</t>
  </si>
  <si>
    <t>262f965f-e86a-d0ba-8e24-fefcdc3979de</t>
  </si>
  <si>
    <t>Christ Receiving the Children</t>
  </si>
  <si>
    <t>beeba230-022f-449a-a2fd-c0cf6c47d232</t>
  </si>
  <si>
    <t>Kauterskill Clove, Catskill Mountains</t>
  </si>
  <si>
    <t>dd91d801-7155-a7ee-bfb5-70b94e43e100</t>
  </si>
  <si>
    <t>Spring in France</t>
  </si>
  <si>
    <t>Robert William Vonnoh</t>
  </si>
  <si>
    <t>0787ea3c-9c03-65a2-adeb-5f5343794324</t>
  </si>
  <si>
    <t>At the Equator....A Song from Memory</t>
  </si>
  <si>
    <t>e093eeed-ebab-ecbe-72bf-b14229f18cac</t>
  </si>
  <si>
    <t>Cloudy Night, a Picture That Can Be Hung Upside-down</t>
  </si>
  <si>
    <t>25875572-288f-c9c2-5046-328848f0c8a8</t>
  </si>
  <si>
    <t>Cirrocumulus and Nimbus</t>
  </si>
  <si>
    <t>95a12c41-7411-b5d1-2101-d9d144b3398c</t>
  </si>
  <si>
    <t>Leaning Tower of Touhy</t>
  </si>
  <si>
    <t>09e69bea-c7c2-b957-56be-60597c13ce98</t>
  </si>
  <si>
    <t>Lip Thrashed</t>
  </si>
  <si>
    <t>Acrylic on metal</t>
  </si>
  <si>
    <t>139c57f8-90d0-7215-84a8-1afaf985a70c</t>
  </si>
  <si>
    <t>Sally Slips Bye-Bye</t>
  </si>
  <si>
    <t>49752e67-4777-94d0-830e-3877969b776b</t>
  </si>
  <si>
    <t>Parallel Manipulation</t>
  </si>
  <si>
    <t>cc42d343-a7d5-d6fa-caf2-8c4f73e79529</t>
  </si>
  <si>
    <t>Macy's Jet Set</t>
  </si>
  <si>
    <t>be3d945e-3f12-8392-0357-1d56edfd9a8b</t>
  </si>
  <si>
    <t>You Scratch My Back and I'll Scratch Yours</t>
  </si>
  <si>
    <t>cdbae85d-0794-fc4e-90d6-b6d3921249e9</t>
  </si>
  <si>
    <t>Back on Earth</t>
  </si>
  <si>
    <t>Oil on two canvases</t>
  </si>
  <si>
    <t>c4f80cb3-5eec-8243-29e9-e915136f7a9b</t>
  </si>
  <si>
    <t>Tango</t>
  </si>
  <si>
    <t>Pen and brown ink and brush and brown watercolor, over graphite, on cream wove paper</t>
  </si>
  <si>
    <t>64850caf-7d68-5674-21ad-01c4a829c227</t>
  </si>
  <si>
    <t>The Four Evangelists, within a Border of Flowers, Birds, and Insects</t>
  </si>
  <si>
    <t>Tempera and gold paint on vellum, in paper montage with pen and brown ink and touches of watercolor</t>
  </si>
  <si>
    <t>0de8cbff-d420-2efd-9cc1-3a59c34ef44e</t>
  </si>
  <si>
    <t>Russian Peasant</t>
  </si>
  <si>
    <t>Brush with brown, blue, black, gray, and red watercolor over graphite, on cream laid paper</t>
  </si>
  <si>
    <t>5182d5b0-bf3b-1fad-e966-93998b2af498</t>
  </si>
  <si>
    <t>Watercolor and gouache, with scraping, heightened with varnish, over traces of graphite, on cream wove paper, laid down on green wove paper</t>
  </si>
  <si>
    <t>Imitator of Anthony Vandyke Copley Fielding</t>
  </si>
  <si>
    <t>eb2122b7-566a-3625-f04b-80b984b647c8</t>
  </si>
  <si>
    <t>Peasant Plowing</t>
  </si>
  <si>
    <t>Watercolor, with graphite and touches of gouache, heightened with touches of white goauche, on ivory watercolor paper</t>
  </si>
  <si>
    <t>b95ec01f-d270-a0f6-c6fc-8ab719726d37</t>
  </si>
  <si>
    <t>Mont Saleve</t>
  </si>
  <si>
    <t>Watercolor over graphite on cream wove paper, laid down on cream wove paper</t>
  </si>
  <si>
    <t>6236e82e-e3a9-def2-2e1b-a40771e9da05</t>
  </si>
  <si>
    <t>The Movings</t>
  </si>
  <si>
    <t>fb1f6add-bfa9-65af-5876-edade04d6b49</t>
  </si>
  <si>
    <t>Rip Van Winkle</t>
  </si>
  <si>
    <t>c1f5d7ea-65f6-0ac6-d22f-549d27cfdd38</t>
  </si>
  <si>
    <t>A Glimpse into Hell, or Fear</t>
  </si>
  <si>
    <t>3d6addef-e6cb-a9ca-31b0-522bf6613522</t>
  </si>
  <si>
    <t>The Interpreter Waved at the Youth</t>
  </si>
  <si>
    <t>aa787458-32e5-b9cf-09dc-cc48ab8403b6</t>
  </si>
  <si>
    <t>The Bear at Bay</t>
  </si>
  <si>
    <t>7f6d1037-c6a9-651e-cce4-ccd6d0f60c40</t>
  </si>
  <si>
    <t>He Was the Law (Billy the Kid)</t>
  </si>
  <si>
    <t>3d5a46c3-8e5e-bd52-f765-50036d888db7</t>
  </si>
  <si>
    <t>Ceremony of the Fastest Horse</t>
  </si>
  <si>
    <t>7f755a11-26ef-8f17-0178-15029c321e88</t>
  </si>
  <si>
    <t>I Will Tell the White Man</t>
  </si>
  <si>
    <t>dcfa012e-b6ef-2bf7-a862-ee6e0ee9537d</t>
  </si>
  <si>
    <t>Nothing But Cheerful Looks Followed the Bat</t>
  </si>
  <si>
    <t>a77ba670-02a8-b48b-303c-9aad5b5755c1</t>
  </si>
  <si>
    <t>This Was a Fatal Embarkation</t>
  </si>
  <si>
    <t>14060224-d2c8-a442-d410-58043d6bc861</t>
  </si>
  <si>
    <t>Rushing Red Lodges Passed through the Line</t>
  </si>
  <si>
    <t>29a102da-4838-432b-7373-a3c7f5679d75</t>
  </si>
  <si>
    <t>The Fire Eater Raised His Arms to the Thunder Bird</t>
  </si>
  <si>
    <t>6548b683-5854-16a6-e462-b3a81a0b99e2</t>
  </si>
  <si>
    <t>First and Best Camp of the Trip</t>
  </si>
  <si>
    <t>39fd7277-7714-ba0a-7218-7633f7a88923</t>
  </si>
  <si>
    <t>The Fire-Eater Slung His Victim Across His Pony</t>
  </si>
  <si>
    <t>ddabac10-c2ca-95ce-73fe-f568bb59e9e3</t>
  </si>
  <si>
    <t>Paddling the Wounded British Officer</t>
  </si>
  <si>
    <t>65304369-e498-cab1-d046-ece7e57c1dc6</t>
  </si>
  <si>
    <t>9th U.S. Infantry Entering Peking, August 15, 1900</t>
  </si>
  <si>
    <t>173564cd-220d-3e43-6bb3-5e13da3edee4</t>
  </si>
  <si>
    <t>How the Horses Died for Their Country at Santiago</t>
  </si>
  <si>
    <t>4606c094-d062-b064-3c2d-9c61baf482ac</t>
  </si>
  <si>
    <t>Guns Must Be Delivered</t>
  </si>
  <si>
    <t>06b3c08f-04d5-c2f5-00e8-901bb0747ef1</t>
  </si>
  <si>
    <t>Thre'ill Be a Hot Time in the Old Town To-night, My Baby</t>
  </si>
  <si>
    <t>Oil on canvas
Harding inv.397</t>
  </si>
  <si>
    <t>859b855e-6937-5ba4-6110-fa79804d9094</t>
  </si>
  <si>
    <t>Call the Doctor</t>
  </si>
  <si>
    <t>cfe0279e-8071-3bc8-77ef-217ae826e4b3</t>
  </si>
  <si>
    <t>A Mexican Vaquero</t>
  </si>
  <si>
    <t>005f82e8-fe78-0395-c03f-894a246fb922</t>
  </si>
  <si>
    <t>Slave Market</t>
  </si>
  <si>
    <t>211e903f-a1a3-76d5-90b0-13a1717ee210</t>
  </si>
  <si>
    <t>Historians of the Tribe</t>
  </si>
  <si>
    <t>69364a3b-57ac-ce93-59e4-3aa3c548da49</t>
  </si>
  <si>
    <t>The Mexican Major</t>
  </si>
  <si>
    <t>04a1a67f-d08b-35ea-bb90-770281b92abf</t>
  </si>
  <si>
    <t>7a23ad22-2044-6d7d-6315-9b101dadc559</t>
  </si>
  <si>
    <t>Red paint on white wove paper</t>
  </si>
  <si>
    <t>13973655-60e9-8498-1c96-4795da581a45</t>
  </si>
  <si>
    <t>Brush and blue paint, black lithographic crayon, and embossing on white wove paper</t>
  </si>
  <si>
    <t>80417f99-ab41-63b5-b810-31882ece26ea</t>
  </si>
  <si>
    <t>Orange watercolor on white wove paper</t>
  </si>
  <si>
    <t>a48155e8-fe6a-4562-c363-22919dafe13d</t>
  </si>
  <si>
    <t>d8765ded-20d3-f054-88ce-94aeef07464d</t>
  </si>
  <si>
    <t>Watercolor in red and black lithographic crayon on white laid paper</t>
  </si>
  <si>
    <t>53515107-ca21-75d7-9c28-b443172cad34</t>
  </si>
  <si>
    <t>Red and yellow watercolor, over graphite, with black lithographic crayon additions, on translucent wove paper</t>
  </si>
  <si>
    <t>c43adaf7-fef5-19d4-789f-0b13ed083e8c</t>
  </si>
  <si>
    <t>Saint Hymer in Solitude</t>
  </si>
  <si>
    <t>Jean Restout</t>
  </si>
  <si>
    <t>ee702210-de7a-8e2a-fdae-50464ba7d2be</t>
  </si>
  <si>
    <t>Composition in Gray, Orange and Yellow</t>
  </si>
  <si>
    <t>Watercolor and graphite, with black crayon, on ivory watercolor paper</t>
  </si>
  <si>
    <t>d85ce969-9dfe-9c8b-7cf9-9eec101c97a4</t>
  </si>
  <si>
    <t>1967 (Silver Brown)</t>
  </si>
  <si>
    <t>Oil, gesso, and graphite on carved fiberboard</t>
  </si>
  <si>
    <t>f4d5c027-dc92-2efe-88db-dfa508c09657</t>
  </si>
  <si>
    <t>New York Moonlight</t>
  </si>
  <si>
    <t>Graphite, pen and black ink, colored pencils, and gouache, with cut and pasted metallic foil and paper elements, on white wove card</t>
  </si>
  <si>
    <t>f271b469-8398-30c7-f18a-fde8c1fadfaf</t>
  </si>
  <si>
    <t>The Cock Fight</t>
  </si>
  <si>
    <t>Transparent and opaque watercolor, with traces of scraping, over graphite, on thick, moderately textured, cream wove paper (top and lower edges trimmed)</t>
  </si>
  <si>
    <t>02512586-e9ae-5300-eb9d-82350fd358a4</t>
  </si>
  <si>
    <t>The Artful Dodgers (Shrapnel Coming Down the Road)</t>
  </si>
  <si>
    <t>Pen and black ink and brush and black and gray wash, heightened with white gouache, over graphite, on tan wood-pulp laminate board</t>
  </si>
  <si>
    <t>d6ab8fa4-1598-6419-1be2-01c7d86e0c8e</t>
  </si>
  <si>
    <t>The Cuban Martyrdom</t>
  </si>
  <si>
    <t>Pen and black ink and brush and black and gray wash, heightened with white gouache, over graphite, on ivory wood-pulp laminate board</t>
  </si>
  <si>
    <t>f84efc8f-b72e-4a92-be5d-50b7c010e3ee</t>
  </si>
  <si>
    <t>44a2255f-ed7b-51e3-e706-f3d0bffc5bc8</t>
  </si>
  <si>
    <t>Muir</t>
  </si>
  <si>
    <t>6c42cc66-eeff-fad6-02ea-23a2d56a9319</t>
  </si>
  <si>
    <t>St. Joseph and Christ Child</t>
  </si>
  <si>
    <t>Leopold Kupelwieser</t>
  </si>
  <si>
    <t>8a4a56ab-bf5a-5d65-27d0-ebf3270ca9e3</t>
  </si>
  <si>
    <t>At the Fountain</t>
  </si>
  <si>
    <t>Cesare Agostino Detti</t>
  </si>
  <si>
    <t>ac624b7a-ed36-9b5a-4257-2fb464b5023f</t>
  </si>
  <si>
    <t>French Street Scene</t>
  </si>
  <si>
    <t>f83244ce-5aef-fa2b-184c-b44c6747dc49</t>
  </si>
  <si>
    <t>The Seine at Triel</t>
  </si>
  <si>
    <t>3e04f8b6-ad21-f6bf-1ff1-926cf33a5b15</t>
  </si>
  <si>
    <t>5dfcbae3-6682-d1e6-0d1c-9eb8b5fd4a5e</t>
  </si>
  <si>
    <t>View of The Art Institute</t>
  </si>
  <si>
    <t>Watercolor and gouache over graphite, on off-white wove paper, laid down on darkened wood pulp board</t>
  </si>
  <si>
    <t>974cfe72-6d5f-3e47-4958-a2c64afa3224</t>
  </si>
  <si>
    <t>This Ichnolite of Mine</t>
  </si>
  <si>
    <t>9e39cf81-fa7c-9c62-5e02-ba92cbffcba5</t>
  </si>
  <si>
    <t>ID</t>
  </si>
  <si>
    <t>HR</t>
  </si>
  <si>
    <t>FAR</t>
  </si>
  <si>
    <t>CR</t>
  </si>
  <si>
    <t>RESMEM</t>
  </si>
  <si>
    <t>Boosted</t>
  </si>
  <si>
    <t>Title</t>
  </si>
  <si>
    <t>Start Date</t>
  </si>
  <si>
    <t>End Date</t>
  </si>
  <si>
    <t>Medium</t>
  </si>
  <si>
    <t>Public Domain</t>
  </si>
  <si>
    <t>Colorfulness</t>
  </si>
  <si>
    <t>Artist</t>
  </si>
  <si>
    <t>Style</t>
  </si>
  <si>
    <t>Image ID</t>
  </si>
  <si>
    <t>Dimensions</t>
  </si>
  <si>
    <t>URL</t>
  </si>
  <si>
    <t>101.6 x 101.6 cm (40 x 40 in.)</t>
  </si>
  <si>
    <t>76.2 x 63.5 cm (30 x 25 in.)</t>
  </si>
  <si>
    <t>127 x 152.4 cm (50 x 60 in.)</t>
  </si>
  <si>
    <t>355 x 509 mm</t>
  </si>
  <si>
    <t>26 3/16 x 19 1/8 in. (66.5 x 48.5 cm)</t>
  </si>
  <si>
    <t>Approx. 357 x 280 mm</t>
  </si>
  <si>
    <t>82.6 x 58.4 cm (32 1/2 x 23 in.)</t>
  </si>
  <si>
    <t>232 x 305 mm</t>
  </si>
  <si>
    <t>184 x 160 mm</t>
  </si>
  <si>
    <t>12 3/16 x 9 1/16 in. (31 x 23 cm)</t>
  </si>
  <si>
    <t>24 7/8 x 30 in. (63.2 x 76.3 cm)</t>
  </si>
  <si>
    <t>485 x 432 mm</t>
  </si>
  <si>
    <t>10 x 8 in.; 14 in. overall</t>
  </si>
  <si>
    <t>797 x 995 mm</t>
  </si>
  <si>
    <t>255 x 223.2 cm (100 3/8 x 87 7/8 in.)</t>
  </si>
  <si>
    <t>547 x 751 mm</t>
  </si>
  <si>
    <t>322 x 527 mm (sheet); 451 x 655 mm (mount)</t>
  </si>
  <si>
    <t>126 x 101 mm</t>
  </si>
  <si>
    <t>426 x 340 mm</t>
  </si>
  <si>
    <t>328 x 265 mm (closed); 328 x 530 mm (open)</t>
  </si>
  <si>
    <t>217.8 x 298.5 cm (85 3/4 x 117 1/2 in. )</t>
  </si>
  <si>
    <t>74.3 x 99.7 cm (29 1/4 x 39 1/4 in.)</t>
  </si>
  <si>
    <t>152.4 x 112.7 cm (60 x 44 3/8 in.)</t>
  </si>
  <si>
    <t>139 x 222 mm</t>
  </si>
  <si>
    <t>30.5 x 25.4 cm (12 x 10 in.)</t>
  </si>
  <si>
    <t>236 x 302 mm</t>
  </si>
  <si>
    <t>270 x 280 mm</t>
  </si>
  <si>
    <t>265 x 484 mm</t>
  </si>
  <si>
    <t>302 x 470 mm</t>
  </si>
  <si>
    <t>600 x 420 mm</t>
  </si>
  <si>
    <t>73 x 54 cm (29 x 21 in.)</t>
  </si>
  <si>
    <t>608 x 456 mm</t>
  </si>
  <si>
    <t>597 x 432 mm</t>
  </si>
  <si>
    <t>58.4 x 43.2 cm (23 x 17 in.)</t>
  </si>
  <si>
    <t>218.4 x 218.4 x 10.2 cm (86 x 86 x 4 in.)</t>
  </si>
  <si>
    <t>210 x 353 mm</t>
  </si>
  <si>
    <t>57.2 x 39.1 cm (22 1/2 x 15 3/8 in.)</t>
  </si>
  <si>
    <t>46 x 61 cm (18 1/8 x 24 in.)</t>
  </si>
  <si>
    <t>176 mm x 254 mm</t>
  </si>
  <si>
    <t>234 x 159 mm</t>
  </si>
  <si>
    <t>7 6/16 x 9 7/16 in. (18.7 x 23.9 cm)</t>
  </si>
  <si>
    <t>140 x 214 mm</t>
  </si>
  <si>
    <t>22 3/16 x 17 in. (56.3 x 43.2 cm)</t>
  </si>
  <si>
    <t>169.6 x 93.4 cm (66 3/4 x 36 3/4 in.)</t>
  </si>
  <si>
    <t>94.3 x 84.5 cm (37 1/8 x 33 1/4 in.)</t>
  </si>
  <si>
    <t>35.5 x 35.5 cm (14 x 14 in.)</t>
  </si>
  <si>
    <t>179 x 265 mm</t>
  </si>
  <si>
    <t>232 x 186 mm</t>
  </si>
  <si>
    <t>Panel: 107.5 x 36.4 cm (42 5/16 x 14 5/16 in.); Painted Surface: 105.7 x 36.4 cm (41 5/8 x 14 5/16 in.)</t>
  </si>
  <si>
    <t>44.5 x 30.8 cm (17 1/2 x 12 1/8 in.)</t>
  </si>
  <si>
    <t>455 x 351 mm</t>
  </si>
  <si>
    <t>52 x 47.2 cm (20 1/2 x 18 9/16 in.)
Painted surface: 19 7/8 x 18 in. (50.5 x 45.7 cm)</t>
  </si>
  <si>
    <t>128 x 173 mm</t>
  </si>
  <si>
    <t>81.2 x 92.8 cm (32 x 36 9/16 in.)</t>
  </si>
  <si>
    <t>Each leaf: 30.5 x 36.3 cm (12 x 14.25 in.)</t>
  </si>
  <si>
    <t>354 x 252 mm</t>
  </si>
  <si>
    <t>53.5 x 81 cm (21 x 31 78/8 in.)</t>
  </si>
  <si>
    <t>17 x 23 1/2 in. (43.2 x 59.7 cm)</t>
  </si>
  <si>
    <t>538 x 374 mm</t>
  </si>
  <si>
    <t>39 1/2 x 31 1/2 in.</t>
  </si>
  <si>
    <t>750 x 575 mm</t>
  </si>
  <si>
    <t>55.9 x 40.6 cm (22 x 16 in.)</t>
  </si>
  <si>
    <t>107.8 x 50.3 cm (42 1/2 x 19 3/4 in.)
Painted surface: 103.8 x 49 cm (40 7/8 x 19 1/4 in.)</t>
  </si>
  <si>
    <t>84.5 x 100.3 cm (33 1/4 x 39 1/2 in.)</t>
  </si>
  <si>
    <t>92.1 x 122.2 cm (36.1/4 x 48.1/8 in.)</t>
  </si>
  <si>
    <t>263 x 393 mm</t>
  </si>
  <si>
    <t>36 x 27 15/16 in. (91.4 x 71 cm)</t>
  </si>
  <si>
    <t>87 x 124.8 cm (34 1/4 x 49 1/8 in.)</t>
  </si>
  <si>
    <t>215 x 151 mm</t>
  </si>
  <si>
    <t>14 3/8 x 22 1/2 in. (36.3 x 57.9 cm)</t>
  </si>
  <si>
    <t>357 x 249 mm</t>
  </si>
  <si>
    <t>188 mm x 267 mm</t>
  </si>
  <si>
    <t>279.4 x 177.8 cm (110 x 70 in.)</t>
  </si>
  <si>
    <t>59.1 x 78.1 cm (23 1/4 x 30 3/4 in.)</t>
  </si>
  <si>
    <t>105 x 129 mm</t>
  </si>
  <si>
    <t>294 x 209 mm (max.)</t>
  </si>
  <si>
    <t>330 x 303 mm</t>
  </si>
  <si>
    <t>192 x 130 mm</t>
  </si>
  <si>
    <t>59.2 x 72.3 cm (23 5/16 x 28 7/16 in.)</t>
  </si>
  <si>
    <t>498 x 344 mm</t>
  </si>
  <si>
    <t>260 x 199 mm (primary/secondary support)</t>
  </si>
  <si>
    <t>128 x 104 mm</t>
  </si>
  <si>
    <t>23 5/8 x 40 1/2 in. (61.5 x 103.2 cm)</t>
  </si>
  <si>
    <t>187 x 231 mm</t>
  </si>
  <si>
    <t>193 x 105 mm</t>
  </si>
  <si>
    <t>165.1 x 198.1 cm (65 x 78 in.)</t>
  </si>
  <si>
    <t>330 x 493 mm</t>
  </si>
  <si>
    <t>64.5 x 97.2 cm (25 3/8 x 38 1/4 in.)</t>
  </si>
  <si>
    <t>78.1 x 65.5 cm (30 3/4 x 25 3/4 in.)</t>
  </si>
  <si>
    <t>566 x 393 mm</t>
  </si>
  <si>
    <t>455 x 363 mm</t>
  </si>
  <si>
    <t>13.3 x 14.6 cm (5 1/4 x 5 3/4 in.)</t>
  </si>
  <si>
    <t>68 x 81 mm</t>
  </si>
  <si>
    <t>529 x 450 mm</t>
  </si>
  <si>
    <t>646 x 1,004 mm</t>
  </si>
  <si>
    <t>68.6 x 102.2 cm (27 x 40 1/4 in.)</t>
  </si>
  <si>
    <t>Image: 58.9 x 51 cm (23 3/16 x 20 1/16 in.); Overall: 81.3 x 61.0 cm (32 x 24 in.)</t>
  </si>
  <si>
    <t>33 x 26 mm (sight)</t>
  </si>
  <si>
    <t>430 x 585 mm</t>
  </si>
  <si>
    <t>58.4 x 58.4 cm (23 x 23 in.)</t>
  </si>
  <si>
    <t>231 x 124 cm (90 3/4 x 48 3/4 in.)</t>
  </si>
  <si>
    <t>110.2 x 72.4 cm (43 3/8 x 28 1/2 in.)</t>
  </si>
  <si>
    <t>203.2 x 162.6 cm (80 x 64 in.)</t>
  </si>
  <si>
    <t>38.7 x 55.9 cm (15 1/4 x 22 in.)</t>
  </si>
  <si>
    <t>542 x 688 mm</t>
  </si>
  <si>
    <t>325 x 425 mm (primary support); 328 x 431 mm (secondary support)</t>
  </si>
  <si>
    <t>132 x 134 mm</t>
  </si>
  <si>
    <t>77 x 51 1/8 in. (195.5 x 130 cm)</t>
  </si>
  <si>
    <t>310 x 254 mm</t>
  </si>
  <si>
    <t>73.4 x 92.5 cm (28 7/8 x 36 3/8 in.)</t>
  </si>
  <si>
    <t>139 x 213 mm</t>
  </si>
  <si>
    <t>36 3/8 x 20 5/8 in. (92.5 x 52.5 cm)</t>
  </si>
  <si>
    <t>88.6 x 118.8 cm (34 7/8 x 46 3/4 in.)</t>
  </si>
  <si>
    <t>13 x 9 1/2 in. (33 x 24.1 cm)</t>
  </si>
  <si>
    <t>26 x 19 3/8 in. (66 x 49.2 cm)</t>
  </si>
  <si>
    <t>180 x 200 cm (71 x 78 1/2 in.)</t>
  </si>
  <si>
    <t>40.6 x 45.7 cm (16 x 18 1/8 in.)</t>
  </si>
  <si>
    <t>30 1/2 x 42 in. (77.5 x 106.7 cm)</t>
  </si>
  <si>
    <t>42 1/16 x 34 3/8 in. (106.9 x 87.4 cm)</t>
  </si>
  <si>
    <t>126.4 x 101.6 cm (49 3/4 x 40 in.)</t>
  </si>
  <si>
    <t>219 x 152 mm</t>
  </si>
  <si>
    <t>82.5 x 64 cm (32 1/8 x 25 3/16 in.)</t>
  </si>
  <si>
    <t>42.6 x 47.1 cm (16 3/4 x 18 1/2 in.)</t>
  </si>
  <si>
    <t>24.8 x 29.2 cm (9 3/4 x 11 1/2 in.)</t>
  </si>
  <si>
    <t>253 x 354 mm</t>
  </si>
  <si>
    <t>27 3/8 x 38 5/16 in. (69.7 x 97.3 cm)</t>
  </si>
  <si>
    <t>259 x 199 mm</t>
  </si>
  <si>
    <t>189 x 273 mm</t>
  </si>
  <si>
    <t>429 x 370 mm</t>
  </si>
  <si>
    <t>93 x 92 mm</t>
  </si>
  <si>
    <t>129.5 x 96.5 cm (51 x 38 in.)</t>
  </si>
  <si>
    <t>24 3/8 x 19 5/16 in. (62 x 49.2 cm)</t>
  </si>
  <si>
    <t>107.8 x 46.5 cm (42 3/8 x 18 5/16 in.)</t>
  </si>
  <si>
    <t>13 3/4 x 9 3/4 in.</t>
  </si>
  <si>
    <t>301 x 228 mm</t>
  </si>
  <si>
    <t>220 x 360 mm</t>
  </si>
  <si>
    <t>11 x 17 in.</t>
  </si>
  <si>
    <t>254 x 353 mm</t>
  </si>
  <si>
    <t>114 x 94.5 cm (44 9/10 x 37 1/5 in.)</t>
  </si>
  <si>
    <t>269.8 x 208 cm (106.2 x 81.8 in.)</t>
  </si>
  <si>
    <t>64 x 89 mm</t>
  </si>
  <si>
    <t>336 x 265 mm</t>
  </si>
  <si>
    <t>184 x 121.9 cm (72 x 48 in.)</t>
  </si>
  <si>
    <t>441 x 660 mm</t>
  </si>
  <si>
    <t>243.8 x 304.8 cm (96 x 120 in.)</t>
  </si>
  <si>
    <t>73.7 x 59.1 cm (29 x 23 1/4 in.)</t>
  </si>
  <si>
    <t>447 x 327 mm</t>
  </si>
  <si>
    <t>352 x 507 mm</t>
  </si>
  <si>
    <t>Panel: 175.8 x 93.3 cm (69 1/4 x 36 3/4 in.); Painted Surface: 167 x 84.5 cm (65 3/4 x 33 1/4 in.)</t>
  </si>
  <si>
    <t>71.7 x 91.5 cm (28 x 36 in.)</t>
  </si>
  <si>
    <t>265 x 215 mm</t>
  </si>
  <si>
    <t>28.6 x 41.7 cm (11 1/4 x 16 7/16 in.)</t>
  </si>
  <si>
    <t>10 5/8 x 16 in. (27 x 40.6 cm)</t>
  </si>
  <si>
    <t>188 x 248.4 cm (74 x 97 3/4 in.)</t>
  </si>
  <si>
    <t>110 x 91 mm</t>
  </si>
  <si>
    <t>262 x 324 mm</t>
  </si>
  <si>
    <t>203.2 x 101.6 cm (80 x 40 in.)</t>
  </si>
  <si>
    <t>56.3 x 91.8 cm (22 3/8 x 36 1/8 in.)</t>
  </si>
  <si>
    <t>182.88 x 152.4 cm (72 x 60 in.)</t>
  </si>
  <si>
    <t>146.4 x 191.1 cm (57 5/8 x 75 1/4 in.), including frame</t>
  </si>
  <si>
    <t>88.9 x 68.3 cm (35 x 26 7/8 in.)</t>
  </si>
  <si>
    <t>9 3/8 x 13 3/4 in. (24 x 35 cm)</t>
  </si>
  <si>
    <t>76.2 x 63.8 cm (30 x 25 1/8 in.)</t>
  </si>
  <si>
    <t>181 mm x 259 mm</t>
  </si>
  <si>
    <t>153 x 151 mm (buckled)</t>
  </si>
  <si>
    <t>106.7 x 40.6 x 40.6 cm (42 x 16 x 16 in.)</t>
  </si>
  <si>
    <t>299 x 202 mm</t>
  </si>
  <si>
    <t>230 x 290 mm (primary support); 241 x 300 mm (secondary support)</t>
  </si>
  <si>
    <t>Each Frame: 21 x 16.2 cm (8 5/16 x 6 3/8 in.); image: 16.5 x 12 cm (6 1/2 x 4 11/16 in.)</t>
  </si>
  <si>
    <t>284 x 475 mm</t>
  </si>
  <si>
    <t>182 x 149 mm</t>
  </si>
  <si>
    <t>203.2 x 142.2 cm (80 x 56 in.)</t>
  </si>
  <si>
    <t>167.7 x 207 cm (66 x 81 1/2 in.)</t>
  </si>
  <si>
    <t>543 x 394 mm</t>
  </si>
  <si>
    <t>129 x 175 mm</t>
  </si>
  <si>
    <t>51.1 x 64.5 cm (20 1/8 x 25 3/8 in.), unframed</t>
  </si>
  <si>
    <t>378 x 502 mm</t>
  </si>
  <si>
    <t>114 x 148 mm</t>
  </si>
  <si>
    <t>92.7 x 40.3 cm (36 1/2 x 15 7/8 in.)</t>
  </si>
  <si>
    <t>50.8 x 91.4 cm (20 x 36 in.)</t>
  </si>
  <si>
    <t>198 x 253 mm</t>
  </si>
  <si>
    <t>22.9 x 17.8 cm (9 x 7 in.)</t>
  </si>
  <si>
    <t>609 x 457 mm</t>
  </si>
  <si>
    <t>243 x 225 mm</t>
  </si>
  <si>
    <t>367 x 250 mm (overall); individual miniatures: 78 x 75 mm (Matthew ); 77 x 75 mm (Mark); 78 x 78 mm (Luke); 78 x 77 mm (John); 343 x 245 mm (border)</t>
  </si>
  <si>
    <t>Center: 54 7/8 x 40 11/16 in. (139.5 x 103.3 cm)
Painted surface: 53 15/16 x 39 3/4 in. (137 x 101 cm)
Left wing, painted surface: 54 1/16 x 16 5/8 in. (137.5 x 41.9 cm)
Right wing, painted surface: 53 15/16 x 16 3/8 in. (137 x 41.6 cm)</t>
  </si>
  <si>
    <t>36 x 36 in.</t>
  </si>
  <si>
    <t>172 x 265 mm</t>
  </si>
  <si>
    <t>111.8 x 111.8 cm (44 x 44 in.)</t>
  </si>
  <si>
    <t>585 x 755 mm</t>
  </si>
  <si>
    <t>370 mm x 270 mm</t>
  </si>
  <si>
    <t>61.3 x 49.8 cm (24 3/8 x 19 5/8 in.)</t>
  </si>
  <si>
    <t>305 x 244 cm (120 x 96 in.)</t>
  </si>
  <si>
    <t>275 x 430 mm</t>
  </si>
  <si>
    <t>322 x 236 mm</t>
  </si>
  <si>
    <t>227 x 147 mm</t>
  </si>
  <si>
    <t>20 3/4 x 25 1/2 in. (54.5 x 64.7 cm)</t>
  </si>
  <si>
    <t>382 x 560 mm</t>
  </si>
  <si>
    <t>24 1/2 x 20 5/8 in. (62.2 x 52.3 cm)</t>
  </si>
  <si>
    <t>13 x 10 3/8 in. (33 x 26.2 cm)
Painted surface: 13 x 10 1/8 in. (33 x 25.7 cm)</t>
  </si>
  <si>
    <t>25 1/4 x 30 3/8 in. (64.2 x 77.2 cm)</t>
  </si>
  <si>
    <t>188 x 270 mm</t>
  </si>
  <si>
    <t>235 x 333 mm</t>
  </si>
  <si>
    <t>198 x 299 mm</t>
  </si>
  <si>
    <t>28 3/4 x 23 1/2 in. (73 x 59.8 cm)</t>
  </si>
  <si>
    <t>126 x 295 mm</t>
  </si>
  <si>
    <t>20 1/8 x 13 1/2 in. (51.1 x 34.3 cm)</t>
  </si>
  <si>
    <t>271 x 272 mm</t>
  </si>
  <si>
    <t>61 x 50 cm (24 x 19 11/16 in.)</t>
  </si>
  <si>
    <t>34.4 x 58.2 cm (13 9/16 x 22 15/16 in.)</t>
  </si>
  <si>
    <t>179 x 167 mm</t>
  </si>
  <si>
    <t>25 x 19 1/2 in. (63.5 x 49.5 cm)</t>
  </si>
  <si>
    <t>60.1 x 73.5 cm (23 5/8 x 28 13/16 in.)</t>
  </si>
  <si>
    <t>46.7 x 60 cm. (18 3/8 x 23 5/8 in.)</t>
  </si>
  <si>
    <t>59.7 x 85.1 cm (23 1/2 x 33 1/2 in.)</t>
  </si>
  <si>
    <t>455 x 595 mm</t>
  </si>
  <si>
    <t>Panel: 117 x 52 cm (46 1/16 x 20 1/2 in.); Painted Surface: 115.3 x 49.5 cm (45 3/8 x 19 1/2 in.)</t>
  </si>
  <si>
    <t>61 1/8 x 46 in. (155.3 x 116.8 cm)</t>
  </si>
  <si>
    <t>260 x 218 mm</t>
  </si>
  <si>
    <t>114.3 x 146.7 cm (45 x 57 3/4 in. ) unframed</t>
  </si>
  <si>
    <t>13 1/16 x 17 1/16 in. (33.2 x 43.4 cm)</t>
  </si>
  <si>
    <t>618 x 918 mm</t>
  </si>
  <si>
    <t>105.4 x 85.7 cm (41 1/2 x 33 3/4 in.)</t>
  </si>
  <si>
    <t>82.3 x 63.3 cm (32 3/8 x 24 7/8 in.)</t>
  </si>
  <si>
    <t>373 x 446 mm</t>
  </si>
  <si>
    <t>223 x 163 mm</t>
  </si>
  <si>
    <t>303 x 457 mm</t>
  </si>
  <si>
    <t>147.3 x 188 cm (58 x 74 in.)</t>
  </si>
  <si>
    <t>365 x 264 mm</t>
  </si>
  <si>
    <t>28 7/8 x 38 15/16 in. (73.4 x 98.9 cm)</t>
  </si>
  <si>
    <t>40.6 x 25.4 cm (16 x 10 in.)</t>
  </si>
  <si>
    <t>430 x 357 mm</t>
  </si>
  <si>
    <t>28 x 20 1/4 in. (71.1 x 51.4 cm)</t>
  </si>
  <si>
    <t>19 x 25 cm (7 1/2 x 9 3/4 in.)</t>
  </si>
  <si>
    <t>197 x 190 mm</t>
  </si>
  <si>
    <t>16 3/4 x 12 3/4 in. (42.5 x 32.3 cm)</t>
  </si>
  <si>
    <t>170 x 350 mm</t>
  </si>
  <si>
    <t>137.5 x 186.1 cm (54 1/8 x 73 1/4 in.)</t>
  </si>
  <si>
    <t>81 1/2 x 46 1/4 in. (207 x 117.5 cm)</t>
  </si>
  <si>
    <t>20.9 x 30.7 cm (8 1/4 x 12 1/8 in.)</t>
  </si>
  <si>
    <t>Frame: 41.3 x 33.3 cm (16 1/4 x 13 1/8 in.)
Painted surface: 34.9 x 26.6 (13 3/4 x 10 7/16 in.)
Reverse: 34.7 x 26.5 cm (13 5/8 x 10 7/16 in.)</t>
  </si>
  <si>
    <t>20.5 x 20.5 cm (10 x 15 in.)</t>
  </si>
  <si>
    <t>190 x 281 mm</t>
  </si>
  <si>
    <t>15 1/4 x 18 1/2 in. (38.7 x 47 cm)</t>
  </si>
  <si>
    <t>96.5 x 121.9 (38 x 48 in.)</t>
  </si>
  <si>
    <t>172 x 257 mm</t>
  </si>
  <si>
    <t>15 1/4 x 22 in. (38.9 x 55.8 cm)</t>
  </si>
  <si>
    <t>355 x 255 mm</t>
  </si>
  <si>
    <t>oval, 80.8 x 68.5 cm (31 3/4 x 27 in.)</t>
  </si>
  <si>
    <t>268 x 195 mm</t>
  </si>
  <si>
    <t>26 x 36.8 cm (10 1/4 x 14 1/2 in.)</t>
  </si>
  <si>
    <t>55.9 x 47 cm (22 x 18 1/2 in.)</t>
  </si>
  <si>
    <t>468 x 318 mm</t>
  </si>
  <si>
    <t>99.1 x 80.3 cm (39 x 31 5/8 in.)</t>
  </si>
  <si>
    <t>222 x 96 mm</t>
  </si>
  <si>
    <t>367 x 292 mm</t>
  </si>
  <si>
    <t>182.8 x 182.8 cm (81 x 81 in.)</t>
  </si>
  <si>
    <t>213.4 x 182.8 cm (84 x 72 in.), unframed</t>
  </si>
  <si>
    <t>147 x 237 mm</t>
  </si>
  <si>
    <t>29 1/2 x 23 5/8 in. (75 x 60 cm)</t>
  </si>
  <si>
    <t>257 x 358 mm</t>
  </si>
  <si>
    <t>63.5 x 76.2 cm (25 x 30 in.)</t>
  </si>
  <si>
    <t>381 x 257 mm</t>
  </si>
  <si>
    <t>65.4 x 54.4 cm (25 5/8 x 21 3/8 in.)</t>
  </si>
  <si>
    <t>498 x 650 mm</t>
  </si>
  <si>
    <t>608 x 479 mm</t>
  </si>
  <si>
    <t>106.7 x 91.4 cm (42 x 36 in.) (approx)</t>
  </si>
  <si>
    <t>190 x 279 mm</t>
  </si>
  <si>
    <t>610 x 457 mm</t>
  </si>
  <si>
    <t>61 x 50.8 x 30.5 cm (24 x 20 x 12 in.)</t>
  </si>
  <si>
    <t>242 x 341 mm</t>
  </si>
  <si>
    <t>34.9 x 69.9 cm (13 3/4 x 27 1/2 in.)</t>
  </si>
  <si>
    <t>20.3 x 23.7 cm (8 x 9 5/16 in.)</t>
  </si>
  <si>
    <t>101 x 73.5 cm (39 3/4 x 28 7/8 in.)</t>
  </si>
  <si>
    <t>11 1/2 x 15 5/8 in. (29.2 x 38.5 cm)</t>
  </si>
  <si>
    <t>215 x 316 mm (primary support); 250 x 350 mm (secondary support)</t>
  </si>
  <si>
    <t>229 x 160 mm</t>
  </si>
  <si>
    <t>520 x 367 mm</t>
  </si>
  <si>
    <t>356 x 506 mm</t>
  </si>
  <si>
    <t>61.4 x 50.5 cm (24 3/16 x 19 7/8 in.)</t>
  </si>
  <si>
    <t>121.9 x 81.3 cm (48 x 32 in.)</t>
  </si>
  <si>
    <t>627 x 477 mm (primary support); 633 x 485 mm (secondary support)</t>
  </si>
  <si>
    <t>503 x 667 mm</t>
  </si>
  <si>
    <t>76.2 x 64 cm (30 x 25 3/16 in.)</t>
  </si>
  <si>
    <t>71.5 x 55.4 cm (28 1/8 x 21 3/4 in.)</t>
  </si>
  <si>
    <t>150 x 226 cm (59 x 89 in.)</t>
  </si>
  <si>
    <t>33 x 55 cm (13 x 21 5/8 in.)</t>
  </si>
  <si>
    <t>69.8 x 54.6 cm (27 1/2 x 21 1/2 in.)</t>
  </si>
  <si>
    <t>260 x 530 mm</t>
  </si>
  <si>
    <t>57.2 x 47.6 cm (22 1/2 x 18 3/4 in.)</t>
  </si>
  <si>
    <t>52.7 x 73 cm (20 3/4 x 28 3/4 in.)</t>
  </si>
  <si>
    <t>124.5 x 90.3 x 8 cm (49 x 35 1/2 x 3 in.)</t>
  </si>
  <si>
    <t>317 x 183 mm</t>
  </si>
  <si>
    <t>Left wing: 38 x 29.5 cm (14 15/16 x 11 5/8 in.); Painted image of left wing: 29.8 x 22.3 cm (11 3/4 x 8 3/4 in.)
Right wing: 38 x 29.5 cm (14 15/16 x 11 5/8 in.); Painted image of right wing: 30 x 22.3 cm (11 7/8 x 8 3/4 in.)</t>
  </si>
  <si>
    <t>550 x 432 mm</t>
  </si>
  <si>
    <t>12 1/2 x 12 1/2 in. (31.5 x 32 cm)</t>
  </si>
  <si>
    <t>33 x 22.9 cm (13 x 9 in.)</t>
  </si>
  <si>
    <t>569 x 398 mm</t>
  </si>
  <si>
    <t>270 x 327 mm (image); 413 x 469 mm (sheet)</t>
  </si>
  <si>
    <t>30 x 52 in. (76.2 x 132 cm)</t>
  </si>
  <si>
    <t>Approx. 42.7 x 64 cm (16 13/16 x 25 3/16 in.)</t>
  </si>
  <si>
    <t>108 x 93 mm</t>
  </si>
  <si>
    <t>255 x 181 mm</t>
  </si>
  <si>
    <t>186.7 x 259.4 cm (73 1/2 x 102 1/8 in.)</t>
  </si>
  <si>
    <t>406 x 508 mm</t>
  </si>
  <si>
    <t>54.9 x 43.2 cm (21 5/8 x 17 in.)</t>
  </si>
  <si>
    <t>340 x 228 mm</t>
  </si>
  <si>
    <t>81.6 x 49 cm (32 1/8 x 19 1/2 in.)</t>
  </si>
  <si>
    <t>454 x 353 mm</t>
  </si>
  <si>
    <t>92 x 65 cm (36 3/16 x 25 5/8 in.)</t>
  </si>
  <si>
    <t>285 x 397 mm</t>
  </si>
  <si>
    <t>91.4 x 127 cm (36 x 50 in.)</t>
  </si>
  <si>
    <t>278 x 182 mm</t>
  </si>
  <si>
    <t>127 x 101 mm</t>
  </si>
  <si>
    <t>71.1 x 50.8 cm (28 x 20 in.)</t>
  </si>
  <si>
    <t>25 3/4 x 36 3/8 in. (65.3 x 92.3 cm)</t>
  </si>
  <si>
    <t>90.8 x 101 cm (35 3/4 x 39 3/4 in.)</t>
  </si>
  <si>
    <t>57 1/2 x 45 in. (146 x 114.3 cm)</t>
  </si>
  <si>
    <t>61 x 66 cm (24 x 26 in.)</t>
  </si>
  <si>
    <t>113 x 180 mm</t>
  </si>
  <si>
    <t>218.4 x 561.3 cm (86 x 221 in.)</t>
  </si>
  <si>
    <t>68.9 x 102.2 cm (27 1/8 x 40 1/4 in.)</t>
  </si>
  <si>
    <t>262 x 210 mm</t>
  </si>
  <si>
    <t>36 3/8 x 24 in. (92.4 x 61 cm)</t>
  </si>
  <si>
    <t>168 x 234 mm (primary support); 213 x 308 mm (secondary support)</t>
  </si>
  <si>
    <t>322 x 238 mm</t>
  </si>
  <si>
    <t>34 x 28";  37 1/2" overall  33 1/2 x 28"</t>
  </si>
  <si>
    <t>64.8 x 54.6 cm (25 1/2 x 21 1/4 in.)</t>
  </si>
  <si>
    <t>73.7 x 94 cm (29 x 37 in.)</t>
  </si>
  <si>
    <t>354 x 279 mm</t>
  </si>
  <si>
    <t>316 x 478 mm</t>
  </si>
  <si>
    <t>301 x 220 mm</t>
  </si>
  <si>
    <t>172 x 258 mm</t>
  </si>
  <si>
    <t>29.2 x 23.5 cm (11 1/2 x 9 1/4 in.)</t>
  </si>
  <si>
    <t>113 x 142.2 cm (44 1/2 x 56 in.)</t>
  </si>
  <si>
    <t>250 x 205 mm</t>
  </si>
  <si>
    <t>215.9 x 203.2 cm (85 x 80 in.)</t>
  </si>
  <si>
    <t>72.6 x 55.4 cm (28 9/16 x 21 13/16 in.)</t>
  </si>
  <si>
    <t>232 x 307 mm</t>
  </si>
  <si>
    <t>190 x 275 mm</t>
  </si>
  <si>
    <t>91.4 x 71.1 cm (36 x 28 in.)</t>
  </si>
  <si>
    <t>1,295 x 305 mm</t>
  </si>
  <si>
    <t>209 x 128 mm</t>
  </si>
  <si>
    <t>121.92 x 153.04 cm (48 x 60 in.)</t>
  </si>
  <si>
    <t>161 x 126 mm</t>
  </si>
  <si>
    <t>83 x 113 mm</t>
  </si>
  <si>
    <t>654 x 456 mm</t>
  </si>
  <si>
    <t>183 x 183 cm (72 x 72 in.)</t>
  </si>
  <si>
    <t>574 x 784 mm</t>
  </si>
  <si>
    <t>201 x 280 mm</t>
  </si>
  <si>
    <t>237 x 313 mm</t>
  </si>
  <si>
    <t>484 x 1,194 mm</t>
  </si>
  <si>
    <t>165.1 x 208.2 cm (65 x 82 in.)</t>
  </si>
  <si>
    <t>13 1/4 x 16 3/16 in. (33.7 x 41.2 cm)</t>
  </si>
  <si>
    <t>13 5/8 x 11 1/4 in. (34.6 x 28.3 cm)</t>
  </si>
  <si>
    <t>Panel: 93.3 x 65.8 cm (36 3/4 x 25 7/8 in.); Painted Surface: 36 3/16 x 25 1/4 in.</t>
  </si>
  <si>
    <t>48 x 38 cm (19 x 15 in.)</t>
  </si>
  <si>
    <t>63.7 x 157.8 cm (25 1/8 x 62 1/8 in.)</t>
  </si>
  <si>
    <t>51 1/8 x 61 1/8 in. (129.9 x 155.3 cm)</t>
  </si>
  <si>
    <t>65.7 x 81.4 cm (25 7/8 x 32 1/16 in.)</t>
  </si>
  <si>
    <t>108 x 54 in. (274.3 x 137.2 cm)</t>
  </si>
  <si>
    <t>187.7 x 109.9 cm (73 7/8 x 43 1/4 in.)</t>
  </si>
  <si>
    <t>15 1/8 x 10 5/16 in. (38.5 x 26.2 cm)</t>
  </si>
  <si>
    <t>55 x 65.9 cm (21 5/8 x 25 15/16 in.)</t>
  </si>
  <si>
    <t>56 x 50.8 cm (22 x 20 in.)</t>
  </si>
  <si>
    <t>246 x 329 mm</t>
  </si>
  <si>
    <t>208 x 417 mm (primary and secondary supports)</t>
  </si>
  <si>
    <t>240 x 301 mm</t>
  </si>
  <si>
    <t>140 x 102.2 cm (55 1/8 x 40 1/4 in.)</t>
  </si>
  <si>
    <t>530 x 290 mm (image); 656 x 378 mm (sheet)</t>
  </si>
  <si>
    <t>101.6 x 76.2 cm (40 x 30 in.)</t>
  </si>
  <si>
    <t>562 x 715 mm</t>
  </si>
  <si>
    <t>Image: 23.2 x 19.7 cm (9 1/8 x 7 3/4 in.); Outermost Border: 27.4 x 21.2 cm (10 3/4 x 8 5/16 in.); Paper: 28.9 x 22.6 cm (28.9 x 8 7/8 in.)</t>
  </si>
  <si>
    <t>11 3/8 x 14 1/2 in. (28.9 x 36.8 cm)</t>
  </si>
  <si>
    <t>91.4 x 91.4 cm (36 x 36 in.)</t>
  </si>
  <si>
    <t>65 x 50 cm (25 5/8 x 19 5/8 in.)</t>
  </si>
  <si>
    <t>261 x 199 mm</t>
  </si>
  <si>
    <t>22 1/4 x 34 7/8 in. (56.6 x 88.6 cm)</t>
  </si>
  <si>
    <t>318 x 259 mm</t>
  </si>
  <si>
    <t>41.9 x 34.3 cm (16 1/2 x 13 1/2 in.)</t>
  </si>
  <si>
    <t>554 x 638 mm</t>
  </si>
  <si>
    <t>20.3 x 38.1 cm (8 x 15 in.)</t>
  </si>
  <si>
    <t>204 x 276 mm</t>
  </si>
  <si>
    <t>40.5 x 30.5 cm (16 x 12 in.); painted surface 39.5 x 29.3 cm (15 9/16 x 11 1/2 in.)</t>
  </si>
  <si>
    <t>233 x 370 mm</t>
  </si>
  <si>
    <t>197 x 287 mm</t>
  </si>
  <si>
    <t>85.2 x 58.6 cm (33 1/2 x 23 in.)</t>
  </si>
  <si>
    <t>203.2 x 289.6 cm (80 x 114 in.)</t>
  </si>
  <si>
    <t>9 3/8 x 7 7/16 in. (23.8 x 18.9 cm)</t>
  </si>
  <si>
    <t>459 x 380 mm</t>
  </si>
  <si>
    <t>100.3 x 80 cm (39 1/2 x 31 1/2 in.)</t>
  </si>
  <si>
    <t>302 x 236 mm</t>
  </si>
  <si>
    <t>466 x 394 mm</t>
  </si>
  <si>
    <t>557 x 735 mm</t>
  </si>
  <si>
    <t>72.1 x 80 cm (28 3/8 x 31 1/2 in.), without frame</t>
  </si>
  <si>
    <t>1,016 x 762 mm</t>
  </si>
  <si>
    <t>455 x 609 mm</t>
  </si>
  <si>
    <t>68.5 x 40.2 cm (27 x 15 13/16 in.); painted surface: 66.1 x 38.1 cm (26 1/32 x 15 in.)</t>
  </si>
  <si>
    <t>76.5 x 64.1 cm (30 1/8 x 25 1/4 in.)</t>
  </si>
  <si>
    <t>459 x 630 mm</t>
  </si>
  <si>
    <t>34 x 42 1/2 in. (86.3 x 107.9 cm)</t>
  </si>
  <si>
    <t>61 x 76.2 cm (24 x 30 in.)</t>
  </si>
  <si>
    <t>320 x 446 mm</t>
  </si>
  <si>
    <t>82.6 x 63.5 cm (32 1/2 x 25 in.)</t>
  </si>
  <si>
    <t>31.3 x 42 cm (12 5/16 x 16 1/2 in.)</t>
  </si>
  <si>
    <t>347 x 263 mm</t>
  </si>
  <si>
    <t>180.3 x 180.3 cm (71 1/8 x 71 1/8 in.)</t>
  </si>
  <si>
    <t>367 x 248 mm</t>
  </si>
  <si>
    <t>10 x 13 1/3 in.</t>
  </si>
  <si>
    <t>130.4 x 96.7 cm (51 1/4 x 38 1/8 in.)</t>
  </si>
  <si>
    <t>76.8 x 64.1 cm (30 1/4 x 25 1/4 in.)</t>
  </si>
  <si>
    <t>334 x 488 mm</t>
  </si>
  <si>
    <t>243.8 x 254.6 cm (96 x 100 1/4 in.)</t>
  </si>
  <si>
    <t>38 x 43 in. (96.7 x 109.2 cm)</t>
  </si>
  <si>
    <t>315 x 483 mm</t>
  </si>
  <si>
    <t>6 1/4 x 9 7/8 in. (15.8 x 25.1 cm)</t>
  </si>
  <si>
    <t>374 x 534 mm</t>
  </si>
  <si>
    <t>81.6 x 59.7 cm (32 1/8 x 23 1/2 in.)</t>
  </si>
  <si>
    <t>121 x 75 mm</t>
  </si>
  <si>
    <t>62 x 70 mm</t>
  </si>
  <si>
    <t>68.3 x 40 cm (26 7/8 x 15 3/4 in.); painted surface: 66.3 x 37.8 cm (26 1/16 x 14 7/8 in.)</t>
  </si>
  <si>
    <t>138 x 131 mm</t>
  </si>
  <si>
    <t>60 x 43.4 cm</t>
  </si>
  <si>
    <t>73.7 x 64.1 x 12.7 cm (29 x 25 1/4 x 5 in.)</t>
  </si>
  <si>
    <t>68 x 75 mm</t>
  </si>
  <si>
    <t>36 5/16 x 23 3/4 in. (91.5 x 60.8 cm)</t>
  </si>
  <si>
    <t>291 x 228 mm</t>
  </si>
  <si>
    <t>56.5 x 84.5 cm (22 1/4 x 33 1/4 in.)</t>
  </si>
  <si>
    <t>128 mm x 174 mm</t>
  </si>
  <si>
    <t>657 x 394 mm</t>
  </si>
  <si>
    <t>150 x 250 mm</t>
  </si>
  <si>
    <t>797 x 577 mm</t>
  </si>
  <si>
    <t>152.4 x 117.5 cm (60 x 46 1/4 in.)</t>
  </si>
  <si>
    <t>295 x 230 mm</t>
  </si>
  <si>
    <t>32 x 26"</t>
  </si>
  <si>
    <t>41.3 x 52.1 cm (16 1/4 x 20 1/2 in.)</t>
  </si>
  <si>
    <t>304 x 226 mm</t>
  </si>
  <si>
    <t>410 x 331 mm</t>
  </si>
  <si>
    <t>412 x 553 mm</t>
  </si>
  <si>
    <t>27.9 x 30.5 cm (11 x 12 in.)</t>
  </si>
  <si>
    <t>381 x 546 mm</t>
  </si>
  <si>
    <t>99.7 x 67.3 cm (39 1/4 x 26 1/2 in.)</t>
  </si>
  <si>
    <t>215 x 274 mm</t>
  </si>
  <si>
    <t>212.1 x 157 cm (83 1/2 x 61 13/16 in.)</t>
  </si>
  <si>
    <t>243.84 x 213.36 cm (96 x 84 in.), two joined panels</t>
  </si>
  <si>
    <t>200 x 200.7 cm (78 3/4 x 79 in.)</t>
  </si>
  <si>
    <t>74.3 x 62.2 cm (30 x 25 1/4 in.)</t>
  </si>
  <si>
    <t>48.6 x 65.2 cm (19 1/8 x 25 11/16 in.)</t>
  </si>
  <si>
    <t>171 mm x 250 mm</t>
  </si>
  <si>
    <t>192 x 160 mm</t>
  </si>
  <si>
    <t>203 x 253 mm</t>
  </si>
  <si>
    <t>557 x 407 mm</t>
  </si>
  <si>
    <t>9.2 x 5.5 cm (with wood box 17 x 13 x 3.5 cm)</t>
  </si>
  <si>
    <t>152.4 x 183.5 cm (60 x 72 1/4 in.), unframed</t>
  </si>
  <si>
    <t>178.4 x 295 cm (70 1/4 x 118 in.)</t>
  </si>
  <si>
    <t>224 x 335 mm</t>
  </si>
  <si>
    <t>34 1/2 x 30 1/2 in. (87.6 x 77.5 cm)</t>
  </si>
  <si>
    <t>183 x 367 mm</t>
  </si>
  <si>
    <t>263 x 218 mm</t>
  </si>
  <si>
    <t>220 x 293 mm</t>
  </si>
  <si>
    <t>461 x 604 mm</t>
  </si>
  <si>
    <t>251 mm x 170 mm</t>
  </si>
  <si>
    <t>28 1/2 x 35 3/4 in. (72.4 x 90.8 cm)</t>
  </si>
  <si>
    <t>227 x 304 mm</t>
  </si>
  <si>
    <t>256.5 x 114.9 cm (101 x 45 1/4 in.)</t>
  </si>
  <si>
    <t>36 1/2 x 25 7/8 in. (92.7 x 65.7 cm)</t>
  </si>
  <si>
    <t>100.3 x 144.8 cm (39 1/2 x 57 in.)</t>
  </si>
  <si>
    <t>686 x 563 mm</t>
  </si>
  <si>
    <t>382 x 278 mm</t>
  </si>
  <si>
    <t>60 x 60 in. (152.4 x 152.4 cm)</t>
  </si>
  <si>
    <t>28 3/4 x 23 1/4 in. (73 x 59 cm)</t>
  </si>
  <si>
    <t>69.8 x 80 cm (27 1/2 x 31 1/2 in.)</t>
  </si>
  <si>
    <t>73 x 103.5 cm (28 3/4 x 40 3/4 in.)</t>
  </si>
  <si>
    <t>339 x 607 mm 
426 x 684 mm (overall)</t>
  </si>
  <si>
    <t>137.8 x 140.3 cm (54 1/4 x 55 1/4 in.)</t>
  </si>
  <si>
    <t>251 mm x 167 mm</t>
  </si>
  <si>
    <t>488 x 331 mm</t>
  </si>
  <si>
    <t>203 x 254 mm</t>
  </si>
  <si>
    <t>48.3 x 55.9 cm (19 x 22 in.)</t>
  </si>
  <si>
    <t>56 x 48 in. (142.2 x 121.9 cm)</t>
  </si>
  <si>
    <t>9 5/8 x 25 9/16 in. (24.5 x 63.8 cm)</t>
  </si>
  <si>
    <t>203.2 x 177.9 cm (80 x 70 in.)</t>
  </si>
  <si>
    <t>40.6 x 36.8 cm (16 x 14 1/2 in.)</t>
  </si>
  <si>
    <t>25 x 20 cm (9 4/5 x 7 9/10 in.)</t>
  </si>
  <si>
    <t>550 x 745 mm</t>
  </si>
  <si>
    <t>387 x 556 mm</t>
  </si>
  <si>
    <t>47 x 58 15/16 in. (119.4 x 149.8 cm)</t>
  </si>
  <si>
    <t>324 x 236 mm</t>
  </si>
  <si>
    <t>254 x 355 mm</t>
  </si>
  <si>
    <t>184 x 271 mm</t>
  </si>
  <si>
    <t>500 x 767 mm</t>
  </si>
  <si>
    <t>45.7 x 37.8 cm (17 1/4 x 14 1/8 in.)</t>
  </si>
  <si>
    <t>207.7 x 219.1 cm (81 3/4 x 86 1/4 in.)</t>
  </si>
  <si>
    <t>409 x 328 mm</t>
  </si>
  <si>
    <t>111 x 93 mm</t>
  </si>
  <si>
    <t>42 x 131.7 cm (16 3/4 x 51 7/8 in.)</t>
  </si>
  <si>
    <t>393 x 516 mm</t>
  </si>
  <si>
    <t>249 x 363 mm</t>
  </si>
  <si>
    <t>1201 x 841 mm</t>
  </si>
  <si>
    <t>214 x 426 mm</t>
  </si>
  <si>
    <t>156.2 x 92.1 cm (61 1/2 x 36 1/4 in.)</t>
  </si>
  <si>
    <t>78 1/8 x 60 1/8 in. (198.5 x 152.6 cm)</t>
  </si>
  <si>
    <t>81 x 60 cm (31 7/8 x 23 5/8 in.)</t>
  </si>
  <si>
    <t>219 x 163 mm</t>
  </si>
  <si>
    <t>304.8 x 241.3 cm (120 x 95 in.)</t>
  </si>
  <si>
    <t>91.4 x 121.3 cm (36 x 47 3/4 in.)</t>
  </si>
  <si>
    <t>150 x 140 mm</t>
  </si>
  <si>
    <t>355 x 376 mm</t>
  </si>
  <si>
    <t>324 x 200 mm</t>
  </si>
  <si>
    <t>227 x 96 mm</t>
  </si>
  <si>
    <t>24 x 19 cm (9 1/2 x 7 1/2 in.)</t>
  </si>
  <si>
    <t>30 1/4 x 43 1/2 in. (76.8 x 110.5 cm)</t>
  </si>
  <si>
    <t>62.2 x 51.2 cm (24 1/2 x 20 1/8 in.)</t>
  </si>
  <si>
    <t>190 x 412 mm</t>
  </si>
  <si>
    <t>114.3 x 152.4 cm (45 x 60 in.)</t>
  </si>
  <si>
    <t>83.3 x 122 cm (32 3/4 x 48 in.)</t>
  </si>
  <si>
    <t>68 x 82 cm (26 3/4 x 32 1/4 in.)</t>
  </si>
  <si>
    <t>529 x 773 mm</t>
  </si>
  <si>
    <t>460 x 610 mm (image); 602 x 704 mm (sheet)</t>
  </si>
  <si>
    <t>186 x 73 cm (73 1/4 x 28 3/4 in.)</t>
  </si>
  <si>
    <t>127.3 x 101.9 cm (50 1/8 x 40 1/8 in.)</t>
  </si>
  <si>
    <t>485 x 651 mm</t>
  </si>
  <si>
    <t>243.8 x 325.1 cm (96 x 128 in.)</t>
  </si>
  <si>
    <t>73.6 x 63.5 cm (29 x 25 in.)</t>
  </si>
  <si>
    <t>260 mm x 176 mm</t>
  </si>
  <si>
    <t>8 1/4 x 17 7/8 in. (21.2 x 45.4 cm), unframed</t>
  </si>
  <si>
    <t>22 5/8 x 21 7/8 in. (57.5 x 55.6 cm)</t>
  </si>
  <si>
    <t>107 x 129 mm</t>
  </si>
  <si>
    <t>956 x 1,262 mm</t>
  </si>
  <si>
    <t>Painted Surface: 66.2 x 48.2 cm (26 1/8 x 19 1/4 in.)</t>
  </si>
  <si>
    <t>91.5 x 91.5 cm (36 x 36 in.)</t>
  </si>
  <si>
    <t>126 x 210 mm</t>
  </si>
  <si>
    <t>186 x 271 mm</t>
  </si>
  <si>
    <t>19 1/4 x 13 1/2 in. (48.6 x 34.3 cm)</t>
  </si>
  <si>
    <t>27.6 x 22.5 cm (10 15/16 x 8 15/16 in.)</t>
  </si>
  <si>
    <t>18 1/8 x 30 1/4 in. (46 x 77 cm)</t>
  </si>
  <si>
    <t>224 x 284 mm</t>
  </si>
  <si>
    <t>98.4 x 134.3 cm (38 3/4 x 52 7/8 in.)</t>
  </si>
  <si>
    <t>232 x 315 mm</t>
  </si>
  <si>
    <t>14.2 x 20 cm (5 5/8 x 7 7/8 in.)</t>
  </si>
  <si>
    <t>363 x 408 mm</t>
  </si>
  <si>
    <t>542 x 753 mm</t>
  </si>
  <si>
    <t>286 x 202 mm</t>
  </si>
  <si>
    <t>360 x 535 mm</t>
  </si>
  <si>
    <t>26.2 x 46.3 cm; 10 5/16 x 18 1/4 in.</t>
  </si>
  <si>
    <t>530 x 705 mm</t>
  </si>
  <si>
    <t>130.2 x 97.2 cm (51 1/4 x 38 1/4 in.)</t>
  </si>
  <si>
    <t>43.1 x 58.4 cm (17 x 23 in.)</t>
  </si>
  <si>
    <t>178 x 238 mm</t>
  </si>
  <si>
    <t>80 x 98 mm</t>
  </si>
  <si>
    <t>715 x 575 mm</t>
  </si>
  <si>
    <t>60.8 x 73 cm (23 1/2 x 28 1/2 in.)</t>
  </si>
  <si>
    <t>10 3/4 x 7 7/8 in. (27.3 x 20 cm); image: 10 1/4 x 7 7/16 in. (26 x 18.8 cm)</t>
  </si>
  <si>
    <t>98 x 117 cm (38 1/2 x 46 in.)</t>
  </si>
  <si>
    <t>39 1/2 x 34 in. (100.3 x 86.4 cm)</t>
  </si>
  <si>
    <t>45 9/16 x 62 1/2 in. (115.8 x 158.8 cm)</t>
  </si>
  <si>
    <t>43.2 x 53 cm (17 x 20 7/8 in.)</t>
  </si>
  <si>
    <t>595 x 509 mm</t>
  </si>
  <si>
    <t>50.4 x 35.7 cm (19 7/8 x 14 1/16 in.)</t>
  </si>
  <si>
    <t>225 x 160 mm</t>
  </si>
  <si>
    <t>442 x 323 mm</t>
  </si>
  <si>
    <t>116 x 73 cm (45 3/4 x 28 3/4 in.)</t>
  </si>
  <si>
    <t>407 x 507 mm</t>
  </si>
  <si>
    <t>65 x 49.2 cm (25 5/8 x 19 3/8 in.)</t>
  </si>
  <si>
    <t>47.5 x 56.4 cm (18 11/16 x 22 3/16 in.)</t>
  </si>
  <si>
    <t>100 x 227 mm</t>
  </si>
  <si>
    <t>28 1/2 x 38 13/16 in. (73 x 98.6 cm)</t>
  </si>
  <si>
    <t>223 x 96 mm</t>
  </si>
  <si>
    <t>128 x 160 mm</t>
  </si>
  <si>
    <t>332 x 294 mm</t>
  </si>
  <si>
    <t>575 x 401 mm</t>
  </si>
  <si>
    <t>58.6 x 74 cm (23 1/16 x 29 1/8 in.)</t>
  </si>
  <si>
    <t>7.8 x 6 cm (3 1/8 x 2 3/8 in.)</t>
  </si>
  <si>
    <t>66 x 81.8 cm (26 x 32 3/16 in.)</t>
  </si>
  <si>
    <t>89.3 x 71.5 cm (35 x 29 7/8 in.), without frame</t>
  </si>
  <si>
    <t>539 x 636 mm</t>
  </si>
  <si>
    <t>50.8 x 40.6 cm (20 x 16 in.)</t>
  </si>
  <si>
    <t>429 x 521 mm</t>
  </si>
  <si>
    <t>160 x 130.2 cm (63 x 51 1/4 in.)</t>
  </si>
  <si>
    <t>65.8 x 92.3 cm (25 15/16 x 36 3/8 in.)</t>
  </si>
  <si>
    <t>97.9 x 158.8 cm (38 9/16 x 62 1/2 in.)</t>
  </si>
  <si>
    <t>321 x 440 mm</t>
  </si>
  <si>
    <t>507 x 405 mm</t>
  </si>
  <si>
    <t>Panel: 43.6 x 67.6 cm (17 1/8 x 26 5/8 in.); Painted Surface: 40.4 x 64 cm (15 15/16 x 25 1/4 in.)</t>
  </si>
  <si>
    <t>11 3/4 x 8 1/4 in. (29.8 x 21 cm)</t>
  </si>
  <si>
    <t>stretcher: 29 15/16 x 26 9/16 in. (76 x 67.5 cm); irregular edges of the original canvas: 28 5/8 x 22 3/4 in. (72.7 x 57.8 cm); edges of the Oath on the RÃ¼tli image: 25 5/8 x 21 3/8 in. (65.1 x 54.3 cm)</t>
  </si>
  <si>
    <t>283 x 385 mm</t>
  </si>
  <si>
    <t>428 x 549 mm</t>
  </si>
  <si>
    <t>241 x 337 mm</t>
  </si>
  <si>
    <t>87 x 114.3 cm (34 1/2 x 45 in.), without frame</t>
  </si>
  <si>
    <t>23 7/8 x 18 7/8 in. (60.6 x 47.9 cm)</t>
  </si>
  <si>
    <t>762 x 559 mm</t>
  </si>
  <si>
    <t>52.1 x 71.4 cm (20 1/2 x 28 1/8 in.)</t>
  </si>
  <si>
    <t>408 x 308 mm</t>
  </si>
  <si>
    <t>22 3/4 x 16 1/2 in. (57.8 x 41.9 cm)</t>
  </si>
  <si>
    <t>175 x 256 mm</t>
  </si>
  <si>
    <t>7 1/2 x 11 1/2 in. (19.1 x 29.2 cm)</t>
  </si>
  <si>
    <t>412 x 512 mm</t>
  </si>
  <si>
    <t>32 7/8 x 46 13/16 in. (83.4 x 119 cm)</t>
  </si>
  <si>
    <t>363 x 288 mm</t>
  </si>
  <si>
    <t>360 x 448 mm</t>
  </si>
  <si>
    <t>26 1/8 x 31 3/16 in. (66.3 x 79.2 cm)</t>
  </si>
  <si>
    <t>71.1 x 61.7 cm (28 1/4 x 24 1/4 in.)</t>
  </si>
  <si>
    <t>55 3/4 x 57 in. (141.6 x 144.8 cm)</t>
  </si>
  <si>
    <t>115 x 97 mm</t>
  </si>
  <si>
    <t>770 x 578 mm</t>
  </si>
  <si>
    <t>69.9 x 101.6 cm (27 1/8 x 40 in.)</t>
  </si>
  <si>
    <t>208.2 x 157.5 cm (82 x 62 in.)</t>
  </si>
  <si>
    <t>19 3/4 x 25 5/8 in. (50.2 x 65.1 cm)</t>
  </si>
  <si>
    <t>315 x 362 mm</t>
  </si>
  <si>
    <t>35.9 x 60 cm (14 1/8 x 23 1/2 in.)</t>
  </si>
  <si>
    <t>191 x 146 mm</t>
  </si>
  <si>
    <t>30.5 x 24.9 cm (12 x 9 13/16 in.)</t>
  </si>
  <si>
    <t>301 x 191 mm</t>
  </si>
  <si>
    <t>37.5 x 48.3 cm (14 3/4 x 19 in.)</t>
  </si>
  <si>
    <t>43 3/4 x 54 1/4 in. (111.1 x 137.8 cm)</t>
  </si>
  <si>
    <t>365.8 x 350.6 cm (144 x 138 in.)</t>
  </si>
  <si>
    <t>56 7/16 x 17 1/16 in. (143.4 x 44.3 cm.)</t>
  </si>
  <si>
    <t>20.3 x 15.2 cm (8 x 6 in.)</t>
  </si>
  <si>
    <t>348 x 534 mm</t>
  </si>
  <si>
    <t>178 x 253 mm</t>
  </si>
  <si>
    <t>38.1 x 83.8 cm (15 x 33 in.)</t>
  </si>
  <si>
    <t>534 x 708 mm</t>
  </si>
  <si>
    <t>47.6 x 36.5 cm (18 3/4 x 14 3/8 in.)</t>
  </si>
  <si>
    <t>14 x 26 1/2 in.</t>
  </si>
  <si>
    <t>296 x 216 mm</t>
  </si>
  <si>
    <t>22 1/8 x 21 1/4 in. (56 x 54 cm)</t>
  </si>
  <si>
    <t>95.3 x 130.55 cm (37 1/2 x 51 3/8 in.)</t>
  </si>
  <si>
    <t>26 5/8 x 21 1/2 in. (67.7 x 54.7 cm)</t>
  </si>
  <si>
    <t>334 x 450 mm</t>
  </si>
  <si>
    <t>35 1/4 x 25 in. (89.5 x 63.5 cm)</t>
  </si>
  <si>
    <t>747 x 497 mm</t>
  </si>
  <si>
    <t>16 1/8 x 14 15/16 in. (41 x 38 cm)</t>
  </si>
  <si>
    <t>45.1 x 65.1 cm (17 3/4 x 25 5/8 in.)</t>
  </si>
  <si>
    <t>65.6 x 92.8 cm (25 13/16 x 36 1/2 in.)</t>
  </si>
  <si>
    <t>258 mm x 362 mm</t>
  </si>
  <si>
    <t>456 x 302 mm</t>
  </si>
  <si>
    <t>290 x 203 mm</t>
  </si>
  <si>
    <t>348 x 478 mm</t>
  </si>
  <si>
    <t>59.2 x 81 cm (23 5/16 x 31 7/8 in.)</t>
  </si>
  <si>
    <t>35.3 x 25.8 cm; (13 7/8 x 10 1/8 in.)
Painted surface: 31.4 x 25.8 cm (12 3/8 x 10 1/8 in.)</t>
  </si>
  <si>
    <t>109 x 94 cm (43 x 37 in.)</t>
  </si>
  <si>
    <t>216 x 280 mm</t>
  </si>
  <si>
    <t>232 x 349 mm</t>
  </si>
  <si>
    <t>64.8 x 47 cm (25 1/2 x 18 1/2 in.)</t>
  </si>
  <si>
    <t>182.9 x 289.6 cm (72 x 114 in.)</t>
  </si>
  <si>
    <t>303 x 401 mm</t>
  </si>
  <si>
    <t>364 mm x 260 mm</t>
  </si>
  <si>
    <t>21 x 24 1/2 in. (53.3 x 62.2 cm)</t>
  </si>
  <si>
    <t>156 x 151 mm</t>
  </si>
  <si>
    <t>51.4 x 39.4 cm (20 1/4 x 15 1/2 in.)</t>
  </si>
  <si>
    <t>120 x 96 mm</t>
  </si>
  <si>
    <t>280 x 230 x 35 mm</t>
  </si>
  <si>
    <t>19 5/8 x 23 15/16 in. (49.9 x 60.8 cm)</t>
  </si>
  <si>
    <t>90.2 x 105.4 cm (35 1/2 x 41 1/2 in.)</t>
  </si>
  <si>
    <t>448 x 527 mm</t>
  </si>
  <si>
    <t>72 x 42 7/16 in. (183 x 97.8 cm); painted surface: 66 x 32 3/4 in. (167.5 x 83.2 cm)</t>
  </si>
  <si>
    <t>43 3/4 x 56 1/8 in. (111.1 x 142.6 cm)</t>
  </si>
  <si>
    <t>31 1/2 x 23 5/8 in.</t>
  </si>
  <si>
    <t>237 x 156 mm</t>
  </si>
  <si>
    <t>121.9 x 152.4 cm (48 x 60 in.)</t>
  </si>
  <si>
    <t>567 x 769 mm</t>
  </si>
  <si>
    <t>116.8 x 88.9 cm (46 x 35 in.)</t>
  </si>
  <si>
    <t>127.7 x 101.6 cm (50 1/4 x 40 in.)</t>
  </si>
  <si>
    <t>174 mm x 131 mm</t>
  </si>
  <si>
    <t>63 5/8 x 32 3/4 in. (161.6 x 82.9 cm)</t>
  </si>
  <si>
    <t>636 x 484 mm</t>
  </si>
  <si>
    <t>305 x 208 mm</t>
  </si>
  <si>
    <t>509 x 378 mm</t>
  </si>
  <si>
    <t>250 x 285 mm</t>
  </si>
  <si>
    <t>167 x 269 mm</t>
  </si>
  <si>
    <t>277 x 200 mm</t>
  </si>
  <si>
    <t>115 x 89 mm</t>
  </si>
  <si>
    <t>313 x 201 mm</t>
  </si>
  <si>
    <t>93 x 149 mm</t>
  </si>
  <si>
    <t>154.5 x 87.4 cm (60 3/4 x 34 3/8 in.)</t>
  </si>
  <si>
    <t>630 x 485 mm</t>
  </si>
  <si>
    <t>129.5 x 88.9 cm (51 x 35 in.)</t>
  </si>
  <si>
    <t>120 x 118 mm</t>
  </si>
  <si>
    <t>127.6 x 153.4 cm (50 1/4 x 60 3/8 in.)</t>
  </si>
  <si>
    <t>227 x 329 mm</t>
  </si>
  <si>
    <t>23.5 x 34 cm (9 1/4 x 13 3/8 in.)</t>
  </si>
  <si>
    <t>553 x 367 mm (primary support); 770 x 567 mm (secondary support)</t>
  </si>
  <si>
    <t>137 x 102 mm (sight)</t>
  </si>
  <si>
    <t>727 x 918 mm</t>
  </si>
  <si>
    <t>782 x 587 mm</t>
  </si>
  <si>
    <t>18 1/4 x 15 1/16 in. (46.4 x 38.2 cm)</t>
  </si>
  <si>
    <t>200.7 x 128.9 cm (79 x 50 3/4 in.)</t>
  </si>
  <si>
    <t>259 x 334 mm</t>
  </si>
  <si>
    <t>713 x 561 mm</t>
  </si>
  <si>
    <t>94 x 56 mm</t>
  </si>
  <si>
    <t>31 3/4 x 39 3/4 in. (80.6 x 101 cm)</t>
  </si>
  <si>
    <t>246.5 x 160.1 cm (97 x 73 in.)</t>
  </si>
  <si>
    <t>22 1/2 x 29 in (57.2 x 73.7 cm)</t>
  </si>
  <si>
    <t>228 x 304 mm</t>
  </si>
  <si>
    <t>355 x 254 mm</t>
  </si>
  <si>
    <t>26.9 x 18.4 cm (10 5/8 x 7 1/4 in.)
Image: 25.4 x 16.9 cm (10 x 6 5/8 in.)</t>
  </si>
  <si>
    <t>75.6 x 62.9 cm (29 3/4 x 24 3/4 in.)</t>
  </si>
  <si>
    <t>53.3 x 40.6 cm (21 x 16 in.)</t>
  </si>
  <si>
    <t>610 x 489 mm</t>
  </si>
  <si>
    <t>105 x 80 mm</t>
  </si>
  <si>
    <t>51.4 x 71.8 cm (19 3/4 x 27 1/2 in.)</t>
  </si>
  <si>
    <t>14 x 9 5/8 in.</t>
  </si>
  <si>
    <t>99.1 x 79.4 cm (39 x 33 1/4 in.)</t>
  </si>
  <si>
    <t>121.9 x 101.6 cm (48 x 40 in.)</t>
  </si>
  <si>
    <t>217 x 247 mm (primary/secondary support)</t>
  </si>
  <si>
    <t>1,137 x 1,080 mm</t>
  </si>
  <si>
    <t>Size: 23 11/16 x 19 1/8"; 60.2 x 48.4 cm</t>
  </si>
  <si>
    <t>17.2 x 24.1 cm (6 3/4 x 9 1/2 in.)</t>
  </si>
  <si>
    <t>57.8 x 75.6 cm (22 3/4 x 29 3/4 in.)</t>
  </si>
  <si>
    <t>65.4 x 91.9 cm (25 3/4 x 35 7/8 in.)</t>
  </si>
  <si>
    <t>16 x 12 1/4 in.</t>
  </si>
  <si>
    <t>Panel: 37.6 x 72.4 cm (14 3/4 x 28 1/2 in.); Painted Surface: 33 x 68 cm (13 x 26 3/4 in.)</t>
  </si>
  <si>
    <t>193 x 129 mm</t>
  </si>
  <si>
    <t>188 x 355 mm</t>
  </si>
  <si>
    <t>365 x 295 mm</t>
  </si>
  <si>
    <t>260 mm x 364 mm</t>
  </si>
  <si>
    <t>81.6 x 168.3 cm (32 1/8 x 66 1/4 in.)</t>
  </si>
  <si>
    <t>43 9/16 x 31 5/16 in. (110.6 x 79.5 cm)</t>
  </si>
  <si>
    <t>7 1/4 x 9 3/4 in. (18.4 x 24.8 cm)</t>
  </si>
  <si>
    <t>258 x 361 mm</t>
  </si>
  <si>
    <t>45.1 x 100 cm (17 x 39 3/8 in.)</t>
  </si>
  <si>
    <t>27.3 x 40.2 cm (10 3/4 x 15 13/16 in.)</t>
  </si>
  <si>
    <t>32 1/8 x 22 5/8 in. (81.6 x 57.4 cm)</t>
  </si>
  <si>
    <t>577 x 796 mm</t>
  </si>
  <si>
    <t>21 x 15 7/8 in. (53.4 x 40.2 cm)</t>
  </si>
  <si>
    <t>38.7 x 76.8 cm (15 1/4 x 30 1/4 in.)</t>
  </si>
  <si>
    <t>307 x 282 mm</t>
  </si>
  <si>
    <t>253 x 199 mm</t>
  </si>
  <si>
    <t>246 x 395 mm</t>
  </si>
  <si>
    <t>117.5 x 100.3 cm (46 1/4 x 39 1/2 in.)</t>
  </si>
  <si>
    <t>359 x 536 mm</t>
  </si>
  <si>
    <t>37.5 x 43.7 cm (14 3/4 x 17 3/16 in.)</t>
  </si>
  <si>
    <t>117.8 x 84.8 cm (46 3/8 x 33 3/8 in.)</t>
  </si>
  <si>
    <t>612 x 484 mm</t>
  </si>
  <si>
    <t>66.5 x 63.7 cm (26 3/16 x 25 1/16 in.)</t>
  </si>
  <si>
    <t>28 x 37 cm (11 x 14.5 in.)</t>
  </si>
  <si>
    <t>127 x 150 mm</t>
  </si>
  <si>
    <t>404 x 530 mm</t>
  </si>
  <si>
    <t>365 x 283 mm</t>
  </si>
  <si>
    <t>127 x 102 cm (50 x 40 1/8 in.)</t>
  </si>
  <si>
    <t>41 1/2 x 25 11/16 in. (105.5 x 65.3 cm)</t>
  </si>
  <si>
    <t>243.8 x 274.3 cm (96 x 108 in.)</t>
  </si>
  <si>
    <t>49.5 x 27.5 cm (19 1/5 x 10 13/16 in.)</t>
  </si>
  <si>
    <t>507 x 662 mm</t>
  </si>
  <si>
    <t>369 x 530 mm</t>
  </si>
  <si>
    <t>575 x 519 mm</t>
  </si>
  <si>
    <t>445 x 345 mm</t>
  </si>
  <si>
    <t>208 x 209 mm</t>
  </si>
  <si>
    <t>25 3/4 x 18 1/4 in. (64.8 x 45.7 cm)</t>
  </si>
  <si>
    <t>65.3 x 54.8 cm (25 11/16 x 21 9/16 in.)</t>
  </si>
  <si>
    <t>14 3/4 x 25 7/8 in. (37.4 x 65.7 cm); painted surface: 14 1/8 x 25 3/8 in. (35.8 x 64.4 cm)</t>
  </si>
  <si>
    <t>78 x 61 cm (30 3/4 x 24 in.)</t>
  </si>
  <si>
    <t>569 x 626 mm</t>
  </si>
  <si>
    <t>151 x 264 mm</t>
  </si>
  <si>
    <t>88.9 x 116.9 cm (35 x 46 in.)</t>
  </si>
  <si>
    <t>236 x 325 mm</t>
  </si>
  <si>
    <t>62.2 x 74.9 cm (24 1/2 x 29 1/2 in.)</t>
  </si>
  <si>
    <t>47 x 34 cm (18 x 13 3/8 in.) (arched)</t>
  </si>
  <si>
    <t>Panel: 98.9 x 59.4 cm (39 x 23 3/8 in.); Painted surface: 97.7 x 57 cm (38 1/2 x 22 1/2 in.)</t>
  </si>
  <si>
    <t>127 x 76.2 cm (50 x 30 in.)</t>
  </si>
  <si>
    <t>230 x 190 mm</t>
  </si>
  <si>
    <t>260 x 353 mm</t>
  </si>
  <si>
    <t>101.6 x 81.3 cm (40 x 32 in.)</t>
  </si>
  <si>
    <t>66 x 61 cm (26 x 24 in.)</t>
  </si>
  <si>
    <t>15 x 18 in. (38.1 x 45.7 cm)</t>
  </si>
  <si>
    <t>310 x 238 mm</t>
  </si>
  <si>
    <t>183 x 265 mm</t>
  </si>
  <si>
    <t>506 x 355 mm</t>
  </si>
  <si>
    <t>105.1 x 90.2 cm (41 3/8 x 35 1/2 in.)</t>
  </si>
  <si>
    <t>Page: 30 x 19.5 cm (11 13/16 x 7 11/16 in.)
Painting: 16.8 x 12.7 cm (6 5/8 x 5 in.)</t>
  </si>
  <si>
    <t>18 5/16 x 13 1/4 in. (46.5 x 33.6 cm)</t>
  </si>
  <si>
    <t>69.3 x 66.1 cm (27 1/4 x 26 in.)</t>
  </si>
  <si>
    <t>58.4 x 48.3 cm (23 x 19 in.)</t>
  </si>
  <si>
    <t>21.7 x 27 cm (8 9/16 x 10 5/8 in.)</t>
  </si>
  <si>
    <t>324 x 202 mm</t>
  </si>
  <si>
    <t>132 x 169 mm</t>
  </si>
  <si>
    <t>84 x 142 cm (33 1/10 x 55 9/10 in.)</t>
  </si>
  <si>
    <t>310 x 455 mm</t>
  </si>
  <si>
    <t>585 x 857 mm (image); 698 x 970 mm (sheet)</t>
  </si>
  <si>
    <t>75 x 55.2 cm (29 1/2 x 21 3/4 in.); image (arched): 74 x 55.2 cm (29 1/8 x 21 3/4 in.)</t>
  </si>
  <si>
    <t>254 x 213.4 cm (100 x 84 in.)</t>
  </si>
  <si>
    <t>330 x 250 mm</t>
  </si>
  <si>
    <t>617 x 412 mm</t>
  </si>
  <si>
    <t>252 x 204 mm</t>
  </si>
  <si>
    <t>40 x 32 5/16 in. (101.7 x 82 cm)</t>
  </si>
  <si>
    <t>265 x 389 mm</t>
  </si>
  <si>
    <t>68.5 x 55.9 cm (27 x 22 in.)</t>
  </si>
  <si>
    <t>Image: 25 x 39.3 cm (9 7/8 x 15 1/2 in.); Border: 26.4 x 41 cm (10 3/8 x 16 1/8 in.); Paper: 31 x 45.5 cm (12 1/4 x 17 7/8 in.)</t>
  </si>
  <si>
    <t>114.3 x 91.4 cm (45 x 36 in.)</t>
  </si>
  <si>
    <t>13 1/8 x 9 1/2 in.</t>
  </si>
  <si>
    <t>76.2 x 101.6 cm (30 x 40 in.)</t>
  </si>
  <si>
    <t>565 x 780 mm</t>
  </si>
  <si>
    <t>7 1/8 x 5 7/16 in. (18.1 x 14.1 cm)</t>
  </si>
  <si>
    <t>290 x 224 mm</t>
  </si>
  <si>
    <t>26 x 21 1/2 in. (66 x 55.2 cm)</t>
  </si>
  <si>
    <t>143 x 268 mm</t>
  </si>
  <si>
    <t>184 x 266 mm</t>
  </si>
  <si>
    <t>38 x 49 x 2 cm (15 x 19 1/4 x 1/2 in.)</t>
  </si>
  <si>
    <t>28 3/4 x 22 1/4 in. (73 x 56.6 cm)</t>
  </si>
  <si>
    <t>16 x 14.5 cm (6 1/4 x 5 3/4 in.)</t>
  </si>
  <si>
    <t>80.7 x 74.9 cm (31 3/4 x 29 1/2 in.)</t>
  </si>
  <si>
    <t>700 x 525 mm</t>
  </si>
  <si>
    <t>7 1/4 x 10 1/8 in. (18.5 x 25.8 cm)</t>
  </si>
  <si>
    <t>599 x 478 mm</t>
  </si>
  <si>
    <t>111 x 88 mm</t>
  </si>
  <si>
    <t>79.9 x 92.2 cm (31 7/8 x 36 5/16 in.)</t>
  </si>
  <si>
    <t>21 3/4 x 18 1/4 in. (55.2 x 46.4 cm)</t>
  </si>
  <si>
    <t>166.4 x 95.3 cm (65 1/2 x 37 1/2 in.)</t>
  </si>
  <si>
    <t>182 x 232 mm</t>
  </si>
  <si>
    <t>18 x 15 1/8 in. (45.5 x 38.3 cm)</t>
  </si>
  <si>
    <t>374 x 525 mm</t>
  </si>
  <si>
    <t>51.5 x 77.2 cm (20 1/4 x 30 3/8 in.)</t>
  </si>
  <si>
    <t>17.4 x 23.3 cm (6 13/16 x 9 3/16 in.)</t>
  </si>
  <si>
    <t>19 5/8 x 12 5/8 in. (50 x 32 cm)</t>
  </si>
  <si>
    <t>229 x 102 mm</t>
  </si>
  <si>
    <t>81.6 x 127 cm (32 1/8 x 50 1/8 in.)</t>
  </si>
  <si>
    <t>10 x 17 7/8 in. (25.5 x 45.5 cm)</t>
  </si>
  <si>
    <t>82.6 x 83.8 cm (32.5 x 33 in.)</t>
  </si>
  <si>
    <t>200 x 160 cm (78 3/4 x 63 in.)</t>
  </si>
  <si>
    <t>13 5/16 x 22 5/8 in. (33.8 x 57.5 cm)
Painted surface: 12 13/16 x 22 in. (32.5 x 55.8 cm)</t>
  </si>
  <si>
    <t>32.1 x 25 cm (12 5/8 x 9 7/8 in.)</t>
  </si>
  <si>
    <t>48 x 60.4 cm (18 7/8 x 23 3/4 in.)</t>
  </si>
  <si>
    <t>210.6 x 109.3 cm (82 7/8 x 43 in.)</t>
  </si>
  <si>
    <t>649 x 508 mm</t>
  </si>
  <si>
    <t>74 x 89 mm</t>
  </si>
  <si>
    <t>102.2 x 127.6 cm (40 1/4 x 50 1/4 in.)</t>
  </si>
  <si>
    <t>55.88 x 58.42 cm (22 x 23 in.)</t>
  </si>
  <si>
    <t>73 x 59.7 cm (28 3/4 x 23 1/2 in.)</t>
  </si>
  <si>
    <t>64.8 x 54.6 cm (25 1/2 x 21 1/2 in.)</t>
  </si>
  <si>
    <t>65.3 x 54.9 cm (25 11/16 x 21 5/8 in.)</t>
  </si>
  <si>
    <t>28 3/4 x 36 1/4 in. (73 x 92.1 cm)</t>
  </si>
  <si>
    <t>585 x 482 mm</t>
  </si>
  <si>
    <t>17 1/16 x 10 7/16 in. (43.3 x 26.5 cm)</t>
  </si>
  <si>
    <t>17 1/8 x 13 3/4 in. (43.5 x 35 cm)</t>
  </si>
  <si>
    <t>50.5 x 59 cm (19 7/8 x 23 1/4 in.)</t>
  </si>
  <si>
    <t>21 x 27 cm (8 1/4 x 10 5/8 in.)</t>
  </si>
  <si>
    <t>81.7 x 47.8 cm (32 1/8 x 18 7/8 in.)</t>
  </si>
  <si>
    <t>640 x 490 mm</t>
  </si>
  <si>
    <t>413 x 495 mm; 578 x 645 mm (mount)</t>
  </si>
  <si>
    <t>31.5 x 26 cm (12 3/8 x 10 1/4 in.)</t>
  </si>
  <si>
    <t>200 x 260.5 cm (78 3/4 x 102 1/2 in.)</t>
  </si>
  <si>
    <t>182.9 x 137.2 cm (72 x 54 in.)</t>
  </si>
  <si>
    <t>49.2 x 58.6 cm (19 3/8 x 23 in.)</t>
  </si>
  <si>
    <t>185 x 299 mm</t>
  </si>
  <si>
    <t>42 x 98 cm (16 1/2 x 38 1/2 in.)</t>
  </si>
  <si>
    <t>392 x 521 mm; 553 x 732 mm (mount)</t>
  </si>
  <si>
    <t>548 x 772 mm</t>
  </si>
  <si>
    <t>59.7 x 41.9 cm (23 1/2 x 16 1/2 in.)</t>
  </si>
  <si>
    <t>68.9 x 102.6 cm (27 1/8 x 40 3/8 in.)</t>
  </si>
  <si>
    <t>609 x 456 mm</t>
  </si>
  <si>
    <t>345 mm x 243 mm</t>
  </si>
  <si>
    <t>Image: 24.7 x 15.9 cm (9 11/16 x 6 1/4 in.); Outermost Border: 15.4 x 29.7 cm (6 1/16 x 11 11/16 in.); Paper: 47.4 x 30.8 cm (18 3/4 x 12 1/8 in.)</t>
  </si>
  <si>
    <t>497 x 560 mm</t>
  </si>
  <si>
    <t>58.6 x 84.2 cm (23 x 33 1/8 in.)</t>
  </si>
  <si>
    <t>32.4 x 41 cm (12 3/4 x 16 1/8 in.)</t>
  </si>
  <si>
    <t>182.8 x 121.9 cm (72 x 48 in.)</t>
  </si>
  <si>
    <t>97 x 126 cm (38 3/16 x 49 11/16 in.)</t>
  </si>
  <si>
    <t>756 x 555 mm</t>
  </si>
  <si>
    <t>34.0 x 560.0 cm (13 3/8 x 221 5/8 in.)</t>
  </si>
  <si>
    <t>61.6 x 114.6 cm (25 1/4 x 45 1/8 in.)</t>
  </si>
  <si>
    <t>152 x 185 mm</t>
  </si>
  <si>
    <t>39 x 31 4/8 in.</t>
  </si>
  <si>
    <t>176 mm x 253 mm</t>
  </si>
  <si>
    <t>170 x 126 mm</t>
  </si>
  <si>
    <t>263 x 340 mm</t>
  </si>
  <si>
    <t>71.1 x 81.3 x 5.1 cm (28 x 32 x 2 in.)</t>
  </si>
  <si>
    <t>116.8 x 86.4 cm (46 x 34 in.)</t>
  </si>
  <si>
    <t>84.1 x 158 cm (33 1/8 x 62 3/16 in.)</t>
  </si>
  <si>
    <t>39 x 50 cm (15 1/2 x 20 in.)</t>
  </si>
  <si>
    <t>34 x 39 15/16 in. (86.5 x 101.5 cm)</t>
  </si>
  <si>
    <t>30.5 x 26.5 cm (12 x 10 1/2 in.)</t>
  </si>
  <si>
    <t>89.9 x 65.2 cm (35 1/2 x 25 5/8 in.)</t>
  </si>
  <si>
    <t>255.6 x 223.5 cm (100 7/8 x 88 in.)</t>
  </si>
  <si>
    <t>55 x 45 cm (21 x 16 5/8 in.)</t>
  </si>
  <si>
    <t>77.5 x 77.5 cm (30 1/2 x 30 1/2 in.)</t>
  </si>
  <si>
    <t>38.8 x 55.5 cm (15 1/4 x 21 13/16 in.)</t>
  </si>
  <si>
    <t>72.9 x 60 cm (28 11/16 x 23 5/8 in.)</t>
  </si>
  <si>
    <t>140.4 x 91.4 cm (55 3/10 x 36 in.)</t>
  </si>
  <si>
    <t>12 7/8 x 16 3/4 in. (32.7 x 42.5 cm)</t>
  </si>
  <si>
    <t>412 x 469 mm</t>
  </si>
  <si>
    <t>184 x 269 mm</t>
  </si>
  <si>
    <t>207 x 206 mm</t>
  </si>
  <si>
    <t>285 x 444 mm</t>
  </si>
  <si>
    <t>625 x 480 mm</t>
  </si>
  <si>
    <t>91.4 x 76.2 cm (36 x 30 in.)</t>
  </si>
  <si>
    <t>1,035 x 1,702 mm</t>
  </si>
  <si>
    <t>152.4 x 127 cm (60 x 50 in.)</t>
  </si>
  <si>
    <t>106 x 97 mm</t>
  </si>
  <si>
    <t>58.6 x 63.6 cm (23 x 25 in.)</t>
  </si>
  <si>
    <t>68 x 73 mm</t>
  </si>
  <si>
    <t>19 x 23 1/2 in. (48.2 x 59.7 cm)</t>
  </si>
  <si>
    <t>119 x 93.5 cm (46 7/8 x 36 3/4 in.); painted surface 117 x 92 cm (46 1/8 x 36 1/4 in.)</t>
  </si>
  <si>
    <t>32 x 40 in. (81.3 x 101.6 cm)</t>
  </si>
  <si>
    <t>253 x 183 mm (primary support); 304 x 238 mm (secondary support)</t>
  </si>
  <si>
    <t>203 x 303 mm</t>
  </si>
  <si>
    <t>86.6 x 111.9 cm (34 1/8 x 44 1/4 in.)</t>
  </si>
  <si>
    <t>31 15/16 x 25 1/2 in. (81.1 x 64.8 cm)</t>
  </si>
  <si>
    <t>376 x 534 mm</t>
  </si>
  <si>
    <t>11 1/4 x 8 1/8 in.</t>
  </si>
  <si>
    <t>43.2 x 100.3 cm (17 x 39 1/2 in.)</t>
  </si>
  <si>
    <t>76.8 x 114.9 cm (30 1/4 x 45 1/4 in.)</t>
  </si>
  <si>
    <t>408 x 320 mm</t>
  </si>
  <si>
    <t>233 x 304 mm</t>
  </si>
  <si>
    <t>40 x 52.4 cm (15 3/4 x 20 5/8 in.)</t>
  </si>
  <si>
    <t>13 3/8 x 8 3/8 in. (33.7 x 21.3 cm)</t>
  </si>
  <si>
    <t>91.8 x 150.2 cm (36 1/8 x 59 1/8 in.)</t>
  </si>
  <si>
    <t>37.8 x 24.6 cm (14 7/8 x 9 11/16 in.)</t>
  </si>
  <si>
    <t>22.9 x 15.2 cm (9 x 6 in.)</t>
  </si>
  <si>
    <t>38.7 x 49.5 cm (15 1/4 x 19 1/2 in.)</t>
  </si>
  <si>
    <t>762 x 572 mm</t>
  </si>
  <si>
    <t>89.4 x 89.5 cm (35 3/16 x 35 1/4 in.)</t>
  </si>
  <si>
    <t>557 x 762 mm</t>
  </si>
  <si>
    <t>385 x 272 mm</t>
  </si>
  <si>
    <t>15 1/16 x 12 5/16 in. (39.1 x 30.5 cm)</t>
  </si>
  <si>
    <t>183 x 247 mm</t>
  </si>
  <si>
    <t>135 x 121 mm</t>
  </si>
  <si>
    <t>243 x 395 mm</t>
  </si>
  <si>
    <t>19 3/4 x 24 in. (50.3 x 61 cm)</t>
  </si>
  <si>
    <t>239 x 191 mm</t>
  </si>
  <si>
    <t>282 x 205 mm</t>
  </si>
  <si>
    <t>151 x 124 mm</t>
  </si>
  <si>
    <t>27 x 40.6 cm (10 5/8 x 15 15/16 in.)</t>
  </si>
  <si>
    <t>91.4 x 152.4 cm (36 x 60 in.), Three panels, each</t>
  </si>
  <si>
    <t>12 3/4 x 17 in. (32.6 x 43.3 cm)</t>
  </si>
  <si>
    <t>195.6 x 97.8 cm (77 x 38 1/2 in.)</t>
  </si>
  <si>
    <t>119 x 143 mm (primary/secondary supports)</t>
  </si>
  <si>
    <t>17 15/16 x 21 7/8 in. (45.6 x 55.6 cm)</t>
  </si>
  <si>
    <t>38.4 x 46.7 cm (15 1/8 x 18 3/8 in.)</t>
  </si>
  <si>
    <t>28.6 x 34.7 cm (11 1/4 x 13 3/4 in.); Right Page: 29.1 x 17.8 cm (11 7/16 x  7 in.); Left Page: 28.9 x 18.4 cm (11 3/8 x 7 1/4 in.)</t>
  </si>
  <si>
    <t>30 x 38 1/2 in. (76.5 x 98.5 cm)</t>
  </si>
  <si>
    <t>11 7/16 x 15 3/4 in. (30.3 x 40 cm)</t>
  </si>
  <si>
    <t>35 x 27 in. (88.9 x 68.5 cm)</t>
  </si>
  <si>
    <t>18 1/8 x 14 1/2 in. (46 x 36.8 cm)</t>
  </si>
  <si>
    <t>68 x 78 cm (26 3/4 x 30 3/4 in.)</t>
  </si>
  <si>
    <t>386 x 482 mm</t>
  </si>
  <si>
    <t>19 1/4 x 25 in. (49 x 64 cm)</t>
  </si>
  <si>
    <t>575 x 761 mm</t>
  </si>
  <si>
    <t>19 3/4 x 24 1/8 in. (50.2 x 61.3 cm)</t>
  </si>
  <si>
    <t>65.4 x 90.8 cm (25 3/4 x 35 3/4 in.)</t>
  </si>
  <si>
    <t>156 x 162 mm</t>
  </si>
  <si>
    <t>31 15/16 x 48 15/16 in. (81.1 x 124.3 cm)</t>
  </si>
  <si>
    <t>100.5 x 110.5 cm (39 9/16 x 43 1/2 in.)</t>
  </si>
  <si>
    <t>30.6 x 41.5 cm (12 1/16 x 16 1/4 in.)</t>
  </si>
  <si>
    <t>270 x 204 mm</t>
  </si>
  <si>
    <t>297 x 532 mm (paper); 305 x 540 x 2.5 mm (stretcher)</t>
  </si>
  <si>
    <t>381 x 559 mm</t>
  </si>
  <si>
    <t>228 x 285 mm</t>
  </si>
  <si>
    <t>335.3 x 228.6 cm (132 x 90 in.)</t>
  </si>
  <si>
    <t>186 x 153 mm</t>
  </si>
  <si>
    <t>30 1/16 x 25 1/16 in. (76.4 x 63.6 cm)</t>
  </si>
  <si>
    <t>395 x 287 mm</t>
  </si>
  <si>
    <t>76.2 x 102.9 cm (30 x 40 1/2 in.)</t>
  </si>
  <si>
    <t>58.4 x 78.7 cm (23 x 31 in.)</t>
  </si>
  <si>
    <t>28 7/8 x 36 in.</t>
  </si>
  <si>
    <t>91.4 x 304.8 cm (36 x 120 in.)</t>
  </si>
  <si>
    <t>9 1/8 x 6 11/16 in. (23.2 x 17 cm)</t>
  </si>
  <si>
    <t>616 x 488 mm</t>
  </si>
  <si>
    <t>25 x 30 5/16 in. (63.5 x 77 cm)</t>
  </si>
  <si>
    <t>161.9 x 201.9 cm (62 3/4 x 79 1/2 in.)</t>
  </si>
  <si>
    <t>371 x 586 mm</t>
  </si>
  <si>
    <t>59.1 x 48.9 cm (23 1/4 x 19 1/4 in.)</t>
  </si>
  <si>
    <t>230 x 310 mm</t>
  </si>
  <si>
    <t>96.8 x 81.6 cm (38 1/8 x 32 1/8 in.)</t>
  </si>
  <si>
    <t>39 3/4 x 53 3/16 in. (101 x 135.1 cm)</t>
  </si>
  <si>
    <t>14 7/8 x 18 1/8 in. (37.8x 46.2 cm)</t>
  </si>
  <si>
    <t>95.3 x 102.9 cm (37 1/2 x 40 1/2 in.)</t>
  </si>
  <si>
    <t>55.4 x 46.3 cm (21 3/4 x 18 1/4 in.)</t>
  </si>
  <si>
    <t>216 x 287 mm</t>
  </si>
  <si>
    <t>29 7/16 x 22 11/16 in. (74.7 x 57.6 cm)</t>
  </si>
  <si>
    <t>46.6 x 33.3 cm (18 1/4 x 13 1/8 in.); painted surface: 45.3 x 32.5 cm (17 3/16 x 12 13/16 in.)</t>
  </si>
  <si>
    <t>54.6 x 45.7 cm (21 1/2 x 18 in.)</t>
  </si>
  <si>
    <t>107 x 90 mm</t>
  </si>
  <si>
    <t>375 x 283 mm</t>
  </si>
  <si>
    <t>160 x 168 mm</t>
  </si>
  <si>
    <t>292 x 215 mm</t>
  </si>
  <si>
    <t>161 x 239 mm</t>
  </si>
  <si>
    <t>Image: 23 x 11.4 cm (9 1/16 x 4 1/2 in.); Outermost Border: 24 x 15.8 cm (9 7/16 x 6 3/16 in.); Paper: 30.6 x 22.5 cm (12 1/16 x 8 7/8 in.)</t>
  </si>
  <si>
    <t>218 x 285 mm</t>
  </si>
  <si>
    <t>71.1 x 81.3 cm (28 x 32 in.)</t>
  </si>
  <si>
    <t>7 7/16 x 9 1/2 in. (18.9 x 24.1 cm)</t>
  </si>
  <si>
    <t>137 x 227 mm</t>
  </si>
  <si>
    <t>256 x 356 mm</t>
  </si>
  <si>
    <t>191 x 180 mm</t>
  </si>
  <si>
    <t>538 x 403 mm</t>
  </si>
  <si>
    <t>30.5 x 50.8 cm (12 x 20 in.)</t>
  </si>
  <si>
    <t>21 9/16 x 30 1/16 in. (54.8 x 76.4 cm)</t>
  </si>
  <si>
    <t>340 x 520 mm</t>
  </si>
  <si>
    <t>471 x 598 mm</t>
  </si>
  <si>
    <t>103.5 x 95.2 x 10.8 cm (41 1/2 x 38 1/4 x 4 1/2 in.)</t>
  </si>
  <si>
    <t>182.3 x 125.7 cm (71 3/4 x 49 1/2 in.)</t>
  </si>
  <si>
    <t>43 x 61 cm (17 x 24 in.)</t>
  </si>
  <si>
    <t>60 3/8 x 60 in. (153.5 x 152.5 cm)</t>
  </si>
  <si>
    <t>34 1/2 x 29 1/2 in.</t>
  </si>
  <si>
    <t>33 x 24.9 cm (13 x 9 7/8 in.)</t>
  </si>
  <si>
    <t>127 x 101.6 cm (50 x 40 in.)</t>
  </si>
  <si>
    <t>7 1/4 x 10 3/8 in. (18.5 x 25.9 cm)</t>
  </si>
  <si>
    <t>450 x 294 mm</t>
  </si>
  <si>
    <t>63.4 x 49.6 cm (24 15/16 x 19 9/16 in.)</t>
  </si>
  <si>
    <t>9 1/4 x 14 in. (23.5 x 35.7 cm)</t>
  </si>
  <si>
    <t>322 x 412 mm</t>
  </si>
  <si>
    <t>670 x 794 mm</t>
  </si>
  <si>
    <t>530 x 470 mm</t>
  </si>
  <si>
    <t>199.4 x 228 cm (78 1/2 x 89 3/4 in.)</t>
  </si>
  <si>
    <t>77.5 x 45 1/4 cm (30 1/2 x 45 1/4 in.)</t>
  </si>
  <si>
    <t>51 1/4 x 35 1/4 in. (130.2 x 89.5 cm)</t>
  </si>
  <si>
    <t>197 x 291 mm</t>
  </si>
  <si>
    <t>160 x 265 mm</t>
  </si>
  <si>
    <t>23 5/8 x 36 1/4 in. (60 x 92 cm)</t>
  </si>
  <si>
    <t>213.3 x 304.8 cm (83.9 x 120 in.)</t>
  </si>
  <si>
    <t>649 x 477 mm (max)</t>
  </si>
  <si>
    <t>277 x 229 mm</t>
  </si>
  <si>
    <t>422 x 353 mm</t>
  </si>
  <si>
    <t>55.8 x 42.7 cm (22 x 16 3/4 in.)</t>
  </si>
  <si>
    <t>250 x 164 mm</t>
  </si>
  <si>
    <t>380 x 545 mm</t>
  </si>
  <si>
    <t>482 x 610 mm</t>
  </si>
  <si>
    <t>181.6 x 151.1 cm (71 1/2 x 59 1/2 in.)</t>
  </si>
  <si>
    <t>188 x 149.9 cm (74 x 59 in.)</t>
  </si>
  <si>
    <t>198.1 x 182.9 cm (78 x 72 in.)</t>
  </si>
  <si>
    <t>113.7 x 161.5 cm (44 3/4 x 63 5/8 in.)</t>
  </si>
  <si>
    <t>68 x 89.8 cm (26 3/4 x 35 3/8 in.)</t>
  </si>
  <si>
    <t>254 x 321 mm</t>
  </si>
  <si>
    <t>405 x 508 mm</t>
  </si>
  <si>
    <t>49.5 x 72.1 cm (19 1/2 x 28 3/8 in.)</t>
  </si>
  <si>
    <t>221.6 x 130.2 cm (87 1/4 x 51 1/4 in.)</t>
  </si>
  <si>
    <t>102.1 x 134.3 cm (40 3/16 x 52 7/8 in.)</t>
  </si>
  <si>
    <t>495 x 571 mm</t>
  </si>
  <si>
    <t>87.6 x 59.7 cm (34 1/2 x 23 1/2 in.)</t>
  </si>
  <si>
    <t>33 x 31 cm (12 7/8 x 12 in.)</t>
  </si>
  <si>
    <t>91.5 x 70 cm (36 x 27 1/2 in.)</t>
  </si>
  <si>
    <t>91.4 x 63.5 cm (36 x 25 in.)</t>
  </si>
  <si>
    <t>352 x 457 mm (primary support); 375 x 475 mm (secondary support, including decorative collar); 440 x 537 mm (tertiary support)</t>
  </si>
  <si>
    <t>68.6 x 101.7 cm (27 x 40 1/16 in.)</t>
  </si>
  <si>
    <t>615 x 470 mm</t>
  </si>
  <si>
    <t>68.6 x 63.5 cm (27 x 25 in.)</t>
  </si>
  <si>
    <t>86.7 x 69.2 cm (34 1/8 x 27 1/4 in.)</t>
  </si>
  <si>
    <t>39 x 27.5 cm (15 3/8 x 10 13/16 in.)</t>
  </si>
  <si>
    <t>409 x 329 mm</t>
  </si>
  <si>
    <t>11 1/2 x 15 5/8 in. (29.2 x 39.7 cm)</t>
  </si>
  <si>
    <t>41 1/4 x 33 1/8 in. (104.8 x 84.1 cm)</t>
  </si>
  <si>
    <t>155 x 86 cm (60 x 33 Â¾ in.)</t>
  </si>
  <si>
    <t>269 x 346 mm</t>
  </si>
  <si>
    <t>167.6  x 196 cm (66 x 77 in.)</t>
  </si>
  <si>
    <t>230 x 292 mm</t>
  </si>
  <si>
    <t>55.5 x 43.2 cm (21 7/8 x 17 in.)</t>
  </si>
  <si>
    <t>203 x 153 cm (80 x 60 1/4 in.)</t>
  </si>
  <si>
    <t>21 x 16.8 cm (8 1/4 x 6 5/8 in.)</t>
  </si>
  <si>
    <t>418 x 296 mm</t>
  </si>
  <si>
    <t>130 x 170 cm (51 x 66 in.)</t>
  </si>
  <si>
    <t>16 x 12 7/8 in. (40.1 x 32.3 cm)</t>
  </si>
  <si>
    <t>858 x 592 mm</t>
  </si>
  <si>
    <t>129.5 x 78.5 cm (51 x 30 7/8 in.)</t>
  </si>
  <si>
    <t>54.8 x 65.8 cm (21 5/8 x 25 7/8 in.)</t>
  </si>
  <si>
    <t>115.6 x 85.2 cm (45 1/2 x 33 9/16 in.)</t>
  </si>
  <si>
    <t>31 7/8 x 39 1/2 in. (81 x 100.5 cm)</t>
  </si>
  <si>
    <t>Paper: 37.5 x 54.0 cm (14 3/4 x 21 1/4 in.); image: 33.8 x 50.2 cm (13 5/16 x 19 3/4 in.)</t>
  </si>
  <si>
    <t>26 x 35.9 cm (10 1/4 x 14 1/8 in.)</t>
  </si>
  <si>
    <t>316 x 456 mm</t>
  </si>
  <si>
    <t>19.7 x 35.1 cm (7 3/4 x 13 13/16 in.)</t>
  </si>
  <si>
    <t>117.3 x 89.5 cm (46 3/16 x 35 1/4 in.)</t>
  </si>
  <si>
    <t>276 x 202 mm</t>
  </si>
  <si>
    <t>123.5 x 89.5 cm (48 5/8 x 35 1/4 in.)</t>
  </si>
  <si>
    <t>55.9 x 71.5 cm (22 x 28 1/8 in.)</t>
  </si>
  <si>
    <t>36.2 x 27.9 cm (14 1/4 x 11 in.)</t>
  </si>
  <si>
    <t>76.2 x 61 cm (30 x 24 in.)</t>
  </si>
  <si>
    <t>102.4 x 200.7 cm (41 5/16 x 79 in.)</t>
  </si>
  <si>
    <t>157 x 215 mm</t>
  </si>
  <si>
    <t>108 x 104 mm</t>
  </si>
  <si>
    <t>43 1/2 x 33 3/4 in. (110.6 x 85.8 cm)</t>
  </si>
  <si>
    <t>268 x 212 mm (primary support); 343 x 277 mm (secondary support)</t>
  </si>
  <si>
    <t>281 x 215 mm</t>
  </si>
  <si>
    <t>96.8 x 84.1 cm (30 1/4 x 25 5/16 in.)</t>
  </si>
  <si>
    <t>27 1/4 x 19 3/4 in. (69.2 x 50 cm)</t>
  </si>
  <si>
    <t>315 x 218 mm</t>
  </si>
  <si>
    <t>115.3 x 84.2 cm (45 3/8 x 32 5/8 in.)</t>
  </si>
  <si>
    <t>95.8 x 77 cm (37 3/4 x 30 5/16 in.)</t>
  </si>
  <si>
    <t>106.7 x 79 cm (42 x 31 1/8 in.)</t>
  </si>
  <si>
    <t>73.6 x 94 cm (29 x 37 in.)</t>
  </si>
  <si>
    <t>193.7 x 183.5 cm (76 1/4 x 72 1/4 in.)</t>
  </si>
  <si>
    <t>94 x 223 mm</t>
  </si>
  <si>
    <t>63 x 68 mm</t>
  </si>
  <si>
    <t>51.1 x 66.4 cm (20 1/8 x 26 1/8 in.)</t>
  </si>
  <si>
    <t>63.5 x 54.3 cm (25 x 21 3/8 in.)</t>
  </si>
  <si>
    <t>288 x 509 mm</t>
  </si>
  <si>
    <t>34 x 27.4 cm (13 3/8 x 10 13/16 in.)
Image: 33.5 x 26.5 cm (13 3/16 x 10 5/16 in.)</t>
  </si>
  <si>
    <t>46 1/16 x 36 1/16 in. (117 x 91.6 cm)</t>
  </si>
  <si>
    <t>65 x 106 mm</t>
  </si>
  <si>
    <t>78.7 x 101.6 cm (31 x 40 in.)</t>
  </si>
  <si>
    <t>253 x 418 mm</t>
  </si>
  <si>
    <t>576 x 425 mm</t>
  </si>
  <si>
    <t>43.5 x 36.8 cm (17 1/8 x 14 1/2 in.)</t>
  </si>
  <si>
    <t>17.4 x 22.4 cm (6 13/16 x 8 3/4 in.)</t>
  </si>
  <si>
    <t>76.5 x 64.5 cm (30 3/16 x 25 3/8 in.)</t>
  </si>
  <si>
    <t>147 x 236 mm</t>
  </si>
  <si>
    <t>32 x 49 1/2 in. (81.3 x 125.2 cm)</t>
  </si>
  <si>
    <t>94.6 x 120.6 cm (37 1/2 x 47 1/2 in.)</t>
  </si>
  <si>
    <t>122 x 229 mm</t>
  </si>
  <si>
    <t>240 x 314 mm</t>
  </si>
  <si>
    <t>183 x 127 mm</t>
  </si>
  <si>
    <t>48.2 x 28.7 cm (19 1/8 x 11 3/8 in.); painted surface: 40.7 x 23.3 cm (16 x 9 3/16 in.)</t>
  </si>
  <si>
    <t>67 x 74 cm (26 1/2 x 29 1/4 in.)</t>
  </si>
  <si>
    <t>780 x 565 mm</t>
  </si>
  <si>
    <t>408 x 277 mm (primary support); 475 x 340 mm (secondary support)</t>
  </si>
  <si>
    <t>995 x 769 mm</t>
  </si>
  <si>
    <t>101.9 x 92.1 cm (40 1/8 x 36 1/4 in.)</t>
  </si>
  <si>
    <t>4 1/2 x 7 3/4 in. (12 x 20 cm)</t>
  </si>
  <si>
    <t>77.5 x 64.1 cm (30 1/2 x 25 1/4 in.)</t>
  </si>
  <si>
    <t>65.8 x 101 cm (27 7/8 x 39 3/4 in.)</t>
  </si>
  <si>
    <t>50 x 40 in. (127 x 101.6 cm)</t>
  </si>
  <si>
    <t>72 x 113.3 cm (28 3/8 x 44 5/8 in.)</t>
  </si>
  <si>
    <t>Panel: 54.8 x 35.5 cm (21 9/16 x 14 in.); Painted Surface: 51.3 x 33.7 cm (20 3/16 x 13 1/4 in.)</t>
  </si>
  <si>
    <t>218.4 x 287 cm (86 x 113 in.)</t>
  </si>
  <si>
    <t>72.7 x 50.3 cm (28 5/8 x 19 3/4 in.); With Frame: 81.9 x 61 cm (32 1/4 x 24 in.)</t>
  </si>
  <si>
    <t>106.6 x 127.3 cm (42 x 50 1/8 in.)</t>
  </si>
  <si>
    <t>42.3 x 44.5 cm</t>
  </si>
  <si>
    <t>29.7 x 20 cm (10 1/2 x 6 3/8 in.)</t>
  </si>
  <si>
    <t>176 x 259 mm</t>
  </si>
  <si>
    <t>68.6 x 92.7 cm (27 x 36 1/2 in.)</t>
  </si>
  <si>
    <t>24.8 x 31.1 cm (9 1/4 x 12 1/4 in.)</t>
  </si>
  <si>
    <t>460 x 520 mm</t>
  </si>
  <si>
    <t>769 x 578 mm</t>
  </si>
  <si>
    <t>71.1 x 50.5 cm (28 x 19 7/8 in.)</t>
  </si>
  <si>
    <t>65 x 80.8 cm (25 5/8 x 31 13/16 in.)</t>
  </si>
  <si>
    <t>73 1/2 x 102 1/8 in.</t>
  </si>
  <si>
    <t>382 x 274 mm</t>
  </si>
  <si>
    <t>81.3 x 107 cm (32 x 42 1/8 in.)</t>
  </si>
  <si>
    <t>33 x 25.4 cm (13 x 10 in.)</t>
  </si>
  <si>
    <t>302 x 193 mm (primary support); 325 x 216 mm (secondary support)</t>
  </si>
  <si>
    <t>302 x 457 mm</t>
  </si>
  <si>
    <t>455 x 583 mm</t>
  </si>
  <si>
    <t>49.5 x 70.6 cm (19 1/2 x 27 6/8 in.)</t>
  </si>
  <si>
    <t>43.81 x 38.1 cm (17 1/4 x 15 in.)</t>
  </si>
  <si>
    <t>69.5 x 70.2 cm (27 3/8 x 27 5/8 in.)</t>
  </si>
  <si>
    <t>198 x 126 mm</t>
  </si>
  <si>
    <t>115.9 x 88.9 cm (45 5/8 x 35 in.)</t>
  </si>
  <si>
    <t>114.94 x 150.18 cm (45 1/4 x 59 1/8 in.)</t>
  </si>
  <si>
    <t>188.0 x 111.0 cm (74 x 43 5/16 in.)</t>
  </si>
  <si>
    <t>83 x 240 mm</t>
  </si>
  <si>
    <t>510 x 383 mm</t>
  </si>
  <si>
    <t>46.5 x 65.5 cm (17 5/8 x 25 in.)</t>
  </si>
  <si>
    <t>59.6 x 43.9 cm (23 1/2 x 17 1/4 in.)</t>
  </si>
  <si>
    <t>513 x 775 mm</t>
  </si>
  <si>
    <t>397 x 465 mm</t>
  </si>
  <si>
    <t>205.7 x 744.2 cm (81 x 293 in.)</t>
  </si>
  <si>
    <t>74.3 x 69.5 cm (29 1/4 x 27 3/8 in.)</t>
  </si>
  <si>
    <t>47.2 x 73.5 cm (19 x 29 in.)</t>
  </si>
  <si>
    <t>22.9 x 30.5 cm (9 x 12 in.)</t>
  </si>
  <si>
    <t>330 x 405 x 55 mm</t>
  </si>
  <si>
    <t>226 x 171 mm</t>
  </si>
  <si>
    <t>162 x 130 cm (63.8 x 51.2 in.)</t>
  </si>
  <si>
    <t>101.6 x 127 cm (40 x 50 in.)</t>
  </si>
  <si>
    <t>140 x 229 mm</t>
  </si>
  <si>
    <t>185.4 x 91.4 cm (73 x 36 in.)</t>
  </si>
  <si>
    <t>82.6 x 100.3 cm (32 1/2 x 39 1/2 in.)</t>
  </si>
  <si>
    <t>385 x 544 mm</t>
  </si>
  <si>
    <t>537 x 410 mm (primary support); 557 x 430 mm (secondary support); 561 x 432 mm (trimmed)</t>
  </si>
  <si>
    <t>81.28 x 104.14 cm (32 x 41 in.)</t>
  </si>
  <si>
    <t>35 3/8 x 28 3/16 in. (89.8 x 71.6 cm)</t>
  </si>
  <si>
    <t>224 x 96 mm</t>
  </si>
  <si>
    <t>77.5 x 51.4 cm (30 1/2 x 20 1/4 in.)</t>
  </si>
  <si>
    <t>210 x 319 mm</t>
  </si>
  <si>
    <t>11 x 12 3/4 in. (28 x 32.5 cm)</t>
  </si>
  <si>
    <t>76.2 x 72.1 cm (30 x 24 in.)</t>
  </si>
  <si>
    <t>58.6 x 40 cm (23 1/8 x 15 3/4 in.)</t>
  </si>
  <si>
    <t>11 5/8 x 19 1/2 in. (29.5 x 49.7 cm)</t>
  </si>
  <si>
    <t>20.3 x 30.5 cm (8 x 12 in.)</t>
  </si>
  <si>
    <t>32 x 39 3/8 in. (81.3 x 100 cm)</t>
  </si>
  <si>
    <t>12.4 x 16.4 cm (4 3/4 x 16 1/2 in.) (cardboard); 27.6 x 32 cm (10 7/8 x 12 5/8 in.) (wood support)</t>
  </si>
  <si>
    <t>48.4 x 60 cm (19 1/6 x 22 1/6 in.)</t>
  </si>
  <si>
    <t>390 x 568 mm</t>
  </si>
  <si>
    <t>14 x 8 1/8 in. (35.5 x 20.7 cm)</t>
  </si>
  <si>
    <t>61 x 92.1 cm (24 x 36 1/4 in.)</t>
  </si>
  <si>
    <t>9 7/8 x 17 3/8 in. (25 x 44.1 cm)</t>
  </si>
  <si>
    <t>80 x 53 cm (31 1/2 x 21 in.)</t>
  </si>
  <si>
    <t>1,273 x 1,019 mm</t>
  </si>
  <si>
    <t>244 x 299 mm</t>
  </si>
  <si>
    <t>29.5 x 62.4 cm (11 5/8 x 24 1/4 in.)</t>
  </si>
  <si>
    <t>8 1/4 x 6 3/8 in. (21 x 16.3 cm)</t>
  </si>
  <si>
    <t>306.7 x 189.2 cm (120 3/4 x 74 1/2 in.)</t>
  </si>
  <si>
    <t>127.6 x 101.5 cm (50 x 40 in.)</t>
  </si>
  <si>
    <t>101.8 x 81.1 cm (40 1/16 x 31 15/16 in.)</t>
  </si>
  <si>
    <t>309.9 x 365.8 cm (122 x 144 in.), without frame</t>
  </si>
  <si>
    <t>336 x 511 mm</t>
  </si>
  <si>
    <t>402 x 517 mm</t>
  </si>
  <si>
    <t>254 x 181 mm</t>
  </si>
  <si>
    <t>162.56 x 182.88 cm (64 x 72 in.)</t>
  </si>
  <si>
    <t>182 x 140 mm</t>
  </si>
  <si>
    <t>53 x 315 mm</t>
  </si>
  <si>
    <t>170 x 100 mm</t>
  </si>
  <si>
    <t>154 x 123 mm (primary support) (recto); 122 x 86 mm (primary support) (verso); 168 x 133 mm (secondary support)</t>
  </si>
  <si>
    <t>18 x 12 7/8 in. (45.7 x 32.8 cm)</t>
  </si>
  <si>
    <t>73.6 x 62.8 cm (29 x 24 3/4 in.)</t>
  </si>
  <si>
    <t>333 x 257 mm</t>
  </si>
  <si>
    <t>39 1/4 x 30 1/2 in. (99.7 x 77.5 cm)</t>
  </si>
  <si>
    <t>74.9 x 121.9 cm (29 1/2 x 48 in.)</t>
  </si>
  <si>
    <t>316 x 415 mm</t>
  </si>
  <si>
    <t>495 x 700 mm</t>
  </si>
  <si>
    <t>72 x 54 mm</t>
  </si>
  <si>
    <t>110 x 63 cm (43 5/16 x 24 13/16 in. ); original painted surface: 107.5 x 58 cm (42 5/16 x 22 7/8 in.)</t>
  </si>
  <si>
    <t>161 x 236 mm</t>
  </si>
  <si>
    <t>21.3 x 14.3 cm (8 3/8 x 5 5/8 in.)</t>
  </si>
  <si>
    <t>224 x 288 mm (primary support); 232 x 364 mm (secondary support)</t>
  </si>
  <si>
    <t>149.8 x 208.3 cm (59 x 82 in.), unframed</t>
  </si>
  <si>
    <t>91.4 x 121.9 cm (36 x 48 in.)</t>
  </si>
  <si>
    <t>213.4 x 228 cm (84 x 89 3/4 in.)</t>
  </si>
  <si>
    <t>35.6 x 19.1 cm (14 x 7 1/2 in.)</t>
  </si>
  <si>
    <t>101 x 109 mm</t>
  </si>
  <si>
    <t>785 x 581 mm</t>
  </si>
  <si>
    <t>251 x 352 mm</t>
  </si>
  <si>
    <t>137.2 x 106.7 cm (54 x 42 in.)</t>
  </si>
  <si>
    <t>143 x 231 mm</t>
  </si>
  <si>
    <t>206 x 164 mm</t>
  </si>
  <si>
    <t>149.9 x 200.7 cm (59 x 79 in.)</t>
  </si>
  <si>
    <t>483 x 470 mm</t>
  </si>
  <si>
    <t>65 x 55 in.</t>
  </si>
  <si>
    <t>58.6 x 49.8 cm (23 1/16 x 19 5/8 in.)</t>
  </si>
  <si>
    <t>440 x 278 mm</t>
  </si>
  <si>
    <t>488 x 435 mm (primary support); 505 x 454 mm (secondary support)</t>
  </si>
  <si>
    <t>29.5 x 44.1 cm (11 5/8 x 17 3/8 in.)</t>
  </si>
  <si>
    <t>267 mm x 370 mm</t>
  </si>
  <si>
    <t>132.1 x 175.3 cm (52 x 69 in.)</t>
  </si>
  <si>
    <t>310 x 237 mm</t>
  </si>
  <si>
    <t>284 x 203 mm</t>
  </si>
  <si>
    <t>26 x 21 in. (70 x 56.4 cm)</t>
  </si>
  <si>
    <t>104.6 x  188.7 cm (41 3/16 x 74 5/16 in.)</t>
  </si>
  <si>
    <t>1.1 x 48.8 x 11.7 cm (3/8 x 19 5/16 x 4 5/8 in.)</t>
  </si>
  <si>
    <t>47 3/8 x 37 3/8 in. (120.3 x 95 cm)</t>
  </si>
  <si>
    <t>81.4 x 153.5 cm (32 1/16 x 60 7/16 in.)</t>
  </si>
  <si>
    <t>323 x 499 mm</t>
  </si>
  <si>
    <t>91.4 x 61 cm (36 x 24 in.)</t>
  </si>
  <si>
    <t>91.4 x 77.5 cm (36 x 30 1/2 in.)</t>
  </si>
  <si>
    <t>77 1/2 x 97 3/4 in. (196.9 x 248.3 cm)</t>
  </si>
  <si>
    <t>267 mm x 184 mm</t>
  </si>
  <si>
    <t>1050 x 757 mm</t>
  </si>
  <si>
    <t>123 x 84 mm</t>
  </si>
  <si>
    <t>184.2 x 92.7 cm (72 1/2 x 36 1/2 in.)</t>
  </si>
  <si>
    <t>354 x 530 mm</t>
  </si>
  <si>
    <t>195.6 x 254 cm (77 x 100 in.)</t>
  </si>
  <si>
    <t>595 x 480 mm</t>
  </si>
  <si>
    <t>235 x 188 mm</t>
  </si>
  <si>
    <t>23 5/8 x 28 3/4 in. (60 x 73 cm)</t>
  </si>
  <si>
    <t>283 x 379 mm</t>
  </si>
  <si>
    <t>33 x 24.1 cm (13 x 9 1/2 in.)</t>
  </si>
  <si>
    <t>11 1/2 x 15 5/8 (29.2 x 38.5 cm)</t>
  </si>
  <si>
    <t>235 x 192 mm</t>
  </si>
  <si>
    <t>204 x 254 mm</t>
  </si>
  <si>
    <t>60 1/8 x 77 1/8 in. (152.8 x 196 cm)</t>
  </si>
  <si>
    <t>49.1 x 32.8 cm (19 5/16 x 12 7/8 in.)
Painted Surface: 48.4 x 32 cm (19 1/16 x 12 5/8 in.)</t>
  </si>
  <si>
    <t>36 1/4 x 28 7/8 in. (92.1 x 73.3 cm)</t>
  </si>
  <si>
    <t>381 x 267 mm</t>
  </si>
  <si>
    <t>380 x 508 mm</t>
  </si>
  <si>
    <t>560 x 764 mm</t>
  </si>
  <si>
    <t>41 1/2 x 34 1/2 in.</t>
  </si>
  <si>
    <t>18 1/2 x 26 1/4 in. (47 x 66.5 cm)</t>
  </si>
  <si>
    <t>240 x 216 mm (max.)</t>
  </si>
  <si>
    <t>19 3/4 x 17 1/4 in. (50.2 x 43.8 cm)</t>
  </si>
  <si>
    <t>56.2 x 46 cm (22 1/8 x 18 1/8 in.)</t>
  </si>
  <si>
    <t>49 11/16 x 38 1/4 in. (126.2 x 96.8 cm)</t>
  </si>
  <si>
    <t>66.4 x 101.9 cm (26 1/8 x 40 1/8 in.)</t>
  </si>
  <si>
    <t>259 x 342 mm</t>
  </si>
  <si>
    <t>23 1/2 x 28 3/4 in. (59.6 x 73 cm)</t>
  </si>
  <si>
    <t>305 x 456 mm</t>
  </si>
  <si>
    <t>354 x 437 mm</t>
  </si>
  <si>
    <t>17 x 28 1/2 in. (43.1 x 72.4 cm)</t>
  </si>
  <si>
    <t>36 1/4 x 48 in. (92.2 x 123 cm)</t>
  </si>
  <si>
    <t>30.5 x 26.7 cm (12 x 10 1/2 in.)</t>
  </si>
  <si>
    <t>33.4 x 56.3 cm (13 1/8 x 22 1/8 in.)</t>
  </si>
  <si>
    <t>335 x 228 mm</t>
  </si>
  <si>
    <t>305 x 381 mm</t>
  </si>
  <si>
    <t>59 x 37 in. (149.9 x 94 cm)</t>
  </si>
  <si>
    <t>Panel: 117 x 51.1 cm (46 1/16 x 20 1/8 in.); Painted Surface: 115.1 x 49.4 cm (45 5/16 x 19 7/16 in.)</t>
  </si>
  <si>
    <t>76.9 x 64.2 cm (30 1/2 x 25 1/4 in.)</t>
  </si>
  <si>
    <t>137.2 x 170.5 cm (54 x 67 1/8 in.)</t>
  </si>
  <si>
    <t>105 x 157 mm</t>
  </si>
  <si>
    <t>507 x 379 mm</t>
  </si>
  <si>
    <t>66 x 91.4 cm (26 x 36 in.)</t>
  </si>
  <si>
    <t>230 x 156 mm</t>
  </si>
  <si>
    <t>12.1 x 8.9 cm (4 3/4 x 3 1/2 in.)</t>
  </si>
  <si>
    <t>8 1/4 x 10 3/4 in.</t>
  </si>
  <si>
    <t>258 x 187 mm</t>
  </si>
  <si>
    <t>586 x 694 mm</t>
  </si>
  <si>
    <t>15 3/4 x 21 5/8 in. (40 x 55 cm)</t>
  </si>
  <si>
    <t>51.4 x 35.6 cm (20 1/4 x 14 in.)</t>
  </si>
  <si>
    <t>508 x 357 mm</t>
  </si>
  <si>
    <t>63.5 x 48.3 cm (25 x 19 in.)</t>
  </si>
  <si>
    <t>72.4 x 102.2 cm (28 1/2 x 40 1/4 in.)</t>
  </si>
  <si>
    <t>26 7/8 x 31 7/8 in. (68.3 x 81 cm)</t>
  </si>
  <si>
    <t>121.9 x 94 cm (48 x 37 in.)</t>
  </si>
  <si>
    <t>304.8 x 182.8 cm (120 x 72 in.)</t>
  </si>
  <si>
    <t>490 x 646 mm</t>
  </si>
  <si>
    <t>55.9 x 71.1 cm (22 x 28 in.)</t>
  </si>
  <si>
    <t>228.6 x 365.8 cm (90 x 144 in.)</t>
  </si>
  <si>
    <t>575 x 800 mm</t>
  </si>
  <si>
    <t>14 11/16 x 12 in. (38 x 31 cm)</t>
  </si>
  <si>
    <t>23 1/2 x 28 3/4 in. (58.4 x 73 cm)</t>
  </si>
  <si>
    <t>520 x 447 mm</t>
  </si>
  <si>
    <t>111. 7 x 86.3 cm (44 x 34 in.)</t>
  </si>
  <si>
    <t>384 x 546 mm</t>
  </si>
  <si>
    <t>13.3 x 21.9 cm (5 1/4 x 8 5/8 in.)</t>
  </si>
  <si>
    <t>50 x 46 in.</t>
  </si>
  <si>
    <t>39 3/8 x 31 7/8 in. (100 x 81 cm)</t>
  </si>
  <si>
    <t>13 5/8 x 18 in. (34.7 x 45.8 cm)</t>
  </si>
  <si>
    <t>62.2 x 43.8 cm (24 1/2 x 17 1/4 in.)</t>
  </si>
  <si>
    <t>41 7/8 x 29 7/8 in. (106.5 x 76 cm)</t>
  </si>
  <si>
    <t>122.6 x 151.8 cm (48 1/4 x 59 3/4 in.)</t>
  </si>
  <si>
    <t>289 x 371 mm</t>
  </si>
  <si>
    <t>27 x 21.5 cm (10 5/8 x 8 15/32 in.)</t>
  </si>
  <si>
    <t>571 x 438 mm</t>
  </si>
  <si>
    <t>444 x 364 mm</t>
  </si>
  <si>
    <t>24 x 20 in. (61.2 x 50.5 cm)</t>
  </si>
  <si>
    <t>625 x 505 mm</t>
  </si>
  <si>
    <t>36.5 x 52.1 cm (14 3/8 x 20 1/2 in.)</t>
  </si>
  <si>
    <t>78.7 x 104.1 cm (31 x 41 in.)</t>
  </si>
  <si>
    <t>427 x 313 mm</t>
  </si>
  <si>
    <t>25 3/4 x 18 1/4 in. (65.5 x 46.5 cm)</t>
  </si>
  <si>
    <t>605 x 445 mm (max.); 685 x 505 mm (secondary support)</t>
  </si>
  <si>
    <t>60 x 46.6 cm (23 5/8 x 18 5/16 in.)</t>
  </si>
  <si>
    <t>163.2 x 107.3 cm (64 1/4 x 42 1/4 in.)</t>
  </si>
  <si>
    <t>279 x 380 mm</t>
  </si>
  <si>
    <t>448 x 294 mm</t>
  </si>
  <si>
    <t>53.7 x 48.6 cm (21 1/8 x 19 1/8 in.)</t>
  </si>
  <si>
    <t>90 x 93 cm (36 7/16 x 36 5/8 in.)</t>
  </si>
  <si>
    <t>69 x 74 mm</t>
  </si>
  <si>
    <t>229 x 162 mm</t>
  </si>
  <si>
    <t>230 x 102 mm</t>
  </si>
  <si>
    <t>38 3/4 x 29 3/4 in. (98.5 x 75.6 cm)</t>
  </si>
  <si>
    <t>49.5 x 59.4 cm (19 1/2 x 23 3/8 in.)</t>
  </si>
  <si>
    <t>117 x 87 mm</t>
  </si>
  <si>
    <t>150 x 130 cm (59 x 51 1/4 in.)</t>
  </si>
  <si>
    <t>Image: 20.6 x 12.5 cm ; Outermost border: 28.6 x 19.4 cm ; Paper: 28.9 x 19.8 cm
(Image: 8 1/8 x 4 7/8 in.; Outermost border: 11 1/4 x 7 5/8 in.; Paper: 11 3/8 x 7 3/4 in.)</t>
  </si>
  <si>
    <t>135 x 193 mm</t>
  </si>
  <si>
    <t>456 x 576 mm</t>
  </si>
  <si>
    <t>38.5 x 55 cm (15 1/8 x 25 5/8 in.)</t>
  </si>
  <si>
    <t>27.3 x 46.3 cm (10 3/4 x 18 1/4 in.)</t>
  </si>
  <si>
    <t>10 13/16 x 7 7/8 in. (27.5 x 19.9 cm); image: 10 3/8 x 7 1/4 in. (26.3 x 18.4 cm)</t>
  </si>
  <si>
    <t>242 x 159 mm</t>
  </si>
  <si>
    <t>275 x 220 mm</t>
  </si>
  <si>
    <t>28 x 35 5/8 in. (71 x 90.5 cm)</t>
  </si>
  <si>
    <t>195.6 x 223.5 cm (77 x 88 in.), without frame</t>
  </si>
  <si>
    <t>137.2 x 53.4 cm (54 x 21 in.)</t>
  </si>
  <si>
    <t>224 x 112 mm</t>
  </si>
  <si>
    <t>384 x 281 mm</t>
  </si>
  <si>
    <t>218 x 354 mm</t>
  </si>
  <si>
    <t>51 x 51 cm (24 x 24 in.)</t>
  </si>
  <si>
    <t>73.7 x 66.4 cm (29 x 26 1/8 in.)</t>
  </si>
  <si>
    <t>12 x 20 1/16 in. (30.5 x 51 cm)</t>
  </si>
  <si>
    <t>305 x 457 mm</t>
  </si>
  <si>
    <t>76 x 66 cm (29 7/8 x 26 in.); painted surface: 73 x 64 cm (28 3/4 x 25 1/4 in.)</t>
  </si>
  <si>
    <t>43.2 x 61.6 cm (17 x 24 1/4 in.), unframed</t>
  </si>
  <si>
    <t>127 x 92.7 cm (50 x 36 1/2 in.)</t>
  </si>
  <si>
    <t>2 11/16 x 3 7/16 x 3/4 in. (6.8 x 8.7 x 1.9 cm)</t>
  </si>
  <si>
    <t>304.8 x 609.6 cm (120 x 240 in.)</t>
  </si>
  <si>
    <t>20 1/4 x 24 1/8 in. (51.4 x 62.3 cm)</t>
  </si>
  <si>
    <t>21.8 x 33 cm (8 5/8 x 13 in.)</t>
  </si>
  <si>
    <t>67.4 x 55.4 cm (26 1/2 x 21 3/4 in.)</t>
  </si>
  <si>
    <t>137 x 224 mm</t>
  </si>
  <si>
    <t>69 1/16 x 59 1/8 in. (175.4 x 150.2 cm)</t>
  </si>
  <si>
    <t>Canvas: 79.5 x 90.5 cm (31 1/4 x 35 5/8 in.)
Stretcher: 73.7 x 84.5 cm (29 x 33 1/4 in.)</t>
  </si>
  <si>
    <t>385 x 546 mm</t>
  </si>
  <si>
    <t>251 x 160 mm (work); 425 x 299 mm (2nd support)</t>
  </si>
  <si>
    <t>73 x 92 cm (28 1/2 x 36 in.)</t>
  </si>
  <si>
    <t>294 x 455 mm</t>
  </si>
  <si>
    <t>45.7 x 35.2 cm (18 x 13 7/8 in.)</t>
  </si>
  <si>
    <t>262 x 374 mm</t>
  </si>
  <si>
    <t>455 x 608 mm
17 7/8" x 23 7/8"</t>
  </si>
  <si>
    <t>31 7/8 x 39 1/4 in. (81 x 99.7 cm)</t>
  </si>
  <si>
    <t>59.7 x 73.7 cm (23 1/2 x 29 in.)</t>
  </si>
  <si>
    <t>24 13/16 x 18 1/2 in. (62.7 x 47 cm)</t>
  </si>
  <si>
    <t>22 x 33.6 cm</t>
  </si>
  <si>
    <t>145 x 190 mm</t>
  </si>
  <si>
    <t>300 x 204 mm</t>
  </si>
  <si>
    <t>9 1/2 x 13 in. (24.2 x 33 cm)</t>
  </si>
  <si>
    <t>8 7/8 x 6 1/4 in. (22.5 x 15.9 cm)</t>
  </si>
  <si>
    <t>9 7/16 x 7 5/16 in. (24 x 18.5 cm); painted surface 8 15/16 x 6 15/16 in. (22.7 x 17.6 cm )</t>
  </si>
  <si>
    <t>63.5 x 80.7 cm (25 x 31 3/4 in.)</t>
  </si>
  <si>
    <t>76.2 x 60.9 cm (30 x 24 in.)</t>
  </si>
  <si>
    <t>36 x 21 in.</t>
  </si>
  <si>
    <t>246 x 179 mm</t>
  </si>
  <si>
    <t>92.1 x 73 cm (36 1/4 x 28 7/8 in.)</t>
  </si>
  <si>
    <t>502 x 504 mm</t>
  </si>
  <si>
    <t>68.6 x 106.7 cm (27 x 42 in.)</t>
  </si>
  <si>
    <t>45 7/8 x 15 1/2 in. (116.4 x 39.4 cm)</t>
  </si>
  <si>
    <t>39.4 x 27.3 cm (15 1/2 x 10 3/4 in.)</t>
  </si>
  <si>
    <t>11 3/8 x 9 in. (28.9 x 22.9 cm)</t>
  </si>
  <si>
    <t>22.6 x 35.4 cm (8 7/8 x 13 15/16 in.)</t>
  </si>
  <si>
    <t>31 7/8 x 25 5/8 in. (81 x 65.2 cm)</t>
  </si>
  <si>
    <t>449.5 x 566.4 cm (177 x 223 in.)</t>
  </si>
  <si>
    <t>48 1/2 x 37 in. (123 x 94 cm)</t>
  </si>
  <si>
    <t>318 x 582 mm</t>
  </si>
  <si>
    <t>10 5/8 x 16 3/4 in. (27 x 42.6 cm)</t>
  </si>
  <si>
    <t>544 x 462 mm</t>
  </si>
  <si>
    <t>18 7/16 x 13 3/8 in. (46.8 x 33.9 cm)</t>
  </si>
  <si>
    <t>300 x 240 mm</t>
  </si>
  <si>
    <t>19 1/2 x 31 1/2 in. (50.2 x 80 cm)</t>
  </si>
  <si>
    <t>19 x 27 1/16 in. (48.2 x 68.2 cm)</t>
  </si>
  <si>
    <t>32 3/8 x 11 1/16 in. (82.3 x 28.2 cm; painted surface: 32 1/8 x 10 3/4 in. (81.7 x 27.3 cm)</t>
  </si>
  <si>
    <t>315 x 481 mm</t>
  </si>
  <si>
    <t>725 x 585 mm</t>
  </si>
  <si>
    <t>265 x 168 mm</t>
  </si>
  <si>
    <t>44.4 cm x 55.2 cm (17 1/2 x 21 3/4 in.)</t>
  </si>
  <si>
    <t>350.5 x 247.7 cm (138 x 97 1/2 in.)</t>
  </si>
  <si>
    <t>10 3/4 x 7 7/8 in. (27.3 x 20 cm)</t>
  </si>
  <si>
    <t>160 x 179 cm (63 x 70 5/8 in.)</t>
  </si>
  <si>
    <t>566 x 781 mm</t>
  </si>
  <si>
    <t>190 x 203 mm</t>
  </si>
  <si>
    <t>121.2 x 118.7 cm (47 3/4 x 46 3/4 in.)</t>
  </si>
  <si>
    <t>64.8 x 49.5 cm (25 1/2 x 19 1/2 in.)</t>
  </si>
  <si>
    <t>178 x 197 mm</t>
  </si>
  <si>
    <t>17 4/8 x 21 2/8 in. (45.9 x 55 cm)</t>
  </si>
  <si>
    <t>68 x 90.7 cm (26 3/4 x 35 11/16 in.)</t>
  </si>
  <si>
    <t>82.6 x 108.6 cm (32 1/2 x 42 3/4 in.)</t>
  </si>
  <si>
    <t>144.5 x 104.6 cm (56 7/8 x 41 3/16 in.)</t>
  </si>
  <si>
    <t>195 x 263 mm</t>
  </si>
  <si>
    <t>63 x 49.7 cm (24 13/16 x 19 9/16 in.)</t>
  </si>
  <si>
    <t>21.6 x 29.2 cm (8 1/2 x 11 1/2 in.)</t>
  </si>
  <si>
    <t>58.9 x 73.3 cm (23 3/16 x 28 7/8 in.)</t>
  </si>
  <si>
    <t>32 x 39 1/2 in. (81.3 x 100.3 cm)</t>
  </si>
  <si>
    <t>72.8 x 96 cm (28 5/8 x 37 13/16 in.)</t>
  </si>
  <si>
    <t>451 x 592 mm</t>
  </si>
  <si>
    <t>71.1 x 61 cm (28 x 24 in.)</t>
  </si>
  <si>
    <t>25 3/4 x 15 3/4 in. (65.4 x 40 cm)</t>
  </si>
  <si>
    <t>62.2 x 41.3 cm (24 1/2 x 16 1/4 in.)</t>
  </si>
  <si>
    <t>425 x 504 mm</t>
  </si>
  <si>
    <t>101.6 x 99.1 cm (40 x 39 in.)</t>
  </si>
  <si>
    <t>659 x 524 mm</t>
  </si>
  <si>
    <t>96.5 x 127 cm (38 x 50 in.)</t>
  </si>
  <si>
    <t>497 x 309 mm</t>
  </si>
  <si>
    <t>548 x 750 mm</t>
  </si>
  <si>
    <t>115.3 x 141 cm (45 5/16 x 55 1/2 in.)</t>
  </si>
  <si>
    <t>13 1/2 x 14 in. (34.3 x 35.6 cm)</t>
  </si>
  <si>
    <t>81.9 x 60.3 cm (32 1/4 x 23 3/4 in.)</t>
  </si>
  <si>
    <t>309 x 397 mm</t>
  </si>
  <si>
    <t>153 x 268 mm</t>
  </si>
  <si>
    <t>30 x 26.5 cm (11 13/16 x 10 7/16 in.)</t>
  </si>
  <si>
    <t>111 x 113 mm</t>
  </si>
  <si>
    <t>401 x 289 mm</t>
  </si>
  <si>
    <t>57.2 x 57.2 cm (22 1/2 x 22 1/2 in.)</t>
  </si>
  <si>
    <t>Panel: 29.5 x 21.6 cm (11 5/8 x 8 in.); Painted surface of obverse: 28.9 x 19.1 cm (11 3/8 x 7 1/2 in.)</t>
  </si>
  <si>
    <t>355 x 510 mm</t>
  </si>
  <si>
    <t>28 x 35 3/4 in. (71.1 x 90.8 cm)</t>
  </si>
  <si>
    <t>14 x 10 3/4 in. (35.6 x 27.3 cm)</t>
  </si>
  <si>
    <t>227 x 340 mm</t>
  </si>
  <si>
    <t>51 x 61.5 cm (20 x 24 1/4 in.)</t>
  </si>
  <si>
    <t>353 x 505 mm</t>
  </si>
  <si>
    <t>409 x 309 mm</t>
  </si>
  <si>
    <t>11 1/4 x 8 1/2 in.</t>
  </si>
  <si>
    <t>94 x 55.9 cm (37 x 22 in.)</t>
  </si>
  <si>
    <t>138.4 x 106.7 cm (54 1/2 x 42 in.)</t>
  </si>
  <si>
    <t>393 x 232 mm</t>
  </si>
  <si>
    <t>1035 x 735 mm</t>
  </si>
  <si>
    <t>13 3/4 x 9 1/2 in. (34.9 x 4.1 cm)</t>
  </si>
  <si>
    <t>61 x 76.3 cm (24 x 30 in.)</t>
  </si>
  <si>
    <t>455 x 615 mm</t>
  </si>
  <si>
    <t>250 x 360 mm</t>
  </si>
  <si>
    <t>338 mm x 239 mm</t>
  </si>
  <si>
    <t>9 1/4 x 7 1/8 in. (23.5 x 18.1 cm)</t>
  </si>
  <si>
    <t>251 x 353 mm</t>
  </si>
  <si>
    <t>321 x 264 mm</t>
  </si>
  <si>
    <t>54.5 x 78.7 cm (21 1/2 x 31 in.)</t>
  </si>
  <si>
    <t>556 x 756 mm</t>
  </si>
  <si>
    <t>25.4 x 55.9 cm (10 x 22 in.)</t>
  </si>
  <si>
    <t>81.3 x 66 cm (32 x 26 in.)</t>
  </si>
  <si>
    <t>400 x 534 mm</t>
  </si>
  <si>
    <t>66.2 x 54.8 cm (26 x 21 9/16 in.)</t>
  </si>
  <si>
    <t>310 x 210 mm</t>
  </si>
  <si>
    <t>355 x 253 mm</t>
  </si>
  <si>
    <t>767 x 818 mm</t>
  </si>
  <si>
    <t>66.2 x 81.8 cm (26 1/16 x 32 3/16 in.)</t>
  </si>
  <si>
    <t>26.8 x 45 cm (10 9/16 x 17 3/4 in.)</t>
  </si>
  <si>
    <t>49 1/2 x 37 1/8 in. (125.6 x 94.3 cm)</t>
  </si>
  <si>
    <t>760 x 558 mm</t>
  </si>
  <si>
    <t>86.4 x 76.2 cm (34 x 30 in.)</t>
  </si>
  <si>
    <t>47 x 35.9 cm (18 1/2 x 14 1/8 in.)</t>
  </si>
  <si>
    <t>42.2 x 26.5 cm (16 5/8 x 10 7/16 in.)</t>
  </si>
  <si>
    <t>279.4 x 264.2 cm (110 x 104 in.)</t>
  </si>
  <si>
    <t>335 x 450 mm</t>
  </si>
  <si>
    <t>345 x 230 mm</t>
  </si>
  <si>
    <t>69.9 x 102.9 cm (27 1/2 x 40 1/2 in.)</t>
  </si>
  <si>
    <t>121.9 x 96.5 cm (48 x 38 in.)</t>
  </si>
  <si>
    <t>105 x 62 mm</t>
  </si>
  <si>
    <t>127.2 x 100.8 cm (50 1/8 x 39 11/16 in.)</t>
  </si>
  <si>
    <t>69.2 x 102.6 cm (27 1/4 x 40 3/8 in.)</t>
  </si>
  <si>
    <t>59 1/8 x 39 13/16 in. (150.2 x 100.6 cm)</t>
  </si>
  <si>
    <t>480 x 628 mm</t>
  </si>
  <si>
    <t>129.5 x 195.5 cm (51 x 76 15/16 in.)</t>
  </si>
  <si>
    <t>46.5 x 55.7 cm (18 1/4 x 21 7/8 in.)</t>
  </si>
  <si>
    <t>261 x 359 mm</t>
  </si>
  <si>
    <t>78.7 x 57.8 cm (31 x 22 3/4 in.)</t>
  </si>
  <si>
    <t>84.5 x 57.2 cm (33 1/4 x 22 1/2 in.)</t>
  </si>
  <si>
    <t>460 x 610 mm</t>
  </si>
  <si>
    <t>541 x 739 mm</t>
  </si>
  <si>
    <t>94 x 73 in. (238.8 x 185.4 cm)</t>
  </si>
  <si>
    <t>336 x 255 mm</t>
  </si>
  <si>
    <t>38 x 46 cm (15 1/4 x 18 1/8 in.)</t>
  </si>
  <si>
    <t>Panel: 25.6 x 22 cm (10 1/8 x 8 11/16 in.); Painted Surface: 25.2 x 21.8 cm (9 15/16 x 8 1/2 in.); With Frame: 30.5 x 25.4 cm (12 x 10 in.)</t>
  </si>
  <si>
    <t>1,269 x 924 mm</t>
  </si>
  <si>
    <t>382 x 273 mm</t>
  </si>
  <si>
    <t>21 1/2 x 25 5/8 in. (53.7 x 64.8 cm)</t>
  </si>
  <si>
    <t>118.1 x 121.6 cm (46 1/2 x 47 7/8 in.)</t>
  </si>
  <si>
    <t>21 13/16 x 14 15/16 in. (55.5 x 38 cm)</t>
  </si>
  <si>
    <t>242 x 156 mm</t>
  </si>
  <si>
    <t>552 x 676 mm</t>
  </si>
  <si>
    <t>17 1/4 x 12 1/2 in. (43.8 x 31.8 cm)</t>
  </si>
  <si>
    <t>38.7 x 30.3 cm (15 1/4 x 11 7/8 in.); painted surface: 37.2 x 29 cm (14 7/8 x 11 3/8 in.)</t>
  </si>
  <si>
    <t>305 x 246 mm</t>
  </si>
  <si>
    <t>160 x 132.1 cm (63 x 52 in.)</t>
  </si>
  <si>
    <t>81.5 x 100.7 cm (32 1/16 x 39 5/8 in.)</t>
  </si>
  <si>
    <t>130.8 x 162.3 cm (51 1/2 x 63 3/4 in.)</t>
  </si>
  <si>
    <t>227 x 180 mm (primary support); 324 x 249 mm (secondary support)</t>
  </si>
  <si>
    <t>365 x 568 mm</t>
  </si>
  <si>
    <t>248 x 408 mm</t>
  </si>
  <si>
    <t>28 1/2 x 23 1/4 in. (63.7 x 78 cm)</t>
  </si>
  <si>
    <t>12.1 x 22.9 cm (4 3/4 x 9 in.)</t>
  </si>
  <si>
    <t>16 3/8 x 23 3/8 in. (41.6 x 59.4 cm)</t>
  </si>
  <si>
    <t>61 x 45.7 cm (24 x 18 in.)</t>
  </si>
  <si>
    <t>352 x 503 mm</t>
  </si>
  <si>
    <t>160 x 174 mm</t>
  </si>
  <si>
    <t>657 x 840 mm</t>
  </si>
  <si>
    <t>452 x 609 mm</t>
  </si>
  <si>
    <t>342 x 343 mm</t>
  </si>
  <si>
    <t>20 1/2 x 24 1/2 in. (52.1 x 62.4 cm)</t>
  </si>
  <si>
    <t>590 x 787 mm</t>
  </si>
  <si>
    <t>130.2 x 90.8 cm (51 1/4 x 35 7/8 in.), without frame</t>
  </si>
  <si>
    <t>308 x 315 mm</t>
  </si>
  <si>
    <t>160.5 x 112.7 cm (65 x 83 3/4 in.)</t>
  </si>
  <si>
    <t>33.7 x 42.6 cm (13 1/4 x 16 3/4 in.)</t>
  </si>
  <si>
    <t>21 7/8 x 41 1/8 in. (55.9 x 104.2 cm)</t>
  </si>
  <si>
    <t>90 x 216 mm</t>
  </si>
  <si>
    <t>503 x 680 mm</t>
  </si>
  <si>
    <t>545 x 490 mm</t>
  </si>
  <si>
    <t>36 3/8 x 73 in. (92.5 x 185.4 cm)</t>
  </si>
  <si>
    <t>62.2 x 111.4 cm (24 1/4 x 43 7/8 in.)</t>
  </si>
  <si>
    <t>81.3 x 101.6 cm (32 x 40 in.)</t>
  </si>
  <si>
    <t>14 1/2 x 12 1/2 in. (36.8 x 31.8 cm)</t>
  </si>
  <si>
    <t>580 x 482 mm</t>
  </si>
  <si>
    <t>251 x 210 mm</t>
  </si>
  <si>
    <t>233 x 236 cm (92 x 93 in.)</t>
  </si>
  <si>
    <t>Panel: 117.3 x 50.8 cm (46 3/16 x 20 in.); Painted Surface: 116 x 49.5 cm (45 11/16 x 19 1/2 in.)</t>
  </si>
  <si>
    <t>42 5/8 x 38 9/16 in. (108.4 x 98 cm )
Painted surface: 41 3/4 x 38 3/16 in. (106 x 97 cm)</t>
  </si>
  <si>
    <t>138 x 104 mm</t>
  </si>
  <si>
    <t>158 x 260 mm</t>
  </si>
  <si>
    <t>469 x 344 mm</t>
  </si>
  <si>
    <t>380 x 544 mm</t>
  </si>
  <si>
    <t>278 x 217 mm</t>
  </si>
  <si>
    <t>170 x 130 mm</t>
  </si>
  <si>
    <t>475 x 642 mm</t>
  </si>
  <si>
    <t>25 x 25 x 2.7 cm (9 13/16 x 9 13/16 x 1/16 in.)</t>
  </si>
  <si>
    <t>1,119 x 788 mm</t>
  </si>
  <si>
    <t>231.3 x 233 cm (91 x 91.7 in.)</t>
  </si>
  <si>
    <t>331 x 256 mm</t>
  </si>
  <si>
    <t>293 x 450 mm</t>
  </si>
  <si>
    <t>46 x 95 5/8 in. (116.8 x 242.9 cm)</t>
  </si>
  <si>
    <t>199.4 x 106.7 cm (78 1/2 x 42 in.)</t>
  </si>
  <si>
    <t>125.7 x 100.3 cm (49 1/2 x 39 1/2 in.)</t>
  </si>
  <si>
    <t>92 x 73.4 cm (36 1/4 x 28 7/8 in.)</t>
  </si>
  <si>
    <t>781 x 581 mm</t>
  </si>
  <si>
    <t>103 x 108 mm</t>
  </si>
  <si>
    <t>380 x 507 mm</t>
  </si>
  <si>
    <t>unframed 23 3/4 x 20 1/4 in.  framed 28 7/8 x 25 1/8 in.
60.3 x 52.7 cm; 73.3 x 63.8 cm</t>
  </si>
  <si>
    <t>54.1 x 65.1 cm (21 5/16 x 25 5/8 in.)</t>
  </si>
  <si>
    <t>189 x 282 mm</t>
  </si>
  <si>
    <t>81 x 64.5 cm (31 7/8 x 25 3/8 in.)</t>
  </si>
  <si>
    <t>227 x 305 mm</t>
  </si>
  <si>
    <t>800 x 543 mm</t>
  </si>
  <si>
    <t>172.7 x 245.7 cm (68 x 96 1/4 in.)</t>
  </si>
  <si>
    <t>31 x 22 1/8 in. (79.7 x 61.3 cm)</t>
  </si>
  <si>
    <t>152.4 x 121.9 cm (60 x 48 in.)</t>
  </si>
  <si>
    <t>183 x 190 cm (72 x 75 in.)</t>
  </si>
  <si>
    <t>477 x 484 mm</t>
  </si>
  <si>
    <t>82.2 x 117.5 cm (32 3/8 x 46 1/4 in.)</t>
  </si>
  <si>
    <t>500 x 606 mm</t>
  </si>
  <si>
    <t>331 x 390 mm</t>
  </si>
  <si>
    <t>64.8 x 104.1 cm (25 1/2 x 41 in.)</t>
  </si>
  <si>
    <t>400 x 536 mm</t>
  </si>
  <si>
    <t>23 1/4 x 16 13/16 in. (59 x 42.7 cm)</t>
  </si>
  <si>
    <t>193 x 321.5 x 4 cm (76 x 91 1/4 x 1 1/2 inches)</t>
  </si>
  <si>
    <t>448 x 302 mm</t>
  </si>
  <si>
    <t>509 x 609 mm</t>
  </si>
  <si>
    <t>37 x 23 in. (94 x 58.6 cm)</t>
  </si>
  <si>
    <t>45.7 x 60.1 cm (18 x 24 in.)</t>
  </si>
  <si>
    <t>198.12 x 236.22 cm (78 x 93 in.)</t>
  </si>
  <si>
    <t>340 x 265 mm</t>
  </si>
  <si>
    <t>183 x 198 cm (72 x 78 in.)</t>
  </si>
  <si>
    <t>28 7/8 x 22 9/16 in. (74 x 60.5 cm)</t>
  </si>
  <si>
    <t>137 x 137 cm (54 x 54 in.)</t>
  </si>
  <si>
    <t>73.5 x 93.5 cm (28 15/16 x 36 13/16 in.)</t>
  </si>
  <si>
    <t>17 1/8 x 13 in. (43.6 x 33 cm)</t>
  </si>
  <si>
    <t>96.5 x 96.5 cm (38 x 38 in.)</t>
  </si>
  <si>
    <t>125.1 x 147.3 cm (49 1/4 x 58 in.)</t>
  </si>
  <si>
    <t>100.3 x 115.3 (39 1/2 x 45 3/8 in.)</t>
  </si>
  <si>
    <t>253 x 200 mm</t>
  </si>
  <si>
    <t>194 x 194 cm (76 3/8 x 76 3/8 in.)</t>
  </si>
  <si>
    <t>22 x 26.7 cm (8 5/8 x 10 1/2 in.)</t>
  </si>
  <si>
    <t>316 x 267 mm (sight)</t>
  </si>
  <si>
    <t>39.4 x 22 x 0.2 cm (15 1/2 x 8 5/8 x 1/16 in.), depth with support 3.5 cm (1 3/8 in.)</t>
  </si>
  <si>
    <t>254 x 330 mm</t>
  </si>
  <si>
    <t>372 x 609 mm</t>
  </si>
  <si>
    <t>453 x 604 mm</t>
  </si>
  <si>
    <t>88.9 x 137.2 cm (35 x 54 in.)</t>
  </si>
  <si>
    <t>27.3 x 35.2 cm (10 3/4 x 13 7/8 in.)</t>
  </si>
  <si>
    <t>193 x 149 mm</t>
  </si>
  <si>
    <t>362 mm x 258 mm</t>
  </si>
  <si>
    <t>121.8 x 88.8 cm (48 x 34 15/16 in.)</t>
  </si>
  <si>
    <t>14 3/4 x 21 1/4 in. (37.5 x 54 cm)</t>
  </si>
  <si>
    <t>34.9 x 28.6 cm (13 3/4 x 11 1/4 in.)</t>
  </si>
  <si>
    <t>18 1/2 x 25 in.</t>
  </si>
  <si>
    <t>263 x 190 mm</t>
  </si>
  <si>
    <t>81.9 x 66.4 cm (32 1/4 x 26 1/8 in.)</t>
  </si>
  <si>
    <t>444 x 332 mm</t>
  </si>
  <si>
    <t>325 x 454 mm</t>
  </si>
  <si>
    <t>101.6 x 76.5 cm (40 x 30 1/8 in.)</t>
  </si>
  <si>
    <t>218.4 x 165.1 cm (86 x 65 in.)</t>
  </si>
  <si>
    <t>485 x 537 mm</t>
  </si>
  <si>
    <t>15 7/8 x 11 5/8 in. (40.3 x 29.5 cm)</t>
  </si>
  <si>
    <t>33.7 x 49 cm (13 1/4 x 19 5/8 in.)</t>
  </si>
  <si>
    <t>16 1/2 x 36 in. (41.9 x 91.4 cm)</t>
  </si>
  <si>
    <t>67.6 x 54.2 cm (26 5/8 x 21 5/16 in.); painted surface: 66.6 x 52.6 cm (26 1/4 x 20 7/8 in.)</t>
  </si>
  <si>
    <t>436 x 559 mm</t>
  </si>
  <si>
    <t>306 x 459 mm (primary support); 483 x 623 mm (secondary support)</t>
  </si>
  <si>
    <t>27.0 x 23.8 cm (1 21/32 x 9 3/8 in.)</t>
  </si>
  <si>
    <t>65.4 x 92.6 cm (25 3/4 x 36 3/8 in.)</t>
  </si>
  <si>
    <t>81 x 103 cm (31 7/8 x 40 1/2 in.)</t>
  </si>
  <si>
    <t>42 1/2 x 42 1/2 in. (108 x 108 cm)</t>
  </si>
  <si>
    <t>66.9 x 89.4 cm (26 5/16 x 35 3/16 in. )</t>
  </si>
  <si>
    <t>101.7 x 86.7 cm (40 1/16 x 34 1/8 in.)</t>
  </si>
  <si>
    <t>496 x 672 mm</t>
  </si>
  <si>
    <t>32.4 x 41.2 cm (12 3/4 x 16 1/4 in.)</t>
  </si>
  <si>
    <t>305 x 405 mm</t>
  </si>
  <si>
    <t>151.9 x 88.6 cm (59 13/16 x 34 7/8 in.)
Painted surface: 150 x 86.8 cm (59 1/16 x 34 1/8 in.)</t>
  </si>
  <si>
    <t>483 x 331 mm</t>
  </si>
  <si>
    <t>306 x 207 mm</t>
  </si>
  <si>
    <t>64.8 x 81.3 cm (25 1/2 x 32 in.)</t>
  </si>
  <si>
    <t>459 x 565 mm</t>
  </si>
  <si>
    <t>137 x 210 mm</t>
  </si>
  <si>
    <t>296 x 515 mm</t>
  </si>
  <si>
    <t>11 1/2 x 7 3/4 in. (29.2 x 19.7 cm)</t>
  </si>
  <si>
    <t>242 x 348 mm</t>
  </si>
  <si>
    <t>450 x 606 mm</t>
  </si>
  <si>
    <t>623 x 458 mm</t>
  </si>
  <si>
    <t>53.3 x 40.3 cm (21 x 15 7/8 in.)</t>
  </si>
  <si>
    <t>76 x 76 cm (30 x 30 in.)</t>
  </si>
  <si>
    <t>182 x 121 cm (72 x 48 in.)</t>
  </si>
  <si>
    <t>96.8 x 123.5 cm (38 1/8 x 48 5/16 in.)</t>
  </si>
  <si>
    <t>50.8 x 60.6 cm (20 x 23 7/8 in.)</t>
  </si>
  <si>
    <t>255.5 x 290.5 cm (100 9/16 x 114 3/8 in.)</t>
  </si>
  <si>
    <t>182.9 x 279.4 cm (72 x 110 in.)</t>
  </si>
  <si>
    <t>37.5 x 26.8 cm (14 3/4 x 10 9.16 in.); painted surface 35.8 x 25.1 cm (22 1/4 x 9 7/8 in.)</t>
  </si>
  <si>
    <t>38.1 x 67 cm (15 x 26 3/8 in.)</t>
  </si>
  <si>
    <t>278 x 195 mm</t>
  </si>
  <si>
    <t>55.7 x 84.2 cm (21 7/8 x 33 1/8 in.)</t>
  </si>
  <si>
    <t>580 x 778 mm</t>
  </si>
  <si>
    <t>31.7 x 21.6 cm (12 1/2 x 8 1/2 in.)</t>
  </si>
  <si>
    <t>92.1 x 123.8 (36 1/4 x 48 3/4 in.), without frame</t>
  </si>
  <si>
    <t>321 x 408 mm</t>
  </si>
  <si>
    <t>388 x 569 mm</t>
  </si>
  <si>
    <t>324 x 264 mm</t>
  </si>
  <si>
    <t>353 x 433 mm</t>
  </si>
  <si>
    <t>29 x 24 3/4 in. (73.6 x 62.8 cm)</t>
  </si>
  <si>
    <t>36.5 x 46.5 cm (14 3/8 x 18 5/16 in.)</t>
  </si>
  <si>
    <t>97.1 x 129.5 cm (38 1/4 x 51 in.)</t>
  </si>
  <si>
    <t>317 x 416 mm</t>
  </si>
  <si>
    <t>60 x 80 cm (23 3/5 x 31 1/2 in.)</t>
  </si>
  <si>
    <t>215 x 148 mm</t>
  </si>
  <si>
    <t>140 x 182 cm (55 x 71 1/2 in.)</t>
  </si>
  <si>
    <t>Frame: 41.1 x 33.4 cm (16 3/16 x 13 1/8 in.)
Painted surface: 34.5 x 26.8 cm (14 1/16 x 10 1/2 in.)</t>
  </si>
  <si>
    <t>36.5 x 30.2 cm (14 3/8 x 11 7/8 in.)</t>
  </si>
  <si>
    <t>329 x 257 mm</t>
  </si>
  <si>
    <t>121.9 x 182.8 (48 x 72 in.)</t>
  </si>
  <si>
    <t>57.6 x 39.8 cm (22 11/16 x 15 11/16 in.)</t>
  </si>
  <si>
    <t>36.8 x 44.5 cm (14 1/2 x 17 1/2 in.)</t>
  </si>
  <si>
    <t>203.2 x 254 cm (80 x 100 in.)</t>
  </si>
  <si>
    <t>8 3/8 x 6 3/4 in. (21.3 x 17.2 cm)</t>
  </si>
  <si>
    <t>176 mm x 260 mm</t>
  </si>
  <si>
    <t>16 1/8 x 39 1/2 in. (41 x 100.3 cm)</t>
  </si>
  <si>
    <t>366 x 280 mm</t>
  </si>
  <si>
    <t>363 x 274 mm</t>
  </si>
  <si>
    <t>122 x 91.5 cm (48 x 36 in.)</t>
  </si>
  <si>
    <t>430 x 557 mm</t>
  </si>
  <si>
    <t>119.4 x 254 cm (47 x 100 in.)</t>
  </si>
  <si>
    <t>268 x 373 mm (primary support); 313 x 413 mm (secondary support)</t>
  </si>
  <si>
    <t>70.6 x 90.8 cm (27 3/4 x 35 3/4 in.)</t>
  </si>
  <si>
    <t>64 x 103 mm</t>
  </si>
  <si>
    <t>27.2 x 24.2 cm (10 11/16 x 9 1/2 in.)</t>
  </si>
  <si>
    <t>24 3/4 x 30 11/16 in. (63 x 78 cm)</t>
  </si>
  <si>
    <t>638 x 497 mm</t>
  </si>
  <si>
    <t>16 9/16 x 35 7/8 in. (42 x 91.1 cm)</t>
  </si>
  <si>
    <t>169 x 172 cm (66 1/2 x 67 3/4 in.)</t>
  </si>
  <si>
    <t>26 x 32 1/4 in. (66 x 81.7 cm)</t>
  </si>
  <si>
    <t>301 x 456 mm</t>
  </si>
  <si>
    <t>103 x 204 mm</t>
  </si>
  <si>
    <t>190.5 x 309.88 cm (75 x 122 in.)</t>
  </si>
  <si>
    <t>57.2 x 62.2 cm (22 1/2 x 24 1/2 in.)</t>
  </si>
  <si>
    <t>Image: 26.6 x 16.6 cm (10 1/2 x 6 1/2 in.); Outermost border: 30.5 x 20.2 cm (12 x 8 in.); Paper: 31.1 x 20.8 cm (12 1/4 x 8 5/8 in.)</t>
  </si>
  <si>
    <t>18 3/8 x 16 1/8 in. (46.7 x 41 cm)</t>
  </si>
  <si>
    <t>46 1/2 x 35 1/2 in. (118 x 90 cm)</t>
  </si>
  <si>
    <t>34.9 x 25.1 cm (13 3/4 x 9 7/8 in.)</t>
  </si>
  <si>
    <t>295 x 209 mm (sight)</t>
  </si>
  <si>
    <t>13 x 8 5/8 in. (33 x 21.9 cm)</t>
  </si>
  <si>
    <t>480 x 318 mm</t>
  </si>
  <si>
    <t>361 x 260 mm</t>
  </si>
  <si>
    <t>152.4 x 213.4 cm (60 x 84 in.)</t>
  </si>
  <si>
    <t>128.9 x 80 cm (50 3/4 x 31 1/2 in.)</t>
  </si>
  <si>
    <t>417 x 497 mm</t>
  </si>
  <si>
    <t>383 x 277 mm</t>
  </si>
  <si>
    <t>50 x 40"</t>
  </si>
  <si>
    <t>300 x 196 cm (118 x 77 in.)</t>
  </si>
  <si>
    <t>509 x 393 mm</t>
  </si>
  <si>
    <t>56 7/16 x 39 1/2 in. (143.3 x 100.4 cm)</t>
  </si>
  <si>
    <t>27 3/4 x 37 in. (70.5 x 94 cm)</t>
  </si>
  <si>
    <t>45.7 x 56.2 cm (18 x 22 in.)</t>
  </si>
  <si>
    <t>39.1 x 61.6 cm (15 3/8 x 24 1/4 in.)</t>
  </si>
  <si>
    <t>128 x 156.9 cm (50 3/8 x 61 3/4 in.)</t>
  </si>
  <si>
    <t>248 mm x 160 mm</t>
  </si>
  <si>
    <t>36 1/2 x 55 in. (93 x 140 cm)</t>
  </si>
  <si>
    <t>409 x 257 mm</t>
  </si>
  <si>
    <t>40.6 x 55.9 cm (16 x 22 in.)</t>
  </si>
  <si>
    <t>55.9 x 71.2 cm (22 x 28 in.)</t>
  </si>
  <si>
    <t>354 x 507 mm</t>
  </si>
  <si>
    <t>362 x 548 mm</t>
  </si>
  <si>
    <t>387 x 534 mm (sheet); 427 x 566 mm (secondary support); 503 x 643 mm (mount)</t>
  </si>
  <si>
    <t>227 x 156 mm</t>
  </si>
  <si>
    <t>420 x 497 mm</t>
  </si>
  <si>
    <t>121.9 x 121.9 cm (48 x 48 in.)</t>
  </si>
  <si>
    <t>20.8 x 18.1 cm (8 3/16 x 7 1/8 in.)</t>
  </si>
  <si>
    <t>554 x 710 mm</t>
  </si>
  <si>
    <t>304.8 x 548.6 cm (120 x 216 in.)</t>
  </si>
  <si>
    <t>213.3 x 237.4 cm (84 x 93 1/2 in.)</t>
  </si>
  <si>
    <t>300 x 235 mm</t>
  </si>
  <si>
    <t>172.8 x 101.8 cm (68 x 40 1/8 in.)</t>
  </si>
  <si>
    <t>336 x 259 mm</t>
  </si>
  <si>
    <t>129.5 x 129.5 cm (51 x 51 in.)
W. at center: 182.9 cm (72 in.)</t>
  </si>
  <si>
    <t>246 x 365 mm</t>
  </si>
  <si>
    <t>71.4 x 121.9 cm (28 1/8 x 48 in.)</t>
  </si>
  <si>
    <t>648 x 483 mm</t>
  </si>
  <si>
    <t>262 x 505 mm</t>
  </si>
  <si>
    <t>58.4 x 43.1 cm (19 7/8 x 14 in.)</t>
  </si>
  <si>
    <t>54.4 x 22.8 (21 7/16 x 9 in.)
Image (front): 49.3 x 17.9 cm (19 3/8 x 7 1/16 in.)</t>
  </si>
  <si>
    <t>363 x 538 mm</t>
  </si>
  <si>
    <t>31 5/8 x 25 1/4 in. (80.3 x 64.1 cm) canvas; 32 1/8 x 25 3/4 in. (81.6 x 65.4 cm) panel</t>
  </si>
  <si>
    <t>26 1/8 x 21 7/8 in. (66.3 x 55.5 cm)</t>
  </si>
  <si>
    <t>88 x 65.5 cm (34 3/4 x 25 3/4 in.)</t>
  </si>
  <si>
    <t>71.1 x 50.2 cm (28 x 19 3/4 in.)</t>
  </si>
  <si>
    <t>73.7 x 66 cm (29 x 26 in.)</t>
  </si>
  <si>
    <t>592 x 777 mm</t>
  </si>
  <si>
    <t>95 x 71 cm (37 3/8 x 28 in.)</t>
  </si>
  <si>
    <t>253 mm x 200 mm</t>
  </si>
  <si>
    <t>121.9 x 66 cm (48 x 26 in.)</t>
  </si>
  <si>
    <t>101 5/8 x 55 5/8 in. (258 x 141.2 cm)</t>
  </si>
  <si>
    <t>72.4 x 62.2 cm (28 1/2 x 24 1/2 in.)</t>
  </si>
  <si>
    <t>296 x 513 mm</t>
  </si>
  <si>
    <t>770 x 570 mm</t>
  </si>
  <si>
    <t>221 x 122.5 cm (87 x 48 1/4 in.)</t>
  </si>
  <si>
    <t>33.5 x 46.4 cm (13 3/16 x 18 1/4 in.)</t>
  </si>
  <si>
    <t>133 x 96 mm (max.); 158 x 125 mm (mount)</t>
  </si>
  <si>
    <t>245 x 201 mm</t>
  </si>
  <si>
    <t>61 x 83.8 cm (24 x 33 in.)</t>
  </si>
  <si>
    <t>69 x 81 mm</t>
  </si>
  <si>
    <t>560 x 634 mm</t>
  </si>
  <si>
    <t>154 x 223 mm</t>
  </si>
  <si>
    <t>23 3/4 x 28 3/4 in. (60.3 x 73 cm)</t>
  </si>
  <si>
    <t>Panel: 46.3 x 37.5 cm (18 1/4 x 14 3/4 in.); Painted Surface: 45.6 x 36.3 cm (18 x 14 1/4 in.)</t>
  </si>
  <si>
    <t>295 x 203 mm</t>
  </si>
  <si>
    <t>69 3/8 x 44 1/8 in. (176.2 x 112.1 cm)</t>
  </si>
  <si>
    <t>55.9 x 71.8 cm (22 x 28 1/4 in.)</t>
  </si>
  <si>
    <t>121.9 x 142.2 cm (48 x 56 in.)</t>
  </si>
  <si>
    <t>52 3/4 x 39 1/2 in.</t>
  </si>
  <si>
    <t>130 x 135 mm</t>
  </si>
  <si>
    <t>32 1/2 x 35 1/2 in. (82.5 x 90.2 cm)</t>
  </si>
  <si>
    <t>92.1 x 73.7 cm (36 1/4 x 29 in.)</t>
  </si>
  <si>
    <t>55.6 x 67.1 cm (21 5/8 x 26 1/8 in.)</t>
  </si>
  <si>
    <t>53.3 x 66 cm (21 x 26 in.)</t>
  </si>
  <si>
    <t>129.5 x 44.5 cm (51 x 17 1/12 in.); overall: 201.8 x 61 cm (83 x 24 in.)</t>
  </si>
  <si>
    <t>43.2 x 50.8 cm (16 1/4 x 20 in.)</t>
  </si>
  <si>
    <t>130.2 x 201.9 cm (51 1/2 x 79 1/2 in.)</t>
  </si>
  <si>
    <t>81.5 x 99.9 cm (32 1/16 x 39 1/4 in.)</t>
  </si>
  <si>
    <t>499 x 652 mm</t>
  </si>
  <si>
    <t>277 x 454 mm</t>
  </si>
  <si>
    <t>187 mm x 270 mm</t>
  </si>
  <si>
    <t>58 x 129 mm</t>
  </si>
  <si>
    <t>10 5/16 x 12 3/8 in. (26.2 x 31.4 cm)</t>
  </si>
  <si>
    <t>25 3/4 x 15 in. (65.4 x 38.1 cm)</t>
  </si>
  <si>
    <t>31 15/16 x 39 3/8 in. (81.1 x 100 cm)</t>
  </si>
  <si>
    <t>160 x 124 cm (63 x 49 in.)</t>
  </si>
  <si>
    <t>60.5 x 73 cm (23 13/16 x 28 3/4 in.)</t>
  </si>
  <si>
    <t>10 x 14 1/16 in. (25.4 x 35.7 cm)</t>
  </si>
  <si>
    <t>71.1 x 90.2 cm (28 x 35 1/2 in.)</t>
  </si>
  <si>
    <t>117 x 82 mm (parchment); 125 x 88 mm (board)</t>
  </si>
  <si>
    <t>243.84 x 365.76 cm (96 x 144 in.)</t>
  </si>
  <si>
    <t>78 x 97 in. (198.1 x 246.4 cm)</t>
  </si>
  <si>
    <t>130 x 130 mm</t>
  </si>
  <si>
    <t>316 x 234 mm (primary support); 363 x 278 mm (secondary support)</t>
  </si>
  <si>
    <t>550 x 365 mm</t>
  </si>
  <si>
    <t>166 x 132 mm</t>
  </si>
  <si>
    <t>71.1 x 91.4 cm (28 x 36 in.)</t>
  </si>
  <si>
    <t>130 x 214 mm</t>
  </si>
  <si>
    <t>66 x 54.6 cm (26 x 21 1/2 in.)</t>
  </si>
  <si>
    <t>244 x 344 mm</t>
  </si>
  <si>
    <t>258 x 320 mm</t>
  </si>
  <si>
    <t>550 x 750 mm</t>
  </si>
  <si>
    <t>54.6 x 77.5 cm (21 1/2 x 30 1/2 in.)</t>
  </si>
  <si>
    <t>194 x 164 mm</t>
  </si>
  <si>
    <t>254 x 356 mm</t>
  </si>
  <si>
    <t>751 x 548 mm</t>
  </si>
  <si>
    <t>503 x 358 mm</t>
  </si>
  <si>
    <t>60.2 x 73.3 cm (23 11/16 x 28 7/8 in.)</t>
  </si>
  <si>
    <t>32 1/8 x 39 3/8 in. (81.5 x 100 cm)</t>
  </si>
  <si>
    <t>79.7 x 61 cm (31 3/8 x 24 in.)</t>
  </si>
  <si>
    <t>355 x 554 mm</t>
  </si>
  <si>
    <t>70.0 x 100.0 cm (27 x 39 3/8 in.)</t>
  </si>
  <si>
    <t>39 9/16 x 25 9/16 in. (99.9 x 64.9 cm)</t>
  </si>
  <si>
    <t>311 x 455 mm</t>
  </si>
  <si>
    <t>38.4 x 28.3 cm (15 1/8 x 11 1/8 in.)
Painted surface: 36.5 x 27 cm (14 3/8 x 10 5/8 in.)</t>
  </si>
  <si>
    <t>28 3/4 x 21 3/8 in. (73 x 54.3 cm)</t>
  </si>
  <si>
    <t>60.3 x 50.2 cm (23 3/4 x 19 3/4 in.)</t>
  </si>
  <si>
    <t>92.1 x 61.6 cm (36 1/4 x 24 1/4 in.)</t>
  </si>
  <si>
    <t>79.7 x 104.8 cm (31 3/8 x 41 1/4 in.)</t>
  </si>
  <si>
    <t>584 x 737 mm</t>
  </si>
  <si>
    <t>230 x 314 mm</t>
  </si>
  <si>
    <t>1,050 x 750 mm</t>
  </si>
  <si>
    <t>163 x 203 mm</t>
  </si>
  <si>
    <t>65 x 78 mm</t>
  </si>
  <si>
    <t>25 x 27 in. (63.6 x 68.7 cm)</t>
  </si>
  <si>
    <t>503 x 643 mm</t>
  </si>
  <si>
    <t>20 7/8 x 15 3/4 in. (53.9 x 40.3 cm)</t>
  </si>
  <si>
    <t>61.6 x 53.3 cm (24 1/4 x 21 in.)</t>
  </si>
  <si>
    <t>132.1 x 148.6 cm (52 x 58 1/2 in.)</t>
  </si>
  <si>
    <t>34 5/8 x 27 7/8 in. (88 x 70.8 cm)</t>
  </si>
  <si>
    <t>159 x 437 mm</t>
  </si>
  <si>
    <t>137.1 x 154.9 cm (54 x 61 in.)</t>
  </si>
  <si>
    <t>68 13/16 x 45 9/16 in. (174.8 x 115.7 cm)</t>
  </si>
  <si>
    <t>609 x 483 mm</t>
  </si>
  <si>
    <t>233 x 335 mm</t>
  </si>
  <si>
    <t>35.6 x 61 cm (14 x 24 in.)</t>
  </si>
  <si>
    <t>63.8 x 89.5 cm (25 1/8 x 35 1/4 in.)</t>
  </si>
  <si>
    <t>101.9 x 69.2 cm (40 1/8 x 27 1/4 in.)</t>
  </si>
  <si>
    <t>393 x 274 mm</t>
  </si>
  <si>
    <t>183 x 300 mm</t>
  </si>
  <si>
    <t>202 x 266 mm</t>
  </si>
  <si>
    <t>250 x 320 mm (primary support); 285 x 351 mm (secondary support)</t>
  </si>
  <si>
    <t>48 x 45 in.</t>
  </si>
  <si>
    <t>199 x 285 mm</t>
  </si>
  <si>
    <t>260 x 274 mm</t>
  </si>
  <si>
    <t>16 1/8 x 10 3/4 in. (41 x 27.3 cm)</t>
  </si>
  <si>
    <t>190 x 277 mm</t>
  </si>
  <si>
    <t>78.7 x 86.4 cm (31 x 34 in.)</t>
  </si>
  <si>
    <t>155 x 241 mm</t>
  </si>
  <si>
    <t>250 x 140 mm</t>
  </si>
  <si>
    <t>213 x 243 cm (7 x 8 feet)</t>
  </si>
  <si>
    <t>72 x 72 in.</t>
  </si>
  <si>
    <t>215 x 332 mm</t>
  </si>
  <si>
    <t>196 x 260 mm</t>
  </si>
  <si>
    <t>182 x 162.5 cm (72 x 64 in.)</t>
  </si>
  <si>
    <t>11 1/2 x 15 3/8 in. (29.2 x 38.5 cm)</t>
  </si>
  <si>
    <t>20 3/16 x 12 in. (51.3 x 30.6 cm)</t>
  </si>
  <si>
    <t>76.2 x 50.8 cm (30 x 20 in.)</t>
  </si>
  <si>
    <t>154.9 x 212 cm (61 x 83 1/2 in.)</t>
  </si>
  <si>
    <t>508 x 636 mm</t>
  </si>
  <si>
    <t>65.1 x 52.4 cm (25 5/8 x 20 5/8 in.)</t>
  </si>
  <si>
    <t>291 x 230 mm</t>
  </si>
  <si>
    <t>196 x 172 mm</t>
  </si>
  <si>
    <t>56 x 84.8 cm (22 x 33 3/8 in.)</t>
  </si>
  <si>
    <t>195.6 x 99.1 cm (77 x 39 in.), without frame</t>
  </si>
  <si>
    <t>410 x 312 mm</t>
  </si>
  <si>
    <t>304 x 408 mm</t>
  </si>
  <si>
    <t>618 x 357 mm</t>
  </si>
  <si>
    <t>32 x 25 1/2 in. (81.3 x 64.8 cm)</t>
  </si>
  <si>
    <t>618 x 555 mm</t>
  </si>
  <si>
    <t>285 x 425 mm</t>
  </si>
  <si>
    <t>114.3 x 146.1 cm (45 x 57 1/2 in.)</t>
  </si>
  <si>
    <t>92.1 x 122.6 cm (36 1/4 x 48 1/4 in.)</t>
  </si>
  <si>
    <t>50.8 x 76.2 cm (20 x 30 in.)</t>
  </si>
  <si>
    <t>72.5 x 60.1 cm (28 1/2 x 23 5/8 in.)</t>
  </si>
  <si>
    <t>101.6 x 152.4 cm (40 x 60 in.)</t>
  </si>
  <si>
    <t>302 x 227 mm</t>
  </si>
  <si>
    <t>229 x 335 mm</t>
  </si>
  <si>
    <t>445 x 317 mm</t>
  </si>
  <si>
    <t>490 x 373 mm</t>
  </si>
  <si>
    <t>278 x 428 mm</t>
  </si>
  <si>
    <t>65.7 x 101 cm (25 7/8 x 39 3/4 in.)</t>
  </si>
  <si>
    <t>176 x 238 mm</t>
  </si>
  <si>
    <t>25.5 x 20.5 x 3 cm (10 x 8 x 1 1/5 in.)</t>
  </si>
  <si>
    <t>376 x 535 mm</t>
  </si>
  <si>
    <t>55.3 x 55.6 cm (21 3/4 x 21 13/16 in.)</t>
  </si>
  <si>
    <t>610 x 483 mm</t>
  </si>
  <si>
    <t>180 x 127 mm</t>
  </si>
  <si>
    <t>61 x 50.8 cm (24 x 20 in.)</t>
  </si>
  <si>
    <t>5 x 8 in. (12.7 x 20.5 cm)</t>
  </si>
  <si>
    <t>96.5 x 76.9 cm (38 x 30 1/4 in.)</t>
  </si>
  <si>
    <t>255 x 222.9 cm (100 7/8 x 87 3/4 in.)</t>
  </si>
  <si>
    <t>400 x 309 mm</t>
  </si>
  <si>
    <t>334 x 271 mm</t>
  </si>
  <si>
    <t>278 x 214 mm</t>
  </si>
  <si>
    <t>61 x 86.4 cm (24 x 34 in.)</t>
  </si>
  <si>
    <t>242 x 200 mm (primary support); 353 x 262 mm (secondary support)</t>
  </si>
  <si>
    <t>25 5/8 x 18 in. (65 x 45.7 cm)</t>
  </si>
  <si>
    <t>108 x 187 mm</t>
  </si>
  <si>
    <t>237 x 172 mm</t>
  </si>
  <si>
    <t>207 x 168 mm</t>
  </si>
  <si>
    <t>615 x 915 mm</t>
  </si>
  <si>
    <t>89.9 x 92.7 cm (35 3/8 x 36 1/2 in.)</t>
  </si>
  <si>
    <t>263 x 326 mm</t>
  </si>
  <si>
    <t>400 x 359 mm</t>
  </si>
  <si>
    <t>309 x 429 mm</t>
  </si>
  <si>
    <t>237.5 x 182.9 cm (93 1/2 x 72 in.)</t>
  </si>
  <si>
    <t>390 x 339 mm</t>
  </si>
  <si>
    <t>355 x 285 mm</t>
  </si>
  <si>
    <t>191 x 262 mm</t>
  </si>
  <si>
    <t>123.8 x 184.5 cm (48 3/4 x 72 5/8 in.)</t>
  </si>
  <si>
    <t>74.9 x 48.3 cm (29 1/2 x 19 in.)</t>
  </si>
  <si>
    <t>Each: 180 x 75 cm; (70 7/8 x 29 1/2 in.)</t>
  </si>
  <si>
    <t>651 x 502 mm</t>
  </si>
  <si>
    <t>24.6 x 19.5 cm (9 11/16 x 7 11/16 in.); painted surface: 23.9 x 18.7 cm (9 7/16 x 7 3/8 in.)</t>
  </si>
  <si>
    <t>178 x 256 mm</t>
  </si>
  <si>
    <t>600 x 750 mm</t>
  </si>
  <si>
    <t>202 x 252 mm</t>
  </si>
  <si>
    <t>68 7/8 x 59 5/8 in. (175 x 151.5 cm)</t>
  </si>
  <si>
    <t>193 x 281 mm</t>
  </si>
  <si>
    <t>23 1/2 x 16 5/8 in. (59.6 x 42.3 cm)</t>
  </si>
  <si>
    <t>29.5 x 24.5 cm</t>
  </si>
  <si>
    <t>89.8 x 101 cm (35 3/8 x 39 3/4 in.)</t>
  </si>
  <si>
    <t>34 x 40.2 cm (13 1/2 x 15 1/2 in.)</t>
  </si>
  <si>
    <t>79 1/4 x 55 in. (201.3 x 139.7 cm)</t>
  </si>
  <si>
    <t>25 x 31 1/2 in. (63.5 x 80 cm)</t>
  </si>
  <si>
    <t>738 x 583 mm</t>
  </si>
  <si>
    <t>unframed: 29-1/4 x 19-3/16" Framed: 37 1/2 x 27 1/7 inches
74.3 x 48.8; 95.3 x 69.9 cm</t>
  </si>
  <si>
    <t>68 x 76 mm</t>
  </si>
  <si>
    <t>393 x 483 mm</t>
  </si>
  <si>
    <t>37 15/16 x 49 3/16 in. (96.4 x 125 cm)</t>
  </si>
  <si>
    <t>770 x 561 mm</t>
  </si>
  <si>
    <t>14 x 19 5/8 in. (35.6 x 49.8 cm)</t>
  </si>
  <si>
    <t>376 x 274 mm</t>
  </si>
  <si>
    <t>698 x 727 mm</t>
  </si>
  <si>
    <t>31.5 x 41.5 cm (12 3/8 x 16 3/8 in.)</t>
  </si>
  <si>
    <t>54 x 62 mm</t>
  </si>
  <si>
    <t>195 x 283 mm</t>
  </si>
  <si>
    <t>41 1/2 x 12 3/4 in. (37 x 32.5 cm)</t>
  </si>
  <si>
    <t>127 x 101.7 cm (50 x 40 in.)</t>
  </si>
  <si>
    <t>274.3 x 274.3 cm (108 x 108 in.), installed</t>
  </si>
  <si>
    <t>296 x 432 mm</t>
  </si>
  <si>
    <t>145 x 225 mm</t>
  </si>
  <si>
    <t>130.7 x 97.2 cm (51 7/16 x 38 1/16 in.)</t>
  </si>
  <si>
    <t>86.6 x 101 cm (34 1/8 x 39 3/4 in.)</t>
  </si>
  <si>
    <t>305 x 455 mm</t>
  </si>
  <si>
    <t>8 x 12 3/4 in. (20.3 x 32.4 cm)</t>
  </si>
  <si>
    <t>57 x 44 1/2 in. (144.7 x 133 cm)</t>
  </si>
  <si>
    <t>365 x 495 mm
276 x 380 mm (image)</t>
  </si>
  <si>
    <t>21 x 28 1/2 in. (53.3 x 71.3 cm)</t>
  </si>
  <si>
    <t>657 x 508 mm</t>
  </si>
  <si>
    <t>137 x 222 cm (54 x 87 1/2 in.)</t>
  </si>
  <si>
    <t>155 x 226 cm (61 x 89 in.)</t>
  </si>
  <si>
    <t>83.8 x 69.9 cm (33 x 27 1/2 in.)</t>
  </si>
  <si>
    <t>250 x 320 mm</t>
  </si>
  <si>
    <t>44.8 x 65.7 cm (17 5/8 x 25 7/8 in.)</t>
  </si>
  <si>
    <t>357 x 510 mm</t>
  </si>
  <si>
    <t>75.1 x 41.6 cm (29 9/16 x 16 3/8 in.), unframed</t>
  </si>
  <si>
    <t>254 mm x 184 mm</t>
  </si>
  <si>
    <t>441 x 593 mm</t>
  </si>
  <si>
    <t>285 x 350 mm</t>
  </si>
  <si>
    <t>237 x 157 mm (primary support); 352 x 227 (secondary support); 451 x 312 (tertiary support)</t>
  </si>
  <si>
    <t>211.1 x 494 cm (83 1/8 x 194 1/2 in.)</t>
  </si>
  <si>
    <t>284 x 386 mm</t>
  </si>
  <si>
    <t>Paper: 24.2 x 30.0 cm (9 1/2 x 11 13/16 in.); Image: 17.2 x 24.6 cm (6 3/4 x 9 11/16 in.)</t>
  </si>
  <si>
    <t>119.4 x 122 cm (47 x 48 in.)</t>
  </si>
  <si>
    <t>630 x 483 mm</t>
  </si>
  <si>
    <t>124 x 148.3 cm (49 x 58 1/2 in.)</t>
  </si>
  <si>
    <t>90.2 x 71.1 cm (35 1/2 x 28 in.)</t>
  </si>
  <si>
    <t>489 x 630 mm</t>
  </si>
  <si>
    <t>354 x 505 mm</t>
  </si>
  <si>
    <t>14 7/8 x 21 5/8 in. (37.8 x 55 cm)</t>
  </si>
  <si>
    <t>78.2 x 65.4 cm (30 7/8 x 25 3/4 in.)</t>
  </si>
  <si>
    <t>152.4 x 152.4 cm (60 x 60 in.)</t>
  </si>
  <si>
    <t>65.4 x 55.3 cm (25 3/4 x 21 3/4 in.)</t>
  </si>
  <si>
    <t>748 x 1,095 mm</t>
  </si>
  <si>
    <t>274.3 x 182.8 cm (108 x 72in.)</t>
  </si>
  <si>
    <t>190 x 126 mm</t>
  </si>
  <si>
    <t>13 3/16 x 6 5/8 in. (33.5 x 17.4 cm)</t>
  </si>
  <si>
    <t>21 5/8 x 29 5/16 in. (55 x 74.5 cm)</t>
  </si>
  <si>
    <t>32 1/8 x 39 5/8 in. (81.6 x 100.3 cm)</t>
  </si>
  <si>
    <t>45.1 x 54 cm (17 3/4 x 21 1/4 in.)</t>
  </si>
  <si>
    <t>182.9 x 121.9 cm (72 x 48 in.)</t>
  </si>
  <si>
    <t>47.3 x 63.2 cm (18 5/8 x 24 7/8 in.)</t>
  </si>
  <si>
    <t>48 x 76.9 cm (18 7/8 x 30 1/4 in.)</t>
  </si>
  <si>
    <t>148 x 245 mm</t>
  </si>
  <si>
    <t>759 x 565 mm</t>
  </si>
  <si>
    <t>71.5 x 57.1 cm (28 3/16 x 22 1/2 in.)</t>
  </si>
  <si>
    <t>25 5/16 x 20 5/8 in. (64.3 x 52.5 cm)</t>
  </si>
  <si>
    <t>211 x 151 mm</t>
  </si>
  <si>
    <t>379 x 561 mm</t>
  </si>
  <si>
    <t>32 x 25 3/4 in. (81.3 x 65.5 cm)</t>
  </si>
  <si>
    <t>39.4 x 26.7 cm (15 1/2 x 10 1/2 in.)</t>
  </si>
  <si>
    <t>65 1/2 x 48 in. (166.5 x 121.9 cm)</t>
  </si>
  <si>
    <t>220 x 404 mm</t>
  </si>
  <si>
    <t>97.5 x 103.2 cm (38 3/8 x 40 5/8 in.)</t>
  </si>
  <si>
    <t>58 x 73.5 cm (22 7/8 x 29 in.)</t>
  </si>
  <si>
    <t>377 x 291 mm</t>
  </si>
  <si>
    <t>193 x 193 cm (76 x 76 in.)</t>
  </si>
  <si>
    <t>241 x 342 mm</t>
  </si>
  <si>
    <t>55.6 x 32 cm (21 7/8 x 12 5/8 in.)</t>
  </si>
  <si>
    <t>82 x 152 mm</t>
  </si>
  <si>
    <t>11 1/2 x 15 3/4 in. (29.2 x 38.5 cm)</t>
  </si>
  <si>
    <t>46.7 x 39.1 cm (18 3/8 x 15 3/8 in.)</t>
  </si>
  <si>
    <t>84 x 96.6 cm (33 1/16 x 38 in.)</t>
  </si>
  <si>
    <t>136 x 134 mm</t>
  </si>
  <si>
    <t>64.4 x 92.5 cm (25 3/8 x 36 7/16 in.)</t>
  </si>
  <si>
    <t>570 x 515 mm</t>
  </si>
  <si>
    <t>29 x 36 1/2 in. (73.6 x 92.6 cm)</t>
  </si>
  <si>
    <t>467 x 762 mm</t>
  </si>
  <si>
    <t>240 x 375 mm</t>
  </si>
  <si>
    <t>339 x 254 mm</t>
  </si>
  <si>
    <t>328 x 424 mm</t>
  </si>
  <si>
    <t>50.8 x 77.5 cm (20 x 30 1/2 in.)</t>
  </si>
  <si>
    <t>70 x 51.6 cm (27 9/16 x 20 5/16 in.)</t>
  </si>
  <si>
    <t>314 x 397 mm</t>
  </si>
  <si>
    <t>383 x 256 mm</t>
  </si>
  <si>
    <t>50.8 x 45.7 cm (20 x 18 in.)</t>
  </si>
  <si>
    <t>486 x 372 mm</t>
  </si>
  <si>
    <t>223 x 93 mm</t>
  </si>
  <si>
    <t>562 x 673 mm</t>
  </si>
  <si>
    <t>46.7 x 31.3 cm (18 3/8 x 12 5/16 in.)
Painted surface: 45.4 x 30.2 cm (17 7/8 x 11 3/4 in.)</t>
  </si>
  <si>
    <t>70.8 x 54.6 cm (27 7/8 x 21 1/2 in.)</t>
  </si>
  <si>
    <t>95 x 92 mm</t>
  </si>
  <si>
    <t>91.4 x 58.4 cm (36 x 23 in.)</t>
  </si>
  <si>
    <t>100 x 75 cm (39 1/2 x 29 1/2 in.)</t>
  </si>
  <si>
    <t>68 x 72 mm</t>
  </si>
  <si>
    <t>374 x 555 mm</t>
  </si>
  <si>
    <t>619 x 487 mm</t>
  </si>
  <si>
    <t>43 1/4 x 31 in. (99 x 78.8 cm)</t>
  </si>
  <si>
    <t>499 x 340 mm</t>
  </si>
  <si>
    <t>81.4 x 64 cm (32 1/16 x 25 13/16 in.)</t>
  </si>
  <si>
    <t>350 x 489 mm</t>
  </si>
  <si>
    <t>745 x 1,047 mm</t>
  </si>
  <si>
    <t>71.7 x 55.2 cm (28 1/4 x 21 3/4 in.)</t>
  </si>
  <si>
    <t>311 x 237 mm</t>
  </si>
  <si>
    <t>30.5 x 25.1 cm (12 x 9 7/8 in.)</t>
  </si>
  <si>
    <t>119 x 90 mm</t>
  </si>
  <si>
    <t>88.9 x 74.3 cm (35 x 29 1/4 in.)</t>
  </si>
  <si>
    <t>207 x 297 mm</t>
  </si>
  <si>
    <t>262.2 x 181.6 cm (103 1/4 x 71 1/2 in.)</t>
  </si>
  <si>
    <t>59.7 x 49.5 cm (23 1/2 x 19 1/2 in.)</t>
  </si>
  <si>
    <t>23 1/8 x 28 1/8 in. (58.75 x 71.4 cm)</t>
  </si>
  <si>
    <t>129.5 x 182.9 cm (51 x 72 in.)</t>
  </si>
  <si>
    <t>72.5 x 99 cm (28 9/16 x 38 15/16 in.)</t>
  </si>
  <si>
    <t>93 x 74 cm (36 9/16 x 29 1/8 in.)</t>
  </si>
  <si>
    <t>29 5/16 x 21 7/8 in. (74.4 x 55.6 cm)</t>
  </si>
  <si>
    <t>68 x 47 1/2 in. (176 x 120.7 cm)</t>
  </si>
  <si>
    <t>19 x 29 1/8 in. (48.4 x 74 cm)</t>
  </si>
  <si>
    <t>512 x 1,070 mm</t>
  </si>
  <si>
    <t>747 x 1,096 mm</t>
  </si>
  <si>
    <t>99.1 x 88.4 cm (39 x 34 13/16 in.)</t>
  </si>
  <si>
    <t>257.5 x 323.2 cm  (101 3/8 x 127 1/4 in.)</t>
  </si>
  <si>
    <t>73.5 x 59.5 cm (28 15/16 x 23 7/16 in.)</t>
  </si>
  <si>
    <t>747 x 553 mm</t>
  </si>
  <si>
    <t>194 mm x 280 mm</t>
  </si>
  <si>
    <t>353 x 504 mm</t>
  </si>
  <si>
    <t>30 1/8 x 42 1/4 in. (76.5 x 127.5 cm)</t>
  </si>
  <si>
    <t>500 x 660 mm</t>
  </si>
  <si>
    <t>365 x 262 mm</t>
  </si>
  <si>
    <t>375 x 480 mm</t>
  </si>
  <si>
    <t>267 x 194 mm</t>
  </si>
  <si>
    <t>357 x 512 mm</t>
  </si>
  <si>
    <t>21.5 x 48.9 cm (8 1/2 x 19 3/8 in.)</t>
  </si>
  <si>
    <t>55.9 x 87 cm (22 x 34 1/4 in.)</t>
  </si>
  <si>
    <t>21.5 x 12.5 cm (8 15/32 x 4 31/32 in.)</t>
  </si>
  <si>
    <t>36 1/4 x 28 3/4 in. (92 x 73 cm)</t>
  </si>
  <si>
    <t>206 x 173 mm</t>
  </si>
  <si>
    <t>63 x 53 cm (23 3/4 x 20 7/8 in.)</t>
  </si>
  <si>
    <t>20 3/16 x 24 1/4 in. (51.3 x 61.7 cm)</t>
  </si>
  <si>
    <t>115 x 88 mm</t>
  </si>
  <si>
    <t>72.5 x 91.5 cm (28 9/16 x 36 in.)</t>
  </si>
  <si>
    <t>180 x 117 mm</t>
  </si>
  <si>
    <t>70.8 x 73.7 cm (27 7/8 x 29 in.)</t>
  </si>
  <si>
    <t>29 x 36 1/4 in. (73.7 x 92.1 cm)</t>
  </si>
  <si>
    <t>12 13/16 x 10 7/8 in. (32.6 x 27.6 cm)</t>
  </si>
  <si>
    <t>48.6 x 72.9 cm (19 1/8 x 28 11/16 in.)</t>
  </si>
  <si>
    <t>26 3/4 x 47 7/16 in. (68 x 120.4 cm)</t>
  </si>
  <si>
    <t>171.8 x 125.4 cm (67 5/8 x 49 3/8 in.)</t>
  </si>
  <si>
    <t>54 x 63.5 cm (21 1/4 x 25 in.)</t>
  </si>
  <si>
    <t>112 x 171 mm</t>
  </si>
  <si>
    <t>21 1/4 x 25 11/16 in. (54 x 65.3 cm)</t>
  </si>
  <si>
    <t>423 x 352 mm</t>
  </si>
  <si>
    <t>76.2 x 83.8 cm (30 x 33 in.), each</t>
  </si>
  <si>
    <t>168 x 129 mm</t>
  </si>
  <si>
    <t>50 x 40 in. (127 x 101.7 cm)</t>
  </si>
  <si>
    <t>41 x 50.8 cm (16 1/8 x 20 in.)</t>
  </si>
  <si>
    <t>19 7/8 x 23 5/8 in. (50.5 x 60 cm)</t>
  </si>
  <si>
    <t>38.1 x 45.7 cm (15 x 18 in.)</t>
  </si>
  <si>
    <t>53 1/2 x 39 in. (136 x 99 cm)</t>
  </si>
  <si>
    <t>482 x 632 mm</t>
  </si>
  <si>
    <t>305 x 459 mm; 12 1/4 x 18 in.</t>
  </si>
  <si>
    <t>92.7 x 73.8 cm (36 1/2 x 29 1/2 in.)</t>
  </si>
  <si>
    <t>Panel: 117 x 51.1 cm (46 1/16 x 20 1/8 in.); Painted Surface: 115.5 x 49.5 cm (45 1/2 x 19 1/2 in.)</t>
  </si>
  <si>
    <t>698 x 1,080 mm</t>
  </si>
  <si>
    <t>51.4 x 76.8 cm (20 1/4 x 30 1/4 in.)</t>
  </si>
  <si>
    <t>56.2 x 61.3 cm (22 1/8 x 24 1/8 in.)</t>
  </si>
  <si>
    <t>34.5 x 26 cm (15 x 10 3/8 in.)</t>
  </si>
  <si>
    <t>226 x 201 mm</t>
  </si>
  <si>
    <t>71.8 x 62.9 cm (28 1/2 x 24 3/4 in. [oval])</t>
  </si>
  <si>
    <t>113 x 82.6 cm (44 1/2 x 32 1/2 in.)</t>
  </si>
  <si>
    <t>24 5/8 x 18 3/4 in. (62.5 x 47.6 cm)</t>
  </si>
  <si>
    <t>35.6 x 26 cm (14 x 10 1/4 in.)</t>
  </si>
  <si>
    <t>254 x 194 mm</t>
  </si>
  <si>
    <t>40.7 x 28.5 cm (16 1/16 x 11 5/16 in.); Painted Surface: 39.1 x 26.7 cm (15 3/8 x 10 1/2 in.)</t>
  </si>
  <si>
    <t>177 mm x 254 mm</t>
  </si>
  <si>
    <t>251 x 302 mm</t>
  </si>
  <si>
    <t>93 x 231 cm (36 7/16 x 90 15/16 in.)</t>
  </si>
  <si>
    <t>23 3/4 x 32 in. (60.3 x 81.2 cm)</t>
  </si>
  <si>
    <t>316 x 131 mm</t>
  </si>
  <si>
    <t>Image: 20 x 13.7 cm (I7 7/8 x 5 3/8 in.); Outermost border: 39.9 x 26.8 cm (15 3/4 x 10 1/2 in.); Paper: 42 x 29.2 cm (16 1/2 x 11 1/2 in.)</t>
  </si>
  <si>
    <t>56 x 91 cm (22 x 36 in.)</t>
  </si>
  <si>
    <t>258 x 213 mm</t>
  </si>
  <si>
    <t>52 x 77 mm</t>
  </si>
  <si>
    <t>39 1/4 x 29 5/8 in. (99.7 x 75 cm)</t>
  </si>
  <si>
    <t>42 7/8 x 29 in. (109 x 73.7 cm)</t>
  </si>
  <si>
    <t>124.5 x 231.1 cm (49 x 91 in.)</t>
  </si>
  <si>
    <t>71 x 60 cm (27 15/16 x 23 5/8 in.)</t>
  </si>
  <si>
    <t>455 x 290 mm</t>
  </si>
  <si>
    <t>157 x 228 mm</t>
  </si>
  <si>
    <t>325 x 261 mm</t>
  </si>
  <si>
    <t>3/4 length; 51 1/2 x 35 1/4 in.</t>
  </si>
  <si>
    <t>252 x 171 mm</t>
  </si>
  <si>
    <t>133.4 x 107.6 cm (52 1/2 x 42 3/8 in.)</t>
  </si>
  <si>
    <t>248 x 196 mm</t>
  </si>
  <si>
    <t>61.3 x 50.8 cm (24 1/8 x 20 in.)</t>
  </si>
  <si>
    <t>45 x 58 in. (114.3 x 145.5 cm)</t>
  </si>
  <si>
    <t>333 x 269 mm</t>
  </si>
  <si>
    <t>92.1 x 71.1 cm (36 1/4 x 28 in.)</t>
  </si>
  <si>
    <t>49.5 x 61 cm (19 1/2 x 24 in. )</t>
  </si>
  <si>
    <t>408 x 142 mm</t>
  </si>
  <si>
    <t>35 7/8 x 28 1/8 in. (91.2 x 71.3 cm)</t>
  </si>
  <si>
    <t>Image: 19.8 x 12.1 cm (7 13/16 x 4 3/4 in.); Outermost Border: 21.8 x 13.8 cm (8 9/16 x 5 7/16 in.); Paper: 33.4 x 20.8 cm (13 1/8 x 8 1/4 in.)</t>
  </si>
  <si>
    <t>31 x 39 1/2 in. (78.8 x 100.4 cm)</t>
  </si>
  <si>
    <t>539 x 372 mm</t>
  </si>
  <si>
    <t>12 1/2 x 23 1/4 in. (31.8 x 59.1 cm)</t>
  </si>
  <si>
    <t>17 7/16 x 16 1/16 in. (44.3 x 40.8 cm)</t>
  </si>
  <si>
    <t>147.3 x 80.6 cm (31 3/4 x 58 in.)</t>
  </si>
  <si>
    <t>80.2 x 65.5 cm (31 x 25 3/16 in.)</t>
  </si>
  <si>
    <t>49 x 38.2 cm (19 1/4 x 15 in.)</t>
  </si>
  <si>
    <t>210 x 312 mm</t>
  </si>
  <si>
    <t>47 7/16 x 33 3/4 in. (120.5 x 85.8 cm)</t>
  </si>
  <si>
    <t>81.3 x 65.1 cm (32 x 25 5/8 in.)</t>
  </si>
  <si>
    <t>45.7 x 8.8 cm (18 x 26 x 3 1/2 in.)</t>
  </si>
  <si>
    <t>48.9 x 59.1 cm (19 1/4 x 23 1/4 in.)</t>
  </si>
  <si>
    <t>265 x 124 mm</t>
  </si>
  <si>
    <t>235 x 320 mm</t>
  </si>
  <si>
    <t>12 3/8 x 10 3/8 in. (31.4 x 26.5 cm)</t>
  </si>
  <si>
    <t>402 x 531 mm; 15 7/8 x 20 7/8 in.</t>
  </si>
  <si>
    <t>27.3 x 46.4 cm (10 3/4 x 18 1/4 in.)</t>
  </si>
  <si>
    <t>68 x 64 mm</t>
  </si>
  <si>
    <t>57.3 x 47.4 cm (22 9/16 x 18 5/8 in.)</t>
  </si>
  <si>
    <t>125.6 x 51.1 cm (49 1/2 x 20 1/8 in.)</t>
  </si>
  <si>
    <t>44.6 x 30.1 cm (17 9/16 x 11 13/16 in.)
Painted surface: 43 x 29.1 cm (16 15/16 x 11 7/16 in.)</t>
  </si>
  <si>
    <t>266 x 303 mm</t>
  </si>
  <si>
    <t>29.8 x 60.6 cm (11 3/4 x 23 7/8 in.)</t>
  </si>
  <si>
    <t>385 x 271 mm</t>
  </si>
  <si>
    <t>284 x 395 mm</t>
  </si>
  <si>
    <t>192 x 123 mm</t>
  </si>
  <si>
    <t>305 x 241 mm</t>
  </si>
  <si>
    <t>19 x 25 1/4 in. (48.3 x 64.1 cm)</t>
  </si>
  <si>
    <t>95 x 143 cm (37 3/8 x 56 1/4 in.)</t>
  </si>
  <si>
    <t>80.8 x 56.5 cm (31 13/16 x 22 1/4 in.)</t>
  </si>
  <si>
    <t>419 x 490 mm</t>
  </si>
  <si>
    <t>35.8 x 28 cm (14 1/8 x 11 7/8 in)</t>
  </si>
  <si>
    <t>25 1/2 x 38 in.</t>
  </si>
  <si>
    <t>25 1/2 x 19 1/2 in. (64.8 x 49.5 cm)</t>
  </si>
  <si>
    <t>306 x 516 mm</t>
  </si>
  <si>
    <t>13 1/4 x 19 3/4 in.</t>
  </si>
  <si>
    <t>65.7 x 85 cm (25 7/8 x 33 1/2 in.)</t>
  </si>
  <si>
    <t>471 x 654 mm</t>
  </si>
  <si>
    <t>54 x 65 cm (21 1/4 x 25 9/16 in.)</t>
  </si>
  <si>
    <t>40.4 x 31.6 cm (15 7/8 x 12 7/16 in.); painted surface: 38.7 x 30.5 cm (15 1/4 x 12 in.)</t>
  </si>
  <si>
    <t>391 x 533 mm</t>
  </si>
  <si>
    <t>440 x 324 mm</t>
  </si>
  <si>
    <t>58.8 x 92.7 cm (23 1/8 x 36 1/2 in.)</t>
  </si>
  <si>
    <t>92.6 x 73.7 cm (36 1/2 x 29 in.)</t>
  </si>
  <si>
    <t>443 x 696 mm</t>
  </si>
  <si>
    <t>495 x 377 mm</t>
  </si>
  <si>
    <t>298 x 252 mm</t>
  </si>
  <si>
    <t>57.1 x 46.7 cm (22 1/2 x 18 3/8 in.)</t>
  </si>
  <si>
    <t>558 x 761 mm</t>
  </si>
  <si>
    <t>311 x 277 mm</t>
  </si>
  <si>
    <t>97.9 x 76.4 cm (38 1/2 x 30 1/8 in.)</t>
  </si>
  <si>
    <t>198 x 280 mm</t>
  </si>
  <si>
    <t>76.2 x 91.4 cm (30 x 36 in.)</t>
  </si>
  <si>
    <t>193 x 279 mm</t>
  </si>
  <si>
    <t>276.9 x 304.8 cm (109 x 120 in.)</t>
  </si>
  <si>
    <t>505 x 378 mm</t>
  </si>
  <si>
    <t>222 x 337 mm</t>
  </si>
  <si>
    <t>119.4 x 95.2 cm (47 x 37 1/2 in.)</t>
  </si>
  <si>
    <t>61 x 61 cm (24 x 24 in.)</t>
  </si>
  <si>
    <t>259 x 332 mm</t>
  </si>
  <si>
    <t>99 x 228 mm</t>
  </si>
  <si>
    <t>68.5 x 39.5 cm (27 x 15 1/2 in.); painted surface: 66.3 x 37 cm (26 1/16 x 14 5/8 in.)</t>
  </si>
  <si>
    <t>322 x 430 mm</t>
  </si>
  <si>
    <t>174 x 113 mm</t>
  </si>
  <si>
    <t>404 x 513 mm</t>
  </si>
  <si>
    <t>328 x 469 mm</t>
  </si>
  <si>
    <t>362 x 485 mm</t>
  </si>
  <si>
    <t>417 x 492 mm (max.)</t>
  </si>
  <si>
    <t>63.5 x 83.8 cm (25 x 33 in.)</t>
  </si>
  <si>
    <t>210.8 x 124.5 cm (83 x 49 in.)</t>
  </si>
  <si>
    <t>54.8 x 46 cm (21 1/2 x 18 1/8 in.)</t>
  </si>
  <si>
    <t>280 x 432 mm</t>
  </si>
  <si>
    <t>321 x 259 mm</t>
  </si>
  <si>
    <t>476 x 590 mm</t>
  </si>
  <si>
    <t>240 x 160 cm (94 1/2 x 63 in.)</t>
  </si>
  <si>
    <t>336 x 487 mm</t>
  </si>
  <si>
    <t>46.5 x 38.2 cm (19 1/4 x 15 in.)</t>
  </si>
  <si>
    <t>570 x 769 mm</t>
  </si>
  <si>
    <t>21.5 x 31.3 cm (8 7/16 x 12 5/16 in.)</t>
  </si>
  <si>
    <t>75.9 x 107 cm (29 7/8 x 42 1/8 in.)</t>
  </si>
  <si>
    <t>450 x 347 mm</t>
  </si>
  <si>
    <t>558 x 755 mm</t>
  </si>
  <si>
    <t>321 x 246 mm</t>
  </si>
  <si>
    <t>78.2 x 55.5 cm (30 3/4 x 21 1/4 in.)</t>
  </si>
  <si>
    <t>130 x 99.1 cm (51 1/4 x 39 in.)</t>
  </si>
  <si>
    <t>86.9 x 44.7 cm (34 1/4 x 17 5/8 in.)</t>
  </si>
  <si>
    <t>161 x 163 mm</t>
  </si>
  <si>
    <t>312 x 487 mm</t>
  </si>
  <si>
    <t>72.4 x 105.1 cm (28 1/2 x 41 3/8 in.)</t>
  </si>
  <si>
    <t>118 mm x 372 mm</t>
  </si>
  <si>
    <t>328 x 502 mm</t>
  </si>
  <si>
    <t>198.1 x 213.4 cm (78 x 84 in.)</t>
  </si>
  <si>
    <t>66.9 x 53.3 cm (26 5/16 x 21 in.)</t>
  </si>
  <si>
    <t>254 x 354 mm</t>
  </si>
  <si>
    <t>225 x 362 mm (image); 243 x 380 mm (sheet)</t>
  </si>
  <si>
    <t>253 x 175 mm</t>
  </si>
  <si>
    <t>323 x 229 mm</t>
  </si>
  <si>
    <t>32 x 28 in.</t>
  </si>
  <si>
    <t>87 x 131 mm</t>
  </si>
  <si>
    <t>279 x 238 mm</t>
  </si>
  <si>
    <t>517 x 678 mm</t>
  </si>
  <si>
    <t>261 x 388 mm</t>
  </si>
  <si>
    <t>334 x 249 mm</t>
  </si>
  <si>
    <t>38 x 28 3/4 in. (92 x 72.8 cm)</t>
  </si>
  <si>
    <t>168.9 x 168.9 cm (66 1/2 x 66 1/2 in.)</t>
  </si>
  <si>
    <t>214 x 222 mm</t>
  </si>
  <si>
    <t>167 x 177 mm</t>
  </si>
  <si>
    <t>230 x 318 mm</t>
  </si>
  <si>
    <t>556 x 757 mm</t>
  </si>
  <si>
    <t>560 x 305 mm</t>
  </si>
  <si>
    <t>35.6 x 17.8 cm (14 x 7 in.)</t>
  </si>
  <si>
    <t>223.8 x 177.2 cm (88 1/8 x 69 3/4 in.)</t>
  </si>
  <si>
    <t>165 x 134 mm</t>
  </si>
  <si>
    <t>50.2 x 73.3 cm (19 3/4 x 28 7/8 in.)</t>
  </si>
  <si>
    <t>484 x 317 mm</t>
  </si>
  <si>
    <t>190 x 200 cm (75 x 78.7 in.)</t>
  </si>
  <si>
    <t>53.7 x 100 cm (21 1/8 x 39 3/8 in.)</t>
  </si>
  <si>
    <t>21 1/2 x 17 in., each</t>
  </si>
  <si>
    <t>61 x 71.1 cm (24 x 28 in.)</t>
  </si>
  <si>
    <t>384 x 545 mm</t>
  </si>
  <si>
    <t>300 x 350 mm</t>
  </si>
  <si>
    <t>243.8 x 243.8 cm (96 x 96 in.)</t>
  </si>
  <si>
    <t>9 3/8 x 4 5/16 in. (23.7 x 11 cm)</t>
  </si>
  <si>
    <t>36 x 23 1/2 in. (91.4 x 59.7 cm)</t>
  </si>
  <si>
    <t>217 x 231 mm</t>
  </si>
  <si>
    <t>273 x 444 mm</t>
  </si>
  <si>
    <t>51 x 31  1/8 in. (129.5 x 79.3 cm)</t>
  </si>
  <si>
    <t>186.1 x 123.2 cm (73 1/4 x 48 1/2 in.)</t>
  </si>
  <si>
    <t>160 x 264 mm</t>
  </si>
  <si>
    <t>17 x 21 7/8 in. (43 x 55.5 cm)</t>
  </si>
  <si>
    <t>821 x 289 mm (primary support overall); 841 x 312 mm (secondary support); 900 x 367 mm (tertiary support)</t>
  </si>
  <si>
    <t>108 x 80 cm (42 1/2 x 31 Â½ in.)</t>
  </si>
  <si>
    <t>176 mm x 259 mm</t>
  </si>
  <si>
    <t>106.7 x 106.7 cm (42 x 42 in.)</t>
  </si>
  <si>
    <t>Each panel:  82.5 x 46.3 cm (32 1/2 x 18 1/4 in.)</t>
  </si>
  <si>
    <t>501 x 340 mm</t>
  </si>
  <si>
    <t>181 x 187 mm</t>
  </si>
  <si>
    <t>310 x 223 mm</t>
  </si>
  <si>
    <t>562 x 430 mm</t>
  </si>
  <si>
    <t>255 x 356 mm</t>
  </si>
  <si>
    <t>10 1/2 x 10 x 2 1/2 in. (27 x 24.8 x 14.4 cm)</t>
  </si>
  <si>
    <t>19 1/2 x 14 1/4 in. (49.5 x 36.2 cm)</t>
  </si>
  <si>
    <t>24 x 19 1/8 in. (61 x 48.6 cm)</t>
  </si>
  <si>
    <t>23 5/16 x 28 3/4 in. (59.2 x 73 cm)</t>
  </si>
  <si>
    <t>56.9 x 48.4 cm (22 3/8 x 19 1/16 in.)</t>
  </si>
  <si>
    <t>465 x 565 mm</t>
  </si>
  <si>
    <t>53 1/8 x 69 7/8 in. (134.8 x 176.6 cm)</t>
  </si>
  <si>
    <t>23 3/4 x 20 1/8 in. (60.3 x 51.1 cm)</t>
  </si>
  <si>
    <t>37 x 48 3/16 in. (94 x 122.4 cm)</t>
  </si>
  <si>
    <t>767 x 573 mm</t>
  </si>
  <si>
    <t>32 x 26 1/2 in. (81.3 x 67.3 cm)</t>
  </si>
  <si>
    <t>60.96 x 50.8 cm (24 x 20 in.)</t>
  </si>
  <si>
    <t>278 mm x 378 mm</t>
  </si>
  <si>
    <t>577 x 795 mm</t>
  </si>
  <si>
    <t>36 x 28 5/16 in. (91.5 x 72 cm)</t>
  </si>
  <si>
    <t>205.7 x 123.2 cm (81 x 48 1/2 in.)</t>
  </si>
  <si>
    <t>220 x 150 mm</t>
  </si>
  <si>
    <t>359 x 415 mm</t>
  </si>
  <si>
    <t>194 x 260 cm (76 x 102 in.)</t>
  </si>
  <si>
    <t>63.5 x 80 cm (25 x 31 1/2 in.)</t>
  </si>
  <si>
    <t>27 11/16 x 23 3/16 in. (70.3 x 58.9 cm)</t>
  </si>
  <si>
    <t>43 7/8 x 32 in. (111.5 x 81.3 cm)</t>
  </si>
  <si>
    <t>149 x 163 mm</t>
  </si>
  <si>
    <t>129.5 x 177.8 cm (51 x 70 in.)</t>
  </si>
  <si>
    <t>420 x 574 mm (sight)</t>
  </si>
  <si>
    <t>76.8 x 61.9 cm (30 1/4 x 24 3/16 in.)</t>
  </si>
  <si>
    <t>54.3 x 45.7 cm (21 3/8 x 18 in.)</t>
  </si>
  <si>
    <t>81.5 x 66.4 cm (32 1/8 x 26 1/8 in.)</t>
  </si>
  <si>
    <t>11 15/16 x 16 1/8 in. (30.2 x 41 cm)</t>
  </si>
  <si>
    <t>96 x 221 mm</t>
  </si>
  <si>
    <t>537 x 631 mm</t>
  </si>
  <si>
    <t>13 3/4 x 19 1/3 in. (34.9 x 49.1 cm)</t>
  </si>
  <si>
    <t>208.3 x 144.8 cm (82 x 57 in.)</t>
  </si>
  <si>
    <t>67 x 78.4 cm (26 3/8 x 30 7/8 in.)</t>
  </si>
  <si>
    <t>Image: 26.5 x 15.2 cm (10 3/8 x 6 in.); Border: 29.3 x 18 cm (11 1/2 x 7 1/8 in.); Paper: 40.8 x 26.5 cm (16 1/16 x 10 3/8 in.)</t>
  </si>
  <si>
    <t>182.8 x 160 cm (72 x 63 in.)</t>
  </si>
  <si>
    <t>184 x 283 mm</t>
  </si>
  <si>
    <t>311 x 403 mm</t>
  </si>
  <si>
    <t>370 x 590 mm</t>
  </si>
  <si>
    <t>492 x 685 mm</t>
  </si>
  <si>
    <t>65.4 x 75.6 cm (25 3/4 x 29 3/4 in.)</t>
  </si>
  <si>
    <t>760 x 570 mm</t>
  </si>
  <si>
    <t>18 1/4 x 25 1/8 in. (46.5 x 63.9 cm)</t>
  </si>
  <si>
    <t>10 1/4 x 13 3/4 in. (26 x 34.9 cm)</t>
  </si>
  <si>
    <t>71.5 x 57.4 cm (28 1/8 x 22 5/8 in.)</t>
  </si>
  <si>
    <t>5 7/8 x 11 1/2 in. (15 x 29.2 cm)</t>
  </si>
  <si>
    <t>396 x 581 mm</t>
  </si>
  <si>
    <t>177.8 x 294.6 cm (70 x 116 1/2 in.)</t>
  </si>
  <si>
    <t>178 x 190 mm</t>
  </si>
  <si>
    <t>72.4 x 91.8 cm (28 1/2 x 36 1/8 in.)</t>
  </si>
  <si>
    <t>205 x 205 mm</t>
  </si>
  <si>
    <t>44 1/2 x 57 in. (113 x 145 cm)</t>
  </si>
  <si>
    <t>25 1/2 x 18 1/4 in. (64.8 x 46.4 cm)</t>
  </si>
  <si>
    <t>339.1 x 199.5 cm (133 1/2 x 78 1/2 in.)</t>
  </si>
  <si>
    <t>81 x 97 mm</t>
  </si>
  <si>
    <t>68 x 91 cm (26 7/8 x 36 in.)</t>
  </si>
  <si>
    <t>93.9 x 53.3 cm (37 x 21 in.)</t>
  </si>
  <si>
    <t>152.4 x 236.2 cm (60 x 93 in.)</t>
  </si>
  <si>
    <t>50.2 x 68.4 cm (19 3/4 x 26 15/16 in.)</t>
  </si>
  <si>
    <t>15 x 17 1/4 in. (38.1 x 48.3 cm)</t>
  </si>
  <si>
    <t>129 x 178 mm</t>
  </si>
  <si>
    <t>533 x 367 mm</t>
  </si>
  <si>
    <t>33 3/4 x 29 5/8 in. (85.7 x 75.3 cm); overall: 39 in.</t>
  </si>
  <si>
    <t>188 x 276 mm</t>
  </si>
  <si>
    <t>52.4 x 37.5 cm (20 5/8 x 14 3/4 in.)</t>
  </si>
  <si>
    <t>18 3/16 x 15 1/16 in. (46.5 x 38.3 cm)</t>
  </si>
  <si>
    <t>217 x 174 mm</t>
  </si>
  <si>
    <t>101.6 x 124.5 cm (40 x 49 in.)</t>
  </si>
  <si>
    <t>7 1/8 x 5 5/8 in.</t>
  </si>
  <si>
    <t>75.3 x 64.5 cm (29 5/8 x 25 3/8 in.)</t>
  </si>
  <si>
    <t>229 x 384 mm</t>
  </si>
  <si>
    <t>11 3/4 x 52 1/2 in.</t>
  </si>
  <si>
    <t>450 x 355 mm</t>
  </si>
  <si>
    <t>273 x 224 mm</t>
  </si>
  <si>
    <t>95 x 221 mm</t>
  </si>
  <si>
    <t>354 x 508 mm</t>
  </si>
  <si>
    <t>61 x 91.4 cm (24 x 36 in.)</t>
  </si>
  <si>
    <t>101.7 x 139.7 cm (40 x 50 in.)</t>
  </si>
  <si>
    <t>71.1 x 91.1 cm (28 x 35 7/8 in.)</t>
  </si>
  <si>
    <t>213 x 377 mm</t>
  </si>
  <si>
    <t>74 x 150.4 cm (29 3/16 x 59 3/16 in.)</t>
  </si>
  <si>
    <t>151.5 x 373 cm (59 5/8 x 147 in.) each</t>
  </si>
  <si>
    <t>324 x 457 mm</t>
  </si>
  <si>
    <t>105.4 x 199.3 cm (41 1/2 x 78 1/2 in.)</t>
  </si>
  <si>
    <t>63.5 x 107 cm (25 x 42 1/8 in.)</t>
  </si>
  <si>
    <t>12 x 16 5/16 in. (30.4 x 40.8 cm)</t>
  </si>
  <si>
    <t>37.5 x 26.7 cm (14 3/4 x 10 1/2 in.)</t>
  </si>
  <si>
    <t>193.7 x 163.2 cm (76 1/4 x 64 1/4 in.)</t>
  </si>
  <si>
    <t>90.5 x 72 cm (35 5/8 x 28 3/8 in.)</t>
  </si>
  <si>
    <t>51.3 x 35.6 cm (20 3/16 x 14 in.)</t>
  </si>
  <si>
    <t>286 x 353 mm</t>
  </si>
  <si>
    <t>533 x 667 mm</t>
  </si>
  <si>
    <t>27 x 35.4 cm (11 5/8 x 13 7/8 in.)</t>
  </si>
  <si>
    <t>Image: 22.8 x 14.7 cm (8 15/16 x 5 3/4 in.); Outermost Border: 24.1 x 16 cm (9 1/2 x 6 5/16 in.); Paper: 30.5 x 22.5 cm (12 x 8 7/8 in.)</t>
  </si>
  <si>
    <t>259 x 196 mm</t>
  </si>
  <si>
    <t>30.8 x 38.4 cm (12 1/8 x 15 1/8 in.)</t>
  </si>
  <si>
    <t>10 3/8 x 15 1/2 in. (26.4 x 39.5 cm)</t>
  </si>
  <si>
    <t>81.2 x 65.3 cm (32 x 25 Â¾ in.)</t>
  </si>
  <si>
    <t>676 x 978 mm</t>
  </si>
  <si>
    <t>522 x 420 mm (with frame)</t>
  </si>
  <si>
    <t>189 mm x 282 mm</t>
  </si>
  <si>
    <t>Image: 28.4 x 20.9 cm ; Outermost border: 28.7 x 21.3 cm ; Paper: 29.5 x 22 cm
(Image: 11 1/8 x 8 1/4 in.; Outermost border: 11 1/4 x 8 3/8 in.; Paper: 11 5/8 x 8 5/8 in.)</t>
  </si>
  <si>
    <t>250 x 345 mm</t>
  </si>
  <si>
    <t>13 5/8 x 17 in. (34.7 x 43.2 cm)</t>
  </si>
  <si>
    <t>101.6 x 66.1 cm (40 x 26 in.)</t>
  </si>
  <si>
    <t>109 x 154 mm</t>
  </si>
  <si>
    <t>20.3 x 34.3 cm (8 x 13 1/2 in.)</t>
  </si>
  <si>
    <t>85.1 x 69.9 cm (33 1/2 x 27 9/16 in.)</t>
  </si>
  <si>
    <t>38 x 30 cm (14 15/16 x 11 13/16 in.)</t>
  </si>
  <si>
    <t>66 x 74 mm</t>
  </si>
  <si>
    <t>21 1/16 x 16 7/16 in. (53.5 x 41.8 cm)</t>
  </si>
  <si>
    <t>19 3/4 x 26 1/2 in. (50.2 x 66.7 cm)</t>
  </si>
  <si>
    <t>456 x 307 mm</t>
  </si>
  <si>
    <t>1,560 x 863 mm</t>
  </si>
  <si>
    <t>22.9 x 17.5 cm (9 x 6 7/8 in.)</t>
  </si>
  <si>
    <t>108 x 152 mm</t>
  </si>
  <si>
    <t>38 x 38 in.</t>
  </si>
  <si>
    <t>194 x 262 mm</t>
  </si>
  <si>
    <t>233 x 292 mm</t>
  </si>
  <si>
    <t>32 1/2 x 46 1/2 in.</t>
  </si>
  <si>
    <t>19 3/4 x 26 1/8 in. (50.4 x 66.4 cm)</t>
  </si>
  <si>
    <t>139.7 x 121.9 cm (55 x 48 in.)</t>
  </si>
  <si>
    <t>26 x 19 3/4 in. (66 x 50 cm)</t>
  </si>
  <si>
    <t>81.9 x 107.6 cm (32 1/4 x 42 3/8 in.)</t>
  </si>
  <si>
    <t>272 x 380 mm</t>
  </si>
  <si>
    <t>45.8 x 55.7 cm (18 x 21 7/8 in.)</t>
  </si>
  <si>
    <t>410 x 330 mm</t>
  </si>
  <si>
    <t>21.4 x 17.8 cm (8 7/16 x 7 in.); painted surface: 20.5 x 16.5 cm (8 1/16 x 6 1/2 in.)</t>
  </si>
  <si>
    <t>371 x 225 mm</t>
  </si>
  <si>
    <t>126.7 x 101.3 cm (49 7/8 x 39 7/8 in.)</t>
  </si>
  <si>
    <t>132 x 163 mm</t>
  </si>
  <si>
    <t>215.9 x 106.7 cm (85 x 42 in.)</t>
  </si>
  <si>
    <t>76.7 x 91.1 cm (30 3/16 x 35 7/8 in.)</t>
  </si>
  <si>
    <t>108 x 145 mm</t>
  </si>
  <si>
    <t>123 x 199 mm</t>
  </si>
  <si>
    <t>418 x 318 mm (sight); 610 x 495 mm (frame)</t>
  </si>
  <si>
    <t>26 1/4 x 32 1/2 in. (66.7 x 82.7 cm)</t>
  </si>
  <si>
    <t>39 5/8 x 31 7/8 in. (100.6 x 81 cm)</t>
  </si>
  <si>
    <t>135.3 x 86.4 cm (53 1/4 x 34 in.)</t>
  </si>
  <si>
    <t>22.3 x 15.8 cm (8 3/4 x 6 1/4 in.)</t>
  </si>
  <si>
    <t>336 x 250 mm</t>
  </si>
  <si>
    <t>468 x 275 mm</t>
  </si>
  <si>
    <t>435 x 610 mm</t>
  </si>
  <si>
    <t>116.8 x 203.2 cm (46 x 80 in.)</t>
  </si>
  <si>
    <t>19.7 x 35.2 cm (7 3/4 x 13 7/8 in.)</t>
  </si>
  <si>
    <t>122 x 182.9 cm (48 x 72 in.)</t>
  </si>
  <si>
    <t>35 1/4 x 57 1/2 in. (89.5 x 146.1 cm)</t>
  </si>
  <si>
    <t>107 x 153 mm</t>
  </si>
  <si>
    <t>78 x 62 mm</t>
  </si>
  <si>
    <t>507 x 656 mm</t>
  </si>
  <si>
    <t>341 x 401 mm</t>
  </si>
  <si>
    <t>12 5/8 x 10 1/4 in. (32.2 x 25.7 cm)</t>
  </si>
  <si>
    <t>89 x 107 mm</t>
  </si>
  <si>
    <t>47 3/4 x 34 1/8 in. (121.5 x 86.8 cm)</t>
  </si>
  <si>
    <t>43 1/2 x 35 1/4 in.</t>
  </si>
  <si>
    <t>552 x 430 mm</t>
  </si>
  <si>
    <t>300 x 380 mm</t>
  </si>
  <si>
    <t>242 x 325 mm (primary support); 277 x 356 mm (secondary support)</t>
  </si>
  <si>
    <t>82 x 69 cm (32 1/4 x 27 1/8 in.)</t>
  </si>
  <si>
    <t>62.2 x 47 cm (24 1/2 x 18 1/2 in.)</t>
  </si>
  <si>
    <t>182.9 x 304.8 cm (72 x 120 in.)</t>
  </si>
  <si>
    <t>21 3/4 x 18 1/4 in. (55.3 x 46.4 cm)</t>
  </si>
  <si>
    <t>269 x 216 mm</t>
  </si>
  <si>
    <t>41.3 x 61.8 cm (16 1/4 x 24 5/16 in.)</t>
  </si>
  <si>
    <t>547 x 752 mm</t>
  </si>
  <si>
    <t>176 x 175 mm</t>
  </si>
  <si>
    <t>143 x 222 mm</t>
  </si>
  <si>
    <t>26 x 34.9 cm (10 1/4 x 13 3/4 in.)</t>
  </si>
  <si>
    <t>36.2 x 23.5 cm (14 x 9 1/4 in.)</t>
  </si>
  <si>
    <t>273 x 330 mm</t>
  </si>
  <si>
    <t>529 x 446 mm</t>
  </si>
  <si>
    <t>31 3/4 x 39 1/2 in. (80.6 x 100.3 cm)</t>
  </si>
  <si>
    <t>16 1/2 x 13 in. (42 x 33 cm)</t>
  </si>
  <si>
    <t>17 x 34 1/2 in. (43.2 x 87 cm)</t>
  </si>
  <si>
    <t>195 x 232 mm</t>
  </si>
  <si>
    <t>59.4 x 49.5 cm (23 3/8 x 19 1/2 in.)</t>
  </si>
  <si>
    <t>498 x 652 mm</t>
  </si>
  <si>
    <t>94.6 x 184.3 cm (37 1/2 x 72 3/4 in.)</t>
  </si>
  <si>
    <t>76.2 x 64.8 cm (30 x 25 1/8 in.)</t>
  </si>
  <si>
    <t>1,000 x 740 mm</t>
  </si>
  <si>
    <t>162.56 x 137.16 cm (64 x 54 in.)</t>
  </si>
  <si>
    <t>230 x 170 mm</t>
  </si>
  <si>
    <t>38.1 x 61 cm (15 x 24 in.)</t>
  </si>
  <si>
    <t>457 x 584 mm</t>
  </si>
  <si>
    <t>58.7 x 45.7 cm (23 1/8 x 18 in.)</t>
  </si>
  <si>
    <t>452 x 331 mm</t>
  </si>
  <si>
    <t>263 x 366 mm</t>
  </si>
  <si>
    <t>276 x 218 mm (max)</t>
  </si>
  <si>
    <t>120.6 x 120.6 cm (47 1/2 x 47 1/2 in.)</t>
  </si>
  <si>
    <t>14.6 x 20.6 cm (5 3/4 x 8 1/8 in.)</t>
  </si>
  <si>
    <t>532 x 395 mm</t>
  </si>
  <si>
    <t>33 1/2 x 15 1/4 in. (38.1 x 83.8 cm)</t>
  </si>
  <si>
    <t>187 x 271 mm</t>
  </si>
  <si>
    <t>76.4 x 101.8 cm (30 1/8 x 40 1/8 in.)</t>
  </si>
  <si>
    <t>203.2 x 160 cm (80 x 63 in.)</t>
  </si>
  <si>
    <t>Image: 22.1cm x 13.6 cm (8 11/16 in.x 5 3/8 in.); Paper: 27.9 cm x 17.6 cm (11 in. x 6 15/16 in.)</t>
  </si>
  <si>
    <t>71.2 x 86.4 cm (28 x 34 in.)</t>
  </si>
  <si>
    <t>556 x 773 mm</t>
  </si>
  <si>
    <t>Panel: 126.6 x 31.2 cm (49 7/8 x 12 1/4 in.); Painted Surface: 119 x 24.9 cm (46 7/8 x 9 13/16 in.)</t>
  </si>
  <si>
    <t>21 x 17 in.</t>
  </si>
  <si>
    <t>64.1 x 76.2 cm (25 1/4 x 30 in.)</t>
  </si>
  <si>
    <t>12 3/16 x 15 5/16 in. (31 x 39.2 cm)</t>
  </si>
  <si>
    <t>130 x 162 cm (51.2 x 63.8 in.)</t>
  </si>
  <si>
    <t>180 x 275 mm</t>
  </si>
  <si>
    <t>351 x 481 mm</t>
  </si>
  <si>
    <t>91.5 x 122 cm (36 x 48 in.)</t>
  </si>
  <si>
    <t>158.7 x 144.7 x 7.62 cm (62 1/4 x 57 x 3 in.)</t>
  </si>
  <si>
    <t>565 x 488 mm</t>
  </si>
  <si>
    <t>263 x 374 mm</t>
  </si>
  <si>
    <t>104 x 265 mm (primary support); 117 x 275 mm (secondary support); 370 x 520 mm (tertiary support)</t>
  </si>
  <si>
    <t>139 x 318 mm</t>
  </si>
  <si>
    <t>435 x 520 mm</t>
  </si>
  <si>
    <t>254 x 270 mm</t>
  </si>
  <si>
    <t>10 1/2 x 8 1/2 in. (26.7 x 21.6 cm)</t>
  </si>
  <si>
    <t>149.9 x 195.6 cm (59 x 77 in.)</t>
  </si>
  <si>
    <t>83 x 170 mm</t>
  </si>
  <si>
    <t>406 x 501 mm</t>
  </si>
  <si>
    <t>183 x 163 mm</t>
  </si>
  <si>
    <t>28 3/4 x 24 1/2 in. (76 x 62.4 cm)</t>
  </si>
  <si>
    <t>14 5/8 x 11 1/4 in. (37.2 x 28.6 cm)</t>
  </si>
  <si>
    <t>17.2 x 27.3 cm (6 3/4 x 10 3/4 in.)</t>
  </si>
  <si>
    <t>38.2 x 47.1 cm (15 x 18 1/2 in.) each</t>
  </si>
  <si>
    <t>66.5 x 82.3 cm (26 1/8 x 32 7/16 in.)</t>
  </si>
  <si>
    <t>13 1/2 x 10 in.</t>
  </si>
  <si>
    <t>149 x 241 mm</t>
  </si>
  <si>
    <t>648 x 1,035 mm</t>
  </si>
  <si>
    <t>750 x 1,120 mm</t>
  </si>
  <si>
    <t>223 x 296 mm</t>
  </si>
  <si>
    <t>251 x 163 mm (folded); 251 x 325 mm (unfolded)</t>
  </si>
  <si>
    <t>485 x 725 mm</t>
  </si>
  <si>
    <t>455 x 306 mm</t>
  </si>
  <si>
    <t>332 x 256 mm</t>
  </si>
  <si>
    <t>153 x 257 mm</t>
  </si>
  <si>
    <t>287 x 361 mm</t>
  </si>
  <si>
    <t>121.9 x 105.1 cm (48 x 41 3/8 in.)</t>
  </si>
  <si>
    <t>158 x 134 mm</t>
  </si>
  <si>
    <t>57.6 x 71.2 cm (22 11/16 x 28 in.)</t>
  </si>
  <si>
    <t>71.8 x 61 cm (28 3/4 x 24 in.)</t>
  </si>
  <si>
    <t>278 x 438 mm</t>
  </si>
  <si>
    <t>645 x 495 mm</t>
  </si>
  <si>
    <t>98 x 129 mm</t>
  </si>
  <si>
    <t>129.5 x 88.3 cm (51 x 34 3/4 in.)</t>
  </si>
  <si>
    <t>265 x 177 mm</t>
  </si>
  <si>
    <t>302 x 352 mm</t>
  </si>
  <si>
    <t>75 x 75 cm (29 1/2 x 29 1/2 in.)</t>
  </si>
  <si>
    <t>116.5 x 89.5 cm (45  â…ž x 35 3/16 in.)</t>
  </si>
  <si>
    <t>156 x 274 mm (primary support); 249 x 361 mm (secondary support)</t>
  </si>
  <si>
    <t>122 x 281 mm</t>
  </si>
  <si>
    <t>29 1/8 x 24 in.</t>
  </si>
  <si>
    <t>57 3/4 x 87 1/16 in. (146.7 x 221.2 cm)</t>
  </si>
  <si>
    <t>43.2 x 31.2 cm (17 x 12 1/4")</t>
  </si>
  <si>
    <t>76.5 x 101.6 cm (29 7/8 x 39 7/8 in.)</t>
  </si>
  <si>
    <t>57.8 x 44 cm (22 3/4 x 38 1/2 in.)</t>
  </si>
  <si>
    <t>406 x 535 mm</t>
  </si>
  <si>
    <t>98 x 64 mm</t>
  </si>
  <si>
    <t>122 x 159 mm</t>
  </si>
  <si>
    <t>115.6 x 87.6 cm (45 1/2 x 34 1/2 in.)</t>
  </si>
  <si>
    <t>121.9 x 162.6 cm (48 x 64 in.)</t>
  </si>
  <si>
    <t>434 x 322 mm</t>
  </si>
  <si>
    <t>648 x 890 mm</t>
  </si>
  <si>
    <t>394 x 522 mm</t>
  </si>
  <si>
    <t>456 x 301 mm</t>
  </si>
  <si>
    <t>264 x 387 mm</t>
  </si>
  <si>
    <t>243.8 x 213.4 cm (96 x 84 in.)</t>
  </si>
  <si>
    <t>132.6 x 107.2 cm (52 3/16 x 42 3/16 in.)</t>
  </si>
  <si>
    <t>31 7/8 x 25 3/8 in. (81 x 65.4 cm)</t>
  </si>
  <si>
    <t>124 x 173 mm</t>
  </si>
  <si>
    <t>40.6 x 55.8 cm (16 x 22 in.)</t>
  </si>
  <si>
    <t>55.9 x 68.6 cm (22 x 27 in.)</t>
  </si>
  <si>
    <t>116.6 x 23.8 cm (9 3/16 x 45 7/8 in.)</t>
  </si>
  <si>
    <t>350 x 460 mm</t>
  </si>
  <si>
    <t>184.2 x 148.9 cm (72 1/2 x 58 1/2 in.)</t>
  </si>
  <si>
    <t>280 x 390 mm</t>
  </si>
  <si>
    <t>38 9/16 x 53 9/16 in. (98.2 x 136 cm)</t>
  </si>
  <si>
    <t>153 x 316 mm</t>
  </si>
  <si>
    <t>33 3/4 x 23 1/4 in. (85.8 x 59.1 cm)</t>
  </si>
  <si>
    <t>209 x 168 mm</t>
  </si>
  <si>
    <t>62.9 x 53 cm (24 3/4 x 20 7/8 in.)</t>
  </si>
  <si>
    <t>205 x 253 mm</t>
  </si>
  <si>
    <t>223 x 173 mm</t>
  </si>
  <si>
    <t>405 x 424 mm</t>
  </si>
  <si>
    <t>470 x 378 mm</t>
  </si>
  <si>
    <t>79.4 x 99.7 cm (31 1/4 x 39 1/4 in.)</t>
  </si>
  <si>
    <t>355 x 410 mm</t>
  </si>
  <si>
    <t>258 x 216 mm</t>
  </si>
  <si>
    <t>102 x 229 mm</t>
  </si>
  <si>
    <t>101.9 x 131.4 cm (40 1/8 x 51 3/4 in.)</t>
  </si>
  <si>
    <t>5 3/8 x 12 in.</t>
  </si>
  <si>
    <t>118 x 170 mm</t>
  </si>
  <si>
    <t>354 x 506 mm</t>
  </si>
  <si>
    <t>45.2 x 32.5 cm (17 13/16 x 12 13/16 in.)</t>
  </si>
  <si>
    <t>panel: 72.4 x 41 cm (28 1/2 x 16 1/8"); image: 59.3 x 38.1 cm (23 3/8 x 15")</t>
  </si>
  <si>
    <t>76.8 x 61 cm (30 1/4 x 24 in.)</t>
  </si>
  <si>
    <t>76.2 x 62.2 cm (30 x 24 1/2 in.)</t>
  </si>
  <si>
    <t>67 x 49 1/2 in. (170.2 x 125.7 cm); painted surface: 58 1/4 x 41 3/4 in. (148 x 106 cm)</t>
  </si>
  <si>
    <t>92 x 74 cm (36 3/16 x 24 1/8 in. ); painted surface: 89.5 x 72 cm (35 1/4 x 28 3/8 in. )</t>
  </si>
  <si>
    <t>83 x 91 mm</t>
  </si>
  <si>
    <t>72.4 x 82.9 cm (28 1/2 x 32 5/8 in.)</t>
  </si>
  <si>
    <t>568 x 784 mm</t>
  </si>
  <si>
    <t>28.6 x 21 cm (11 1/4 x 8 1/4 in.)</t>
  </si>
  <si>
    <t>175 mm x 259 mm</t>
  </si>
  <si>
    <t>132 x 134.9 cm (52 x 53 1/8 in. )</t>
  </si>
  <si>
    <t>71.3 x 54.8 cm (28 1/16 x 21 9/16 in.)</t>
  </si>
  <si>
    <t>76 3/8 x 110 1/8 in. (194 x 279.5 cm)</t>
  </si>
  <si>
    <t>39 x 62 cm (15 3/8 x 24 3/8 in.)</t>
  </si>
  <si>
    <t>244 x 647 mm</t>
  </si>
  <si>
    <t>346 x 254 mm (max.)</t>
  </si>
  <si>
    <t>115.1 x 103.8 cm (45 5/16 x 40 7/8 in.)</t>
  </si>
  <si>
    <t>65.5 x 81.3 cm (25 3/4 x 32 in.)</t>
  </si>
  <si>
    <t>213.4 x 274.3 cm (84 x 108 in.)</t>
  </si>
  <si>
    <t>85 x 100 cm (33 1/2 x 39 3/8 in.)</t>
  </si>
  <si>
    <t>341 x 417 mm</t>
  </si>
  <si>
    <t>22 x 33.5 cm</t>
  </si>
  <si>
    <t>153 x 152.4 cm (60 1/4 x 60 in.)</t>
  </si>
  <si>
    <t>29 x 21 1/2 in. (panel, sight)</t>
  </si>
  <si>
    <t>124 x 85 mm</t>
  </si>
  <si>
    <t>426 x 351 mm</t>
  </si>
  <si>
    <t>95.3 x 74.9 cm (37 1/2 x 29 1/2 in.)</t>
  </si>
  <si>
    <t>40.3 x 27.6 cm (15 7/8 x 10 7/8 in.)
Painted surface: 39.4 x 27 cm (15 11/16 x 10 3/4 in.)</t>
  </si>
  <si>
    <t>25 1/4 x 21 1/8 in. (65.6 x 55 cm)</t>
  </si>
  <si>
    <t>70 x 57 mm</t>
  </si>
  <si>
    <t>18 1/2 x 15 in. (46.1 x 38 cm)</t>
  </si>
  <si>
    <t>115 x 95 cm (45 1/4 x 37 3/8 in.)</t>
  </si>
  <si>
    <t>46.2 x 37.7 cm (18 3/16 x 14 7/8 in.)</t>
  </si>
  <si>
    <t>145 x 150 mm</t>
  </si>
  <si>
    <t>225 x 315 mm</t>
  </si>
  <si>
    <t>517 x 676 mm</t>
  </si>
  <si>
    <t>12 x 15 1/2 in. (30.5 x 39.4 cm)</t>
  </si>
  <si>
    <t>10.2 x 41.1 x 1.4 cm (4 x 16 3/16 x 9/16 in.)</t>
  </si>
  <si>
    <t>372 x 406 mm</t>
  </si>
  <si>
    <t>643 x 485 mm</t>
  </si>
  <si>
    <t>17 1/4 x 22 3/4 in. (43.8 x 57.8 cm)</t>
  </si>
  <si>
    <t>79 x 41 1/2 in. (200.5 x 105 cm)</t>
  </si>
  <si>
    <t>198 x 277 mm</t>
  </si>
  <si>
    <t>45.7 x 35.4 cm (18 x 14 in.)</t>
  </si>
  <si>
    <t>307 x 309 mm</t>
  </si>
  <si>
    <t>180 x 124 mm</t>
  </si>
  <si>
    <t>1,054 x 1,054 mm</t>
  </si>
  <si>
    <t>64 x 74 in.</t>
  </si>
  <si>
    <t>111.9 x 91.4 cm  (44 1/4 x 36 1/4 in.)</t>
  </si>
  <si>
    <t>35.9 x 28.6 cm (14 1/8 x 11 1/4 in.)</t>
  </si>
  <si>
    <t>64.7 x 121.9 cm (41 1/4 x 48 in.)</t>
  </si>
  <si>
    <t>33.6 x 44.5 cm (13 1/4 x 17 1/2 in.); with mounting: :121.6 x 57.5 cm ( 47 7/8 x 22 5/8 in.); including lower roller: 62.9 cm (24 3/4in.)</t>
  </si>
  <si>
    <t>755 x 1085 mm</t>
  </si>
  <si>
    <t>76.3 x 56 cm (30 1/8 x 22 1/8 in.)</t>
  </si>
  <si>
    <t>157 x 207 mm</t>
  </si>
  <si>
    <t>106.7 x 118.1 cm (42 x 46 1/2 in.)</t>
  </si>
  <si>
    <t>165 x 247 mm</t>
  </si>
  <si>
    <t>665 x 560 mm</t>
  </si>
  <si>
    <t>19 1/4 x 24 in. (60.8 x 49.1 cm)</t>
  </si>
  <si>
    <t>27.6 x 42.6 cm (10 7/8 x 16 3/4 in.)</t>
  </si>
  <si>
    <t>228.7 x 141.6 cm (90 1/16 x 55 3/4 in.)</t>
  </si>
  <si>
    <t>34.2 x 25.3 cm (13 1/2 x 10 in.)</t>
  </si>
  <si>
    <t>29.7 x 36.3 cm (11 11/16 x 14 1/4 in.)</t>
  </si>
  <si>
    <t>259 mm x 176 mm</t>
  </si>
  <si>
    <t>69 7/8 x 46 1/8 in. (177.5 x 117.2 cm)</t>
  </si>
  <si>
    <t>203 x 265 mm</t>
  </si>
  <si>
    <t>254 mm x 176 mm</t>
  </si>
  <si>
    <t>377 x 507 mm</t>
  </si>
  <si>
    <t>21 1/4 x 17 1/8 in. (54 x 43.5 cm)</t>
  </si>
  <si>
    <t>18 3/16 x 21 3/4 in. (46.3 x 55.3 cm)</t>
  </si>
  <si>
    <t>38 3/8 x 57 3/4 in. (97.5 x 146.8 cm)</t>
  </si>
  <si>
    <t>393 x 630 mm</t>
  </si>
  <si>
    <t>99 1/2 x 126 1/4 in., unframed</t>
  </si>
  <si>
    <t>41 1/16 x 34 11/16 in. (104.2 x 88.1 cm)</t>
  </si>
  <si>
    <t>182.9 x 188 cm (72 x 74 in.)</t>
  </si>
  <si>
    <t>76.2 x 121.9 cm (30 x 48 in.)</t>
  </si>
  <si>
    <t>11 5/8 x 16 3/8 in. (29.5 x 41.7 cm)</t>
  </si>
  <si>
    <t>552 x 641 mm</t>
  </si>
  <si>
    <t>41.2 x 28.5 cm (16 1/4 x 11 1/4 in.)</t>
  </si>
  <si>
    <t>38 3/4 x 47 1/4 in. (98.4 x 120 cm)</t>
  </si>
  <si>
    <t>61.3 x 65.7 cm (24 1/8 x 25 7/8 in.)</t>
  </si>
  <si>
    <t>45.8 x 39 cm (18 x 15 3/8 in.)</t>
  </si>
  <si>
    <t>210 x 290 mm</t>
  </si>
  <si>
    <t>92.7 x 65.5 cm (36 1/2 x 25 3/4 in.)</t>
  </si>
  <si>
    <t>350 x 257 mm</t>
  </si>
  <si>
    <t>97.5 x 63.3 cm (38 3/8 x 24 7/8 in.)</t>
  </si>
  <si>
    <t>65.3 x 100.4 cm (25 11/16 x 39 1/2 in.)</t>
  </si>
  <si>
    <t>324 x 537 mm</t>
  </si>
  <si>
    <t>99.4 x 76.2 cm (39 1/8 x 30 in.)</t>
  </si>
  <si>
    <t>456 x 464 mm</t>
  </si>
  <si>
    <t>102.8 x 146 cm (40 1/2 x 57 1/2 in.)</t>
  </si>
  <si>
    <t>292 x 246 mm (image); 306 x 254 mm (sheet)</t>
  </si>
  <si>
    <t>68.6 x 81.3 cm (27 x 32 in.)</t>
  </si>
  <si>
    <t>94 x 71.1 cm (37 x 28 in.)</t>
  </si>
  <si>
    <t>62.2 x 76.5 cm (24 1/2 x 30 1/8 in.)</t>
  </si>
  <si>
    <t>24 x 36 in. (61 x 91.4 cm)</t>
  </si>
  <si>
    <t>69 x 91 in.</t>
  </si>
  <si>
    <t>420 x 250 mm</t>
  </si>
  <si>
    <t>540 x 743 mm</t>
  </si>
  <si>
    <t>268 x 299 mm</t>
  </si>
  <si>
    <t>542 x 665 mm</t>
  </si>
  <si>
    <t>420 x 496 mm</t>
  </si>
  <si>
    <t>535 x 383 mm</t>
  </si>
  <si>
    <t>106.5 x 142.8 cm (41 7/8 x 56 1/4 in.)</t>
  </si>
  <si>
    <t>369 x 537 mm</t>
  </si>
  <si>
    <t>250 x 335 mm</t>
  </si>
  <si>
    <t>39 1/2 x 53 1/4 in. (100.3 x 135.2 cm)</t>
  </si>
  <si>
    <t>45.4 x 54.6 cm (17 7/8 x 21 1/2 in.)</t>
  </si>
  <si>
    <t>50.2 x 69.9 cm (19 3/4 x 27 1/2 in.)</t>
  </si>
  <si>
    <t>76.8 x 62.9 cm (30 1/4 x 24 3/4 in.)</t>
  </si>
  <si>
    <t>225 x 325 mm</t>
  </si>
  <si>
    <t>21 3/8 x 25 1/2 in. (54.2 x 64.8 cm)</t>
  </si>
  <si>
    <t>114.3 x 251.4 cm (45 x 99 in.)</t>
  </si>
  <si>
    <t>54.4 x 22.9 cm (21 7/16 x 9 in.)
Image (front): 49.2 x 18.3 cm (19 3/8 x 3/16 in.)</t>
  </si>
  <si>
    <t>310 x 218 mm</t>
  </si>
  <si>
    <t>73.7 x 88.9 cm (29 x 35 in.)</t>
  </si>
  <si>
    <t>102 x 116 in. (260 x 295 cm)</t>
  </si>
  <si>
    <t>19 1/2 x 24 3/4 in. (49.5 x 63.2 cm)</t>
  </si>
  <si>
    <t>338 x 235 mm (image); 371 x 255 mm (plate); 443 x 338 mm (sheet)</t>
  </si>
  <si>
    <t>294 x 161 mm</t>
  </si>
  <si>
    <t>15 x 21 3/4 in. (38.1 x 55.2 cm)</t>
  </si>
  <si>
    <t>738 x 534 mm</t>
  </si>
  <si>
    <t>343 x 486 mm</t>
  </si>
  <si>
    <t>40.6 x 33 cm (16 x 10 in.)</t>
  </si>
  <si>
    <t>76 x 64 cm (29 7/8 x 25 3/16 in.)</t>
  </si>
  <si>
    <t>75 x 174 mm</t>
  </si>
  <si>
    <t>106 3/8 x 72 5/8 in. (270.2 x 184.5 cm)</t>
  </si>
  <si>
    <t>12 3/4 x 16 in. (32.5 x 40.7 cm)</t>
  </si>
  <si>
    <t>114 x 165 mm</t>
  </si>
  <si>
    <t>25 5/8 x 19 15/16 in. (65 x 50.8 cm)</t>
  </si>
  <si>
    <t>758 x 568 mm</t>
  </si>
  <si>
    <t>678 x 475 mm</t>
  </si>
  <si>
    <t>Box: 152.4 x 152.4 cm (60 x 60 in.); lid: 153.7 x 153.7 cm (60 Â½ x 60 Â½ in.)</t>
  </si>
  <si>
    <t>66.5 x 82.5 cm (26 3/16 x 32 1/2 in.)</t>
  </si>
  <si>
    <t>44 x 44 in.</t>
  </si>
  <si>
    <t>127.6 x 101.9 cm (50 1/4 x 40 1/4 in.)</t>
  </si>
  <si>
    <t>66.7 x 81.3 cm (26 1/4 x 32 in.)</t>
  </si>
  <si>
    <t>626 x 520 mm</t>
  </si>
  <si>
    <t>12 1/2 x 15 5/8 in.</t>
  </si>
  <si>
    <t>Image: 30 x 12.9 cm (11 13/16 x 5 1/16 in.); Outermost Border: 26.2 x 15.4 cm (12 5/8 x 6 1/16 in. ); Paper: 32 x 21.9 cm (12 5/8 x 8 9/16 in.)</t>
  </si>
  <si>
    <t>69.9 x 87.3 cm (27 1/2 x 34 3/8 in.)</t>
  </si>
  <si>
    <t>23 9/16 x 16 3/8 in. (59.8 x 41.6 cm)
Painted surface: 23 9/16 x 16 in. (59.8 x 40.6 cm)</t>
  </si>
  <si>
    <t>177 x 254 mm</t>
  </si>
  <si>
    <t>156 x 241 mm</t>
  </si>
  <si>
    <t>31 7/8 x 25 1/2 in. (81 x 64.9 cm)</t>
  </si>
  <si>
    <t>23 7/8 x 28 7/8 in. (60 x 73.2 cm)</t>
  </si>
  <si>
    <t>116.84 x 139.70 cm (46 x 55 in.)</t>
  </si>
  <si>
    <t>23 x 29.5 cm</t>
  </si>
  <si>
    <t>172.7 x 243.8 cm (68 x 96 in.)</t>
  </si>
  <si>
    <t>80.7 x 59.5 cm (32 x 23 1/4 in.)</t>
  </si>
  <si>
    <t>64 x 159 cm (25 1/4 x 62 5/8 in.)</t>
  </si>
  <si>
    <t>56.6 x 83.5 cm (22 1/4 x 32 7/8 in.)</t>
  </si>
  <si>
    <t>86 x 80 cm (34 x 31 1/4 in.)</t>
  </si>
  <si>
    <t>401 x 585 mm</t>
  </si>
  <si>
    <t>431 x 324 mm</t>
  </si>
  <si>
    <t>362 x 550 mm</t>
  </si>
  <si>
    <t>197 x 310 mm</t>
  </si>
  <si>
    <t>504 x 652 mm</t>
  </si>
  <si>
    <t>250 x 250 mm</t>
  </si>
  <si>
    <t>361 x 265 mm</t>
  </si>
  <si>
    <t>21 7/16 x 29 in. (54.5 x 73.7 cm)</t>
  </si>
  <si>
    <t>182.9 x 274.3 cm (72 x 108 in.)</t>
  </si>
  <si>
    <t>130.2 x 162.6 cm (51 1/4 x 64 in.)</t>
  </si>
  <si>
    <t>250 x 383 mm</t>
  </si>
  <si>
    <t>71.8 x 66.4 cm (28 1/4 x 26 1/8 in.)</t>
  </si>
  <si>
    <t>87 x 22.5 cm (43 1/4 x 8 9/10 in.)</t>
  </si>
  <si>
    <t>61.5 x 51.5 cm (24 1/4 x 20 in)</t>
  </si>
  <si>
    <t>176 x 199 mm</t>
  </si>
  <si>
    <t>38.1 x 48.3 cm (15 x 19 in.)</t>
  </si>
  <si>
    <t>69.1 x 36 cm (27 3/16 x 14 3/16 in.); painted surface: 66.7 x 33.7 cm (26 5/16 x 13 1/4 in.)</t>
  </si>
  <si>
    <t>756 x 556 mm</t>
  </si>
  <si>
    <t>306.1 x 342.9 cm (120 1/2 x 135 in.), installed</t>
  </si>
  <si>
    <t>165 x 106 mm</t>
  </si>
  <si>
    <t>1,310 x 1,010 mm</t>
  </si>
  <si>
    <t>188 x 143 mm</t>
  </si>
  <si>
    <t>139.5 x 134.6 cm (54 15/16 x 53 in.)</t>
  </si>
  <si>
    <t>265 x 338 mm</t>
  </si>
  <si>
    <t>41 x 32.9 cm (16 1/8 x 12 15/16 in.)</t>
  </si>
  <si>
    <t>130.5 x 161.9 cm (51 3/8 x 63 3/4 in.)</t>
  </si>
  <si>
    <t>18.0 x 52.5 cm</t>
  </si>
  <si>
    <t>470 x 696 mm</t>
  </si>
  <si>
    <t>535 x 450 mm</t>
  </si>
  <si>
    <t>137.2 x 101.9 cm (54 x 40 1/8 in.), without frame</t>
  </si>
  <si>
    <t>89 x 146 cm (35 x 57 1/2 in.)</t>
  </si>
  <si>
    <t>21 3/8 x 30 3/4 in. (54.3 x 78.2 cm)</t>
  </si>
  <si>
    <t>160.3 x 140 cm (63 x 55 3/8 in.), each</t>
  </si>
  <si>
    <t>32 7/8 x 22 7/8 in.</t>
  </si>
  <si>
    <t>49.5 x 71.1 cm (19 1/2 x 28 in.)</t>
  </si>
  <si>
    <t>43.5 x 54.3 cm (16 3/8 x 21 3/8 in.)</t>
  </si>
  <si>
    <t>13 1/4 x 18 1/2 in. (33.7 x 47 cm)</t>
  </si>
  <si>
    <t>25 1/2 x 30 1/2 in. (64.1 x 77.4 cm)</t>
  </si>
  <si>
    <t>43 1/4 x 47 1/2 in. (108.9 x 118.4 cm)</t>
  </si>
  <si>
    <t>44 5/8 x 29 3/16 in. (111.4 x 74.1 cm)
Painted surface: 43 5/8 x 28 5/16 in. (110.8 x 73.5 cm)</t>
  </si>
  <si>
    <t>560 x 755 mm</t>
  </si>
  <si>
    <t>63.6 x 50.4 cm (25 x 19 7/8 in.)</t>
  </si>
  <si>
    <t>325 x 249 mm</t>
  </si>
  <si>
    <t>129.5 x 91.4 cm (51 x 36 in.)</t>
  </si>
  <si>
    <t>262 x 354 mm</t>
  </si>
  <si>
    <t>352 x 502 mm</t>
  </si>
  <si>
    <t>319 x 245 mm</t>
  </si>
  <si>
    <t>91.4 x 121.6 cm (36 x 47 7/8 in.)</t>
  </si>
  <si>
    <t>251 x 357 mm</t>
  </si>
  <si>
    <t>152.4 x 106.7 cm (60 x 42 in.)</t>
  </si>
  <si>
    <t>Panel: 50.2 x 47.8 cm (19 3/4 x 18 3/4 in.); Painted Surface: 49.5 x 47.3 cm (19 1/2 x 18 5/8 in.)</t>
  </si>
  <si>
    <t>657 x 388 mm</t>
  </si>
  <si>
    <t>914 x 1212 mm</t>
  </si>
  <si>
    <t>441 x 556 mm</t>
  </si>
  <si>
    <t>24 1/2 x 58 1/4 in. (62 x 148 cm)</t>
  </si>
  <si>
    <t>461 x 562 mm</t>
  </si>
  <si>
    <t>67.3 x 57.5 cm (26 1/2 x 22 5/8 in.)</t>
  </si>
  <si>
    <t>252 x 187 mm</t>
  </si>
  <si>
    <t>198 x 135 mm</t>
  </si>
  <si>
    <t>Panel: 117.4 x 50.8 cm (46 1/4 x 20 in.); Painted Surface: 115.8 x 49.9 cm (45 9/16 x 19 5/8 in.)</t>
  </si>
  <si>
    <t>63.5 x 47.8 cm (25 x 18 3/4 in.)</t>
  </si>
  <si>
    <t>382 x 275 mm</t>
  </si>
  <si>
    <t>238 x 158 mm</t>
  </si>
  <si>
    <t>40.6 x 91.4 cm (16 x 36 in.)</t>
  </si>
  <si>
    <t>14 3/4 x 26 in. (37.6 x 66.1 cm); painted surface: 14 1/8 x 25 3/8 in. (36 x 64.4 cm)</t>
  </si>
  <si>
    <t>141 x 109 mm</t>
  </si>
  <si>
    <t>78.1 x 73.7 cm (30 3/4 x 29 in.)</t>
  </si>
  <si>
    <t>78.9 x 60 cm. (31 1/16 x 23 5/8 in.)</t>
  </si>
  <si>
    <t>25.4 x 31.8 cm (10 x 12 1/2 in.)</t>
  </si>
  <si>
    <t>108 x 90 mm</t>
  </si>
  <si>
    <t>81.1 x 67.2 cm (31 7/8 x 26 7/8 in.)</t>
  </si>
  <si>
    <t>36.2 x 33 cm (14 1/4 x 13 in.), without frame</t>
  </si>
  <si>
    <t>134.3 x 199.1 cm (52 3/4 x 78 3/8 in.)</t>
  </si>
  <si>
    <t>73.7 x 71.1 cm (29 x 28 in.)</t>
  </si>
  <si>
    <t>15 3/8 x 20 3/4 in. (39.1 x 52.7 cm)</t>
  </si>
  <si>
    <t>276 x 401 mm</t>
  </si>
  <si>
    <t>549 x 663 mm; 583 x 753 mm (secondary support)</t>
  </si>
  <si>
    <t>39.4 x 30.5 cm (15 1/2 x 12 in.)</t>
  </si>
  <si>
    <t>182.9 x 152.4 cm (72 x 60 in.)</t>
  </si>
  <si>
    <t>37 9/16 x 27 1/8 in.</t>
  </si>
  <si>
    <t>763 x 571 mm</t>
  </si>
  <si>
    <t>52 x 35 cm (20 1/2 x 13 3/4 in.)</t>
  </si>
  <si>
    <t>234 x 355 mm</t>
  </si>
  <si>
    <t>481 x 610 mm</t>
  </si>
  <si>
    <t>82.6 x 64.8 cm (32 1/2 x 25 1/2 in.)</t>
  </si>
  <si>
    <t>21 x 20 7/8 in. (53.3 x 51.2 cm)</t>
  </si>
  <si>
    <t>183 x 267 mm</t>
  </si>
  <si>
    <t>357 x 252 mm</t>
  </si>
  <si>
    <t>568 x 788 mm</t>
  </si>
  <si>
    <t>32 1/2 x 11 1/16 in. (82.5 x 28.1 cm); painted surface 32 1/8 x 10 3/4 in. (81.5 x 27.3 cm)</t>
  </si>
  <si>
    <t>400 x 532 mm</t>
  </si>
  <si>
    <t>183 x 122 cm (72 x 48 in.), each panel</t>
  </si>
  <si>
    <t>146 x 218 mm</t>
  </si>
  <si>
    <t>40.6 x 30.4 cm (16 x 12 in.)</t>
  </si>
  <si>
    <t>97.4 x 140 cm (38 5/16 x 55 1/8 in.)</t>
  </si>
  <si>
    <t>409 x 504 mm</t>
  </si>
  <si>
    <t>18 1/16 x 24 3/4 in. (46 x 63 cm)</t>
  </si>
  <si>
    <t>378 x 527 mm</t>
  </si>
  <si>
    <t>225 x 140 mm</t>
  </si>
  <si>
    <t>72.6 x 91.6 cm (28 1/2 x 36 in.)</t>
  </si>
  <si>
    <t>67.6 x 54.2 cm (26 5/8 x 21 5/16 in.); painted surface: 67 x 53 cm (26 3/8 x 20 7/8 in.)</t>
  </si>
  <si>
    <t>25 1/2 x 26 in. (64.7 x 66 cm)</t>
  </si>
  <si>
    <t>48.6 x 75.1 cm (19 1/8 x 29 1/2 in.), diptych</t>
  </si>
  <si>
    <t>24 1/4 x 19 1/2 in.</t>
  </si>
  <si>
    <t>33 x 23.5 cm (3 x 9 1/2 in.)</t>
  </si>
  <si>
    <t>60.5 x 73.8 cm (23 3/16 x 29 1/16 in.)</t>
  </si>
  <si>
    <t>583 x 770 mm</t>
  </si>
  <si>
    <t>560 x 762 mm</t>
  </si>
  <si>
    <t>168 x 112 mm</t>
  </si>
  <si>
    <t>92.1 x 73 cm (36 1/4 x 28 3/4 in.)</t>
  </si>
  <si>
    <t>53.7 x 63.5 cm (21 1/8 x 25 in.)</t>
  </si>
  <si>
    <t>34.3 x 22.9 cm (13 1/2 x 9 in.)</t>
  </si>
  <si>
    <t>113 x 99.5 cm (44 1/3 x 39 in.)</t>
  </si>
  <si>
    <t>237 x 317 mm</t>
  </si>
  <si>
    <t>Center 56.7 x 40.4 cm (22 5/16 x 16 7/8 in.); Left Wing 56.6 x 20.6 cm (22 1/4 x 8 1/8 in.); Right Wing 56.8 x 20 cm (22 3/8 x 7 7/8 in.)</t>
  </si>
  <si>
    <t>33.5 x 60.5 cm (13 1/8 x 23 7/8 in.)</t>
  </si>
  <si>
    <t>56 x 66 mm</t>
  </si>
  <si>
    <t>97 x 74 cm (38 3/16 x 29 1/8 in.)</t>
  </si>
  <si>
    <t>13 5/8 x 9 3/8 in. (34.6 x 23.8 cm)</t>
  </si>
  <si>
    <t>243.8 x 205 cm (96 x 80 3/4 in.)</t>
  </si>
  <si>
    <t>155 x 216 mm</t>
  </si>
  <si>
    <t>39 3/4 x 39 3/4 in. (101 x 101 cm)</t>
  </si>
  <si>
    <t>61.6 x 48.9 cm (24 1/4 x 19 1/4 in.)</t>
  </si>
  <si>
    <t>Panel: 26 x 20.4 cm (10 3/16 x 8 1/16 in.); Painted surface: 25.6 x 20 cm (10 x 7 7/8 in.); With Frame: 30.5 x 25.4 cm (12 x 10 in.)</t>
  </si>
  <si>
    <t>570 x 764 mm</t>
  </si>
  <si>
    <t>259 mm x 175 mm</t>
  </si>
  <si>
    <t>304.8 x 304.8 cm (120 x 120 in.)</t>
  </si>
  <si>
    <t>36 1/4 x 28 1/4 in. (92 x 73 cm)</t>
  </si>
  <si>
    <t>73.5 x 27.5 cm (28 7/8 x 10 7/8 in.)
Image: 72.7 x 26.8 cm (28 5/8 x 10 9/16 in.)</t>
  </si>
  <si>
    <t>302 x 407 mm</t>
  </si>
  <si>
    <t>33.0 x 44.4 cm (13 x 17 1/2 in.)</t>
  </si>
  <si>
    <t>21 1/2 x 18 in. (54.6 x 45.7 cm)</t>
  </si>
  <si>
    <t>84 x 121 mm</t>
  </si>
  <si>
    <t>243.8 x 162.6 cm (96 x 64 in.)</t>
  </si>
  <si>
    <t>91.4 x 66 cm (36 x 26 in.)</t>
  </si>
  <si>
    <t>399 x 507 mm</t>
  </si>
  <si>
    <t>82.5 x 71.8 cm (32 1/2 x 28 1/4 in.)</t>
  </si>
  <si>
    <t>763 x 568 mm</t>
  </si>
  <si>
    <t>558 x 650 mm</t>
  </si>
  <si>
    <t>558 x 758 mm</t>
  </si>
  <si>
    <t>16 x 58.5 cm (6 5/16 x 23 in.)</t>
  </si>
  <si>
    <t>36 1/2 x 54 1/2 in. (92.7 x 138.4 cm)</t>
  </si>
  <si>
    <t>55 7/8 x 40 1/8 in. (141.9 x 102 cm)</t>
  </si>
  <si>
    <t>60.5 x 45.8 cm (23 3/4 x 18 in.)</t>
  </si>
  <si>
    <t>24.8 x 35 cm (9 3/4 x 13 3/4 in.)</t>
  </si>
  <si>
    <t>96.5 x 76.2 cm (38 x 30 in.)</t>
  </si>
  <si>
    <t>348 x 533 mm</t>
  </si>
  <si>
    <t>152.4 x 132.1 cm (60 x 52 in.), unframed</t>
  </si>
  <si>
    <t>45.7 x 54.3 cm</t>
  </si>
  <si>
    <t>53.3 x 41.3 cm (21 x 16 1/4 in.)</t>
  </si>
  <si>
    <t>56 x 56 cm (22  x 22 in.)</t>
  </si>
  <si>
    <t>179.5 x 115.7 cm (70 1/8 x 45 9/16 in.)</t>
  </si>
  <si>
    <t>210 x 323 mm</t>
  </si>
  <si>
    <t>314 x 234 mm</t>
  </si>
  <si>
    <t>510 x 358 mm</t>
  </si>
  <si>
    <t>234 x 181 mm</t>
  </si>
  <si>
    <t>170 x 260 mm</t>
  </si>
  <si>
    <t>61.2 x 86.9 cm (24 1/16 x 34 3/16 in.)</t>
  </si>
  <si>
    <t>670 x 490 mm
36" x 28"</t>
  </si>
  <si>
    <t>12 1/4 x 5 5/8 in.</t>
  </si>
  <si>
    <t>510 x 659 mm</t>
  </si>
  <si>
    <t>25.8 (28.9 with knobs) x 1,289 cm</t>
  </si>
  <si>
    <t>39 7/8 x 26 3/8 in. (100.7 x 67 cm)</t>
  </si>
  <si>
    <t>Each leaf measures: 21.0 x 27.6 cm (8 1/4 x 11 in.)
26.4 x 35.0 cm (10 1/4 x 13 in. mount)</t>
  </si>
  <si>
    <t>76 x 100 mm</t>
  </si>
  <si>
    <t>96 x 224 mm</t>
  </si>
  <si>
    <t>110.3 x 91.9 cm (43 5/16 x 36 1/8 in.)</t>
  </si>
  <si>
    <t>55.7 x 71 cm (21 15/16 x 27 15/16 in.)</t>
  </si>
  <si>
    <t>349 x 483 mm</t>
  </si>
  <si>
    <t>23 3/8 x 28 7/8 in. (59.4 x 73.4 cm)</t>
  </si>
  <si>
    <t>22 3/8 x 18 3/8 in. (56.8 x 46.7 cm)
Image: 21 9/16 x 17 5/8 in. (54.8 x 44.7 cm)</t>
  </si>
  <si>
    <t>20 5/8 x 15 7/8 in. (52.4 x 40.4 cm)</t>
  </si>
  <si>
    <t>16 5/8 x 22 1/4 in. (42.2 x 56.2 cm)</t>
  </si>
  <si>
    <t>98 x 151 mm</t>
  </si>
  <si>
    <t>383 x 274 mm</t>
  </si>
  <si>
    <t>248 x 349 mm</t>
  </si>
  <si>
    <t>64.8 x 101.6 cm (25 1/2 x 40 in.)</t>
  </si>
  <si>
    <t>145.4 x 113 cm (57 1/4 x 44 1/2 in.)</t>
  </si>
  <si>
    <t>665 x 542 mm</t>
  </si>
  <si>
    <t>120 x 181.6 cm (47 1/4 x 71 1/2 in.)</t>
  </si>
  <si>
    <t>213 x 182 mm</t>
  </si>
  <si>
    <t>71.1 x 76.8 cm (28 x 30 1/4 in.)</t>
  </si>
  <si>
    <t>484 x 434 mm (primary support); 488 x 436 mm (secondary support)</t>
  </si>
  <si>
    <t>38 1/4 x 51 1/4 in. (97.3 x 130.3 cm)</t>
  </si>
  <si>
    <t>251 x 325 mm</t>
  </si>
  <si>
    <t>10 3/4 x 9 3/4 in. (27.3 x 24.8 cm)</t>
  </si>
  <si>
    <t>398 x 573 mm</t>
  </si>
  <si>
    <t>43.2 x 35.6 cm (17 x 14 in.)</t>
  </si>
  <si>
    <t>10 3/8 x 19 3/8 in. (26.6 x 49.2 cm)</t>
  </si>
  <si>
    <t>56.5 x 127.6 cm (22 1/4 x 50 1/4 in.), without frame</t>
  </si>
  <si>
    <t>198.12 x 289.56 cm (78 x 114 in.)</t>
  </si>
  <si>
    <t>28.3 x 35.1 cm (11 1/8 x 13 3/16 in.)</t>
  </si>
  <si>
    <t>47.6 x 53.3 cm (18 x 21 in.)</t>
  </si>
  <si>
    <t>146 x 236 mm</t>
  </si>
  <si>
    <t>213.4 x 182.9 cm (84 x 72 in.)</t>
  </si>
  <si>
    <t>71.3 x 101.8 cm (28 1/8 x 40 1/8 in.)</t>
  </si>
  <si>
    <t>90.2 x 93.4 cm (35 1/2 x 36 3/4 in.)</t>
  </si>
  <si>
    <t>50 1/2 x 39 3/4 in. (128.2 x 101 cm)</t>
  </si>
  <si>
    <t>206 x 280 mm</t>
  </si>
  <si>
    <t>280 x 220 mm</t>
  </si>
  <si>
    <t>407 x 485 mm</t>
  </si>
  <si>
    <t>499 x 650 mm</t>
  </si>
  <si>
    <t>601 x 447 mm</t>
  </si>
  <si>
    <t>554 x 746 mm</t>
  </si>
  <si>
    <t>571 x 790 mm</t>
  </si>
  <si>
    <t>28.2 x 35.6 cm (11 3/16 x 14 in.)
Painted surface: 27.7 x 34.9 cm (10 7/8 x 13 3/4 in.)</t>
  </si>
  <si>
    <t>392 x 284 mm</t>
  </si>
  <si>
    <t>7 1/2 x 9 1/4 in. (19 x 23.5 cm)</t>
  </si>
  <si>
    <t>330 x 555 cm (130 x 218 1/2 in.)</t>
  </si>
  <si>
    <t>39 1/2 x 25 5/8 in.</t>
  </si>
  <si>
    <t>29.2 x 52.1 cm (11 1/2 x 20 1/2 in.)</t>
  </si>
  <si>
    <t>60 x 75 cm (23 3/5 x 29 1/2 in.)</t>
  </si>
  <si>
    <t>208 x 277 mm</t>
  </si>
  <si>
    <t>109.2 x 113 cm (43 x 44 1/2 in.)</t>
  </si>
  <si>
    <t>32.3 x 47.5 cm (12 3/4 x 18 11/16 in.)</t>
  </si>
  <si>
    <t>31 1/2 x 28 1/2 in. (80 x 72.4 cm)</t>
  </si>
  <si>
    <t>305 x 227 mm</t>
  </si>
  <si>
    <t>738 x 582 mm</t>
  </si>
  <si>
    <t>19 7/8 x 27 1/16 in. (50.5 x 68.8 cm)</t>
  </si>
  <si>
    <t>572 x 762 mm</t>
  </si>
  <si>
    <t>49 3/4 x 38 1/4 in. (126.5 x 97 cm)</t>
  </si>
  <si>
    <t>497 x 760 mm</t>
  </si>
  <si>
    <t>76.8 x 64.8 cm (30 1/4 x 25 1/2 in.)</t>
  </si>
  <si>
    <t>23 1/4 x 28 1/2 in. (59.7 x 73 cm)</t>
  </si>
  <si>
    <t>23 5/8 x 34 5/8 in. (60 x 88 cm)</t>
  </si>
  <si>
    <t>163 x 99 mm</t>
  </si>
  <si>
    <t>59.1 x 71.1 cm (23 1/4 x 28 in.)</t>
  </si>
  <si>
    <t>41 5/8 x 35 7/16 in. (121 x 90 cm)</t>
  </si>
  <si>
    <t>239 x 187 mm</t>
  </si>
  <si>
    <t>178 x 222 mm</t>
  </si>
  <si>
    <t>378 x 522 mm</t>
  </si>
  <si>
    <t>20 15/16 x 19 9/16 in. (53.1 x 49.7 cm)</t>
  </si>
  <si>
    <t>30 x 25 in. (76.2 x 63.5 cm)</t>
  </si>
  <si>
    <t>200 x 140.3 x 15.2 cm (78 3/4 x 55 1/4 x 6 in.)</t>
  </si>
  <si>
    <t>127 x 218 mm</t>
  </si>
  <si>
    <t>272 x 227 mm</t>
  </si>
  <si>
    <t>89 x 330 mm</t>
  </si>
  <si>
    <t>Oval, 64.3 x 53 cm (25 5/16 x 20 7/8 in.)</t>
  </si>
  <si>
    <t>399 x 300 mm</t>
  </si>
  <si>
    <t>18 3/8 x 23 7/8 in. (46.8 x 60.6 cm)</t>
  </si>
  <si>
    <t>189 x 260 mm</t>
  </si>
  <si>
    <t>355 x 507 mm</t>
  </si>
  <si>
    <t>356 x 508 mm</t>
  </si>
  <si>
    <t>555 x 711 mm</t>
  </si>
  <si>
    <t>22 1/4 x 14 in. (56.5 x 35.6 cm)</t>
  </si>
  <si>
    <t>33 3/4 x 26 3/4 in.</t>
  </si>
  <si>
    <t>6 1/8 x 9 9/16 in. (15.5 x 24.3 cm)</t>
  </si>
  <si>
    <t>30 5/8 x 39 7/16 in. (77.8 x 100.2 cm)</t>
  </si>
  <si>
    <t>313 x 648 mm</t>
  </si>
  <si>
    <t>21 1/2 x 37 3/4" inside frame 46" over frame (54.6 x 95.9 cm)</t>
  </si>
  <si>
    <t>13 x 18 in. (33 x 45.8 cm)</t>
  </si>
  <si>
    <t>252 x 362 mm (primary support); 445 x 576 mm (secondary support)</t>
  </si>
  <si>
    <t>15 x 31 3/4 in. (37.7 x 80.5 cm)</t>
  </si>
  <si>
    <t>229 x 307 mm</t>
  </si>
  <si>
    <t>159 x 125 mm</t>
  </si>
  <si>
    <t>483 x 610 mm</t>
  </si>
  <si>
    <t>256 x 104 cm 
(display dimensions, with knobs and string)</t>
  </si>
  <si>
    <t>352 x 506 mm</t>
  </si>
  <si>
    <t>77.2 x 64.5 cm (30 3/8 x 25 3/8 in.)</t>
  </si>
  <si>
    <t>205 x 140 mm (image); 358 x 294 mm (sheet)</t>
  </si>
  <si>
    <t>40.3 x 105.7 cm (15 7/8 x 41 5/8 in.)</t>
  </si>
  <si>
    <t>30.5 x 40.3 cm (12 x 16 in.)</t>
  </si>
  <si>
    <t>136 x 192 mm</t>
  </si>
  <si>
    <t>202 x 287 mm</t>
  </si>
  <si>
    <t>500 x 387 mm</t>
  </si>
  <si>
    <t>152 x 127 cm (60 x 50 in.)</t>
  </si>
  <si>
    <t>101.6 x 73.7 cm (40 x 29 in.)</t>
  </si>
  <si>
    <t>200 mm x 260 mm</t>
  </si>
  <si>
    <t>381 x 568 mm</t>
  </si>
  <si>
    <t>353 x 420 mm</t>
  </si>
  <si>
    <t>250 mm x 168 mm</t>
  </si>
  <si>
    <t>89 1/2 x 113 1/2 in.</t>
  </si>
  <si>
    <t>113 x 113 mm</t>
  </si>
  <si>
    <t>98.5 x 76.3 cm (38 3/4 x 30 1/16 in.)
Painted surface: 97 x 74.9 cm (38 3/16 x 29 1/2 in.)</t>
  </si>
  <si>
    <t>72.7 x 59.7 cm (28 5/8 x 23 1/2 in.)</t>
  </si>
  <si>
    <t>130 x 192 mm</t>
  </si>
  <si>
    <t>47.6 x 61 cm (18 x 24 in.)</t>
  </si>
  <si>
    <t>254 x 205.7 cm (100 x 81 in.)</t>
  </si>
  <si>
    <t>470 x 391 mm (max)</t>
  </si>
  <si>
    <t>44.4 x 54 cm (17 1/2 x 21 1/4 in.)</t>
  </si>
  <si>
    <t>130.5 x 97.2 cm (51 3/8 x 38 1/4 in.)</t>
  </si>
  <si>
    <t>739 x 596 mm</t>
  </si>
  <si>
    <t>58.2 x 57.2 cm (23 3/16 x 22 1/2 in.)</t>
  </si>
  <si>
    <t>41 x 53 3/4 in. (104.1 x 136.5 cm)</t>
  </si>
  <si>
    <t>354 x 159 mm</t>
  </si>
  <si>
    <t>775 x 565 mm</t>
  </si>
  <si>
    <t>61 x 81.3 cm (24 x 32 in.)</t>
  </si>
  <si>
    <t>38 x 46 cm (15 x 18 in.)</t>
  </si>
  <si>
    <t>428 x 348 mm</t>
  </si>
  <si>
    <t>12 5/8 x 20 1/2 in. (32 x 52.2 cm)</t>
  </si>
  <si>
    <t>396 x 523 mm</t>
  </si>
  <si>
    <t>507 x 353 mm</t>
  </si>
  <si>
    <t>116.8 x 81.8 cm (46 x 32 1/8 in.)</t>
  </si>
  <si>
    <t>61 1/8 x 84 1/16 in. (155.3 x 213.5 cm)</t>
  </si>
  <si>
    <t>175.3 x 152.5 cm (69 x 60 in.)</t>
  </si>
  <si>
    <t>748 x 1,045 mm</t>
  </si>
  <si>
    <t>455 x 302 mm</t>
  </si>
  <si>
    <t>148 x 238 mm</t>
  </si>
  <si>
    <t>383 x 273 mm</t>
  </si>
  <si>
    <t>326 x 249 mm</t>
  </si>
  <si>
    <t>239 x 318 mm</t>
  </si>
  <si>
    <t>14 1/8 x 10 7/16 in. (35.8 x 26.5 cm)</t>
  </si>
  <si>
    <t>52.9 x 77.3 cm (20 13/16 x 30 7/16 in.)</t>
  </si>
  <si>
    <t>160 x 120 mm</t>
  </si>
  <si>
    <t>248 x 306 mm</t>
  </si>
  <si>
    <t>349 x 245 mm</t>
  </si>
  <si>
    <t>82.6 x 66.4 cm (32 1/2 x 26 1/8 in.)</t>
  </si>
  <si>
    <t>66 x 93 cm (26 x 36 5/8 in.)</t>
  </si>
  <si>
    <t>61.8 x 54.3 cm (24 5/16 x 21 3/8 in.)</t>
  </si>
  <si>
    <t>68.2 x 49.2 cm (26 11/16 x 19 3/8 in.)</t>
  </si>
  <si>
    <t>76 x 64 cm (30 x 25 in.)</t>
  </si>
  <si>
    <t>645 x 497 mm</t>
  </si>
  <si>
    <t>61.2 x 93.4 cm (24 1/16 x 36 3/4 in.)</t>
  </si>
  <si>
    <t>181 x 223 mm</t>
  </si>
  <si>
    <t>81 x 57 1/2 in.</t>
  </si>
  <si>
    <t>4 3/8 x 8 1/4 in. (11.1 x 20.6 cm)</t>
  </si>
  <si>
    <t>19 1/8 x 14 15/16 in. (48.5 x 38 cm)</t>
  </si>
  <si>
    <t>310 x 458 mm (max.) (primary support); 442 x 591 mm (secondary support)</t>
  </si>
  <si>
    <t>294 x 232 mm</t>
  </si>
  <si>
    <t>(25) 30.5 x 30.5 cm (12 x 12 in.) panels; 250 x 250 cm (98 x 98 in.), installed</t>
  </si>
  <si>
    <t>288 x 386 mm (primary support); 295 x 389 mm (secondary support)</t>
  </si>
  <si>
    <t>298 x 222 mm</t>
  </si>
  <si>
    <t>44 5/8 x 76 7/8 in. (113.4 x 195.3 cm)</t>
  </si>
  <si>
    <t>354 x 282 mm</t>
  </si>
  <si>
    <t>340 x 262 mm</t>
  </si>
  <si>
    <t>50.8 x 63.5 cm (20 x 25 in.)</t>
  </si>
  <si>
    <t>68 x 108 mm</t>
  </si>
  <si>
    <t>109.4 x 83.8 cm (43 1/4 x 33 in.)</t>
  </si>
  <si>
    <t>30.8 x 51.1 cm (12 1/8 x 20 1/8 in.)</t>
  </si>
  <si>
    <t>14 3/8 x 22 in.</t>
  </si>
  <si>
    <t>39 1/2 x 32 1/8 in.</t>
  </si>
  <si>
    <t>31 11/16 x 25 5/16 in. (80.5 x 64.2 cm)</t>
  </si>
  <si>
    <t>321 x 488 mm</t>
  </si>
  <si>
    <t>132 x 124 mm</t>
  </si>
  <si>
    <t>270 x 196 mm</t>
  </si>
  <si>
    <t>68 x 53.3 cm (26 3/4 x 21 in.)</t>
  </si>
  <si>
    <t>415 x 328 mm (primary support); 607 x 456 mm (secondary support)</t>
  </si>
  <si>
    <t>380 x 555 mm</t>
  </si>
  <si>
    <t>46 1/4 x 35 7/16 in. (117.5 x 90 cm)</t>
  </si>
  <si>
    <t>577 x 463 mm</t>
  </si>
  <si>
    <t>100 x 229 mm</t>
  </si>
  <si>
    <t>77 3/4 x 93 1/2 in. (197.5 x 237.5 cm)</t>
  </si>
  <si>
    <t>33.7 x 27 cm (13 1/4 x 10 5/8 in.)</t>
  </si>
  <si>
    <t>567 x 780 mm</t>
  </si>
  <si>
    <t>109.2 x 69.4 cm (40 1/4 x 27 5/16 in.)</t>
  </si>
  <si>
    <t>209.6 x 342.6 cm (82 1/2 x 134 1/2 in.)</t>
  </si>
  <si>
    <t>19 3/8 x 31 1/4 in. (49.3 x 79.5 cm)</t>
  </si>
  <si>
    <t>39 3/4 x 37 3/8 in. (101 x 95 cm)</t>
  </si>
  <si>
    <t>140 x 215 mm</t>
  </si>
  <si>
    <t>607 x 456 mm</t>
  </si>
  <si>
    <t>120 x 100 cm (47 1/4 x 39 1/2 in.)</t>
  </si>
  <si>
    <t>394 x 576 mm</t>
  </si>
  <si>
    <t>39 x 31.7 cm (15 3/8 x 12 1/2 in.)</t>
  </si>
  <si>
    <t>79.7 x 64.8 cm (31 3/8 x 25 1/2 in.)</t>
  </si>
  <si>
    <t>42 x 31 5/8 in. (106.7 x 80.3 cm)</t>
  </si>
  <si>
    <t>9 1/2 x 13 in. (24.1 x 33 cm)</t>
  </si>
  <si>
    <t>Panel: 175.8 x 93.7 cm (69 1/4 x 36 7/8 in.); Painted Surface: 168.6 x 84.6 cm (65 7/8 x 33 3/8 in.)</t>
  </si>
  <si>
    <t>321 x 491 mm</t>
  </si>
  <si>
    <t>187 x 270 mm</t>
  </si>
  <si>
    <t>91.5 x 69.3 cm (36 x 27 5/16 in.)</t>
  </si>
  <si>
    <t>1130 x 1758 mm</t>
  </si>
  <si>
    <t>302 x 280 mm</t>
  </si>
  <si>
    <t>202 x 268 mm</t>
  </si>
  <si>
    <t>53.3 x 33 cm (21 x 13 in.)</t>
  </si>
  <si>
    <t>400 x 337 mm</t>
  </si>
  <si>
    <t>265.1 x 298.1 cm (104 3/8 x 117 3/8 in.), unframed</t>
  </si>
  <si>
    <t>63.5 x 92.7 cm (25 x 36 1/2 in.)</t>
  </si>
  <si>
    <t>329 x 545 mm</t>
  </si>
  <si>
    <t>59 x 66 mm</t>
  </si>
  <si>
    <t>180 x 273 mm</t>
  </si>
  <si>
    <t>212 x 156 mm</t>
  </si>
  <si>
    <t>226 x 133 mm</t>
  </si>
  <si>
    <t>62.2 x 81.3 cm (24 1/2 x 32 in.)</t>
  </si>
  <si>
    <t>1,103 x 793 mm</t>
  </si>
  <si>
    <t>299 x 230 mm</t>
  </si>
  <si>
    <t>135 x 205 mm</t>
  </si>
  <si>
    <t>Board: 62 x 46.5 cm (24 7/16 x 18 5/16 in.); overall: 63 x 47.3 cm (24 13/16 x 18 5/8 in.)</t>
  </si>
  <si>
    <t>163.8 x 138.4 cm (64 1/4 x 54 1/2 in.)</t>
  </si>
  <si>
    <t>Approx. 91.5 x 61 cm</t>
  </si>
  <si>
    <t>180 x 230 mm</t>
  </si>
  <si>
    <t>138.4 x 102.9 cm (54 1/2 x 40 1/2 in.)</t>
  </si>
  <si>
    <t>686 x 559 mm</t>
  </si>
  <si>
    <t>580 x 770 mm</t>
  </si>
  <si>
    <t>84.5 x 121.9 cm (33 1/4 x 48 in.)</t>
  </si>
  <si>
    <t>13 x 7 in. (33 x 17.6 cm)</t>
  </si>
  <si>
    <t>152.4 x 274.3 cm (60 x 108 in.)</t>
  </si>
  <si>
    <t>167 x 207 mm</t>
  </si>
  <si>
    <t>104 x 102 cm (41 x 40 1/8 in.)</t>
  </si>
  <si>
    <t>39.4 x 50.8 cm (15 1/2 x 20 in.)</t>
  </si>
  <si>
    <t>78.7 x 46.5 cm (31 3/8 x 18 5/16 in.)</t>
  </si>
  <si>
    <t>31 1/2 x 39 1/2 in. (80.2 x 100.3 cm)</t>
  </si>
  <si>
    <t>209 x 310 mm</t>
  </si>
  <si>
    <t>8 1/2 x 13 in. (22 x 33 cm)</t>
  </si>
  <si>
    <t>58.6 x 91.8 cm (23 x 36 1/8 in.)</t>
  </si>
  <si>
    <t>30 7/8 x 22 13/16 in. (78.4 x 57.9 cm)
Painted surface: 30 x 22 in. (76.2 x 55.8 cm)</t>
  </si>
  <si>
    <t>80 x 78 mm</t>
  </si>
  <si>
    <t>200 x 259 mm</t>
  </si>
  <si>
    <t>117 mm x 176 mm</t>
  </si>
  <si>
    <t>73 x 62.2 cm (28 3/4 x 24 1/2 in.)</t>
  </si>
  <si>
    <t>66.7 x 61 cm (26 1/4 x 24 in.)</t>
  </si>
  <si>
    <t>278 x 157 mm</t>
  </si>
  <si>
    <t>76 x 111 1/2 in. (193 x 283.2 cm)</t>
  </si>
  <si>
    <t>8 7/8 x 12 in. (22.5 x 30.4 cm)</t>
  </si>
  <si>
    <t>172.1 x 172.1 x 4.1 cm (67 3/4 x 67 3/4 x 1 5/8 in.)</t>
  </si>
  <si>
    <t>132 x 102 cm (52 x 40 1/8 in.)</t>
  </si>
  <si>
    <t>29 9/16 x 21 5/8 in. (75.1 x 55 cm)</t>
  </si>
  <si>
    <t>8 7/8 x 12 3/8 in. (22.6 x 31.5 cm)</t>
  </si>
  <si>
    <t>501 x 651 mm</t>
  </si>
  <si>
    <t>edges irregular, approx. 40.6 x 29.8 cm (16 x 11 3/4 in.)</t>
  </si>
  <si>
    <t>182.9 x 335.3 cm (72 x 132 in.)</t>
  </si>
  <si>
    <t>76.5 x 97.3 cm (30 1/8 x 38 1/4 in.)</t>
  </si>
  <si>
    <t>51 3/8 x 38 3/8 in. (130.6 x 97.5 cm)</t>
  </si>
  <si>
    <t>211 x 176 mm</t>
  </si>
  <si>
    <t>62.9 x 81.9 cm (24 3/4 x 32 1/4 in.)</t>
  </si>
  <si>
    <t>45.8 x 37.8 cm (18 x 14 7/8 in.)</t>
  </si>
  <si>
    <t>111.7 x 75.6 cm (44 x 29 3/4 in.)</t>
  </si>
  <si>
    <t>44.1 x 100.3 cm (17 3/8  x 39 1/2 in.)</t>
  </si>
  <si>
    <t>1,774 x 1,219 mm</t>
  </si>
  <si>
    <t>238 x 175 mm</t>
  </si>
  <si>
    <t>127 x 108 cm (50 x 42 1/2 in.)</t>
  </si>
  <si>
    <t>92.7 x 117.2 cm (36 1/2 x 46 1/8 in.)</t>
  </si>
  <si>
    <t>162 x 130.5 cm (63 4/5 x 51 2/5 in.)</t>
  </si>
  <si>
    <t>69 x 107.5 cm (27 1/8 x 42 3/8 in.)</t>
  </si>
  <si>
    <t>263 x 358 mm</t>
  </si>
  <si>
    <t>17 3/4 x 20 1/4 in. (45.2 x 51.4 cm)</t>
  </si>
  <si>
    <t>420 x 317 mm</t>
  </si>
  <si>
    <t>357 x 395 mm</t>
  </si>
  <si>
    <t>219.4 x 141.3 cm (83 5/8 x 55 5/8 in.)</t>
  </si>
  <si>
    <t>151 x 149 mm</t>
  </si>
  <si>
    <t>13 1/2 x 9 3/4 in.</t>
  </si>
  <si>
    <t>57.8 x 48.3 cm (22 3/4 x 19 in.)</t>
  </si>
  <si>
    <t>380 x 510 mm</t>
  </si>
  <si>
    <t>18 x 14 7/8 in. (45.7 x 37.8 cm)</t>
  </si>
  <si>
    <t>231.14 x 142.24 cm (91 x 56 in.)</t>
  </si>
  <si>
    <t>158.8 x 204.5 cm (62 1/2 x 80 1/2 in.)</t>
  </si>
  <si>
    <t>30.5 x 91 cm (12 x 36 in.)</t>
  </si>
  <si>
    <t>94 x 113 mm</t>
  </si>
  <si>
    <t>31.6 x 48.3 cm (12 1/4 x 18 1/4 in.)</t>
  </si>
  <si>
    <t>76.8 x 64 cm (30 1/4 x 25 3/16 in.)</t>
  </si>
  <si>
    <t>37.2 x 23.2 cm (14 5/8 x 9 1/8 in.)</t>
  </si>
  <si>
    <t>21 3/4 x 28 15/16 in. (55.3 x 73.5 cm)</t>
  </si>
  <si>
    <t>125 x 153 mm</t>
  </si>
  <si>
    <t>199.4 x 240 cm (78 1/2 x 94 1/2 in.)</t>
  </si>
  <si>
    <t>289.6 x 320 cm (114 x 126 in.)</t>
  </si>
  <si>
    <t>533 x 357 mm</t>
  </si>
  <si>
    <t>46.0 x 64.8 cm (18 1/8 x 25 1/2 in.)</t>
  </si>
  <si>
    <t>562 x 784 mm</t>
  </si>
  <si>
    <t>450 x 605 mm</t>
  </si>
  <si>
    <t>279 x 140 mm</t>
  </si>
  <si>
    <t>38.7 x 66.8 cm (15 1/4 x 26 5/16 in.)</t>
  </si>
  <si>
    <t>36 1/4 x 28 3/4 in. (92.1 x 73.1 cm)</t>
  </si>
  <si>
    <t>78.7 x 99.1 cm. (31 x 39 in.)</t>
  </si>
  <si>
    <t>22 x 17 7/8 in. (55.9 x 45.4 cm)</t>
  </si>
  <si>
    <t>248 x 288 mm</t>
  </si>
  <si>
    <t>19.1 x 37.5 cm (7 1/2 x 14 3/4 in.)</t>
  </si>
  <si>
    <t>56.6 x 68 cm (22 1/4 x 26 3/4 in.)</t>
  </si>
  <si>
    <t>490 x 755 mm</t>
  </si>
  <si>
    <t>109 x 87 mm</t>
  </si>
  <si>
    <t>556 x 434 mm</t>
  </si>
  <si>
    <t>16 7/8 x 20 9/16 in. (42.8 x 52.2 cm); image: 16 1/8 x 19 11/16 in. (41 x 50 cm)</t>
  </si>
  <si>
    <t>570 x 745 mm</t>
  </si>
  <si>
    <t>277 x 234 mm</t>
  </si>
  <si>
    <t>44.5 x 62.2 cm (17 1/2 x 24 1/2 in.)</t>
  </si>
  <si>
    <t>25 x 43 1/2 in. (63.8 x 110.6 cm)</t>
  </si>
  <si>
    <t>49.2 x 51.3 cm (19 3/8 x 20 3/8 in.)</t>
  </si>
  <si>
    <t>71.1 x 73.7 x 61 cm (28 x 29 x 24 in.)</t>
  </si>
  <si>
    <t>24.1 x 20.3 cm (9 1/2 x 8 in.)</t>
  </si>
  <si>
    <t>481 x 609 mm</t>
  </si>
  <si>
    <t>63 x 71 mm</t>
  </si>
  <si>
    <t>29 1/4 x 24 in.</t>
  </si>
  <si>
    <t>35 7/16 x 26 in. (90 x 66 cm)</t>
  </si>
  <si>
    <t>48.4 x 63.2 cm (19 1/16 x 24 7/8 in.)</t>
  </si>
  <si>
    <t>81.3 x 64.8 cm (32 x 25 1/2 in.)</t>
  </si>
  <si>
    <t>378 x 459 mm</t>
  </si>
  <si>
    <t>35 1/4 x 29 3/4 in. (89.5 x 75.6 cm)</t>
  </si>
  <si>
    <t>35 7/8 x 25 7/8 in. (91.2 x 65.8 cm)</t>
  </si>
  <si>
    <t>57.8 x 104.1 cm (22 3/4 x 41 in.)</t>
  </si>
  <si>
    <t>50 x 50 cm (19.7 x 19.7 in.)</t>
  </si>
  <si>
    <t>357 x 280 mm</t>
  </si>
  <si>
    <t>91.4 x 91.4 cm (36 x 36 in.), each</t>
  </si>
  <si>
    <t>445 x 280 mm</t>
  </si>
  <si>
    <t>26 3/8 x 19 1/2 in. (67 x 49.5 cm)</t>
  </si>
  <si>
    <t>1,525 x 1,115 mm</t>
  </si>
  <si>
    <t>662 x 465 mm</t>
  </si>
  <si>
    <t>190.5 x 61 cm (75 x 24 in.)</t>
  </si>
  <si>
    <t>420 x 427 mm</t>
  </si>
  <si>
    <t>68.6 x 57.2 cm (27 x 22 1/2 in.)</t>
  </si>
  <si>
    <t>369 mm x 268 mm</t>
  </si>
  <si>
    <t>79.1 x 147.3 cm (31 1/8 x 58 in.)</t>
  </si>
  <si>
    <t>55 x 55 cm (21 5/8 x 21 5/8 in.)</t>
  </si>
  <si>
    <t>86.3 x 156 cm (34 x 61 7/16 in.)</t>
  </si>
  <si>
    <t>358 x 261 mm</t>
  </si>
  <si>
    <t>230.6 x 232.6 cm (90.83 x 91.55 in.)</t>
  </si>
  <si>
    <t>76 x 51 cm (29 15/16 x 20 1/16 in.)</t>
  </si>
  <si>
    <t>31 7/8 x 25 9/16 in. (81 x 65 cm)</t>
  </si>
  <si>
    <t>285 x 170 mm</t>
  </si>
  <si>
    <t>35.2 x 27.6 cm</t>
  </si>
  <si>
    <t>286 x 204 mm</t>
  </si>
  <si>
    <t>211.5 x 151.7 cm (83 1/4 x 59 3/4 in.), each
83 1/4 x 119 1/2 overall</t>
  </si>
  <si>
    <t>268 x 254 mm</t>
  </si>
  <si>
    <t>19 1/8 x 35 7/8 in. (48.5 x 91 cm)</t>
  </si>
  <si>
    <t>81.3 x 100.3 cm (32 x 39 1/2 in.)</t>
  </si>
  <si>
    <t>130.8 x 95.9 cm (51 1/2 x 37 3/4 in.)</t>
  </si>
  <si>
    <t>51.9 x 34.8 cm (20 7/16 x 13 11/16 in.)
Painted surface: 50.6 x 33.6 cm (19 7/8 x 13 1/4 in.)</t>
  </si>
  <si>
    <t>72.4 x 53.3 cm (28 1/2 x 21 in.)</t>
  </si>
  <si>
    <t>14 5/8 x 27 1/2 in. (37.2 x 69.7 cm)</t>
  </si>
  <si>
    <t>63.5 x 51.8 cm (25 x 20 5/16 in.)</t>
  </si>
  <si>
    <t>212 x 160 mm</t>
  </si>
  <si>
    <t>89 x 137 mm</t>
  </si>
  <si>
    <t>86.5 x 101.9 cm (34 1/16 x 40 1/8 in.)</t>
  </si>
  <si>
    <t>226 x 325 mm</t>
  </si>
  <si>
    <t>15 x 21 7/16 in. (38.1 x 54.5 cm); painted surface 14 15/16 x 21 3/8 in. (37.9 x 54.3 cm)</t>
  </si>
  <si>
    <t>96.5 x 119.4 cm (38 x 47 in.)</t>
  </si>
  <si>
    <t>166 x 240 mm</t>
  </si>
  <si>
    <t>381 x 279 mm</t>
  </si>
  <si>
    <t>24 x 40 1/8 in. (60.9 x 101.9 cm)</t>
  </si>
  <si>
    <t>37 1/8 x 28 7/8 in. (94.3 x 73.3 cm)</t>
  </si>
  <si>
    <t>420 x 495 mm</t>
  </si>
  <si>
    <t>68.5 x 36.2 cm (27 x 14 1/4 in.); painted surface: 66.3 x 34 cm (26 1/16 x 13 7/16 in.)</t>
  </si>
  <si>
    <t>370 x 430 mm</t>
  </si>
  <si>
    <t>Panel: 117 x 50.7 cm (46 1/16 x 19 15/16 in.); Painted Surface: 115.5 x 49.6 cm (45 1/2 x 19 9/16 in.)</t>
  </si>
  <si>
    <t>65.7 x 96.8 cm (25 7/8 x 38 1/8 in.)</t>
  </si>
  <si>
    <t>65 x 92.2 cm (25 5/8 x 36 5/16 in.)</t>
  </si>
  <si>
    <t>317 x 482 mm</t>
  </si>
  <si>
    <t>243 mm x 188 mm</t>
  </si>
  <si>
    <t>141.4 x 88.3 cm</t>
  </si>
  <si>
    <t>147 mm x 260 mm</t>
  </si>
  <si>
    <t>171 x 310 mm</t>
  </si>
  <si>
    <t>572 x 573 mm</t>
  </si>
  <si>
    <t>38 1/4 x 28 1/2 in. (96.9 x 72.4 cm)</t>
  </si>
  <si>
    <t>271 x 373 mm</t>
  </si>
  <si>
    <t>213 x 301 mm</t>
  </si>
  <si>
    <t>32 1/4 x 46 3/4 in. (82 x 118.8 cm)</t>
  </si>
  <si>
    <t>254 x 365 mm</t>
  </si>
  <si>
    <t>44.0 x 84.2 cm (17 5/16 x 33 1/8 in.)</t>
  </si>
  <si>
    <t>22.8 x 16.1 cm (8 15/16 x 6 5/16 in.)</t>
  </si>
  <si>
    <t>20 x 16.8 cm (7 7/8 x 6 5/8 in.)</t>
  </si>
  <si>
    <t>30 x 23 3/4 in. (76.3 x 63 cm)</t>
  </si>
  <si>
    <t>43 3/8 x 33 in.</t>
  </si>
  <si>
    <t>632 x 482 mm</t>
  </si>
  <si>
    <t>272 x 144 mm</t>
  </si>
  <si>
    <t>65 x 90.1 x 1.5 cm (25 3/5  x 35 1/2 x 3/5 in.)</t>
  </si>
  <si>
    <t>19.1 x 35.9 cm (7 1/2 x 14 1/8 in.)</t>
  </si>
  <si>
    <t>19 1/8 x 23 in. (48.6 x 58.4 cm)</t>
  </si>
  <si>
    <t>32.4 x 22.9 cm (12 3/4 x 9 in.)</t>
  </si>
  <si>
    <t>430 x 360 mm</t>
  </si>
  <si>
    <t>152.4 x 182.9 cm (60 x 72 in.)</t>
  </si>
  <si>
    <t>92.1 x 71.5 cm (36 1/4 x 28 1/8 in.)</t>
  </si>
  <si>
    <t>66 x 82.3 cm (26 x 32 7/16 in.)</t>
  </si>
  <si>
    <t>566 x 183 mm</t>
  </si>
  <si>
    <t>660 x 920 mm</t>
  </si>
  <si>
    <t>244 x 350 mm</t>
  </si>
  <si>
    <t>108.9 x 71.1 cm (42 7/8 x 28 3/8 in.)</t>
  </si>
  <si>
    <t>62.23 x 51.44 cm (24 1/2 x 20 1/4 in.)</t>
  </si>
  <si>
    <t>228.6 x 304.8 cm (90 x 120 in.)</t>
  </si>
  <si>
    <t>30.6 x 40.6 cm (12 1/16 x 16 in.)</t>
  </si>
  <si>
    <t>419 x 546 mm</t>
  </si>
  <si>
    <t>165 x 114 mm</t>
  </si>
  <si>
    <t>279 x 210 mm</t>
  </si>
  <si>
    <t>58 x 111 mm</t>
  </si>
  <si>
    <t>187 mm x 269 mm</t>
  </si>
  <si>
    <t>283 x 178 mm</t>
  </si>
  <si>
    <t>85 x 136 mm</t>
  </si>
  <si>
    <t>12 1/8 x 17 3/4 in. (30.8 x 45.1 cm)</t>
  </si>
  <si>
    <t>356 x 249 mm</t>
  </si>
  <si>
    <t>65.9 x 93.1 cm (25 15/16 x 36 5/8 in.)</t>
  </si>
  <si>
    <t>38 3/16 x 31 1/8 in. (97 x 79 cm)</t>
  </si>
  <si>
    <t>606 x 289 mm</t>
  </si>
  <si>
    <t>635 x 361 mm (primary/secondary support)</t>
  </si>
  <si>
    <t>65 x 92 cm (25 1/2 x 36 1/4 in.)</t>
  </si>
  <si>
    <t>22 1/16 x 18 5/8 in. (56.2 x 47.4 cm)</t>
  </si>
  <si>
    <t>110.2 x 85.7 cm (43 3/8 x 33 3/4 in.)</t>
  </si>
  <si>
    <t>37 1/2 x 33 1/2 in. (95 x 85 cm)</t>
  </si>
  <si>
    <t>29 3/4 x 18 in. (76.2 x 46.2 cm)</t>
  </si>
  <si>
    <t>13.7 x 10.2 cm (5 3/8 x 4 in.)</t>
  </si>
  <si>
    <t>21.3 x 31.5 cm (8 3/8 x 12 3/8 in.)</t>
  </si>
  <si>
    <t>456 x 552 mm</t>
  </si>
  <si>
    <t>273 mm x 190 mm</t>
  </si>
  <si>
    <t>176 x 178 mm</t>
  </si>
  <si>
    <t>203.5 x 116.8 cm (80 1/8 x 46 in.)</t>
  </si>
  <si>
    <t>125.3 x 120 cm (49 3/8 x 47 1/4 in.)</t>
  </si>
  <si>
    <t>185 x 300 mm</t>
  </si>
  <si>
    <t>76.2 x 76.2 cm (30 x 30 in.)</t>
  </si>
  <si>
    <t>356 x 279 mm</t>
  </si>
  <si>
    <t>73 x 101 mm</t>
  </si>
  <si>
    <t>269.2 x 175.3 cm (106 x 69 in.)</t>
  </si>
  <si>
    <t>265 x 332 mm</t>
  </si>
  <si>
    <t>250 x 225 mm</t>
  </si>
  <si>
    <t>180.3 x 233.7 cm (71 x 92 in.)</t>
  </si>
  <si>
    <t>15 7/16 x 22 1/8 in. (39.5 x 56.2 cm)</t>
  </si>
  <si>
    <t>255.3 x 353.1 cm (100 1/2 x 139 in.)</t>
  </si>
  <si>
    <t>90 x 89 mm</t>
  </si>
  <si>
    <t>193.5 x 130.5 cm (76.2 x 51.4 in.)</t>
  </si>
  <si>
    <t>278 x 189 mm</t>
  </si>
  <si>
    <t>28 x 22 in. (71.1 x 55.9 cm)</t>
  </si>
  <si>
    <t>454 x 271 mm</t>
  </si>
  <si>
    <t>262 x 201 mm</t>
  </si>
  <si>
    <t>355 x 280 mm</t>
  </si>
  <si>
    <t>200 x 194 mm</t>
  </si>
  <si>
    <t>125.7 x 200 cm (49 1/2 x 78 3/4 in.)</t>
  </si>
  <si>
    <t>49.4 x 59 cm (19 7/16 x 23 in.)</t>
  </si>
  <si>
    <t>26 1/2 x 20 5/8 in. (67.4 x 52.5 cm)</t>
  </si>
  <si>
    <t>587 x 420 mm</t>
  </si>
  <si>
    <t>502 x 647 mm</t>
  </si>
  <si>
    <t>21.9 x 27.9 cm (8 5/8 x 10 5/8 in.)</t>
  </si>
  <si>
    <t>50.8 x 78.7 cm (20 x 31 in.)</t>
  </si>
  <si>
    <t>23 3/8 x 29 13/16 in. (59.4 x 75.1 cm)</t>
  </si>
  <si>
    <t>45.8 x 38.2 cm (18 1/4 x 15 in.)</t>
  </si>
  <si>
    <t>40 x 75 in.</t>
  </si>
  <si>
    <t>137 x 150 mm</t>
  </si>
  <si>
    <t>250 x 192 mm</t>
  </si>
  <si>
    <t>50 x 40 1/2 in. (127 x 102.3 cm)</t>
  </si>
  <si>
    <t>17 15/16 x 14 9/16 in. (45.6 x 37 cm)</t>
  </si>
  <si>
    <t>461 x 310 mm</t>
  </si>
  <si>
    <t>12 5/8 x 18 1/4 in. (32 x 46.3 cm)</t>
  </si>
  <si>
    <t>60 x 70 cm</t>
  </si>
  <si>
    <t>177.8 x 177.8 cm (70 x 70 in.)</t>
  </si>
  <si>
    <t>313 x 219 mm</t>
  </si>
  <si>
    <t>121.9 x 102.9 cm (48 x 40.5 in.)</t>
  </si>
  <si>
    <t>80.6 x 99.7 cm (31 3/4 x 39 1/4 in.)</t>
  </si>
  <si>
    <t>24 3/4 x 18 1/4 in. (62.8 x 46.3 cm)</t>
  </si>
  <si>
    <t>393 x 267 mm</t>
  </si>
  <si>
    <t>54.9 x 66.4 cm (21 5/8 x 26 1/8 in.)</t>
  </si>
  <si>
    <t>88.3 x 130.3 cm (34 3/4 x 51 5/16 in.)</t>
  </si>
  <si>
    <t>266 x 376 mm</t>
  </si>
  <si>
    <t>34.3 x 27.2 cm (13 1/2 x 10 9/16 in.)</t>
  </si>
  <si>
    <t>241 x 343 mm</t>
  </si>
  <si>
    <t>140 x 223 mm</t>
  </si>
  <si>
    <t>55.9 x 41.3 cm (22 x 16 1/4 in.)</t>
  </si>
  <si>
    <t>349 x 347 mm</t>
  </si>
  <si>
    <t>51 1/4 x 39 3/8 in. (130.3 x 100 cm)</t>
  </si>
  <si>
    <t>240 x 315 mm</t>
  </si>
  <si>
    <t>41.9 x 7.6 cm (16 1/2 x 3 in.)</t>
  </si>
  <si>
    <t>506 x 380 mm</t>
  </si>
  <si>
    <t>629 x 506 mm</t>
  </si>
  <si>
    <t>275 x 375 mm</t>
  </si>
  <si>
    <t>272 x 218 mm (max.)</t>
  </si>
  <si>
    <t>262 x 397 mm</t>
  </si>
  <si>
    <t>50.8 x 68.6 cm (20 x 27 in.)</t>
  </si>
  <si>
    <t>306 x 484 mm</t>
  </si>
  <si>
    <t>56.5 x 84.8 cm (22 1/8 x 33 3/8 in.), without frame</t>
  </si>
  <si>
    <t>66 x 108 cm (26 x 42 1/2 in.)</t>
  </si>
  <si>
    <t>unframed: 29 x 43 3/8" (73.7 x 110.2 cm)
framed: 32 1/2 x 47 in. (82.6 x 119.4 cm)</t>
  </si>
  <si>
    <t>45.7 x 55.9 cm (18 x 22 in.)</t>
  </si>
  <si>
    <t>81.3 x 65.4 cm (32 x 25 3/4 in.)</t>
  </si>
  <si>
    <t>23 5/8 x 39 3/8 in. (60.9 x 100 cm)</t>
  </si>
  <si>
    <t>46.5 x 55.2 cm (18 1/4 x 21 3/4 in.)</t>
  </si>
  <si>
    <t>260 mm x 362 mm</t>
  </si>
  <si>
    <t>297.2 x 175.3 cm (117 x 69 in.)</t>
  </si>
  <si>
    <t>235 x 495 mm</t>
  </si>
  <si>
    <t>260 x 260 cm (102 3/8 x 102 3/8 in.)</t>
  </si>
  <si>
    <t>182.9 x 307.8 cm (72 x 120 in.)</t>
  </si>
  <si>
    <t>77.2 x 50.5 cm (30 3/8 x 19 7/8 in.)</t>
  </si>
  <si>
    <t>16 5/8 x 13 in. (42.3 x 33 cm)</t>
  </si>
  <si>
    <t>37 1/16 x 18 1/2 in. (94.2 x 47 cm)</t>
  </si>
  <si>
    <t>216 x 150 mm</t>
  </si>
  <si>
    <t>137.2 x 153.7 cm (54 x 60 1/2 in.)</t>
  </si>
  <si>
    <t>63.2 x 91.1 cm (24 7/8 x 35 7/8 in.)</t>
  </si>
  <si>
    <t>483 x 355 mm</t>
  </si>
  <si>
    <t>73 x 119.4 cm (28 3/4 x 47 in.)</t>
  </si>
  <si>
    <t>305 x 480 mm</t>
  </si>
  <si>
    <t>585 x 740 mm</t>
  </si>
  <si>
    <t>16 x 23 1/2 in. (40.8 x 59.6 cm)</t>
  </si>
  <si>
    <t>365 x 507 mm</t>
  </si>
  <si>
    <t>107.5 x 95.7 cm (42 3/8 x 37 5/8 in.)</t>
  </si>
  <si>
    <t>523 x 482 mm</t>
  </si>
  <si>
    <t>30.5 x 40.6 cm (12 x 16 in.)</t>
  </si>
  <si>
    <t>35.7 x 25.5 cm (14 x 10 in.)</t>
  </si>
  <si>
    <t>445 x 365 mm</t>
  </si>
  <si>
    <t>25 1/2 x 21 1/2 in. (64.7 x 54.6 cm)</t>
  </si>
  <si>
    <t>118 x 91 mm</t>
  </si>
  <si>
    <t>610 x 458 mm</t>
  </si>
  <si>
    <t>220 x 308 mm</t>
  </si>
  <si>
    <t>30 9/16 x 42 3/16 in. (77.6 x 107.2 cm)</t>
  </si>
  <si>
    <t>121.2 x 101.6 cm (47 3/4 x 40 in.)</t>
  </si>
  <si>
    <t>488 x 342 mm</t>
  </si>
  <si>
    <t>20 1/4 x 25 9/16 in. (51.5 x 65 cm)</t>
  </si>
  <si>
    <t>102.2 x 109.9 cm (40 1/4 x 43 1/4 in.)</t>
  </si>
  <si>
    <t>12 1/2 x 9 9/16 in. (31.8 x 24.3 cm)</t>
  </si>
  <si>
    <t>343 x 252 mm</t>
  </si>
  <si>
    <t>78.1 x 116.2 cm (30 3/4 x 45 3/4 in.)</t>
  </si>
  <si>
    <t>706 x 582 mm</t>
  </si>
  <si>
    <t>55 x 46 cm (21 5/8 x 23 1/4 in.)</t>
  </si>
  <si>
    <t>panel: 36 5/8 x 23 5/8 in. (93 x 60.5 cm); image: 27 1/8 x 14 5/16 in. (68.9 x 36.3 cm)</t>
  </si>
  <si>
    <t>404 x 534 mm</t>
  </si>
  <si>
    <t>542 x 750 mm</t>
  </si>
  <si>
    <t>510 x 379 mm</t>
  </si>
  <si>
    <t>58 x 78 cm (23 x 31 in.)</t>
  </si>
  <si>
    <t>323 x 585 mm</t>
  </si>
  <si>
    <t>96 x 90 mm</t>
  </si>
  <si>
    <t>81.3 x 170.2 cm (32 x 67 in.), unframed</t>
  </si>
  <si>
    <t>27.6 x 35.7 cm (10 7/8 x 14 1/8 in.)</t>
  </si>
  <si>
    <t>260 mm x 180 mm</t>
  </si>
  <si>
    <t>260 mm x 179 mm</t>
  </si>
  <si>
    <t>18 3/16 x 21 15/16 in. (46.5 x 55.8 cm)</t>
  </si>
  <si>
    <t>61 x 50.8 cm (24 x 20 1/16 in.)</t>
  </si>
  <si>
    <t>48 x 58 in.(102.1 x 91.8 cm)</t>
  </si>
  <si>
    <t>365 x 285 x 40 mm</t>
  </si>
  <si>
    <t>710 x 1,010 mm</t>
  </si>
  <si>
    <t>42.2 x 54 cm (15 5/8 x 21 1/4 in.)</t>
  </si>
  <si>
    <t>15.5 x 9.5 cm (6 1/8 x 3 3/4 in.)</t>
  </si>
  <si>
    <t>18 x 23 in. (20 5/8 x 26 in. framed)</t>
  </si>
  <si>
    <t>338 x 587 mm</t>
  </si>
  <si>
    <t>47 3/4 x 32 1/2 in. (121.1 x 82.5 cm); painted surface: 47 x 32 1/2 in. (119.4 x 82.5 cm)</t>
  </si>
  <si>
    <t>310 x 240 mm</t>
  </si>
  <si>
    <t>35.8 x 33 cm (14 1/8 x 13 in.)</t>
  </si>
  <si>
    <t>18 1/2 x 58 in. (47 x 147.3 cm)</t>
  </si>
  <si>
    <t>251 x 375 mm</t>
  </si>
  <si>
    <t>76 x 63.6 cm (29 15/16 x 25 1/8 in.)</t>
  </si>
  <si>
    <t>24 7/16 x 20 1/16 in. (62 x 51 cm)</t>
  </si>
  <si>
    <t>505 x 328 mm</t>
  </si>
  <si>
    <t>73.2 x 27.7 cm (28 7/8 x 10 3/4 in.)
Image: 72.7 x 27 cm (28 5/8 x 10 5/8 in.)</t>
  </si>
  <si>
    <t>29.2 x 36.2 cm (11 1/2 x 14 1/4 in.)</t>
  </si>
  <si>
    <t>122 x 209 mm</t>
  </si>
  <si>
    <t>315 x 472 mm</t>
  </si>
  <si>
    <t>450 x 262 mm</t>
  </si>
  <si>
    <t>46.2 x 38.2 cm (18 1/8 x 15 in.)</t>
  </si>
  <si>
    <t>206 x 186 mm</t>
  </si>
  <si>
    <t>Christ on the Cross: 69.8 x 81.2 cm (27 1/2 x 32 in.)
Painted surface: 61 x 73 cm (24 1/2 x 28 3/4 in.)
Coronation of the Virgin: 87.4 x 80.3 cm (34 3/8 x 31 5/8 in.)
Painted surface: 87.3 x 73 cm (34 x 28 3/4 in.)
Scenes from the Life of Saint Blaise: 154.3 x 69.8 cm (60 3/4 x 27 1/2 in.)
Painted surface: 125.7 x 66 cm (49 1/2 x 26 in.)
Saint Athanasius: 128.6 x 82 cm (50 5/8 x 32 1/4 in.)
Painted surface: 124.7 x 73.7 cm (49 1/8 x 29 in.)
Scenes from the Life of Saint Agatha: 154.5 x 69.8 cm (60 3/4 x 27 1/2 in.)
Painted surface: 127 x 66 cm (50 x 26 in.)</t>
  </si>
  <si>
    <t>87 x 90 mm</t>
  </si>
  <si>
    <t>41 x 83 mm</t>
  </si>
  <si>
    <t>14 3/16 x 37 in. (36 x 94 cm)</t>
  </si>
  <si>
    <t>29.8 x 54.3 cm (11 3/4 x 21 3/8 in.)</t>
  </si>
  <si>
    <t>102 x 92 cm (40 x 36 1/4 in.)</t>
  </si>
  <si>
    <t>79 x 48 in. (200.7 x 121.9 cm)</t>
  </si>
  <si>
    <t>593 x 462 mm</t>
  </si>
  <si>
    <t>48.6 x 64.5 cm (19 1/16 x 25 3/8 in.)</t>
  </si>
  <si>
    <t>45 3/4 x 59 1/8 in. (116.2 x 150.2 cm)</t>
  </si>
  <si>
    <t>22 5/8 x 31 in. (57.7 x 78.8 cm)</t>
  </si>
  <si>
    <t>68.9 x 68.9 cm (27 1/8 x 27 1/8 in.)</t>
  </si>
  <si>
    <t>43.8 x 29.2 cm (17 1/4 x 11 1/2 in.)
Painted surface: 43.2 x 28.4 cm (17 x 11 3/16 in.)</t>
  </si>
  <si>
    <t>68.6 x 55.9 cm (27 x 22 in.)</t>
  </si>
  <si>
    <t>49 x 27.7 cm (19 5/16 x 10 15/16 in. ); painted surface: 48.2 x 26.8 cm (19 x 10 9/16 in.)</t>
  </si>
  <si>
    <t>303 x 414 mm</t>
  </si>
  <si>
    <t>13.8 x 6.5 cm (5 1/2 x 2 9/16 in.)</t>
  </si>
  <si>
    <t>518 x 698 mm</t>
  </si>
  <si>
    <t>93 x 73 cm (36 5/8 x 28 3/4 in.)</t>
  </si>
  <si>
    <t>34.3 x 26 cm (13 1/2 x 10 1/4 in.)</t>
  </si>
  <si>
    <t>182.9 x 182.9 cm (72 x 72 in.)</t>
  </si>
  <si>
    <t>15 3/8 x 18 7/16 in. (39 x 46.8 cm)</t>
  </si>
  <si>
    <t>95.9 x 75.6 cm (37 3/4 x 29 3/4 in.)</t>
  </si>
  <si>
    <t>56 x 40.8 cm (22 x 16 in.)</t>
  </si>
  <si>
    <t>532 x 737 mm</t>
  </si>
  <si>
    <t>18 1/8 x 10 7/8 in. (46 x 27.6 cm)</t>
  </si>
  <si>
    <t>780 x 388 mm</t>
  </si>
  <si>
    <t>100.3 x 75.6 cm (39 1/4 x 29 3/4 in.)</t>
  </si>
  <si>
    <t>545 x 761 mm</t>
  </si>
  <si>
    <t>233.7 x 350.5 cm (92 x 138 3/4 in.)</t>
  </si>
  <si>
    <t>51 5/8 x 69 5/8 in. (132.3 x 178 cm)</t>
  </si>
  <si>
    <t>453 x 316 mm</t>
  </si>
  <si>
    <t>403 x 340 mm</t>
  </si>
  <si>
    <t>340 x 650 mm</t>
  </si>
  <si>
    <t>145 x 236 mm</t>
  </si>
  <si>
    <t>247 x 315 mm</t>
  </si>
  <si>
    <t>236.2 x 238.8 cm (93 x 94 in.)</t>
  </si>
  <si>
    <t>40 3/8 x 33 1/2 in. (102.5 x 85.1 cm)</t>
  </si>
  <si>
    <t>535 x 379 mm</t>
  </si>
  <si>
    <t>408 x 359 mm</t>
  </si>
  <si>
    <t>43.7 x 34.8 cm (17 3/16 x 13 11/16 in.)</t>
  </si>
  <si>
    <t>Image: 20.6 x29.3 cm (8 1/8 x 11 1/2 in.); Paper: 28.9 x 35.2 cm (11 3/8 x 13 7/8 in.)</t>
  </si>
  <si>
    <t>144 x 125 mm</t>
  </si>
  <si>
    <t>169.55 x 121.29 (66 3/4 x 47 3/4 in.)</t>
  </si>
  <si>
    <t>82.2 x 133 cm (32 3/8 x 52 3/8 in.)</t>
  </si>
  <si>
    <t>5 5/8 x 9 1/2 in. (14.3 x 24.1 cm)</t>
  </si>
  <si>
    <t>168 x 196 mm</t>
  </si>
  <si>
    <t>578 x 787 mm</t>
  </si>
  <si>
    <t>378 x 549 mm</t>
  </si>
  <si>
    <t>237 x 198 cm (93.4 x 78.2 in.)</t>
  </si>
  <si>
    <t>81.3 x 112.4 cm (32 x 44 1/4 in.)</t>
  </si>
  <si>
    <t>25 5/8 x 32 in. (65.2 x 81.3 cm)</t>
  </si>
  <si>
    <t>87 x 101.6 cm (34 1/4 x 40 in.)</t>
  </si>
  <si>
    <t>455 x 308 mm</t>
  </si>
  <si>
    <t>51 x 65 cm (20 1/16 x 25 5/8 in.)</t>
  </si>
  <si>
    <t>17.2 x 23.5 cm (6 3/4 x 9 1/4 in.)</t>
  </si>
  <si>
    <t>19 1/8 x 25 3/8 in. (48.6 x 64.5 cm)</t>
  </si>
  <si>
    <t>640 x 495 mm</t>
  </si>
  <si>
    <t>322 x 241 mm</t>
  </si>
  <si>
    <t>43.6 x 53.5 cm (17 1/8 x 21 in.)</t>
  </si>
  <si>
    <t>114.3 x 90.2 cm (45 x 35 1/2 in.)</t>
  </si>
  <si>
    <t>439 x 315 mm</t>
  </si>
  <si>
    <t>10 7/8 x 13 3/4 in. (27.6 x 34.9 cm)</t>
  </si>
  <si>
    <t>28 3/4 x 36 1/8 in. (73 x 92 cm)</t>
  </si>
  <si>
    <t>13 1/4 x 7 in. (33.7 x 18.3 cm)</t>
  </si>
  <si>
    <t>42 1/2 x 32 in. (108 x 81.3 cm)</t>
  </si>
  <si>
    <t>163 x 201 mm (sight)</t>
  </si>
  <si>
    <t>61.9 x 39.7 cm (24 3/8 x 15 5/8 in.)</t>
  </si>
  <si>
    <t>18 1/2 x 15 in.</t>
  </si>
  <si>
    <t>375 x 469 mm</t>
  </si>
  <si>
    <t>369 x 523 mm</t>
  </si>
  <si>
    <t>283 x 391 mm</t>
  </si>
  <si>
    <t>88.3 x 62.6 cm (34 3/4 x 24 5/8 in.)</t>
  </si>
  <si>
    <t>53.7 x 69.9 cm (21 1/8 x 27 1/2 in.)</t>
  </si>
  <si>
    <t>359 x 270 mm</t>
  </si>
  <si>
    <t>558 x 635 mm</t>
  </si>
  <si>
    <t>130.8 x 162.6 cm. (51 1/2 x 64 in.)</t>
  </si>
  <si>
    <t>186.7 x 217.8 cm (73 1/2 x 85 3/4 in.)</t>
  </si>
  <si>
    <t>88.7 x 62.9 cm (34 7/8 x 24 3/4 in.)</t>
  </si>
  <si>
    <t>121 x 182 cm (48 x 72 in.)</t>
  </si>
  <si>
    <t>354 x 537 mm</t>
  </si>
  <si>
    <t>69 x 72 cm (27 1/5 x 28 1/5 in.)</t>
  </si>
  <si>
    <t>36 x 57.8 cm (14 1/8 x 22 3/4 in.)</t>
  </si>
  <si>
    <t>118.8 x 65.7 cm (46 3/4 x 25 7/8 in.)</t>
  </si>
  <si>
    <t>127 x 91.4 cm (50 x 36 in.)</t>
  </si>
  <si>
    <t>76.2 x 114.3 cm (30 x 45 in.)</t>
  </si>
  <si>
    <t>174 x 164 mm</t>
  </si>
  <si>
    <t>160 x 128.3 cm (63 x 50 1/2 in.)</t>
  </si>
  <si>
    <t>365 x 551 mm</t>
  </si>
  <si>
    <t>55.1 x 62.8 cm (21 1/2 x 24 1/2 in.)</t>
  </si>
  <si>
    <t>25 1/2 x 21 1/4 in. (64.8 x 54 cm)</t>
  </si>
  <si>
    <t>50 5/8 x 31 in.</t>
  </si>
  <si>
    <t>204 x 311 mm</t>
  </si>
  <si>
    <t>239 x 314 mm</t>
  </si>
  <si>
    <t>149.9 x 200.6 cm (55 x 79 in.)</t>
  </si>
  <si>
    <t>116 x 93 mm</t>
  </si>
  <si>
    <t>14 1/4 x 11 15/16 in. (36.3 x 30.3 cm)</t>
  </si>
  <si>
    <t>45.4 x 61 cm (17 7/8 x 24 in.)</t>
  </si>
  <si>
    <t>24 1/16 x 19 3/4 in. (61.1 x 50.2 cm)</t>
  </si>
  <si>
    <t>360 x 250 mm</t>
  </si>
  <si>
    <t>26 x 32.4 cm (10 1/4 x 12 3/4 in.)</t>
  </si>
  <si>
    <t>73.2 x 68.5 cm (30 x 27 in.)</t>
  </si>
  <si>
    <t>46 1/16 x 33 1/8 in. (117 x 84.2 cm)</t>
  </si>
  <si>
    <t>220 x 280 mm (primary support); 353 x 451 mm (secondary support)</t>
  </si>
  <si>
    <t>19 x 27 9/16 in. (48.3 x 70 cm)</t>
  </si>
  <si>
    <t>18 1/2 x 18 in.</t>
  </si>
  <si>
    <t>137 x 239 mm</t>
  </si>
  <si>
    <t>266.1 x 200 cm (104 3/4 x 78 3/4 in.)</t>
  </si>
  <si>
    <t>8 5/8 x 11 5/8 in. (21.9 x 29.5 cm)</t>
  </si>
  <si>
    <t>301.8 x 396.2 cm (118 3/4 x 156 in.)</t>
  </si>
  <si>
    <t>48.3 x 36.4 cm (19 x 14 3/8 in.)
Panel: 48.3 x 35.3 cm (19 x 13 7/8 in.)</t>
  </si>
  <si>
    <t>636 x 488 mm</t>
  </si>
  <si>
    <t>174 x 253 mm</t>
  </si>
  <si>
    <t>36 x 28 in. (91.5 x 71.1 cm)</t>
  </si>
  <si>
    <t>73.7 x 92.1 cm (29 x 36 1/4 in.)</t>
  </si>
  <si>
    <t>321 x 243 mm</t>
  </si>
  <si>
    <t>189.5 x 212.3 cm (74.6 x 83.8 in.)</t>
  </si>
  <si>
    <t>408 x 329 mm</t>
  </si>
  <si>
    <t>166 x 254 mm</t>
  </si>
  <si>
    <t>152.4 x 101.6 cm (60 x 40 in.)</t>
  </si>
  <si>
    <t>215 x 278 mm</t>
  </si>
  <si>
    <t>237 x 319 mm</t>
  </si>
  <si>
    <t>484 x 610 mm</t>
  </si>
  <si>
    <t>548 x 492 mm</t>
  </si>
  <si>
    <t>253 x 304 mm</t>
  </si>
  <si>
    <t>71.5 x 92 cm (28 1/4 x 36 in.)</t>
  </si>
  <si>
    <t>542 x 433 mm</t>
  </si>
  <si>
    <t>35 x 46 in.</t>
  </si>
  <si>
    <t>28 7/8 x 36 1/4 in. (73.3 x 92.1 cm)</t>
  </si>
  <si>
    <t>87 x 101.5 cm (34 1/4 x 39 3/4 in.)</t>
  </si>
  <si>
    <t>624 x 479 mm</t>
  </si>
  <si>
    <t>36 x 28 in. (91.4 x 71.1 cm)</t>
  </si>
  <si>
    <t>200 x 100 cm (79 x 40 1/2 in.)</t>
  </si>
  <si>
    <t>23 1/8 x 28 3/4 in. (58.7 x 73 cm)</t>
  </si>
  <si>
    <t>235 x 173 mm</t>
  </si>
  <si>
    <t>768 x 530 mm</t>
  </si>
  <si>
    <t>113 x 110.5 cm (52 9/16 x 43 1/2 in.)</t>
  </si>
  <si>
    <t>75.9 x 62.6 cm (29 7/8 x 24 5/8 in.)</t>
  </si>
  <si>
    <t>18 1/8 x 21 1/2 in. (45.8 x 54.7 cm)</t>
  </si>
  <si>
    <t>138 x 235 mm</t>
  </si>
  <si>
    <t>54.3 x 65.4 cm (21 3/8 x 25 3/4 in.)</t>
  </si>
  <si>
    <t>Image: 14.2 x 12 cm (5 9/16 x 4 3/4 in.); sheet: 19.75 x 15 cm (7 3/4 x 5 7/8 in.)</t>
  </si>
  <si>
    <t>259 x 199 mm; 337 x 270 mm (secondary support)</t>
  </si>
  <si>
    <t>479 x 315 mm</t>
  </si>
  <si>
    <t>Carlos Merida</t>
  </si>
  <si>
    <t>Theodore Chasseriau</t>
  </si>
  <si>
    <t>Honore-Victorin Daumier</t>
  </si>
  <si>
    <t>Jose Leonilson</t>
  </si>
  <si>
    <t>Gustave Dore</t>
  </si>
  <si>
    <t>Andre Derain</t>
  </si>
  <si>
    <t>Augustin Theodule Ribot</t>
  </si>
  <si>
    <t>Rene Charles Acht</t>
  </si>
  <si>
    <t>Panels from the High Altar of the Charterhouse of Saint-Honore, Thuison-les-Abbeville: Saint John the Baptist</t>
  </si>
  <si>
    <t>Theodore Rousseau</t>
  </si>
  <si>
    <t>Francisco Jose de Goya y Lucientes</t>
  </si>
  <si>
    <t>Andre Dunoyer de Segonzac</t>
  </si>
  <si>
    <t>Geraerd Ter Borch</t>
  </si>
  <si>
    <t>The Comtesse de Cosse in a Salon</t>
  </si>
  <si>
    <t>Albert Andre</t>
  </si>
  <si>
    <t>Leon Bakst</t>
  </si>
  <si>
    <t>Fernand Leger</t>
  </si>
  <si>
    <t>Cesar Galicia</t>
  </si>
  <si>
    <t>Antoine Auguste Ernest Hebert</t>
  </si>
  <si>
    <t>Jean Louis Andre Theodore Gericault</t>
  </si>
  <si>
    <t>Salome Triptych</t>
  </si>
  <si>
    <t>Master Honore</t>
  </si>
  <si>
    <t>Watercolor over touches of red Conte crayon on cream watercolor paper</t>
  </si>
  <si>
    <t>Leopold Survage</t>
  </si>
  <si>
    <t>Woman in front of a Still Life by Cezanne</t>
  </si>
  <si>
    <t>Amedee Ozenfant</t>
  </si>
  <si>
    <t>Stanislas Lepine</t>
  </si>
  <si>
    <t>Theodore Gericault on His Deathbed</t>
  </si>
  <si>
    <t>Serge Ferat</t>
  </si>
  <si>
    <t>Mane-Katz</t>
  </si>
  <si>
    <t>Rene DaniÃ«ls</t>
  </si>
  <si>
    <t>Paul Serusier</t>
  </si>
  <si>
    <t>Helio Oiticica</t>
  </si>
  <si>
    <t>Collioure, Pyrenees-Orientales</t>
  </si>
  <si>
    <t>Marie de Medicis</t>
  </si>
  <si>
    <t>Watercolor and brush and black ink, with black and brown Conte crayon, on off-white wove paper, laid down on white wove paper</t>
  </si>
  <si>
    <t>Jean Helion</t>
  </si>
  <si>
    <t>Portrait of General Jose Manuel Romero</t>
  </si>
  <si>
    <t>Panels from the High Altar of the Charterhouse of Saint-Honore, Thuison-les-Abbeville: Pentecost</t>
  </si>
  <si>
    <t>Andre Masson</t>
  </si>
  <si>
    <t>Andre Lhote</t>
  </si>
  <si>
    <t>Vetheuil</t>
  </si>
  <si>
    <t>Paul Cezanne</t>
  </si>
  <si>
    <t>Felix Ziem</t>
  </si>
  <si>
    <t>Panels from the High Altar of the Charterhouse of Saint-Honore, Thuison-les-Abbeville: Virgin and Child</t>
  </si>
  <si>
    <t>Remy Zaugg</t>
  </si>
  <si>
    <t>Jules Dupre</t>
  </si>
  <si>
    <t>Jean Baptiste Simeon Chardin</t>
  </si>
  <si>
    <t>Spiral-bound book with fifty-five pages of drawings in graphite, red conte crayon, black and colored fiber-tipped pens, watercolor, charcoal, colored pencils, black ballpoint pen, and collage of commecially printed papers, cut and laid down on ivory wove paper, bound in woodpulp board</t>
  </si>
  <si>
    <t>Mme. Peigne</t>
  </si>
  <si>
    <t>In the Cafe</t>
  </si>
  <si>
    <t>Watercolor, graphite, and red Conte crayon, over watercolor transfer, on cream wove paper</t>
  </si>
  <si>
    <t>Florence Este</t>
  </si>
  <si>
    <t>Painting 190 x 222 cm, 5 February, 2012 (Peinture 190 x 222 cm, 5 fevrier 2012)</t>
  </si>
  <si>
    <t>Altarpiece from Thuison-les-Abbeville: Saint Honore</t>
  </si>
  <si>
    <t>Don Jose MoÃ±ino y Redondo, Conde de Floridablanca</t>
  </si>
  <si>
    <t>The Champs-Elysees</t>
  </si>
  <si>
    <t>Leon Joseph Florentin Bonnat</t>
  </si>
  <si>
    <t>Joseph Louis Hippolyte Bellange</t>
  </si>
  <si>
    <t>Cafe Express</t>
  </si>
  <si>
    <t>Madame Leon Clapisson</t>
  </si>
  <si>
    <t>Cafe Singer</t>
  </si>
  <si>
    <t>Henri Verge-Sarrat</t>
  </si>
  <si>
    <t>Leon Jean Perrault</t>
  </si>
  <si>
    <t>Sebastien Bourdon</t>
  </si>
  <si>
    <t>Sketch for L'Oubile</t>
  </si>
  <si>
    <t>Bartolome Esteban Murillo</t>
  </si>
  <si>
    <t>Martin Barre</t>
  </si>
  <si>
    <t>Faintness (Matite)</t>
  </si>
  <si>
    <t>Dans la Tranchee</t>
  </si>
  <si>
    <t>The Trinity and Saints in Paradise, or La Cour Celeste from a volume of "La Cite de Dieu" by St Augustine</t>
  </si>
  <si>
    <t>Jean d'Albon, Seigneur de Saint Andre &lt;image of frame not with work&gt;</t>
  </si>
  <si>
    <t>Leon Augustin Lhermitte</t>
  </si>
  <si>
    <t>Boy with Pitcher (La Regalade)</t>
  </si>
  <si>
    <t>Table at a Cafe</t>
  </si>
  <si>
    <t>Felix Edouard Vallotton</t>
  </si>
  <si>
    <t>Frederic Bazille</t>
  </si>
  <si>
    <t>Francisco Domingo y Marques</t>
  </si>
  <si>
    <t>Henri Leopold Levy</t>
  </si>
  <si>
    <t>Edouard Beliard</t>
  </si>
  <si>
    <t>Louis-Leopold Boilly</t>
  </si>
  <si>
    <t>Agustin Esteve y Marques</t>
  </si>
  <si>
    <t>Kenzo Okada</t>
  </si>
  <si>
    <t>Les Andelys, Cote d'Aval</t>
  </si>
  <si>
    <t>Jean Leon Gerome</t>
  </si>
  <si>
    <t>Koetsu</t>
  </si>
  <si>
    <t>Shozo Shimamoto</t>
  </si>
  <si>
    <t>edouard Manet</t>
  </si>
  <si>
    <t>edouard Jean Vuillard</t>
  </si>
  <si>
    <t>etretat: The Beach and the Falaise d'Amont</t>
  </si>
  <si>
    <t>Le Corbusier (Charles-edouard Jeanneret)</t>
  </si>
  <si>
    <t>Jean Baptiste edouard Detaille</t>
  </si>
  <si>
    <t>View at etretat</t>
  </si>
  <si>
    <t>The Departure of the Boats, etretat</t>
  </si>
  <si>
    <t>An Elegant Woman at the elysee Montmartre (elegante Ã  lâ€™elysee Montmartre)</t>
  </si>
  <si>
    <t>Francis I and the Duchess d'etampes</t>
  </si>
  <si>
    <t>Haymaking at eragny</t>
  </si>
  <si>
    <t>Jules-elie Delaunay</t>
  </si>
  <si>
    <t>emile Bernard</t>
  </si>
  <si>
    <t>etude No. 1</t>
  </si>
  <si>
    <t>Boats on the Beach at etretat</t>
  </si>
  <si>
    <t>Studio of Diego Rodriguez de Velazquez</t>
  </si>
  <si>
    <t>Francisco de Zurbaran</t>
  </si>
  <si>
    <t>Antonio Gonzalez Velasquez, I</t>
  </si>
  <si>
    <t>Tarascans of the State of Michoacan (A), from Mexican Costume</t>
  </si>
  <si>
    <t>Tarascans of the State of Michoacan (B), from Mexican Costume</t>
  </si>
  <si>
    <t>Juan de Zurbaran</t>
  </si>
  <si>
    <t>Diego Velazquez</t>
  </si>
  <si>
    <t>Vaclav BostÃ­k</t>
  </si>
  <si>
    <t>Alonso Sanchez Coello</t>
  </si>
  <si>
    <t>Mihaly Munkacsy</t>
  </si>
  <si>
    <t>St. Gerardo Sagredo, Bishop of Csanad</t>
  </si>
  <si>
    <t>Bartolome de Cardenas, (called Bermejo)</t>
  </si>
  <si>
    <t>Laszlo Moholy-Nagy</t>
  </si>
  <si>
    <t>Jozseph Rippl-RonaÃ¯</t>
  </si>
  <si>
    <t>Andres  Lopez  Lopez Polanco</t>
  </si>
  <si>
    <t>Domenico Theotokopoulos, called El Greco</t>
  </si>
  <si>
    <t>Francois Bonvin</t>
  </si>
  <si>
    <t>Francois Boucher</t>
  </si>
  <si>
    <t>Jean Francois Millet</t>
  </si>
  <si>
    <t>Charles Francois Daubigny</t>
  </si>
  <si>
    <t>Jean-Francois RafaÃ«lli</t>
  </si>
  <si>
    <t>Master of Jacques de Besancon</t>
  </si>
  <si>
    <t>Jean Francois Millet, I</t>
  </si>
  <si>
    <t>Madame Francois Buron</t>
  </si>
  <si>
    <t>Jean Baptiste Francois Desoria</t>
  </si>
  <si>
    <t>baron Francois Pascal Simon Gerard</t>
  </si>
  <si>
    <t>Louis Francois Cassas</t>
  </si>
  <si>
    <t>Imitator of Francois Clouet</t>
  </si>
  <si>
    <t>NoÃ«l-Francois Roger de La Fresnaye</t>
  </si>
  <si>
    <t>Francois Arnal</t>
  </si>
  <si>
    <t>Eugene Louis Boudin</t>
  </si>
  <si>
    <t>Eugene Fromentin</t>
  </si>
  <si>
    <t>Eugene Carriere</t>
  </si>
  <si>
    <t>Pierre Charles Tremolieres</t>
  </si>
  <si>
    <t>Final Study for "Bathers at Asnieres"</t>
  </si>
  <si>
    <t>Juan Genoves</t>
  </si>
  <si>
    <t>Eugene Delacroix</t>
  </si>
  <si>
    <t>Nicolas de Largilliere</t>
  </si>
  <si>
    <t>House of Mere Bazot</t>
  </si>
  <si>
    <t>Henri-Eugene Le Sidaner</t>
  </si>
  <si>
    <t>Eugene Isabey</t>
  </si>
  <si>
    <t>Fishing in Spring, the Pont de Clichy (Asnieres)</t>
  </si>
  <si>
    <t>Eugene Blery</t>
  </si>
  <si>
    <t>Eugene Louis Lami</t>
  </si>
  <si>
    <t>Eugene Bejot</t>
  </si>
  <si>
    <t>Therese</t>
  </si>
  <si>
    <t>Eugene Zak</t>
  </si>
  <si>
    <t>Eva Gonzales</t>
  </si>
  <si>
    <t>Niccolo di Pietro Gerini</t>
  </si>
  <si>
    <t>The Dreamer (La Reveuse)</t>
  </si>
  <si>
    <t>Reverie (Portrait of Gabrielle Borreau)</t>
  </si>
  <si>
    <t>La Fete du Mai</t>
  </si>
  <si>
    <t>Tetes-paysage</t>
  </si>
  <si>
    <t>Fete d'Apres-Midi</t>
  </si>
  <si>
    <t>Fete Champetre</t>
  </si>
  <si>
    <t>Foret de Compiegne</t>
  </si>
  <si>
    <t>Fete de Saint Marc, Venise</t>
  </si>
  <si>
    <t>Alphabet de la Tete</t>
  </si>
  <si>
    <t>Fete champetre (Pastoral Gathering)</t>
  </si>
  <si>
    <t>Enamel, papier-mache, and wood on canvas</t>
  </si>
  <si>
    <t>Painted Banner (Thangka) of Skull-Cup Bearing (Kapaladhara) Hevajra</t>
  </si>
  <si>
    <t>Manuscript cutting in tempera and gold leaf, and letter batarde inscriptions in brownish-black ink, unruled, with decorated initial, on parchment</t>
  </si>
  <si>
    <t>Vuillard's Room at the Chateau des Clayes</t>
  </si>
  <si>
    <t>Easter Mystery (Mystere de Paques)</t>
  </si>
  <si>
    <t>Acrylic, faux pearls, costume jewelry on papier-mache</t>
  </si>
  <si>
    <t>Chateau de Fontainebleau</t>
  </si>
  <si>
    <t>Pistachio Tree at Chateau Noir</t>
  </si>
  <si>
    <t>Joaqui­n Sorolla y Bastida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</si>
</sst>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16" fillId="0" borderId="0" xfId="0" applyFont="1" applyAlignment="1">
      <alignment horizontal="center"/>
    </xf>
    <xf numFmtId="0" fontId="0" fillId="0" borderId="0" xfId="0" applyAlignment="1">
      <alignment horizontal="center"/>
    </xf>
    <xf numFmtId="0" fontId="16" fillId="0" borderId="0" xfId="0" applyFont="1" applyAlignment="1">
      <alignment horizontal="left"/>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2B842CE-8655-4FC7-8A77-260A5C060886}" name="Table9" displayName="Table9" ref="A1:Q4022" totalsRowShown="0" headerRowDxfId="11" dataDxfId="10">
  <autoFilter ref="A1:Q4022" xr:uid="{22B842CE-8655-4FC7-8A77-260A5C060886}"/>
  <sortState xmlns:xlrd2="http://schemas.microsoft.com/office/spreadsheetml/2017/richdata2" ref="A2:Q4022">
    <sortCondition descending="1" ref="P1:P4022"/>
  </sortState>
  <tableColumns count="17">
    <tableColumn id="1" xr3:uid="{FBA8ACD0-01AC-4DBE-A03D-FA8258A4C996}" name="ID" dataDxfId="9"/>
    <tableColumn id="2" xr3:uid="{1D1D8E86-BDFE-462B-A882-E1051E3B6CAE}" name="Boosted"/>
    <tableColumn id="3" xr3:uid="{5481DC8E-E6E6-44EC-933D-0A5818EED708}" name="Public Domain"/>
    <tableColumn id="4" xr3:uid="{F1F1F867-6EFF-4CEE-90C6-EF369DD11BB8}" name="Start Date" dataDxfId="8"/>
    <tableColumn id="5" xr3:uid="{8D9F9F1D-69A8-4314-889F-74ADF0CA3D4C}" name="End Date" dataDxfId="7"/>
    <tableColumn id="6" xr3:uid="{F5F71FFC-C1A6-4FD2-A204-F19A3DDA82E1}" name="Title"/>
    <tableColumn id="7" xr3:uid="{E8B202FE-15D5-412A-B09A-6B9DDAA3B5CB}" name="Medium"/>
    <tableColumn id="8" xr3:uid="{05D59DA9-E62C-43FD-B05C-2D01876B81BD}" name="Colorfulness" dataDxfId="6"/>
    <tableColumn id="9" xr3:uid="{6ED4D84E-79A9-45B6-B439-9B54E33D6D08}" name="Artist"/>
    <tableColumn id="10" xr3:uid="{932C4B86-B2B5-4888-A357-1F0DD8CAFDCC}" name="Dimensions"/>
    <tableColumn id="11" xr3:uid="{0BAB0D9A-D504-4B43-92D8-852035A996DA}" name="Style" dataDxfId="5"/>
    <tableColumn id="12" xr3:uid="{9A7337E6-7828-4F3B-9488-A460B9757E67}" name="Image ID"/>
    <tableColumn id="13" xr3:uid="{3A32C972-B4F3-4C99-A37E-22481C672CB6}" name="URL" dataDxfId="0">
      <calculatedColumnFormula>"https://www.artic.edu/iiif/2/"&amp;Table9[[#This Row],[Image ID]]&amp;"/full/843,/0/default.jpg"</calculatedColumnFormula>
    </tableColumn>
    <tableColumn id="14" xr3:uid="{A2A24B59-BFE4-48A0-AD1C-B890AB8D02D5}" name="HR" dataDxfId="4"/>
    <tableColumn id="15" xr3:uid="{F3B2818E-2399-45F9-8E6F-0FFD47E03AC1}" name="FAR" dataDxfId="3"/>
    <tableColumn id="16" xr3:uid="{D71B0B33-8399-458A-9DE4-ACB7E36C4DD2}" name="CR" dataDxfId="2"/>
    <tableColumn id="17" xr3:uid="{097232D9-6A7F-41A5-B958-B29E7E13F766}" name="RESMEM"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435D9-E268-4416-B90C-43CD541497FC}">
  <dimension ref="A1:Q4022"/>
  <sheetViews>
    <sheetView tabSelected="1" topLeftCell="G1" workbookViewId="0">
      <selection activeCell="M22" sqref="M22"/>
    </sheetView>
  </sheetViews>
  <sheetFormatPr defaultRowHeight="14.25" x14ac:dyDescent="0.45"/>
  <cols>
    <col min="1" max="1" width="9.06640625" style="3"/>
    <col min="2" max="2" width="11.46484375" customWidth="1"/>
    <col min="3" max="3" width="18.06640625" customWidth="1"/>
    <col min="4" max="4" width="14.6640625" style="3" customWidth="1"/>
    <col min="5" max="5" width="13.3984375" style="3" customWidth="1"/>
    <col min="7" max="7" width="13.9296875" customWidth="1"/>
    <col min="8" max="8" width="15.33203125" style="3" customWidth="1"/>
    <col min="9" max="9" width="12" customWidth="1"/>
    <col min="10" max="10" width="14.1328125" customWidth="1"/>
    <col min="11" max="11" width="9.06640625" style="5"/>
    <col min="12" max="12" width="13.73046875" customWidth="1"/>
    <col min="13" max="15" width="9.06640625" style="3"/>
    <col min="16" max="16" width="14.265625" style="3" customWidth="1"/>
    <col min="17" max="17" width="12.265625" customWidth="1"/>
  </cols>
  <sheetData>
    <row r="1" spans="1:17" s="3" customFormat="1" x14ac:dyDescent="0.45">
      <c r="A1" s="2" t="s">
        <v>10955</v>
      </c>
      <c r="B1" s="2" t="s">
        <v>10960</v>
      </c>
      <c r="C1" s="2" t="s">
        <v>10965</v>
      </c>
      <c r="D1" s="2" t="s">
        <v>10962</v>
      </c>
      <c r="E1" s="2" t="s">
        <v>10963</v>
      </c>
      <c r="F1" s="2" t="s">
        <v>10961</v>
      </c>
      <c r="G1" s="2" t="s">
        <v>10964</v>
      </c>
      <c r="H1" s="2" t="s">
        <v>10966</v>
      </c>
      <c r="I1" s="2" t="s">
        <v>10967</v>
      </c>
      <c r="J1" s="2" t="s">
        <v>10970</v>
      </c>
      <c r="K1" s="4" t="s">
        <v>10968</v>
      </c>
      <c r="L1" s="2" t="s">
        <v>10969</v>
      </c>
      <c r="M1" s="2" t="s">
        <v>10971</v>
      </c>
      <c r="N1" s="2" t="s">
        <v>10956</v>
      </c>
      <c r="O1" s="2" t="s">
        <v>10957</v>
      </c>
      <c r="P1" s="2" t="s">
        <v>10958</v>
      </c>
      <c r="Q1" s="2" t="s">
        <v>10959</v>
      </c>
    </row>
    <row r="2" spans="1:17" x14ac:dyDescent="0.45">
      <c r="A2" s="3">
        <v>90335</v>
      </c>
      <c r="B2" t="b">
        <v>0</v>
      </c>
      <c r="C2" t="b">
        <v>0</v>
      </c>
      <c r="D2" s="3">
        <v>1922</v>
      </c>
      <c r="E2" s="3">
        <v>1923</v>
      </c>
      <c r="F2" t="s">
        <v>10519</v>
      </c>
      <c r="G2" t="s">
        <v>10520</v>
      </c>
      <c r="H2" s="3">
        <v>54.851999999999997</v>
      </c>
      <c r="I2" t="s">
        <v>2555</v>
      </c>
      <c r="J2" t="s">
        <v>12268</v>
      </c>
      <c r="L2" t="s">
        <v>10521</v>
      </c>
      <c r="M2" t="str">
        <f>"https://www.artic.edu/iiif/2/"&amp;Table9[[#This Row],[Image ID]]&amp;"/full/843,/0/default.jpg"</f>
        <v>https://www.artic.edu/iiif/2/583b892c-d2d9-ea0c-1cfb-719ee1207189/full/843,/0/default.jpg</v>
      </c>
      <c r="N2" s="3">
        <v>0.97599999999999998</v>
      </c>
      <c r="O2" s="3">
        <v>2.4E-2</v>
      </c>
      <c r="P2" s="3">
        <v>0.95199999999999996</v>
      </c>
      <c r="Q2" s="3">
        <v>0.83678579330444303</v>
      </c>
    </row>
    <row r="3" spans="1:17" x14ac:dyDescent="0.45">
      <c r="A3" s="3">
        <v>73340</v>
      </c>
      <c r="B3" t="b">
        <v>0</v>
      </c>
      <c r="C3" t="b">
        <v>0</v>
      </c>
      <c r="D3" s="3">
        <v>1978</v>
      </c>
      <c r="E3" s="3">
        <v>1978</v>
      </c>
      <c r="F3" t="s">
        <v>9600</v>
      </c>
      <c r="G3" t="s">
        <v>608</v>
      </c>
      <c r="H3" s="3">
        <v>77.054400000000001</v>
      </c>
      <c r="I3" t="s">
        <v>9601</v>
      </c>
      <c r="J3" t="s">
        <v>11725</v>
      </c>
      <c r="L3" t="s">
        <v>9602</v>
      </c>
      <c r="M3" t="str">
        <f>"https://www.artic.edu/iiif/2/"&amp;Table9[[#This Row],[Image ID]]&amp;"/full/843,/0/default.jpg"</f>
        <v>https://www.artic.edu/iiif/2/33b96726-572b-fdba-2020-078bf1a9efd4/full/843,/0/default.jpg</v>
      </c>
      <c r="N3" s="3">
        <v>0.95</v>
      </c>
      <c r="O3" s="3">
        <v>0</v>
      </c>
      <c r="P3" s="3">
        <v>0.95</v>
      </c>
      <c r="Q3" s="3">
        <v>0.90628105401992798</v>
      </c>
    </row>
    <row r="4" spans="1:17" x14ac:dyDescent="0.45">
      <c r="A4" s="3">
        <v>190831</v>
      </c>
      <c r="B4" t="b">
        <v>0</v>
      </c>
      <c r="C4" t="b">
        <v>0</v>
      </c>
      <c r="D4" s="3">
        <v>1989</v>
      </c>
      <c r="E4" s="3">
        <v>1989</v>
      </c>
      <c r="F4" t="s">
        <v>5178</v>
      </c>
      <c r="G4" t="s">
        <v>5174</v>
      </c>
      <c r="H4" s="3">
        <v>4.9745999999999997</v>
      </c>
      <c r="I4" t="s">
        <v>2254</v>
      </c>
      <c r="J4" t="s">
        <v>11202</v>
      </c>
      <c r="L4" t="s">
        <v>5179</v>
      </c>
      <c r="M4" t="str">
        <f>"https://www.artic.edu/iiif/2/"&amp;Table9[[#This Row],[Image ID]]&amp;"/full/843,/0/default.jpg"</f>
        <v>https://www.artic.edu/iiif/2/af707110-b389-852f-ffcb-e52e25a1a40b/full/843,/0/default.jpg</v>
      </c>
      <c r="N4" s="3">
        <v>1</v>
      </c>
      <c r="O4" s="3">
        <v>0.05</v>
      </c>
      <c r="P4" s="3">
        <v>0.95</v>
      </c>
      <c r="Q4" s="3">
        <v>0.87251067161560003</v>
      </c>
    </row>
    <row r="5" spans="1:17" x14ac:dyDescent="0.45">
      <c r="A5" s="3">
        <v>71978</v>
      </c>
      <c r="B5" t="b">
        <v>0</v>
      </c>
      <c r="C5" t="b">
        <v>0</v>
      </c>
      <c r="D5" s="3">
        <v>1929</v>
      </c>
      <c r="E5" s="3">
        <v>1929</v>
      </c>
      <c r="F5" t="s">
        <v>798</v>
      </c>
      <c r="G5" t="s">
        <v>7</v>
      </c>
      <c r="H5" s="3">
        <v>24.7851</v>
      </c>
      <c r="I5" t="s">
        <v>229</v>
      </c>
      <c r="J5" t="s">
        <v>11570</v>
      </c>
      <c r="L5" t="s">
        <v>9530</v>
      </c>
      <c r="M5" t="str">
        <f>"https://www.artic.edu/iiif/2/"&amp;Table9[[#This Row],[Image ID]]&amp;"/full/843,/0/default.jpg"</f>
        <v>https://www.artic.edu/iiif/2/28f20fcd-a5b3-04b3-2dc9-4c5c79ff7b6b/full/843,/0/default.jpg</v>
      </c>
      <c r="N5" s="3">
        <v>0.92700000000000005</v>
      </c>
      <c r="O5" s="3">
        <v>0</v>
      </c>
      <c r="P5" s="3">
        <v>0.92700000000000005</v>
      </c>
      <c r="Q5" s="3">
        <v>0.93463939428329401</v>
      </c>
    </row>
    <row r="6" spans="1:17" x14ac:dyDescent="0.45">
      <c r="A6" s="3">
        <v>191564</v>
      </c>
      <c r="B6" t="b">
        <v>0</v>
      </c>
      <c r="C6" t="b">
        <v>1</v>
      </c>
      <c r="D6" s="3">
        <v>1879</v>
      </c>
      <c r="E6" s="3">
        <v>1882</v>
      </c>
      <c r="F6" t="s">
        <v>5201</v>
      </c>
      <c r="G6" t="s">
        <v>7</v>
      </c>
      <c r="H6" s="3">
        <v>19.3934</v>
      </c>
      <c r="I6" t="s">
        <v>14591</v>
      </c>
      <c r="J6" t="s">
        <v>12624</v>
      </c>
      <c r="L6" t="s">
        <v>5202</v>
      </c>
      <c r="M6" t="str">
        <f>"https://www.artic.edu/iiif/2/"&amp;Table9[[#This Row],[Image ID]]&amp;"/full/843,/0/default.jpg"</f>
        <v>https://www.artic.edu/iiif/2/711f05a5-3186-6cc8-07ac-50896f804e86/full/843,/0/default.jpg</v>
      </c>
      <c r="N6" s="3">
        <v>0.95099999999999996</v>
      </c>
      <c r="O6" s="3">
        <v>2.4E-2</v>
      </c>
      <c r="P6" s="3">
        <v>0.92699999999999994</v>
      </c>
      <c r="Q6" s="3">
        <v>0.85276967287063599</v>
      </c>
    </row>
    <row r="7" spans="1:17" x14ac:dyDescent="0.45">
      <c r="A7" s="3">
        <v>228850</v>
      </c>
      <c r="B7" t="b">
        <v>0</v>
      </c>
      <c r="C7" t="b">
        <v>0</v>
      </c>
      <c r="D7" s="3">
        <v>2008</v>
      </c>
      <c r="E7" s="3">
        <v>2008</v>
      </c>
      <c r="F7" t="s">
        <v>6039</v>
      </c>
      <c r="G7" t="s">
        <v>6033</v>
      </c>
      <c r="H7" s="3">
        <v>52.0929</v>
      </c>
      <c r="I7" t="s">
        <v>6034</v>
      </c>
      <c r="J7" t="s">
        <v>11110</v>
      </c>
      <c r="K7" s="5" t="s">
        <v>15</v>
      </c>
      <c r="L7" t="s">
        <v>6040</v>
      </c>
      <c r="M7" t="str">
        <f>"https://www.artic.edu/iiif/2/"&amp;Table9[[#This Row],[Image ID]]&amp;"/full/843,/0/default.jpg"</f>
        <v>https://www.artic.edu/iiif/2/099a5420-58c0-f29c-baaa-79019aadb48e/full/843,/0/default.jpg</v>
      </c>
      <c r="N7" s="3">
        <v>0.95</v>
      </c>
      <c r="O7" s="3">
        <v>2.4E-2</v>
      </c>
      <c r="P7" s="3">
        <v>0.92599999999999993</v>
      </c>
      <c r="Q7" s="3">
        <v>0.89288634061813299</v>
      </c>
    </row>
    <row r="8" spans="1:17" x14ac:dyDescent="0.45">
      <c r="A8" s="3">
        <v>154128</v>
      </c>
      <c r="B8" t="b">
        <v>0</v>
      </c>
      <c r="C8" t="b">
        <v>0</v>
      </c>
      <c r="D8" s="3">
        <v>1976</v>
      </c>
      <c r="E8" s="3">
        <v>1976</v>
      </c>
      <c r="F8" t="s">
        <v>3987</v>
      </c>
      <c r="G8" t="s">
        <v>7</v>
      </c>
      <c r="H8" s="3">
        <v>36.216500000000003</v>
      </c>
      <c r="I8" t="s">
        <v>2439</v>
      </c>
      <c r="J8" t="s">
        <v>11962</v>
      </c>
      <c r="L8" t="s">
        <v>3988</v>
      </c>
      <c r="M8" t="str">
        <f>"https://www.artic.edu/iiif/2/"&amp;Table9[[#This Row],[Image ID]]&amp;"/full/843,/0/default.jpg"</f>
        <v>https://www.artic.edu/iiif/2/42f82b29-bf14-ac5d-690f-ff4cdc9c9ef3/full/843,/0/default.jpg</v>
      </c>
      <c r="N8" s="3">
        <v>0.92500000000000004</v>
      </c>
      <c r="O8" s="3">
        <v>0</v>
      </c>
      <c r="P8" s="3">
        <v>0.92500000000000004</v>
      </c>
      <c r="Q8" s="3">
        <v>0.79461479187011697</v>
      </c>
    </row>
    <row r="9" spans="1:17" x14ac:dyDescent="0.45">
      <c r="A9" s="3">
        <v>229359</v>
      </c>
      <c r="B9" t="b">
        <v>0</v>
      </c>
      <c r="C9" t="b">
        <v>0</v>
      </c>
      <c r="D9" s="3">
        <v>1966</v>
      </c>
      <c r="E9" s="3">
        <v>1966</v>
      </c>
      <c r="F9" t="s">
        <v>14</v>
      </c>
      <c r="G9" t="s">
        <v>6076</v>
      </c>
      <c r="H9" s="3">
        <v>51.049199999999999</v>
      </c>
      <c r="I9" t="s">
        <v>2666</v>
      </c>
      <c r="J9" t="s">
        <v>12409</v>
      </c>
      <c r="K9" s="5" t="s">
        <v>149</v>
      </c>
      <c r="L9" t="s">
        <v>6077</v>
      </c>
      <c r="M9" t="str">
        <f>"https://www.artic.edu/iiif/2/"&amp;Table9[[#This Row],[Image ID]]&amp;"/full/843,/0/default.jpg"</f>
        <v>https://www.artic.edu/iiif/2/629475e5-cfbc-4b47-5b40-72c806077535/full/843,/0/default.jpg</v>
      </c>
      <c r="N9" s="3">
        <v>0.92500000000000004</v>
      </c>
      <c r="O9" s="3">
        <v>0</v>
      </c>
      <c r="P9" s="3">
        <v>0.92500000000000004</v>
      </c>
      <c r="Q9" s="3">
        <v>0.80913287401199296</v>
      </c>
    </row>
    <row r="10" spans="1:17" x14ac:dyDescent="0.45">
      <c r="A10" s="3">
        <v>59888</v>
      </c>
      <c r="B10" t="b">
        <v>0</v>
      </c>
      <c r="C10" t="b">
        <v>0</v>
      </c>
      <c r="D10" s="3">
        <v>1932</v>
      </c>
      <c r="E10" s="3">
        <v>1937</v>
      </c>
      <c r="F10" t="s">
        <v>8616</v>
      </c>
      <c r="G10" t="s">
        <v>8617</v>
      </c>
      <c r="H10" s="3">
        <v>38.242400000000004</v>
      </c>
      <c r="I10" t="s">
        <v>7759</v>
      </c>
      <c r="J10" t="s">
        <v>12488</v>
      </c>
      <c r="L10" t="s">
        <v>8618</v>
      </c>
      <c r="M10" t="str">
        <f>"https://www.artic.edu/iiif/2/"&amp;Table9[[#This Row],[Image ID]]&amp;"/full/843,/0/default.jpg"</f>
        <v>https://www.artic.edu/iiif/2/67bfea84-9005-1461-0e09-04ba6ea52d21/full/843,/0/default.jpg</v>
      </c>
      <c r="N10" s="3">
        <v>0.92500000000000004</v>
      </c>
      <c r="O10" s="3">
        <v>0</v>
      </c>
      <c r="P10" s="3">
        <v>0.92500000000000004</v>
      </c>
      <c r="Q10" s="3">
        <v>0.72860491275787298</v>
      </c>
    </row>
    <row r="11" spans="1:17" x14ac:dyDescent="0.45">
      <c r="A11" s="3">
        <v>149988</v>
      </c>
      <c r="B11" t="b">
        <v>0</v>
      </c>
      <c r="C11" t="b">
        <v>0</v>
      </c>
      <c r="D11" s="3">
        <v>1976</v>
      </c>
      <c r="E11" s="3">
        <v>1976</v>
      </c>
      <c r="F11" t="s">
        <v>3774</v>
      </c>
      <c r="G11" t="s">
        <v>3118</v>
      </c>
      <c r="H11" s="3">
        <v>39.042900000000003</v>
      </c>
      <c r="I11" t="s">
        <v>2436</v>
      </c>
      <c r="J11" t="s">
        <v>13325</v>
      </c>
      <c r="L11" t="s">
        <v>3775</v>
      </c>
      <c r="M11" t="str">
        <f>"https://www.artic.edu/iiif/2/"&amp;Table9[[#This Row],[Image ID]]&amp;"/full/843,/0/default.jpg"</f>
        <v>https://www.artic.edu/iiif/2/a6d2a1e1-a4d6-fe9d-6166-9e2444c78e07/full/843,/0/default.jpg</v>
      </c>
      <c r="N11" s="3">
        <v>0.92500000000000004</v>
      </c>
      <c r="O11" s="3">
        <v>0</v>
      </c>
      <c r="P11" s="3">
        <v>0.92500000000000004</v>
      </c>
      <c r="Q11" s="3">
        <v>0.75402384996414096</v>
      </c>
    </row>
    <row r="12" spans="1:17" x14ac:dyDescent="0.45">
      <c r="A12" s="3">
        <v>213970</v>
      </c>
      <c r="B12" t="b">
        <v>0</v>
      </c>
      <c r="C12" t="b">
        <v>0</v>
      </c>
      <c r="D12" s="3">
        <v>1940</v>
      </c>
      <c r="E12" s="3">
        <v>1993</v>
      </c>
      <c r="F12" t="s">
        <v>11</v>
      </c>
      <c r="G12" t="s">
        <v>5608</v>
      </c>
      <c r="H12" s="3">
        <v>39.622399999999999</v>
      </c>
      <c r="I12" t="s">
        <v>5609</v>
      </c>
      <c r="J12" t="s">
        <v>14023</v>
      </c>
      <c r="L12" t="s">
        <v>5610</v>
      </c>
      <c r="M12" t="str">
        <f>"https://www.artic.edu/iiif/2/"&amp;Table9[[#This Row],[Image ID]]&amp;"/full/843,/0/default.jpg"</f>
        <v>https://www.artic.edu/iiif/2/dd3eb49c-23e7-519d-ce23-f482569662b2/full/843,/0/default.jpg</v>
      </c>
      <c r="N12" s="3">
        <v>0.92500000000000004</v>
      </c>
      <c r="O12" s="3">
        <v>0</v>
      </c>
      <c r="P12" s="3">
        <v>0.92500000000000004</v>
      </c>
      <c r="Q12" s="3">
        <v>0.76191806793212802</v>
      </c>
    </row>
    <row r="13" spans="1:17" x14ac:dyDescent="0.45">
      <c r="A13" s="3">
        <v>204637</v>
      </c>
      <c r="B13" t="b">
        <v>0</v>
      </c>
      <c r="C13" t="b">
        <v>0</v>
      </c>
      <c r="D13" s="3">
        <v>1983</v>
      </c>
      <c r="E13" s="3">
        <v>1983</v>
      </c>
      <c r="F13" t="s">
        <v>5436</v>
      </c>
      <c r="G13" t="s">
        <v>5437</v>
      </c>
      <c r="H13" s="3">
        <v>57.126800000000003</v>
      </c>
      <c r="I13" t="s">
        <v>3825</v>
      </c>
      <c r="J13" t="s">
        <v>11384</v>
      </c>
      <c r="L13" t="s">
        <v>5438</v>
      </c>
      <c r="M13" t="str">
        <f>"https://www.artic.edu/iiif/2/"&amp;Table9[[#This Row],[Image ID]]&amp;"/full/843,/0/default.jpg"</f>
        <v>https://www.artic.edu/iiif/2/1dab428f-d63d-5fec-5b9c-ed43b5f7f4d6/full/843,/0/default.jpg</v>
      </c>
      <c r="N13" s="3">
        <v>0.97499999999999998</v>
      </c>
      <c r="O13" s="3">
        <v>0.05</v>
      </c>
      <c r="P13" s="3">
        <v>0.92499999999999993</v>
      </c>
      <c r="Q13" s="3">
        <v>0.93253558874130205</v>
      </c>
    </row>
    <row r="14" spans="1:17" x14ac:dyDescent="0.45">
      <c r="A14" s="3">
        <v>117485</v>
      </c>
      <c r="B14" t="b">
        <v>0</v>
      </c>
      <c r="C14" t="b">
        <v>0</v>
      </c>
      <c r="D14" s="3">
        <v>1925</v>
      </c>
      <c r="E14" s="3">
        <v>1935</v>
      </c>
      <c r="F14" t="s">
        <v>2334</v>
      </c>
      <c r="G14" t="s">
        <v>2335</v>
      </c>
      <c r="H14" s="3">
        <v>18.3232</v>
      </c>
      <c r="I14" t="s">
        <v>914</v>
      </c>
      <c r="J14" t="s">
        <v>12211</v>
      </c>
      <c r="L14" t="s">
        <v>2336</v>
      </c>
      <c r="M14" t="str">
        <f>"https://www.artic.edu/iiif/2/"&amp;Table9[[#This Row],[Image ID]]&amp;"/full/843,/0/default.jpg"</f>
        <v>https://www.artic.edu/iiif/2/54adc198-5b49-9d03-3d27-a1eda23aef10/full/843,/0/default.jpg</v>
      </c>
      <c r="N14" s="3">
        <v>0.95</v>
      </c>
      <c r="O14" s="3">
        <v>2.5000000000000001E-2</v>
      </c>
      <c r="P14" s="3">
        <v>0.92499999999999993</v>
      </c>
      <c r="Q14" s="3">
        <v>0.79640281200408902</v>
      </c>
    </row>
    <row r="15" spans="1:17" x14ac:dyDescent="0.45">
      <c r="A15" s="3">
        <v>152759</v>
      </c>
      <c r="B15" t="b">
        <v>0</v>
      </c>
      <c r="C15" t="b">
        <v>0</v>
      </c>
      <c r="D15" s="3">
        <v>1989</v>
      </c>
      <c r="E15" s="3">
        <v>1999</v>
      </c>
      <c r="F15" t="s">
        <v>3914</v>
      </c>
      <c r="G15" t="s">
        <v>3915</v>
      </c>
      <c r="H15" s="3">
        <v>93.534199999999998</v>
      </c>
      <c r="I15" t="s">
        <v>62</v>
      </c>
      <c r="J15" t="s">
        <v>14454</v>
      </c>
      <c r="L15" t="s">
        <v>3925</v>
      </c>
      <c r="M15" t="str">
        <f>"https://www.artic.edu/iiif/2/"&amp;Table9[[#This Row],[Image ID]]&amp;"/full/843,/0/default.jpg"</f>
        <v>https://www.artic.edu/iiif/2/fa3516e0-fc3d-e5e8-a723-e33b733a41ab/full/843,/0/default.jpg</v>
      </c>
      <c r="N15" s="3">
        <v>0.95</v>
      </c>
      <c r="O15" s="3">
        <v>2.5000000000000001E-2</v>
      </c>
      <c r="P15" s="3">
        <v>0.92499999999999993</v>
      </c>
      <c r="Q15" s="3">
        <v>0.94231134653091397</v>
      </c>
    </row>
    <row r="16" spans="1:17" x14ac:dyDescent="0.45">
      <c r="A16" s="3">
        <v>192261</v>
      </c>
      <c r="B16" t="b">
        <v>0</v>
      </c>
      <c r="C16" t="b">
        <v>0</v>
      </c>
      <c r="D16" s="3">
        <v>1969</v>
      </c>
      <c r="E16" s="3">
        <v>1969</v>
      </c>
      <c r="F16" t="s">
        <v>11</v>
      </c>
      <c r="G16" t="s">
        <v>7</v>
      </c>
      <c r="H16" s="3">
        <v>55.901899999999998</v>
      </c>
      <c r="I16" t="s">
        <v>690</v>
      </c>
      <c r="J16" t="s">
        <v>14090</v>
      </c>
      <c r="L16" t="s">
        <v>5209</v>
      </c>
      <c r="M16" t="str">
        <f>"https://www.artic.edu/iiif/2/"&amp;Table9[[#This Row],[Image ID]]&amp;"/full/843,/0/default.jpg"</f>
        <v>https://www.artic.edu/iiif/2/e18b08e0-5b8b-f413-b4cc-3e263b210e26/full/843,/0/default.jpg</v>
      </c>
      <c r="N16" s="3">
        <v>0.92700000000000005</v>
      </c>
      <c r="O16" s="3">
        <v>2.4E-2</v>
      </c>
      <c r="P16" s="3">
        <v>0.90300000000000002</v>
      </c>
      <c r="Q16" s="3">
        <v>0.89840686321258501</v>
      </c>
    </row>
    <row r="17" spans="1:17" x14ac:dyDescent="0.45">
      <c r="A17" s="3">
        <v>181777</v>
      </c>
      <c r="B17" t="b">
        <v>0</v>
      </c>
      <c r="C17" t="b">
        <v>1</v>
      </c>
      <c r="D17" s="3">
        <v>1880</v>
      </c>
      <c r="E17" s="3">
        <v>1889</v>
      </c>
      <c r="F17" t="s">
        <v>4736</v>
      </c>
      <c r="G17" t="s">
        <v>7</v>
      </c>
      <c r="H17" s="3">
        <v>34.82</v>
      </c>
      <c r="I17" t="s">
        <v>4737</v>
      </c>
      <c r="J17" t="s">
        <v>10996</v>
      </c>
      <c r="K17" s="5" t="s">
        <v>284</v>
      </c>
      <c r="L17" t="s">
        <v>4738</v>
      </c>
      <c r="M17" t="str">
        <f>"https://www.artic.edu/iiif/2/"&amp;Table9[[#This Row],[Image ID]]&amp;"/full/843,/0/default.jpg"</f>
        <v>https://www.artic.edu/iiif/2/6754947f-4ccf-b3ff-41ee-45b738534769/full/843,/0/default.jpg</v>
      </c>
      <c r="N17" s="3">
        <v>0.92700000000000005</v>
      </c>
      <c r="O17" s="3">
        <v>2.4E-2</v>
      </c>
      <c r="P17" s="3">
        <v>0.90300000000000002</v>
      </c>
      <c r="Q17" s="3">
        <v>0.95461916923522905</v>
      </c>
    </row>
    <row r="18" spans="1:17" x14ac:dyDescent="0.45">
      <c r="A18" s="3">
        <v>11390</v>
      </c>
      <c r="B18" t="b">
        <v>0</v>
      </c>
      <c r="C18" t="b">
        <v>1</v>
      </c>
      <c r="D18" s="3">
        <v>1595</v>
      </c>
      <c r="E18" s="3">
        <v>1605</v>
      </c>
      <c r="F18" t="s">
        <v>1516</v>
      </c>
      <c r="G18" t="s">
        <v>7</v>
      </c>
      <c r="H18" s="3">
        <v>11.134600000000001</v>
      </c>
      <c r="I18" t="s">
        <v>1517</v>
      </c>
      <c r="J18" t="s">
        <v>12724</v>
      </c>
      <c r="L18" t="s">
        <v>1518</v>
      </c>
      <c r="M18" t="str">
        <f>"https://www.artic.edu/iiif/2/"&amp;Table9[[#This Row],[Image ID]]&amp;"/full/843,/0/default.jpg"</f>
        <v>https://www.artic.edu/iiif/2/7904b9d2-675f-7aeb-88c3-e29cd519b7be/full/843,/0/default.jpg</v>
      </c>
      <c r="N18" s="3">
        <v>0.92700000000000005</v>
      </c>
      <c r="O18" s="3">
        <v>2.4E-2</v>
      </c>
      <c r="P18" s="3">
        <v>0.90300000000000002</v>
      </c>
      <c r="Q18" s="3">
        <v>0.83001828193664495</v>
      </c>
    </row>
    <row r="19" spans="1:17" x14ac:dyDescent="0.45">
      <c r="A19" s="3">
        <v>234462</v>
      </c>
      <c r="B19" t="b">
        <v>0</v>
      </c>
      <c r="C19" t="b">
        <v>0</v>
      </c>
      <c r="D19" s="3">
        <v>1968</v>
      </c>
      <c r="E19" s="3">
        <v>1968</v>
      </c>
      <c r="F19" t="s">
        <v>6211</v>
      </c>
      <c r="G19" t="s">
        <v>6212</v>
      </c>
      <c r="H19" s="3">
        <v>87.332999999999998</v>
      </c>
      <c r="I19" t="s">
        <v>4121</v>
      </c>
      <c r="J19" t="s">
        <v>13997</v>
      </c>
      <c r="L19" t="s">
        <v>6213</v>
      </c>
      <c r="M19" t="str">
        <f>"https://www.artic.edu/iiif/2/"&amp;Table9[[#This Row],[Image ID]]&amp;"/full/843,/0/default.jpg"</f>
        <v>https://www.artic.edu/iiif/2/db57e175-65c9-880d-135b-8018ff32f8f1/full/843,/0/default.jpg</v>
      </c>
      <c r="N19" s="3">
        <v>0.90200000000000002</v>
      </c>
      <c r="O19" s="3">
        <v>0</v>
      </c>
      <c r="P19" s="3">
        <v>0.90200000000000002</v>
      </c>
      <c r="Q19" s="3">
        <v>0.80768203735351496</v>
      </c>
    </row>
    <row r="20" spans="1:17" x14ac:dyDescent="0.45">
      <c r="A20" s="3">
        <v>115484</v>
      </c>
      <c r="B20" t="b">
        <v>0</v>
      </c>
      <c r="C20" t="b">
        <v>1</v>
      </c>
      <c r="D20" s="3">
        <v>1719</v>
      </c>
      <c r="E20" s="3">
        <v>1769</v>
      </c>
      <c r="F20" t="s">
        <v>1927</v>
      </c>
      <c r="G20" t="s">
        <v>1928</v>
      </c>
      <c r="H20" s="3">
        <v>39.648600000000002</v>
      </c>
      <c r="I20" t="s">
        <v>1922</v>
      </c>
      <c r="J20" t="s">
        <v>11728</v>
      </c>
      <c r="L20" t="s">
        <v>1929</v>
      </c>
      <c r="M20" t="str">
        <f>"https://www.artic.edu/iiif/2/"&amp;Table9[[#This Row],[Image ID]]&amp;"/full/843,/0/default.jpg"</f>
        <v>https://www.artic.edu/iiif/2/33c2b27e-d49e-bec5-b9d8-37876c2f768a/full/843,/0/default.jpg</v>
      </c>
      <c r="N20" s="3">
        <v>0.90200000000000002</v>
      </c>
      <c r="O20" s="3">
        <v>0</v>
      </c>
      <c r="P20" s="3">
        <v>0.90200000000000002</v>
      </c>
      <c r="Q20" s="3">
        <v>0.89520698785781805</v>
      </c>
    </row>
    <row r="21" spans="1:17" x14ac:dyDescent="0.45">
      <c r="A21" s="3">
        <v>190832</v>
      </c>
      <c r="B21" t="b">
        <v>0</v>
      </c>
      <c r="C21" t="b">
        <v>0</v>
      </c>
      <c r="D21" s="3">
        <v>1989</v>
      </c>
      <c r="E21" s="3">
        <v>1989</v>
      </c>
      <c r="F21" t="s">
        <v>5180</v>
      </c>
      <c r="G21" t="s">
        <v>5174</v>
      </c>
      <c r="H21" s="3">
        <v>4.3342000000000001</v>
      </c>
      <c r="I21" t="s">
        <v>2254</v>
      </c>
      <c r="J21" t="s">
        <v>11202</v>
      </c>
      <c r="L21" t="s">
        <v>5181</v>
      </c>
      <c r="M21" t="str">
        <f>"https://www.artic.edu/iiif/2/"&amp;Table9[[#This Row],[Image ID]]&amp;"/full/843,/0/default.jpg"</f>
        <v>https://www.artic.edu/iiif/2/119dc689-add5-f833-d1e1-b3c03c1b4a65/full/843,/0/default.jpg</v>
      </c>
      <c r="N21" s="3">
        <v>0.92500000000000004</v>
      </c>
      <c r="O21" s="3">
        <v>2.5000000000000001E-2</v>
      </c>
      <c r="P21" s="3">
        <v>0.9</v>
      </c>
      <c r="Q21" s="3">
        <v>0.88506847620010298</v>
      </c>
    </row>
    <row r="22" spans="1:17" x14ac:dyDescent="0.45">
      <c r="A22" s="3">
        <v>229355</v>
      </c>
      <c r="B22" t="b">
        <v>0</v>
      </c>
      <c r="C22" t="b">
        <v>0</v>
      </c>
      <c r="D22" s="3">
        <v>1964</v>
      </c>
      <c r="E22" s="3">
        <v>1964</v>
      </c>
      <c r="F22" t="s">
        <v>2701</v>
      </c>
      <c r="G22" t="s">
        <v>6069</v>
      </c>
      <c r="H22" s="3">
        <v>125.9864</v>
      </c>
      <c r="I22" t="s">
        <v>2666</v>
      </c>
      <c r="J22" t="s">
        <v>13161</v>
      </c>
      <c r="K22" s="5" t="s">
        <v>149</v>
      </c>
      <c r="L22" t="s">
        <v>6070</v>
      </c>
      <c r="M22" t="str">
        <f>"https://www.artic.edu/iiif/2/"&amp;Table9[[#This Row],[Image ID]]&amp;"/full/843,/0/default.jpg"</f>
        <v>https://www.artic.edu/iiif/2/9a9737e3-c296-a2b5-4d76-d88f50a61ff8/full/843,/0/default.jpg</v>
      </c>
      <c r="N22" s="3">
        <v>0.92500000000000004</v>
      </c>
      <c r="O22" s="3">
        <v>2.5000000000000001E-2</v>
      </c>
      <c r="P22" s="3">
        <v>0.9</v>
      </c>
      <c r="Q22" s="3">
        <v>0.88938921689987105</v>
      </c>
    </row>
    <row r="23" spans="1:17" x14ac:dyDescent="0.45">
      <c r="A23" s="3">
        <v>145240</v>
      </c>
      <c r="B23" t="b">
        <v>0</v>
      </c>
      <c r="C23" t="b">
        <v>0</v>
      </c>
      <c r="D23" s="3">
        <v>1945</v>
      </c>
      <c r="E23" s="3">
        <v>1945</v>
      </c>
      <c r="F23" t="s">
        <v>3342</v>
      </c>
      <c r="G23" t="s">
        <v>3343</v>
      </c>
      <c r="H23" s="3">
        <v>11.0769</v>
      </c>
      <c r="I23" t="s">
        <v>378</v>
      </c>
      <c r="J23" t="s">
        <v>14319</v>
      </c>
      <c r="L23" t="s">
        <v>3344</v>
      </c>
      <c r="M23" t="str">
        <f>"https://www.artic.edu/iiif/2/"&amp;Table9[[#This Row],[Image ID]]&amp;"/full/843,/0/default.jpg"</f>
        <v>https://www.artic.edu/iiif/2/f05cbe93-769d-6a5a-8c52-5b5434d68149/full/843,/0/default.jpg</v>
      </c>
      <c r="N23" s="3">
        <v>0.92500000000000004</v>
      </c>
      <c r="O23" s="3">
        <v>2.5000000000000001E-2</v>
      </c>
      <c r="P23" s="3">
        <v>0.9</v>
      </c>
      <c r="Q23" s="3">
        <v>0.90430498123168901</v>
      </c>
    </row>
    <row r="24" spans="1:17" x14ac:dyDescent="0.45">
      <c r="A24" s="3">
        <v>113265</v>
      </c>
      <c r="B24" t="b">
        <v>0</v>
      </c>
      <c r="C24" t="b">
        <v>1</v>
      </c>
      <c r="D24" s="3">
        <v>1890</v>
      </c>
      <c r="E24" s="3">
        <v>1890</v>
      </c>
      <c r="F24" t="s">
        <v>1398</v>
      </c>
      <c r="G24" t="s">
        <v>1399</v>
      </c>
      <c r="H24" s="3">
        <v>18.847100000000001</v>
      </c>
      <c r="I24" t="s">
        <v>1400</v>
      </c>
      <c r="J24" t="s">
        <v>11781</v>
      </c>
      <c r="L24" t="s">
        <v>1401</v>
      </c>
      <c r="M24" t="str">
        <f>"https://www.artic.edu/iiif/2/"&amp;Table9[[#This Row],[Image ID]]&amp;"/full/843,/0/default.jpg"</f>
        <v>https://www.artic.edu/iiif/2/37e36547-3050-64ea-c34f-f2eea5e06e77/full/843,/0/default.jpg</v>
      </c>
      <c r="N24" s="3">
        <v>0.92500000000000004</v>
      </c>
      <c r="O24" s="3">
        <v>2.5000000000000001E-2</v>
      </c>
      <c r="P24" s="3">
        <v>0.9</v>
      </c>
      <c r="Q24" s="3">
        <v>0.86980444192886297</v>
      </c>
    </row>
    <row r="25" spans="1:17" x14ac:dyDescent="0.45">
      <c r="A25" s="3">
        <v>39101</v>
      </c>
      <c r="B25" t="b">
        <v>0</v>
      </c>
      <c r="C25" t="b">
        <v>1</v>
      </c>
      <c r="D25" s="3">
        <v>1833</v>
      </c>
      <c r="E25" s="3">
        <v>1838</v>
      </c>
      <c r="F25" t="s">
        <v>7438</v>
      </c>
      <c r="G25" t="s">
        <v>7439</v>
      </c>
      <c r="H25" s="3">
        <v>19.021100000000001</v>
      </c>
      <c r="I25" t="s">
        <v>7440</v>
      </c>
      <c r="J25" t="s">
        <v>13316</v>
      </c>
      <c r="L25" t="s">
        <v>7441</v>
      </c>
      <c r="M25" t="str">
        <f>"https://www.artic.edu/iiif/2/"&amp;Table9[[#This Row],[Image ID]]&amp;"/full/843,/0/default.jpg"</f>
        <v>https://www.artic.edu/iiif/2/a621eff2-7863-cb63-93ad-83ca06c2eb4c/full/843,/0/default.jpg</v>
      </c>
      <c r="N25" s="3">
        <v>0.92500000000000004</v>
      </c>
      <c r="O25" s="3">
        <v>2.5000000000000001E-2</v>
      </c>
      <c r="P25" s="3">
        <v>0.9</v>
      </c>
      <c r="Q25" s="3">
        <v>0.75806325674056996</v>
      </c>
    </row>
    <row r="26" spans="1:17" x14ac:dyDescent="0.45">
      <c r="A26" s="3">
        <v>184947</v>
      </c>
      <c r="B26" t="b">
        <v>0</v>
      </c>
      <c r="C26" t="b">
        <v>0</v>
      </c>
      <c r="D26" s="3">
        <v>2003</v>
      </c>
      <c r="E26" s="3">
        <v>2003</v>
      </c>
      <c r="F26" t="s">
        <v>4938</v>
      </c>
      <c r="G26" t="s">
        <v>4823</v>
      </c>
      <c r="H26" s="3">
        <v>7.2706999999999997</v>
      </c>
      <c r="I26" t="s">
        <v>293</v>
      </c>
      <c r="J26" t="s">
        <v>10977</v>
      </c>
      <c r="K26" s="5" t="s">
        <v>15</v>
      </c>
      <c r="L26" t="s">
        <v>4939</v>
      </c>
      <c r="M26" t="str">
        <f>"https://www.artic.edu/iiif/2/"&amp;Table9[[#This Row],[Image ID]]&amp;"/full/843,/0/default.jpg"</f>
        <v>https://www.artic.edu/iiif/2/dbc14bd2-cf34-9e04-a980-2b6d28bd88ae/full/843,/0/default.jpg</v>
      </c>
      <c r="N26" s="3">
        <v>0.95</v>
      </c>
      <c r="O26" s="3">
        <v>0.05</v>
      </c>
      <c r="P26" s="3">
        <v>0.89999999999999991</v>
      </c>
      <c r="Q26" s="3">
        <v>0.86339664459228505</v>
      </c>
    </row>
    <row r="27" spans="1:17" x14ac:dyDescent="0.45">
      <c r="A27" s="3">
        <v>40549</v>
      </c>
      <c r="B27" t="b">
        <v>0</v>
      </c>
      <c r="C27" t="b">
        <v>1</v>
      </c>
      <c r="D27" s="3">
        <v>1887</v>
      </c>
      <c r="E27" s="3">
        <v>1887</v>
      </c>
      <c r="F27" t="s">
        <v>7646</v>
      </c>
      <c r="G27" t="s">
        <v>7</v>
      </c>
      <c r="H27" s="3">
        <v>28.197500000000002</v>
      </c>
      <c r="I27" t="s">
        <v>7647</v>
      </c>
      <c r="J27" t="s">
        <v>13368</v>
      </c>
      <c r="K27" s="5" t="s">
        <v>9</v>
      </c>
      <c r="L27" t="s">
        <v>7648</v>
      </c>
      <c r="M27" t="str">
        <f>"https://www.artic.edu/iiif/2/"&amp;Table9[[#This Row],[Image ID]]&amp;"/full/843,/0/default.jpg"</f>
        <v>https://www.artic.edu/iiif/2/a9771181-0ff7-d85a-9ec5-d43f97426531/full/843,/0/default.jpg</v>
      </c>
      <c r="N27" s="3">
        <v>0.95</v>
      </c>
      <c r="O27" s="3">
        <v>0.05</v>
      </c>
      <c r="P27" s="3">
        <v>0.89999999999999991</v>
      </c>
      <c r="Q27" s="3">
        <v>0.63139557838439897</v>
      </c>
    </row>
    <row r="28" spans="1:17" x14ac:dyDescent="0.45">
      <c r="A28" s="3">
        <v>198567</v>
      </c>
      <c r="B28" t="b">
        <v>0</v>
      </c>
      <c r="C28" t="b">
        <v>0</v>
      </c>
      <c r="D28" s="3">
        <v>1989</v>
      </c>
      <c r="E28" s="3">
        <v>1989</v>
      </c>
      <c r="F28" t="s">
        <v>5297</v>
      </c>
      <c r="G28" t="s">
        <v>5298</v>
      </c>
      <c r="H28" s="3">
        <v>78.089799999999997</v>
      </c>
      <c r="I28" t="s">
        <v>3357</v>
      </c>
      <c r="J28" t="s">
        <v>12952</v>
      </c>
      <c r="L28" t="s">
        <v>5299</v>
      </c>
      <c r="M28" t="str">
        <f>"https://www.artic.edu/iiif/2/"&amp;Table9[[#This Row],[Image ID]]&amp;"/full/843,/0/default.jpg"</f>
        <v>https://www.artic.edu/iiif/2/8ab42d60-b826-d176-12ef-45687c365e63/full/843,/0/default.jpg</v>
      </c>
      <c r="N28" s="3">
        <v>0.95199999999999996</v>
      </c>
      <c r="O28" s="3">
        <v>7.0999999999999994E-2</v>
      </c>
      <c r="P28" s="3">
        <v>0.88100000000000001</v>
      </c>
      <c r="Q28" s="3">
        <v>0.88766413927078203</v>
      </c>
    </row>
    <row r="29" spans="1:17" x14ac:dyDescent="0.45">
      <c r="A29" s="3">
        <v>61156</v>
      </c>
      <c r="B29" t="b">
        <v>0</v>
      </c>
      <c r="C29" t="b">
        <v>1</v>
      </c>
      <c r="D29" s="3">
        <v>1808</v>
      </c>
      <c r="E29" s="3">
        <v>1810</v>
      </c>
      <c r="F29" t="s">
        <v>8789</v>
      </c>
      <c r="G29" t="s">
        <v>2618</v>
      </c>
      <c r="H29" s="3">
        <v>28.5869</v>
      </c>
      <c r="I29" t="s">
        <v>8785</v>
      </c>
      <c r="J29" t="s">
        <v>13357</v>
      </c>
      <c r="L29" t="s">
        <v>8790</v>
      </c>
      <c r="M29" t="str">
        <f>"https://www.artic.edu/iiif/2/"&amp;Table9[[#This Row],[Image ID]]&amp;"/full/843,/0/default.jpg"</f>
        <v>https://www.artic.edu/iiif/2/a8b03e58-1568-2e09-4c08-8fca03774e8c/full/843,/0/default.jpg</v>
      </c>
      <c r="N29" s="3">
        <v>0.90500000000000003</v>
      </c>
      <c r="O29" s="3">
        <v>2.4E-2</v>
      </c>
      <c r="P29" s="3">
        <v>0.88100000000000001</v>
      </c>
      <c r="Q29" s="3">
        <v>0.84304344654083196</v>
      </c>
    </row>
    <row r="30" spans="1:17" x14ac:dyDescent="0.45">
      <c r="A30" s="3">
        <v>230958</v>
      </c>
      <c r="B30" t="b">
        <v>0</v>
      </c>
      <c r="C30" t="b">
        <v>0</v>
      </c>
      <c r="D30" s="3">
        <v>1992</v>
      </c>
      <c r="E30" s="3">
        <v>1993</v>
      </c>
      <c r="F30" t="s">
        <v>6152</v>
      </c>
      <c r="G30" t="s">
        <v>141</v>
      </c>
      <c r="H30" s="3">
        <v>20.831600000000002</v>
      </c>
      <c r="I30" t="s">
        <v>6153</v>
      </c>
      <c r="J30" t="s">
        <v>12509</v>
      </c>
      <c r="L30" t="s">
        <v>6154</v>
      </c>
      <c r="M30" t="str">
        <f>"https://www.artic.edu/iiif/2/"&amp;Table9[[#This Row],[Image ID]]&amp;"/full/843,/0/default.jpg"</f>
        <v>https://www.artic.edu/iiif/2/6996cc74-4b5a-54ee-2109-094b543b1c39/full/843,/0/default.jpg</v>
      </c>
      <c r="N30" s="3">
        <v>0.878</v>
      </c>
      <c r="O30" s="3">
        <v>0</v>
      </c>
      <c r="P30" s="3">
        <v>0.878</v>
      </c>
      <c r="Q30" s="3">
        <v>0.81164097785949696</v>
      </c>
    </row>
    <row r="31" spans="1:17" x14ac:dyDescent="0.45">
      <c r="A31" s="3">
        <v>118597</v>
      </c>
      <c r="B31" t="b">
        <v>0</v>
      </c>
      <c r="C31" t="b">
        <v>0</v>
      </c>
      <c r="D31" s="3">
        <v>1914</v>
      </c>
      <c r="E31" s="3">
        <v>1914</v>
      </c>
      <c r="F31" t="s">
        <v>2513</v>
      </c>
      <c r="G31" t="s">
        <v>7</v>
      </c>
      <c r="H31" s="3">
        <v>33.464700000000001</v>
      </c>
      <c r="I31" t="s">
        <v>459</v>
      </c>
      <c r="J31" t="s">
        <v>12740</v>
      </c>
      <c r="K31" s="5" t="s">
        <v>166</v>
      </c>
      <c r="L31" t="s">
        <v>2514</v>
      </c>
      <c r="M31" t="str">
        <f>"https://www.artic.edu/iiif/2/"&amp;Table9[[#This Row],[Image ID]]&amp;"/full/843,/0/default.jpg"</f>
        <v>https://www.artic.edu/iiif/2/79ebd91e-d0b0-d82e-446c-b33da86c4fb0/full/843,/0/default.jpg</v>
      </c>
      <c r="N31" s="3">
        <v>0.95099999999999996</v>
      </c>
      <c r="O31" s="3">
        <v>7.2999999999999995E-2</v>
      </c>
      <c r="P31" s="3">
        <v>0.878</v>
      </c>
      <c r="Q31" s="3">
        <v>0.91639423370361295</v>
      </c>
    </row>
    <row r="32" spans="1:17" x14ac:dyDescent="0.45">
      <c r="A32" s="3">
        <v>62277</v>
      </c>
      <c r="B32" t="b">
        <v>0</v>
      </c>
      <c r="C32" t="b">
        <v>0</v>
      </c>
      <c r="D32" s="3">
        <v>1943</v>
      </c>
      <c r="E32" s="3">
        <v>1943</v>
      </c>
      <c r="F32" t="s">
        <v>8871</v>
      </c>
      <c r="G32" t="s">
        <v>7</v>
      </c>
      <c r="H32" s="3">
        <v>28.488199999999999</v>
      </c>
      <c r="I32" t="s">
        <v>849</v>
      </c>
      <c r="J32" t="s">
        <v>12176</v>
      </c>
      <c r="L32" t="s">
        <v>8872</v>
      </c>
      <c r="M32" t="str">
        <f>"https://www.artic.edu/iiif/2/"&amp;Table9[[#This Row],[Image ID]]&amp;"/full/843,/0/default.jpg"</f>
        <v>https://www.artic.edu/iiif/2/853791c4-6cb6-5479-96c5-8b2d0b61ca70/full/843,/0/default.jpg</v>
      </c>
      <c r="N32" s="3">
        <v>0.92700000000000005</v>
      </c>
      <c r="O32" s="3">
        <v>4.9000000000000002E-2</v>
      </c>
      <c r="P32" s="3">
        <v>0.878</v>
      </c>
      <c r="Q32" s="3">
        <v>0.89434641599655096</v>
      </c>
    </row>
    <row r="33" spans="1:17" x14ac:dyDescent="0.45">
      <c r="A33" s="3">
        <v>203581</v>
      </c>
      <c r="B33" t="b">
        <v>0</v>
      </c>
      <c r="C33" t="b">
        <v>0</v>
      </c>
      <c r="D33" s="3">
        <v>1955</v>
      </c>
      <c r="E33" s="3">
        <v>1965</v>
      </c>
      <c r="F33" t="s">
        <v>5378</v>
      </c>
      <c r="G33" t="s">
        <v>5379</v>
      </c>
      <c r="H33" s="3">
        <v>31.816700000000001</v>
      </c>
      <c r="I33" t="s">
        <v>5380</v>
      </c>
      <c r="J33" t="s">
        <v>14145</v>
      </c>
      <c r="L33" t="s">
        <v>5381</v>
      </c>
      <c r="M33" t="str">
        <f>"https://www.artic.edu/iiif/2/"&amp;Table9[[#This Row],[Image ID]]&amp;"/full/843,/0/default.jpg"</f>
        <v>https://www.artic.edu/iiif/2/e4aba292-afa6-db76-5f76-2936044860a1/full/843,/0/default.jpg</v>
      </c>
      <c r="N33" s="3">
        <v>0.92700000000000005</v>
      </c>
      <c r="O33" s="3">
        <v>4.9000000000000002E-2</v>
      </c>
      <c r="P33" s="3">
        <v>0.878</v>
      </c>
      <c r="Q33" s="3">
        <v>0.90110749006271296</v>
      </c>
    </row>
    <row r="34" spans="1:17" x14ac:dyDescent="0.45">
      <c r="A34" s="3">
        <v>16496</v>
      </c>
      <c r="B34" t="b">
        <v>0</v>
      </c>
      <c r="C34" t="b">
        <v>1</v>
      </c>
      <c r="D34" s="3">
        <v>1896</v>
      </c>
      <c r="E34" s="3">
        <v>1896</v>
      </c>
      <c r="F34" t="s">
        <v>4459</v>
      </c>
      <c r="G34" t="s">
        <v>1021</v>
      </c>
      <c r="H34" s="3">
        <v>26.2577</v>
      </c>
      <c r="I34" t="s">
        <v>872</v>
      </c>
      <c r="J34" t="s">
        <v>11599</v>
      </c>
      <c r="K34" s="5" t="s">
        <v>115</v>
      </c>
      <c r="L34" t="s">
        <v>4460</v>
      </c>
      <c r="M34" t="str">
        <f>"https://www.artic.edu/iiif/2/"&amp;Table9[[#This Row],[Image ID]]&amp;"/full/843,/0/default.jpg"</f>
        <v>https://www.artic.edu/iiif/2/2adb35ce-8e94-cda5-210e-b04d488bbdc8/full/843,/0/default.jpg</v>
      </c>
      <c r="N34" s="3">
        <v>0.90200000000000002</v>
      </c>
      <c r="O34" s="3">
        <v>2.4E-2</v>
      </c>
      <c r="P34" s="3">
        <v>0.878</v>
      </c>
      <c r="Q34" s="3">
        <v>0.65774774551391602</v>
      </c>
    </row>
    <row r="35" spans="1:17" x14ac:dyDescent="0.45">
      <c r="A35" s="3">
        <v>140622</v>
      </c>
      <c r="B35" t="b">
        <v>0</v>
      </c>
      <c r="C35" t="b">
        <v>0</v>
      </c>
      <c r="D35" s="3">
        <v>1974</v>
      </c>
      <c r="E35" s="3">
        <v>1974</v>
      </c>
      <c r="F35" t="s">
        <v>3265</v>
      </c>
      <c r="G35" t="s">
        <v>3266</v>
      </c>
      <c r="H35" s="3">
        <v>65.185199999999995</v>
      </c>
      <c r="I35" t="s">
        <v>2394</v>
      </c>
      <c r="J35" t="s">
        <v>11065</v>
      </c>
      <c r="L35" t="s">
        <v>3267</v>
      </c>
      <c r="M35" t="str">
        <f>"https://www.artic.edu/iiif/2/"&amp;Table9[[#This Row],[Image ID]]&amp;"/full/843,/0/default.jpg"</f>
        <v>https://www.artic.edu/iiif/2/06af30e0-e587-78a6-ee72-57694b69d3ce/full/843,/0/default.jpg</v>
      </c>
      <c r="N35" s="3">
        <v>0.95</v>
      </c>
      <c r="O35" s="3">
        <v>7.4999999999999997E-2</v>
      </c>
      <c r="P35" s="3">
        <v>0.875</v>
      </c>
      <c r="Q35" s="3">
        <v>0.884596288204193</v>
      </c>
    </row>
    <row r="36" spans="1:17" x14ac:dyDescent="0.45">
      <c r="A36" s="3">
        <v>119169</v>
      </c>
      <c r="B36" t="b">
        <v>0</v>
      </c>
      <c r="C36" t="b">
        <v>0</v>
      </c>
      <c r="D36" s="3">
        <v>1952</v>
      </c>
      <c r="E36" s="3">
        <v>1952</v>
      </c>
      <c r="F36" t="s">
        <v>2589</v>
      </c>
      <c r="G36" t="s">
        <v>2590</v>
      </c>
      <c r="H36" s="3">
        <v>27.4129</v>
      </c>
      <c r="I36" t="s">
        <v>133</v>
      </c>
      <c r="J36" t="s">
        <v>11313</v>
      </c>
      <c r="K36" s="5" t="s">
        <v>134</v>
      </c>
      <c r="L36" t="s">
        <v>2591</v>
      </c>
      <c r="M36" t="str">
        <f>"https://www.artic.edu/iiif/2/"&amp;Table9[[#This Row],[Image ID]]&amp;"/full/843,/0/default.jpg"</f>
        <v>https://www.artic.edu/iiif/2/18d5e00d-b59f-c7c2-4c7e-33d6602e46cd/full/843,/0/default.jpg</v>
      </c>
      <c r="N36" s="3">
        <v>0.92500000000000004</v>
      </c>
      <c r="O36" s="3">
        <v>0.05</v>
      </c>
      <c r="P36" s="3">
        <v>0.875</v>
      </c>
      <c r="Q36" s="3">
        <v>0.83311516046524003</v>
      </c>
    </row>
    <row r="37" spans="1:17" x14ac:dyDescent="0.45">
      <c r="A37" s="3">
        <v>182387</v>
      </c>
      <c r="B37" t="b">
        <v>0</v>
      </c>
      <c r="C37" t="b">
        <v>0</v>
      </c>
      <c r="D37" s="3">
        <v>1898</v>
      </c>
      <c r="E37" s="3">
        <v>1898</v>
      </c>
      <c r="F37" t="s">
        <v>4756</v>
      </c>
      <c r="G37" t="s">
        <v>7</v>
      </c>
      <c r="H37" s="3">
        <v>38.626100000000001</v>
      </c>
      <c r="I37" t="s">
        <v>4746</v>
      </c>
      <c r="J37" t="s">
        <v>11586</v>
      </c>
      <c r="L37" t="s">
        <v>4757</v>
      </c>
      <c r="M37" t="str">
        <f>"https://www.artic.edu/iiif/2/"&amp;Table9[[#This Row],[Image ID]]&amp;"/full/843,/0/default.jpg"</f>
        <v>https://www.artic.edu/iiif/2/2a0a3998-9c01-1cdc-2c5f-9eb3ea25b21a/full/843,/0/default.jpg</v>
      </c>
      <c r="N37" s="3">
        <v>0.92500000000000004</v>
      </c>
      <c r="O37" s="3">
        <v>0.05</v>
      </c>
      <c r="P37" s="3">
        <v>0.875</v>
      </c>
      <c r="Q37" s="3">
        <v>0.79813438653945901</v>
      </c>
    </row>
    <row r="38" spans="1:17" x14ac:dyDescent="0.45">
      <c r="A38" s="3">
        <v>61748</v>
      </c>
      <c r="B38" t="b">
        <v>0</v>
      </c>
      <c r="C38" t="b">
        <v>0</v>
      </c>
      <c r="D38" s="3">
        <v>1964</v>
      </c>
      <c r="E38" s="3">
        <v>1965</v>
      </c>
      <c r="F38" t="s">
        <v>8840</v>
      </c>
      <c r="G38" t="s">
        <v>7</v>
      </c>
      <c r="H38" s="3">
        <v>26.848400000000002</v>
      </c>
      <c r="I38" t="s">
        <v>5286</v>
      </c>
      <c r="J38" t="s">
        <v>11632</v>
      </c>
      <c r="L38" t="s">
        <v>8841</v>
      </c>
      <c r="M38" t="str">
        <f>"https://www.artic.edu/iiif/2/"&amp;Table9[[#This Row],[Image ID]]&amp;"/full/843,/0/default.jpg"</f>
        <v>https://www.artic.edu/iiif/2/2d384434-c049-7f51-ce4f-b03b8168154a/full/843,/0/default.jpg</v>
      </c>
      <c r="N38" s="3">
        <v>0.9</v>
      </c>
      <c r="O38" s="3">
        <v>2.5000000000000001E-2</v>
      </c>
      <c r="P38" s="3">
        <v>0.875</v>
      </c>
      <c r="Q38" s="3">
        <v>0.86122971773147505</v>
      </c>
    </row>
    <row r="39" spans="1:17" x14ac:dyDescent="0.45">
      <c r="A39" s="3">
        <v>62306</v>
      </c>
      <c r="B39" t="b">
        <v>0</v>
      </c>
      <c r="C39" t="b">
        <v>0</v>
      </c>
      <c r="D39" s="3">
        <v>1950</v>
      </c>
      <c r="E39" s="3">
        <v>1950</v>
      </c>
      <c r="F39" t="s">
        <v>8879</v>
      </c>
      <c r="G39" t="s">
        <v>7</v>
      </c>
      <c r="H39" s="3">
        <v>19.170100000000001</v>
      </c>
      <c r="I39" t="s">
        <v>8880</v>
      </c>
      <c r="J39" t="s">
        <v>11761</v>
      </c>
      <c r="L39" t="s">
        <v>8881</v>
      </c>
      <c r="M39" t="str">
        <f>"https://www.artic.edu/iiif/2/"&amp;Table9[[#This Row],[Image ID]]&amp;"/full/843,/0/default.jpg"</f>
        <v>https://www.artic.edu/iiif/2/368bc137-9907-9c06-bf51-002effa7c68a/full/843,/0/default.jpg</v>
      </c>
      <c r="N39" s="3">
        <v>0.9</v>
      </c>
      <c r="O39" s="3">
        <v>2.5000000000000001E-2</v>
      </c>
      <c r="P39" s="3">
        <v>0.875</v>
      </c>
      <c r="Q39" s="3">
        <v>0.85638797283172596</v>
      </c>
    </row>
    <row r="40" spans="1:17" x14ac:dyDescent="0.45">
      <c r="A40" s="3">
        <v>236543</v>
      </c>
      <c r="B40" t="b">
        <v>0</v>
      </c>
      <c r="C40" t="b">
        <v>0</v>
      </c>
      <c r="D40" s="3">
        <v>1984</v>
      </c>
      <c r="E40" s="3">
        <v>1984</v>
      </c>
      <c r="F40" t="s">
        <v>6278</v>
      </c>
      <c r="G40" t="s">
        <v>6279</v>
      </c>
      <c r="H40" s="3">
        <v>50.6128</v>
      </c>
      <c r="I40" t="s">
        <v>6280</v>
      </c>
      <c r="J40" t="s">
        <v>11828</v>
      </c>
      <c r="L40" t="s">
        <v>6281</v>
      </c>
      <c r="M40" t="str">
        <f>"https://www.artic.edu/iiif/2/"&amp;Table9[[#This Row],[Image ID]]&amp;"/full/843,/0/default.jpg"</f>
        <v>https://www.artic.edu/iiif/2/3a35e7a4-8f14-b7b7-abad-5d6d5dcaa18e/full/843,/0/default.jpg</v>
      </c>
      <c r="N40" s="3">
        <v>0.9</v>
      </c>
      <c r="O40" s="3">
        <v>2.5000000000000001E-2</v>
      </c>
      <c r="P40" s="3">
        <v>0.875</v>
      </c>
      <c r="Q40" s="3">
        <v>0.87405186891555697</v>
      </c>
    </row>
    <row r="41" spans="1:17" x14ac:dyDescent="0.45">
      <c r="A41" s="3">
        <v>93807</v>
      </c>
      <c r="B41" t="b">
        <v>0</v>
      </c>
      <c r="C41" t="b">
        <v>0</v>
      </c>
      <c r="D41" s="3">
        <v>1927</v>
      </c>
      <c r="E41" s="3">
        <v>1927</v>
      </c>
      <c r="F41" t="s">
        <v>10636</v>
      </c>
      <c r="G41" t="s">
        <v>7</v>
      </c>
      <c r="H41" s="3">
        <v>9.7522000000000002</v>
      </c>
      <c r="I41" t="s">
        <v>378</v>
      </c>
      <c r="J41" t="s">
        <v>12132</v>
      </c>
      <c r="K41" s="5" t="s">
        <v>45</v>
      </c>
      <c r="L41" t="s">
        <v>10637</v>
      </c>
      <c r="M41" t="str">
        <f>"https://www.artic.edu/iiif/2/"&amp;Table9[[#This Row],[Image ID]]&amp;"/full/843,/0/default.jpg"</f>
        <v>https://www.artic.edu/iiif/2/4fd1fc33-24d0-0cc0-f148-2fecc6b7409f/full/843,/0/default.jpg</v>
      </c>
      <c r="N41" s="3">
        <v>0.92500000000000004</v>
      </c>
      <c r="O41" s="3">
        <v>0.05</v>
      </c>
      <c r="P41" s="3">
        <v>0.875</v>
      </c>
      <c r="Q41" s="3">
        <v>0.85807919502258301</v>
      </c>
    </row>
    <row r="42" spans="1:17" x14ac:dyDescent="0.45">
      <c r="A42" s="3">
        <v>102229</v>
      </c>
      <c r="B42" t="b">
        <v>0</v>
      </c>
      <c r="C42" t="b">
        <v>0</v>
      </c>
      <c r="D42" s="3">
        <v>1984</v>
      </c>
      <c r="E42" s="3">
        <v>1984</v>
      </c>
      <c r="F42" t="s">
        <v>247</v>
      </c>
      <c r="G42" t="s">
        <v>7</v>
      </c>
      <c r="H42" s="3">
        <v>15.3978</v>
      </c>
      <c r="I42" t="s">
        <v>244</v>
      </c>
      <c r="J42" t="s">
        <v>12176</v>
      </c>
      <c r="L42" t="s">
        <v>248</v>
      </c>
      <c r="M42" t="str">
        <f>"https://www.artic.edu/iiif/2/"&amp;Table9[[#This Row],[Image ID]]&amp;"/full/843,/0/default.jpg"</f>
        <v>https://www.artic.edu/iiif/2/52764c48-9195-66d3-4b13-388f5357933f/full/843,/0/default.jpg</v>
      </c>
      <c r="N42" s="3">
        <v>0.875</v>
      </c>
      <c r="O42" s="3">
        <v>0</v>
      </c>
      <c r="P42" s="3">
        <v>0.875</v>
      </c>
      <c r="Q42" s="3">
        <v>0.58132231235504095</v>
      </c>
    </row>
    <row r="43" spans="1:17" x14ac:dyDescent="0.45">
      <c r="A43" s="3">
        <v>36809</v>
      </c>
      <c r="B43" t="b">
        <v>0</v>
      </c>
      <c r="C43" t="b">
        <v>0</v>
      </c>
      <c r="D43" s="3">
        <v>1938</v>
      </c>
      <c r="E43" s="3">
        <v>1938</v>
      </c>
      <c r="F43" t="s">
        <v>7251</v>
      </c>
      <c r="G43" t="s">
        <v>5633</v>
      </c>
      <c r="H43" s="3">
        <v>21.8812</v>
      </c>
      <c r="I43" t="s">
        <v>1512</v>
      </c>
      <c r="J43" t="s">
        <v>12416</v>
      </c>
      <c r="L43" t="s">
        <v>7252</v>
      </c>
      <c r="M43" t="str">
        <f>"https://www.artic.edu/iiif/2/"&amp;Table9[[#This Row],[Image ID]]&amp;"/full/843,/0/default.jpg"</f>
        <v>https://www.artic.edu/iiif/2/62ea5580-3ca9-67e2-25be-b3758eff9fe8/full/843,/0/default.jpg</v>
      </c>
      <c r="N43" s="3">
        <v>0.92500000000000004</v>
      </c>
      <c r="O43" s="3">
        <v>0.05</v>
      </c>
      <c r="P43" s="3">
        <v>0.875</v>
      </c>
      <c r="Q43" s="3">
        <v>0.84252780675887995</v>
      </c>
    </row>
    <row r="44" spans="1:17" x14ac:dyDescent="0.45">
      <c r="A44" s="3">
        <v>65857</v>
      </c>
      <c r="B44" t="b">
        <v>0</v>
      </c>
      <c r="C44" t="b">
        <v>0</v>
      </c>
      <c r="D44" s="3">
        <v>1932</v>
      </c>
      <c r="E44" s="3">
        <v>1935</v>
      </c>
      <c r="F44" t="s">
        <v>9072</v>
      </c>
      <c r="G44" t="s">
        <v>9073</v>
      </c>
      <c r="H44" s="3">
        <v>24.3828</v>
      </c>
      <c r="I44" t="s">
        <v>1423</v>
      </c>
      <c r="J44" t="s">
        <v>12516</v>
      </c>
      <c r="L44" t="s">
        <v>9074</v>
      </c>
      <c r="M44" t="str">
        <f>"https://www.artic.edu/iiif/2/"&amp;Table9[[#This Row],[Image ID]]&amp;"/full/843,/0/default.jpg"</f>
        <v>https://www.artic.edu/iiif/2/6a0619fd-82b2-d4ff-ba34-6a46716b738f/full/843,/0/default.jpg</v>
      </c>
      <c r="N44" s="3">
        <v>0.95</v>
      </c>
      <c r="O44" s="3">
        <v>7.4999999999999997E-2</v>
      </c>
      <c r="P44" s="3">
        <v>0.875</v>
      </c>
      <c r="Q44" s="3">
        <v>0.76432985067367498</v>
      </c>
    </row>
    <row r="45" spans="1:17" x14ac:dyDescent="0.45">
      <c r="A45" s="3">
        <v>154125</v>
      </c>
      <c r="B45" t="b">
        <v>0</v>
      </c>
      <c r="C45" t="b">
        <v>0</v>
      </c>
      <c r="D45" s="3">
        <v>1999</v>
      </c>
      <c r="E45" s="3">
        <v>1999</v>
      </c>
      <c r="F45" t="s">
        <v>3982</v>
      </c>
      <c r="G45" t="s">
        <v>7</v>
      </c>
      <c r="H45" s="3">
        <v>5.0959000000000003</v>
      </c>
      <c r="I45" t="s">
        <v>3983</v>
      </c>
      <c r="J45" t="s">
        <v>12786</v>
      </c>
      <c r="L45" t="s">
        <v>3984</v>
      </c>
      <c r="M45" t="str">
        <f>"https://www.artic.edu/iiif/2/"&amp;Table9[[#This Row],[Image ID]]&amp;"/full/843,/0/default.jpg"</f>
        <v>https://www.artic.edu/iiif/2/7e0deb1d-e53f-2343-ef65-4578b2851405/full/843,/0/default.jpg</v>
      </c>
      <c r="N45" s="3">
        <v>0.9</v>
      </c>
      <c r="O45" s="3">
        <v>2.5000000000000001E-2</v>
      </c>
      <c r="P45" s="3">
        <v>0.875</v>
      </c>
      <c r="Q45" s="3">
        <v>0.92551338672637895</v>
      </c>
    </row>
    <row r="46" spans="1:17" x14ac:dyDescent="0.45">
      <c r="A46" s="3">
        <v>104273</v>
      </c>
      <c r="B46" t="b">
        <v>0</v>
      </c>
      <c r="C46" t="b">
        <v>0</v>
      </c>
      <c r="D46" s="3">
        <v>1982</v>
      </c>
      <c r="E46" s="3">
        <v>1982</v>
      </c>
      <c r="F46" t="s">
        <v>409</v>
      </c>
      <c r="G46" t="s">
        <v>410</v>
      </c>
      <c r="H46" s="3">
        <v>10.8041</v>
      </c>
      <c r="I46" t="s">
        <v>378</v>
      </c>
      <c r="J46" t="s">
        <v>10996</v>
      </c>
      <c r="K46" s="5" t="s">
        <v>45</v>
      </c>
      <c r="L46" t="s">
        <v>411</v>
      </c>
      <c r="M46" t="str">
        <f>"https://www.artic.edu/iiif/2/"&amp;Table9[[#This Row],[Image ID]]&amp;"/full/843,/0/default.jpg"</f>
        <v>https://www.artic.edu/iiif/2/7fe66053-06cf-e765-27c3-fdff1b402acf/full/843,/0/default.jpg</v>
      </c>
      <c r="N46" s="3">
        <v>0.9</v>
      </c>
      <c r="O46" s="3">
        <v>2.5000000000000001E-2</v>
      </c>
      <c r="P46" s="3">
        <v>0.875</v>
      </c>
      <c r="Q46" s="3">
        <v>0.87215232849121005</v>
      </c>
    </row>
    <row r="47" spans="1:17" x14ac:dyDescent="0.45">
      <c r="A47" s="3">
        <v>109443</v>
      </c>
      <c r="B47" t="b">
        <v>0</v>
      </c>
      <c r="C47" t="b">
        <v>0</v>
      </c>
      <c r="D47" s="3">
        <v>1969</v>
      </c>
      <c r="E47" s="3">
        <v>1969</v>
      </c>
      <c r="F47" t="s">
        <v>788</v>
      </c>
      <c r="G47" t="s">
        <v>789</v>
      </c>
      <c r="H47" s="3">
        <v>91.448099999999997</v>
      </c>
      <c r="I47" t="s">
        <v>758</v>
      </c>
      <c r="J47" t="s">
        <v>12945</v>
      </c>
      <c r="L47" t="s">
        <v>790</v>
      </c>
      <c r="M47" t="str">
        <f>"https://www.artic.edu/iiif/2/"&amp;Table9[[#This Row],[Image ID]]&amp;"/full/843,/0/default.jpg"</f>
        <v>https://www.artic.edu/iiif/2/8a23cba5-3f1b-0e38-3e28-d0c500e5cf30/full/843,/0/default.jpg</v>
      </c>
      <c r="N47" s="3">
        <v>0.92500000000000004</v>
      </c>
      <c r="O47" s="3">
        <v>0.05</v>
      </c>
      <c r="P47" s="3">
        <v>0.875</v>
      </c>
      <c r="Q47" s="3">
        <v>0.86340087652206399</v>
      </c>
    </row>
    <row r="48" spans="1:17" x14ac:dyDescent="0.45">
      <c r="A48" s="3">
        <v>187038</v>
      </c>
      <c r="B48" t="b">
        <v>0</v>
      </c>
      <c r="C48" t="b">
        <v>0</v>
      </c>
      <c r="D48" s="3">
        <v>1999</v>
      </c>
      <c r="E48" s="3">
        <v>2001</v>
      </c>
      <c r="F48" t="s">
        <v>2784</v>
      </c>
      <c r="G48" t="s">
        <v>5089</v>
      </c>
      <c r="H48" s="3">
        <v>54.774000000000001</v>
      </c>
      <c r="I48" t="s">
        <v>4771</v>
      </c>
      <c r="J48" t="s">
        <v>13464</v>
      </c>
      <c r="K48" s="5" t="s">
        <v>15</v>
      </c>
      <c r="L48" t="s">
        <v>5090</v>
      </c>
      <c r="M48" t="str">
        <f>"https://www.artic.edu/iiif/2/"&amp;Table9[[#This Row],[Image ID]]&amp;"/full/843,/0/default.jpg"</f>
        <v>https://www.artic.edu/iiif/2/b0d327fb-80ba-44cc-6864-79aa6fd4566c/full/843,/0/default.jpg</v>
      </c>
      <c r="N48" s="3">
        <v>0.92500000000000004</v>
      </c>
      <c r="O48" s="3">
        <v>0.05</v>
      </c>
      <c r="P48" s="3">
        <v>0.875</v>
      </c>
      <c r="Q48" s="3">
        <v>0.88410115242004395</v>
      </c>
    </row>
    <row r="49" spans="1:17" x14ac:dyDescent="0.45">
      <c r="A49" s="3">
        <v>40616</v>
      </c>
      <c r="B49" t="b">
        <v>0</v>
      </c>
      <c r="C49" t="b">
        <v>0</v>
      </c>
      <c r="D49" s="3">
        <v>1940</v>
      </c>
      <c r="E49" s="3">
        <v>1940</v>
      </c>
      <c r="F49" t="s">
        <v>7658</v>
      </c>
      <c r="G49" t="s">
        <v>7</v>
      </c>
      <c r="H49" s="3">
        <v>17.811</v>
      </c>
      <c r="I49" t="s">
        <v>6743</v>
      </c>
      <c r="J49" t="s">
        <v>13477</v>
      </c>
      <c r="L49" t="s">
        <v>7659</v>
      </c>
      <c r="M49" t="str">
        <f>"https://www.artic.edu/iiif/2/"&amp;Table9[[#This Row],[Image ID]]&amp;"/full/843,/0/default.jpg"</f>
        <v>https://www.artic.edu/iiif/2/b2023ca4-d773-a394-31a5-f94d0fef0961/full/843,/0/default.jpg</v>
      </c>
      <c r="N49" s="3">
        <v>0.95</v>
      </c>
      <c r="O49" s="3">
        <v>7.4999999999999997E-2</v>
      </c>
      <c r="P49" s="3">
        <v>0.875</v>
      </c>
      <c r="Q49" s="3">
        <v>0.909579217433929</v>
      </c>
    </row>
    <row r="50" spans="1:17" x14ac:dyDescent="0.45">
      <c r="A50" s="3">
        <v>229377</v>
      </c>
      <c r="B50" t="b">
        <v>0</v>
      </c>
      <c r="C50" t="b">
        <v>0</v>
      </c>
      <c r="D50" s="3">
        <v>1983</v>
      </c>
      <c r="E50" s="3">
        <v>1983</v>
      </c>
      <c r="F50" t="s">
        <v>3223</v>
      </c>
      <c r="G50" t="s">
        <v>7</v>
      </c>
      <c r="H50" s="3">
        <v>11.9488</v>
      </c>
      <c r="I50" t="s">
        <v>484</v>
      </c>
      <c r="J50" t="s">
        <v>13552</v>
      </c>
      <c r="K50" s="5" t="s">
        <v>17</v>
      </c>
      <c r="L50" t="s">
        <v>6102</v>
      </c>
      <c r="M50" t="str">
        <f>"https://www.artic.edu/iiif/2/"&amp;Table9[[#This Row],[Image ID]]&amp;"/full/843,/0/default.jpg"</f>
        <v>https://www.artic.edu/iiif/2/b85c78f9-aea3-e406-7131-7e07985a9756/full/843,/0/default.jpg</v>
      </c>
      <c r="N50" s="3">
        <v>0.875</v>
      </c>
      <c r="O50" s="3">
        <v>0</v>
      </c>
      <c r="P50" s="3">
        <v>0.875</v>
      </c>
      <c r="Q50" s="3">
        <v>0.66595184803009</v>
      </c>
    </row>
    <row r="51" spans="1:17" x14ac:dyDescent="0.45">
      <c r="A51" s="3">
        <v>196082</v>
      </c>
      <c r="B51" t="b">
        <v>0</v>
      </c>
      <c r="C51" t="b">
        <v>0</v>
      </c>
      <c r="D51" s="3">
        <v>1952</v>
      </c>
      <c r="E51" s="3">
        <v>1952</v>
      </c>
      <c r="F51" t="s">
        <v>5269</v>
      </c>
      <c r="G51" t="s">
        <v>5270</v>
      </c>
      <c r="H51" s="3">
        <v>60.032499999999999</v>
      </c>
      <c r="I51" t="s">
        <v>5271</v>
      </c>
      <c r="J51" t="s">
        <v>13636</v>
      </c>
      <c r="L51" t="s">
        <v>5272</v>
      </c>
      <c r="M51" t="str">
        <f>"https://www.artic.edu/iiif/2/"&amp;Table9[[#This Row],[Image ID]]&amp;"/full/843,/0/default.jpg"</f>
        <v>https://www.artic.edu/iiif/2/bea9bcba-8871-5793-0943-a64018f495fc/full/843,/0/default.jpg</v>
      </c>
      <c r="N51" s="3">
        <v>0.875</v>
      </c>
      <c r="O51" s="3">
        <v>0</v>
      </c>
      <c r="P51" s="3">
        <v>0.875</v>
      </c>
      <c r="Q51" s="3">
        <v>0.90279453992843595</v>
      </c>
    </row>
    <row r="52" spans="1:17" x14ac:dyDescent="0.45">
      <c r="A52" s="3">
        <v>190811</v>
      </c>
      <c r="B52" t="b">
        <v>0</v>
      </c>
      <c r="C52" t="b">
        <v>0</v>
      </c>
      <c r="D52" s="3">
        <v>1991</v>
      </c>
      <c r="E52" s="3">
        <v>1991</v>
      </c>
      <c r="F52" t="s">
        <v>5171</v>
      </c>
      <c r="G52" t="s">
        <v>59</v>
      </c>
      <c r="H52" s="3">
        <v>68.5428</v>
      </c>
      <c r="I52" t="s">
        <v>4121</v>
      </c>
      <c r="J52" t="s">
        <v>13760</v>
      </c>
      <c r="L52" t="s">
        <v>5172</v>
      </c>
      <c r="M52" t="str">
        <f>"https://www.artic.edu/iiif/2/"&amp;Table9[[#This Row],[Image ID]]&amp;"/full/843,/0/default.jpg"</f>
        <v>https://www.artic.edu/iiif/2/c8bfb4db-961f-72bb-53ba-4406e5b4f77d/full/843,/0/default.jpg</v>
      </c>
      <c r="N52" s="3">
        <v>0.95</v>
      </c>
      <c r="O52" s="3">
        <v>7.4999999999999997E-2</v>
      </c>
      <c r="P52" s="3">
        <v>0.875</v>
      </c>
      <c r="Q52" s="3">
        <v>0.79384976625442505</v>
      </c>
    </row>
    <row r="53" spans="1:17" x14ac:dyDescent="0.45">
      <c r="A53" s="3">
        <v>148415</v>
      </c>
      <c r="B53" t="b">
        <v>0</v>
      </c>
      <c r="C53" t="b">
        <v>0</v>
      </c>
      <c r="D53" s="3">
        <v>1962</v>
      </c>
      <c r="E53" s="3">
        <v>1962</v>
      </c>
      <c r="F53" t="s">
        <v>3725</v>
      </c>
      <c r="G53" t="s">
        <v>3726</v>
      </c>
      <c r="H53" s="3">
        <v>27.9468</v>
      </c>
      <c r="I53" t="s">
        <v>2429</v>
      </c>
      <c r="J53" t="s">
        <v>13973</v>
      </c>
      <c r="K53" s="5" t="s">
        <v>149</v>
      </c>
      <c r="L53" t="s">
        <v>3727</v>
      </c>
      <c r="M53" t="str">
        <f>"https://www.artic.edu/iiif/2/"&amp;Table9[[#This Row],[Image ID]]&amp;"/full/843,/0/default.jpg"</f>
        <v>https://www.artic.edu/iiif/2/d9bb0bad-95f2-5ec2-d667-fdab7cd81898/full/843,/0/default.jpg</v>
      </c>
      <c r="N53" s="3">
        <v>0.9</v>
      </c>
      <c r="O53" s="3">
        <v>2.5000000000000001E-2</v>
      </c>
      <c r="P53" s="3">
        <v>0.875</v>
      </c>
      <c r="Q53" s="3">
        <v>0.92894423007964999</v>
      </c>
    </row>
    <row r="54" spans="1:17" x14ac:dyDescent="0.45">
      <c r="A54" s="3">
        <v>102582</v>
      </c>
      <c r="B54" t="b">
        <v>0</v>
      </c>
      <c r="C54" t="b">
        <v>0</v>
      </c>
      <c r="D54" s="3">
        <v>1938</v>
      </c>
      <c r="E54" s="3">
        <v>1938</v>
      </c>
      <c r="F54" t="s">
        <v>271</v>
      </c>
      <c r="G54" t="s">
        <v>272</v>
      </c>
      <c r="H54" s="3">
        <v>19.134399999999999</v>
      </c>
      <c r="I54" t="s">
        <v>273</v>
      </c>
      <c r="J54" t="s">
        <v>14307</v>
      </c>
      <c r="L54" t="s">
        <v>274</v>
      </c>
      <c r="M54" t="str">
        <f>"https://www.artic.edu/iiif/2/"&amp;Table9[[#This Row],[Image ID]]&amp;"/full/843,/0/default.jpg"</f>
        <v>https://www.artic.edu/iiif/2/efcca127-2510-adce-9c80-ac933c37e1cd/full/843,/0/default.jpg</v>
      </c>
      <c r="N54" s="3">
        <v>0.92500000000000004</v>
      </c>
      <c r="O54" s="3">
        <v>0.05</v>
      </c>
      <c r="P54" s="3">
        <v>0.875</v>
      </c>
      <c r="Q54" s="3">
        <v>0.781557977199554</v>
      </c>
    </row>
    <row r="55" spans="1:17" x14ac:dyDescent="0.45">
      <c r="A55" s="3">
        <v>21679</v>
      </c>
      <c r="B55" t="b">
        <v>0</v>
      </c>
      <c r="C55" t="b">
        <v>1</v>
      </c>
      <c r="D55" s="3">
        <v>1725</v>
      </c>
      <c r="E55" s="3">
        <v>1750</v>
      </c>
      <c r="F55" t="s">
        <v>567</v>
      </c>
      <c r="G55" t="s">
        <v>7</v>
      </c>
      <c r="H55" s="3">
        <v>23.049900000000001</v>
      </c>
      <c r="I55" t="s">
        <v>1007</v>
      </c>
      <c r="J55" t="s">
        <v>12534</v>
      </c>
      <c r="L55" t="s">
        <v>5658</v>
      </c>
      <c r="M55" t="str">
        <f>"https://www.artic.edu/iiif/2/"&amp;Table9[[#This Row],[Image ID]]&amp;"/full/843,/0/default.jpg"</f>
        <v>https://www.artic.edu/iiif/2/6b2e856f-01c4-1f23-4ded-79c2398c2c6b/full/843,/0/default.jpg</v>
      </c>
      <c r="N55" s="3">
        <v>0.92500000000000004</v>
      </c>
      <c r="O55" s="3">
        <v>0.05</v>
      </c>
      <c r="P55" s="3">
        <v>0.875</v>
      </c>
      <c r="Q55" s="3">
        <v>0.799169421195983</v>
      </c>
    </row>
    <row r="56" spans="1:17" x14ac:dyDescent="0.45">
      <c r="A56" s="3">
        <v>115508</v>
      </c>
      <c r="B56" t="b">
        <v>0</v>
      </c>
      <c r="C56" t="b">
        <v>1</v>
      </c>
      <c r="D56" s="3">
        <v>1719</v>
      </c>
      <c r="E56" s="3">
        <v>1769</v>
      </c>
      <c r="F56" t="s">
        <v>1987</v>
      </c>
      <c r="G56" t="s">
        <v>1988</v>
      </c>
      <c r="H56" s="3">
        <v>10.703799999999999</v>
      </c>
      <c r="I56" t="s">
        <v>1922</v>
      </c>
      <c r="J56" t="s">
        <v>12635</v>
      </c>
      <c r="L56" t="s">
        <v>1989</v>
      </c>
      <c r="M56" t="str">
        <f>"https://www.artic.edu/iiif/2/"&amp;Table9[[#This Row],[Image ID]]&amp;"/full/843,/0/default.jpg"</f>
        <v>https://www.artic.edu/iiif/2/71c6e610-050b-8838-fa81-df6782d6962c/full/843,/0/default.jpg</v>
      </c>
      <c r="N56" s="3">
        <v>0.92500000000000004</v>
      </c>
      <c r="O56" s="3">
        <v>0.05</v>
      </c>
      <c r="P56" s="3">
        <v>0.875</v>
      </c>
      <c r="Q56" s="3">
        <v>0.92116099596023504</v>
      </c>
    </row>
    <row r="57" spans="1:17" x14ac:dyDescent="0.45">
      <c r="A57" s="3">
        <v>198905</v>
      </c>
      <c r="B57" t="b">
        <v>0</v>
      </c>
      <c r="C57" t="b">
        <v>1</v>
      </c>
      <c r="D57" s="3">
        <v>1660</v>
      </c>
      <c r="E57" s="3">
        <v>1680</v>
      </c>
      <c r="F57" t="s">
        <v>5304</v>
      </c>
      <c r="G57" t="s">
        <v>7</v>
      </c>
      <c r="H57" s="3">
        <v>11.3462</v>
      </c>
      <c r="I57" t="s">
        <v>5305</v>
      </c>
      <c r="J57" t="s">
        <v>13283</v>
      </c>
      <c r="L57" t="s">
        <v>5306</v>
      </c>
      <c r="M57" t="str">
        <f>"https://www.artic.edu/iiif/2/"&amp;Table9[[#This Row],[Image ID]]&amp;"/full/843,/0/default.jpg"</f>
        <v>https://www.artic.edu/iiif/2/a3bfd218-9b88-f59b-5ade-f39b45f3ec4f/full/843,/0/default.jpg</v>
      </c>
      <c r="N57" s="3">
        <v>0.9</v>
      </c>
      <c r="O57" s="3">
        <v>2.5000000000000001E-2</v>
      </c>
      <c r="P57" s="3">
        <v>0.875</v>
      </c>
      <c r="Q57" s="3">
        <v>0.54433226585388095</v>
      </c>
    </row>
    <row r="58" spans="1:17" x14ac:dyDescent="0.45">
      <c r="A58" s="3">
        <v>105600</v>
      </c>
      <c r="B58" t="b">
        <v>0</v>
      </c>
      <c r="C58" t="b">
        <v>1</v>
      </c>
      <c r="D58" s="3">
        <v>1777</v>
      </c>
      <c r="E58" s="3">
        <v>1779</v>
      </c>
      <c r="F58" t="s">
        <v>542</v>
      </c>
      <c r="G58" t="s">
        <v>7</v>
      </c>
      <c r="H58" s="3">
        <v>12.117900000000001</v>
      </c>
      <c r="I58" t="s">
        <v>543</v>
      </c>
      <c r="J58" t="s">
        <v>13945</v>
      </c>
      <c r="L58" t="s">
        <v>544</v>
      </c>
      <c r="M58" t="str">
        <f>"https://www.artic.edu/iiif/2/"&amp;Table9[[#This Row],[Image ID]]&amp;"/full/843,/0/default.jpg"</f>
        <v>https://www.artic.edu/iiif/2/d763c113-194b-62a5-3e39-e2b479c5df47/full/843,/0/default.jpg</v>
      </c>
      <c r="N58" s="3">
        <v>0.97499999999999998</v>
      </c>
      <c r="O58" s="3">
        <v>0.1</v>
      </c>
      <c r="P58" s="3">
        <v>0.875</v>
      </c>
      <c r="Q58" s="3">
        <v>0.80267417430877597</v>
      </c>
    </row>
    <row r="59" spans="1:17" x14ac:dyDescent="0.45">
      <c r="A59" s="3">
        <v>184372</v>
      </c>
      <c r="B59" t="b">
        <v>0</v>
      </c>
      <c r="C59" t="b">
        <v>1</v>
      </c>
      <c r="D59" s="3">
        <v>1836</v>
      </c>
      <c r="E59" s="3">
        <v>1836</v>
      </c>
      <c r="F59" t="s">
        <v>4812</v>
      </c>
      <c r="G59" t="s">
        <v>75</v>
      </c>
      <c r="H59" s="3">
        <v>33.221299999999999</v>
      </c>
      <c r="I59" t="s">
        <v>4813</v>
      </c>
      <c r="J59" t="s">
        <v>14039</v>
      </c>
      <c r="L59" t="s">
        <v>4814</v>
      </c>
      <c r="M59" t="str">
        <f>"https://www.artic.edu/iiif/2/"&amp;Table9[[#This Row],[Image ID]]&amp;"/full/843,/0/default.jpg"</f>
        <v>https://www.artic.edu/iiif/2/de5574eb-11af-16de-123b-d4d44cea94e9/full/843,/0/default.jpg</v>
      </c>
      <c r="N59" s="3">
        <v>0.9</v>
      </c>
      <c r="O59" s="3">
        <v>2.5000000000000001E-2</v>
      </c>
      <c r="P59" s="3">
        <v>0.875</v>
      </c>
      <c r="Q59" s="3">
        <v>0.81566077470779397</v>
      </c>
    </row>
    <row r="60" spans="1:17" x14ac:dyDescent="0.45">
      <c r="A60" s="3">
        <v>16772</v>
      </c>
      <c r="B60" t="b">
        <v>0</v>
      </c>
      <c r="C60" t="b">
        <v>1</v>
      </c>
      <c r="D60" s="3">
        <v>1892</v>
      </c>
      <c r="E60" s="3">
        <v>1892</v>
      </c>
      <c r="F60" t="s">
        <v>4565</v>
      </c>
      <c r="G60" t="s">
        <v>4566</v>
      </c>
      <c r="H60" s="3">
        <v>19.7182</v>
      </c>
      <c r="I60" t="s">
        <v>1337</v>
      </c>
      <c r="J60" t="s">
        <v>14054</v>
      </c>
      <c r="L60" t="s">
        <v>4567</v>
      </c>
      <c r="M60" t="str">
        <f>"https://www.artic.edu/iiif/2/"&amp;Table9[[#This Row],[Image ID]]&amp;"/full/843,/0/default.jpg"</f>
        <v>https://www.artic.edu/iiif/2/df7155be-b189-9ef6-b86e-c2eb140e1e1d/full/843,/0/default.jpg</v>
      </c>
      <c r="N60" s="3">
        <v>0.9</v>
      </c>
      <c r="O60" s="3">
        <v>2.5000000000000001E-2</v>
      </c>
      <c r="P60" s="3">
        <v>0.875</v>
      </c>
      <c r="Q60" s="3">
        <v>0.61416333913803101</v>
      </c>
    </row>
    <row r="61" spans="1:17" x14ac:dyDescent="0.45">
      <c r="A61" s="3">
        <v>29395</v>
      </c>
      <c r="B61" t="b">
        <v>0</v>
      </c>
      <c r="C61" t="b">
        <v>1</v>
      </c>
      <c r="D61" s="3">
        <v>1896</v>
      </c>
      <c r="E61" s="3">
        <v>1896</v>
      </c>
      <c r="F61" t="s">
        <v>6914</v>
      </c>
      <c r="G61" t="s">
        <v>7</v>
      </c>
      <c r="H61" s="3">
        <v>20.058299999999999</v>
      </c>
      <c r="I61" t="s">
        <v>3217</v>
      </c>
      <c r="J61" t="s">
        <v>14306</v>
      </c>
      <c r="L61" t="s">
        <v>6915</v>
      </c>
      <c r="M61" t="str">
        <f>"https://www.artic.edu/iiif/2/"&amp;Table9[[#This Row],[Image ID]]&amp;"/full/843,/0/default.jpg"</f>
        <v>https://www.artic.edu/iiif/2/efbc8786-6890-1993-df69-237507461334/full/843,/0/default.jpg</v>
      </c>
      <c r="N61" s="3">
        <v>0.95</v>
      </c>
      <c r="O61" s="3">
        <v>7.4999999999999997E-2</v>
      </c>
      <c r="P61" s="3">
        <v>0.875</v>
      </c>
      <c r="Q61" s="3">
        <v>0.84195762872695901</v>
      </c>
    </row>
    <row r="62" spans="1:17" x14ac:dyDescent="0.45">
      <c r="A62" s="3">
        <v>228852</v>
      </c>
      <c r="B62" t="b">
        <v>0</v>
      </c>
      <c r="C62" t="b">
        <v>0</v>
      </c>
      <c r="D62" s="3">
        <v>1999</v>
      </c>
      <c r="E62" s="3">
        <v>1999</v>
      </c>
      <c r="F62" t="s">
        <v>6041</v>
      </c>
      <c r="G62" t="s">
        <v>6033</v>
      </c>
      <c r="H62" s="3">
        <v>18.110600000000002</v>
      </c>
      <c r="I62" t="s">
        <v>6034</v>
      </c>
      <c r="J62" t="s">
        <v>14486</v>
      </c>
      <c r="L62" t="s">
        <v>6042</v>
      </c>
      <c r="M62" t="str">
        <f>"https://www.artic.edu/iiif/2/"&amp;Table9[[#This Row],[Image ID]]&amp;"/full/843,/0/default.jpg"</f>
        <v>https://www.artic.edu/iiif/2/fc71787a-5e0a-df48-3f5d-a161e0cb9dc7/full/843,/0/default.jpg</v>
      </c>
      <c r="N62" s="3">
        <v>0.90500000000000003</v>
      </c>
      <c r="O62" s="3">
        <v>4.8000000000000001E-2</v>
      </c>
      <c r="P62" s="3">
        <v>0.85699999999999998</v>
      </c>
      <c r="Q62" s="3">
        <v>0.903639435768127</v>
      </c>
    </row>
    <row r="63" spans="1:17" x14ac:dyDescent="0.45">
      <c r="A63" s="3">
        <v>27966</v>
      </c>
      <c r="B63" t="b">
        <v>0</v>
      </c>
      <c r="C63" t="b">
        <v>0</v>
      </c>
      <c r="D63" s="3">
        <v>1917</v>
      </c>
      <c r="E63" s="3">
        <v>1917</v>
      </c>
      <c r="F63" t="s">
        <v>5249</v>
      </c>
      <c r="G63" t="s">
        <v>7</v>
      </c>
      <c r="H63" s="3">
        <v>45.889000000000003</v>
      </c>
      <c r="I63" t="s">
        <v>2437</v>
      </c>
      <c r="J63" t="s">
        <v>14510</v>
      </c>
      <c r="L63" t="s">
        <v>6763</v>
      </c>
      <c r="M63" t="str">
        <f>"https://www.artic.edu/iiif/2/"&amp;Table9[[#This Row],[Image ID]]&amp;"/full/843,/0/default.jpg"</f>
        <v>https://www.artic.edu/iiif/2/fe1ce641-f5f4-c4f6-9229-4958126dd25e/full/843,/0/default.jpg</v>
      </c>
      <c r="N63" s="3">
        <v>0.88100000000000001</v>
      </c>
      <c r="O63" s="3">
        <v>2.4E-2</v>
      </c>
      <c r="P63" s="3">
        <v>0.85699999999999998</v>
      </c>
      <c r="Q63" s="3">
        <v>0.82025390863418501</v>
      </c>
    </row>
    <row r="64" spans="1:17" x14ac:dyDescent="0.45">
      <c r="A64" s="3">
        <v>39069</v>
      </c>
      <c r="B64" t="b">
        <v>0</v>
      </c>
      <c r="C64" t="b">
        <v>1</v>
      </c>
      <c r="D64" s="3">
        <v>1850</v>
      </c>
      <c r="E64" s="3">
        <v>1859</v>
      </c>
      <c r="F64" t="s">
        <v>7411</v>
      </c>
      <c r="G64" t="s">
        <v>1374</v>
      </c>
      <c r="H64" s="3">
        <v>26.984100000000002</v>
      </c>
      <c r="I64" t="s">
        <v>1295</v>
      </c>
      <c r="J64" t="s">
        <v>11206</v>
      </c>
      <c r="L64" t="s">
        <v>7412</v>
      </c>
      <c r="M64" t="str">
        <f>"https://www.artic.edu/iiif/2/"&amp;Table9[[#This Row],[Image ID]]&amp;"/full/843,/0/default.jpg"</f>
        <v>https://www.artic.edu/iiif/2/11ce6260-9111-6e40-edd2-c8ca93892470/full/843,/0/default.jpg</v>
      </c>
      <c r="N64" s="3">
        <v>0.90500000000000003</v>
      </c>
      <c r="O64" s="3">
        <v>4.8000000000000001E-2</v>
      </c>
      <c r="P64" s="3">
        <v>0.85699999999999998</v>
      </c>
      <c r="Q64" s="3">
        <v>0.71131443977355902</v>
      </c>
    </row>
    <row r="65" spans="1:17" x14ac:dyDescent="0.45">
      <c r="A65" s="3">
        <v>25832</v>
      </c>
      <c r="B65" t="b">
        <v>0</v>
      </c>
      <c r="C65" t="b">
        <v>1</v>
      </c>
      <c r="D65" s="3">
        <v>1899</v>
      </c>
      <c r="E65" s="3">
        <v>1900</v>
      </c>
      <c r="F65" t="s">
        <v>6626</v>
      </c>
      <c r="G65" t="s">
        <v>7</v>
      </c>
      <c r="H65" s="3">
        <v>42.470700000000001</v>
      </c>
      <c r="I65" t="s">
        <v>8</v>
      </c>
      <c r="J65" t="s">
        <v>11939</v>
      </c>
      <c r="K65" s="5" t="s">
        <v>9</v>
      </c>
      <c r="L65" t="s">
        <v>6627</v>
      </c>
      <c r="M65" t="str">
        <f>"https://www.artic.edu/iiif/2/"&amp;Table9[[#This Row],[Image ID]]&amp;"/full/843,/0/default.jpg"</f>
        <v>https://www.artic.edu/iiif/2/41728a11-a073-6efa-387c-a40384477ad2/full/843,/0/default.jpg</v>
      </c>
      <c r="N65" s="3">
        <v>0.88100000000000001</v>
      </c>
      <c r="O65" s="3">
        <v>2.4E-2</v>
      </c>
      <c r="P65" s="3">
        <v>0.85699999999999998</v>
      </c>
      <c r="Q65" s="3">
        <v>0.78013879060745195</v>
      </c>
    </row>
    <row r="66" spans="1:17" x14ac:dyDescent="0.45">
      <c r="A66" s="3">
        <v>883</v>
      </c>
      <c r="B66" t="b">
        <v>0</v>
      </c>
      <c r="C66" t="b">
        <v>1</v>
      </c>
      <c r="D66" s="3">
        <v>1840</v>
      </c>
      <c r="E66" s="3">
        <v>1850</v>
      </c>
      <c r="F66" t="s">
        <v>10413</v>
      </c>
      <c r="G66" t="s">
        <v>7</v>
      </c>
      <c r="H66" s="3">
        <v>32.572099999999999</v>
      </c>
      <c r="I66" t="s">
        <v>7147</v>
      </c>
      <c r="J66" t="s">
        <v>12239</v>
      </c>
      <c r="L66" t="s">
        <v>10414</v>
      </c>
      <c r="M66" t="str">
        <f>"https://www.artic.edu/iiif/2/"&amp;Table9[[#This Row],[Image ID]]&amp;"/full/843,/0/default.jpg"</f>
        <v>https://www.artic.edu/iiif/2/565dd29f-6c02-3f31-3db2-46902059f047/full/843,/0/default.jpg</v>
      </c>
      <c r="N66" s="3">
        <v>0.95199999999999996</v>
      </c>
      <c r="O66" s="3">
        <v>9.5000000000000001E-2</v>
      </c>
      <c r="P66" s="3">
        <v>0.85699999999999998</v>
      </c>
      <c r="Q66" s="3">
        <v>0.72141987085342396</v>
      </c>
    </row>
    <row r="67" spans="1:17" x14ac:dyDescent="0.45">
      <c r="A67" s="3">
        <v>221676</v>
      </c>
      <c r="B67" t="b">
        <v>0</v>
      </c>
      <c r="C67" t="b">
        <v>0</v>
      </c>
      <c r="D67" s="3">
        <v>1989</v>
      </c>
      <c r="E67" s="3">
        <v>1989</v>
      </c>
      <c r="F67" t="s">
        <v>5810</v>
      </c>
      <c r="G67" t="s">
        <v>5174</v>
      </c>
      <c r="H67" s="3">
        <v>2.1815000000000002</v>
      </c>
      <c r="I67" t="s">
        <v>2254</v>
      </c>
      <c r="J67" t="s">
        <v>11202</v>
      </c>
      <c r="L67" t="s">
        <v>5811</v>
      </c>
      <c r="M67" t="str">
        <f>"https://www.artic.edu/iiif/2/"&amp;Table9[[#This Row],[Image ID]]&amp;"/full/843,/0/default.jpg"</f>
        <v>https://www.artic.edu/iiif/2/a27f51e4-f9bd-d1d8-11bf-6e09c875a61e/full/843,/0/default.jpg</v>
      </c>
      <c r="N67" s="3">
        <v>0.95</v>
      </c>
      <c r="O67" s="3">
        <v>9.5000000000000001E-2</v>
      </c>
      <c r="P67" s="3">
        <v>0.85499999999999998</v>
      </c>
      <c r="Q67" s="3">
        <v>0.90389037132263095</v>
      </c>
    </row>
    <row r="68" spans="1:17" x14ac:dyDescent="0.45">
      <c r="A68" s="3">
        <v>25976</v>
      </c>
      <c r="B68" t="b">
        <v>0</v>
      </c>
      <c r="C68" t="b">
        <v>0</v>
      </c>
      <c r="D68" s="3">
        <v>1906</v>
      </c>
      <c r="E68" s="3">
        <v>1906</v>
      </c>
      <c r="F68" t="s">
        <v>1653</v>
      </c>
      <c r="G68" t="s">
        <v>6659</v>
      </c>
      <c r="H68" s="3">
        <v>18.243099999999998</v>
      </c>
      <c r="I68" t="s">
        <v>748</v>
      </c>
      <c r="J68" t="s">
        <v>14051</v>
      </c>
      <c r="L68" t="s">
        <v>6660</v>
      </c>
      <c r="M68" t="str">
        <f>"https://www.artic.edu/iiif/2/"&amp;Table9[[#This Row],[Image ID]]&amp;"/full/843,/0/default.jpg"</f>
        <v>https://www.artic.edu/iiif/2/deed30c9-ebb0-c8f8-aeaa-72e31e2db34f/full/843,/0/default.jpg</v>
      </c>
      <c r="N68" s="3">
        <v>0.92700000000000005</v>
      </c>
      <c r="O68" s="3">
        <v>7.2999999999999995E-2</v>
      </c>
      <c r="P68" s="3">
        <v>0.85400000000000009</v>
      </c>
      <c r="Q68" s="3">
        <v>0.74527752399444502</v>
      </c>
    </row>
    <row r="69" spans="1:17" x14ac:dyDescent="0.45">
      <c r="A69" s="3">
        <v>110559</v>
      </c>
      <c r="B69" t="b">
        <v>0</v>
      </c>
      <c r="C69" t="b">
        <v>1</v>
      </c>
      <c r="D69" s="3">
        <v>1650</v>
      </c>
      <c r="E69" s="3">
        <v>1660</v>
      </c>
      <c r="F69" t="s">
        <v>904</v>
      </c>
      <c r="G69" t="s">
        <v>7</v>
      </c>
      <c r="H69" s="3">
        <v>8.1235999999999997</v>
      </c>
      <c r="I69" t="s">
        <v>905</v>
      </c>
      <c r="J69" t="s">
        <v>12244</v>
      </c>
      <c r="L69" t="s">
        <v>906</v>
      </c>
      <c r="M69" t="str">
        <f>"https://www.artic.edu/iiif/2/"&amp;Table9[[#This Row],[Image ID]]&amp;"/full/843,/0/default.jpg"</f>
        <v>https://www.artic.edu/iiif/2/56909e17-e34d-9c18-d0b9-2a08ceff911c/full/843,/0/default.jpg</v>
      </c>
      <c r="N69" s="3">
        <v>0.92700000000000005</v>
      </c>
      <c r="O69" s="3">
        <v>7.2999999999999995E-2</v>
      </c>
      <c r="P69" s="3">
        <v>0.85400000000000009</v>
      </c>
      <c r="Q69" s="3">
        <v>0.89198493957519498</v>
      </c>
    </row>
    <row r="70" spans="1:17" x14ac:dyDescent="0.45">
      <c r="A70" s="3">
        <v>16261</v>
      </c>
      <c r="B70" t="b">
        <v>0</v>
      </c>
      <c r="C70" t="b">
        <v>1</v>
      </c>
      <c r="D70" s="3">
        <v>1490</v>
      </c>
      <c r="E70" s="3">
        <v>1510</v>
      </c>
      <c r="F70" t="s">
        <v>4334</v>
      </c>
      <c r="G70" t="s">
        <v>75</v>
      </c>
      <c r="H70" s="3">
        <v>40.807600000000001</v>
      </c>
      <c r="I70" t="s">
        <v>4335</v>
      </c>
      <c r="J70" t="s">
        <v>14494</v>
      </c>
      <c r="L70" t="s">
        <v>4336</v>
      </c>
      <c r="M70" t="str">
        <f>"https://www.artic.edu/iiif/2/"&amp;Table9[[#This Row],[Image ID]]&amp;"/full/843,/0/default.jpg"</f>
        <v>https://www.artic.edu/iiif/2/fd1a9c27-d95b-d8e7-209c-5492d9eb6e92/full/843,/0/default.jpg</v>
      </c>
      <c r="N70" s="3">
        <v>0.92700000000000005</v>
      </c>
      <c r="O70" s="3">
        <v>7.2999999999999995E-2</v>
      </c>
      <c r="P70" s="3">
        <v>0.85400000000000009</v>
      </c>
      <c r="Q70" s="3">
        <v>0.79420071840286199</v>
      </c>
    </row>
    <row r="71" spans="1:17" x14ac:dyDescent="0.45">
      <c r="A71" s="3">
        <v>144355</v>
      </c>
      <c r="B71" t="b">
        <v>0</v>
      </c>
      <c r="C71" t="b">
        <v>0</v>
      </c>
      <c r="D71" s="3">
        <v>1993</v>
      </c>
      <c r="E71" s="3">
        <v>1993</v>
      </c>
      <c r="F71" t="s">
        <v>3323</v>
      </c>
      <c r="G71" t="s">
        <v>141</v>
      </c>
      <c r="H71" s="3">
        <v>24.437899999999999</v>
      </c>
      <c r="I71" t="s">
        <v>3324</v>
      </c>
      <c r="J71" t="s">
        <v>12987</v>
      </c>
      <c r="L71" t="s">
        <v>3325</v>
      </c>
      <c r="M71" t="str">
        <f>"https://www.artic.edu/iiif/2/"&amp;Table9[[#This Row],[Image ID]]&amp;"/full/843,/0/default.jpg"</f>
        <v>https://www.artic.edu/iiif/2/8c9742df-392c-d50a-1f36-416d29716669/full/843,/0/default.jpg</v>
      </c>
      <c r="N71" s="3">
        <v>0.85399999999999998</v>
      </c>
      <c r="O71" s="3">
        <v>0</v>
      </c>
      <c r="P71" s="3">
        <v>0.85399999999999998</v>
      </c>
      <c r="Q71" s="3">
        <v>0.92762589454650801</v>
      </c>
    </row>
    <row r="72" spans="1:17" x14ac:dyDescent="0.45">
      <c r="A72" s="3">
        <v>223332</v>
      </c>
      <c r="B72" t="b">
        <v>0</v>
      </c>
      <c r="C72" t="b">
        <v>0</v>
      </c>
      <c r="D72" s="3">
        <v>2014</v>
      </c>
      <c r="E72" s="3">
        <v>2014</v>
      </c>
      <c r="F72" t="s">
        <v>5861</v>
      </c>
      <c r="G72" t="s">
        <v>5862</v>
      </c>
      <c r="H72" s="3">
        <v>23.703700000000001</v>
      </c>
      <c r="I72" t="s">
        <v>5863</v>
      </c>
      <c r="J72" t="s">
        <v>13224</v>
      </c>
      <c r="K72" s="5" t="s">
        <v>15</v>
      </c>
      <c r="L72" t="s">
        <v>5864</v>
      </c>
      <c r="M72" t="str">
        <f>"https://www.artic.edu/iiif/2/"&amp;Table9[[#This Row],[Image ID]]&amp;"/full/843,/0/default.jpg"</f>
        <v>https://www.artic.edu/iiif/2/9f80e6de-296b-1d35-3e97-2a01998b9b63/full/843,/0/default.jpg</v>
      </c>
      <c r="N72" s="3">
        <v>0.90200000000000002</v>
      </c>
      <c r="O72" s="3">
        <v>4.8000000000000001E-2</v>
      </c>
      <c r="P72" s="3">
        <v>0.85399999999999998</v>
      </c>
      <c r="Q72" s="3">
        <v>0.85482317209243697</v>
      </c>
    </row>
    <row r="73" spans="1:17" x14ac:dyDescent="0.45">
      <c r="A73" s="3">
        <v>152751</v>
      </c>
      <c r="B73" t="b">
        <v>0</v>
      </c>
      <c r="C73" t="b">
        <v>0</v>
      </c>
      <c r="D73" s="3">
        <v>1988</v>
      </c>
      <c r="E73" s="3">
        <v>1990</v>
      </c>
      <c r="F73" t="s">
        <v>3910</v>
      </c>
      <c r="G73" t="s">
        <v>3911</v>
      </c>
      <c r="H73" s="3">
        <v>62.665799999999997</v>
      </c>
      <c r="I73" t="s">
        <v>3912</v>
      </c>
      <c r="J73" t="s">
        <v>13237</v>
      </c>
      <c r="L73" t="s">
        <v>3913</v>
      </c>
      <c r="M73" t="str">
        <f>"https://www.artic.edu/iiif/2/"&amp;Table9[[#This Row],[Image ID]]&amp;"/full/843,/0/default.jpg"</f>
        <v>https://www.artic.edu/iiif/2/a06d82ea-222d-70c9-2b1b-ec52e8c69a83/full/843,/0/default.jpg</v>
      </c>
      <c r="N73" s="3">
        <v>0.85399999999999998</v>
      </c>
      <c r="O73" s="3">
        <v>0</v>
      </c>
      <c r="P73" s="3">
        <v>0.85399999999999998</v>
      </c>
      <c r="Q73" s="3">
        <v>0.91620731353759699</v>
      </c>
    </row>
    <row r="74" spans="1:17" x14ac:dyDescent="0.45">
      <c r="A74" s="3">
        <v>146918</v>
      </c>
      <c r="B74" t="b">
        <v>0</v>
      </c>
      <c r="C74" t="b">
        <v>0</v>
      </c>
      <c r="D74" s="3">
        <v>1987</v>
      </c>
      <c r="E74" s="3">
        <v>1987</v>
      </c>
      <c r="F74" t="s">
        <v>3514</v>
      </c>
      <c r="G74" t="s">
        <v>59</v>
      </c>
      <c r="H74" s="3">
        <v>11.3743</v>
      </c>
      <c r="I74" t="s">
        <v>2472</v>
      </c>
      <c r="J74" t="s">
        <v>13386</v>
      </c>
      <c r="L74" t="s">
        <v>3515</v>
      </c>
      <c r="M74" t="str">
        <f>"https://www.artic.edu/iiif/2/"&amp;Table9[[#This Row],[Image ID]]&amp;"/full/843,/0/default.jpg"</f>
        <v>https://www.artic.edu/iiif/2/ab4cb1d2-0f93-c554-39cf-b40cdc461ef9/full/843,/0/default.jpg</v>
      </c>
      <c r="N74" s="3">
        <v>0.878</v>
      </c>
      <c r="O74" s="3">
        <v>2.4E-2</v>
      </c>
      <c r="P74" s="3">
        <v>0.85399999999999998</v>
      </c>
      <c r="Q74" s="3">
        <v>0.63832747936248702</v>
      </c>
    </row>
    <row r="75" spans="1:17" x14ac:dyDescent="0.45">
      <c r="A75" s="3">
        <v>223333</v>
      </c>
      <c r="B75" t="b">
        <v>0</v>
      </c>
      <c r="C75" t="b">
        <v>0</v>
      </c>
      <c r="D75" s="3">
        <v>1962</v>
      </c>
      <c r="E75" s="3">
        <v>1962</v>
      </c>
      <c r="F75" t="s">
        <v>5865</v>
      </c>
      <c r="G75" t="s">
        <v>7</v>
      </c>
      <c r="H75" s="3">
        <v>92.583399999999997</v>
      </c>
      <c r="I75" t="s">
        <v>2681</v>
      </c>
      <c r="J75" t="s">
        <v>13765</v>
      </c>
      <c r="L75" t="s">
        <v>5866</v>
      </c>
      <c r="M75" t="str">
        <f>"https://www.artic.edu/iiif/2/"&amp;Table9[[#This Row],[Image ID]]&amp;"/full/843,/0/default.jpg"</f>
        <v>https://www.artic.edu/iiif/2/c9036684-3440-d6ff-55bc-8e2cf9faa5a8/full/843,/0/default.jpg</v>
      </c>
      <c r="N75" s="3">
        <v>0.878</v>
      </c>
      <c r="O75" s="3">
        <v>2.4E-2</v>
      </c>
      <c r="P75" s="3">
        <v>0.85399999999999998</v>
      </c>
      <c r="Q75" s="3">
        <v>0.84713894128799405</v>
      </c>
    </row>
    <row r="76" spans="1:17" x14ac:dyDescent="0.45">
      <c r="A76" s="3">
        <v>244905</v>
      </c>
      <c r="B76" t="b">
        <v>0</v>
      </c>
      <c r="C76" t="b">
        <v>0</v>
      </c>
      <c r="D76" s="3">
        <v>1969</v>
      </c>
      <c r="E76" s="3">
        <v>1969</v>
      </c>
      <c r="F76" t="s">
        <v>6398</v>
      </c>
      <c r="G76" t="s">
        <v>7</v>
      </c>
      <c r="H76" s="3">
        <v>41.642600000000002</v>
      </c>
      <c r="I76" t="s">
        <v>4239</v>
      </c>
      <c r="J76" t="s">
        <v>12613</v>
      </c>
      <c r="L76" t="s">
        <v>6399</v>
      </c>
      <c r="M76" t="str">
        <f>"https://www.artic.edu/iiif/2/"&amp;Table9[[#This Row],[Image ID]]&amp;"/full/843,/0/default.jpg"</f>
        <v>https://www.artic.edu/iiif/2/708195fa-7dbd-f794-1cc2-12ee696850a7/full/843,/0/default.jpg</v>
      </c>
      <c r="N76" s="3">
        <v>0.90200000000000002</v>
      </c>
      <c r="O76" s="3">
        <v>4.9000000000000002E-2</v>
      </c>
      <c r="P76" s="3">
        <v>0.85299999999999998</v>
      </c>
      <c r="Q76" s="3">
        <v>0.74811637401580799</v>
      </c>
    </row>
    <row r="77" spans="1:17" x14ac:dyDescent="0.45">
      <c r="A77" s="3">
        <v>233337</v>
      </c>
      <c r="B77" t="b">
        <v>0</v>
      </c>
      <c r="C77" t="b">
        <v>0</v>
      </c>
      <c r="D77" s="3">
        <v>1979</v>
      </c>
      <c r="E77" s="3">
        <v>1979</v>
      </c>
      <c r="F77" t="s">
        <v>6171</v>
      </c>
      <c r="G77" t="s">
        <v>1183</v>
      </c>
      <c r="H77" s="3">
        <v>2.4177</v>
      </c>
      <c r="I77" t="s">
        <v>5860</v>
      </c>
      <c r="J77" t="s">
        <v>12853</v>
      </c>
      <c r="L77" t="s">
        <v>6172</v>
      </c>
      <c r="M77" t="str">
        <f>"https://www.artic.edu/iiif/2/"&amp;Table9[[#This Row],[Image ID]]&amp;"/full/843,/0/default.jpg"</f>
        <v>https://www.artic.edu/iiif/2/829a43aa-8f40-ac23-d529-5a6933de2e7f/full/843,/0/default.jpg</v>
      </c>
      <c r="N77" s="3">
        <v>0.90200000000000002</v>
      </c>
      <c r="O77" s="3">
        <v>4.9000000000000002E-2</v>
      </c>
      <c r="P77" s="3">
        <v>0.85299999999999998</v>
      </c>
      <c r="Q77" s="3">
        <v>0.92043256759643499</v>
      </c>
    </row>
    <row r="78" spans="1:17" x14ac:dyDescent="0.45">
      <c r="A78" s="3">
        <v>90837</v>
      </c>
      <c r="B78" t="b">
        <v>0</v>
      </c>
      <c r="C78" t="b">
        <v>0</v>
      </c>
      <c r="D78" s="3">
        <v>1978</v>
      </c>
      <c r="E78" s="3">
        <v>1978</v>
      </c>
      <c r="F78" t="s">
        <v>10541</v>
      </c>
      <c r="G78" t="s">
        <v>608</v>
      </c>
      <c r="H78" s="3">
        <v>51.871699999999997</v>
      </c>
      <c r="I78" t="s">
        <v>10542</v>
      </c>
      <c r="J78" t="s">
        <v>13578</v>
      </c>
      <c r="L78" t="s">
        <v>10543</v>
      </c>
      <c r="M78" t="str">
        <f>"https://www.artic.edu/iiif/2/"&amp;Table9[[#This Row],[Image ID]]&amp;"/full/843,/0/default.jpg"</f>
        <v>https://www.artic.edu/iiif/2/bad869a4-5190-7b18-ed6d-9456fdc5a07c/full/843,/0/default.jpg</v>
      </c>
      <c r="N78" s="3">
        <v>0.90200000000000002</v>
      </c>
      <c r="O78" s="3">
        <v>4.9000000000000002E-2</v>
      </c>
      <c r="P78" s="3">
        <v>0.85299999999999998</v>
      </c>
      <c r="Q78" s="3">
        <v>0.86828660964965798</v>
      </c>
    </row>
    <row r="79" spans="1:17" x14ac:dyDescent="0.45">
      <c r="A79" s="3">
        <v>95183</v>
      </c>
      <c r="B79" t="b">
        <v>0</v>
      </c>
      <c r="C79" t="b">
        <v>1</v>
      </c>
      <c r="D79" s="3">
        <v>1860</v>
      </c>
      <c r="E79" s="3">
        <v>1870</v>
      </c>
      <c r="F79" t="s">
        <v>10757</v>
      </c>
      <c r="G79" t="s">
        <v>7</v>
      </c>
      <c r="H79" s="3">
        <v>16.244299999999999</v>
      </c>
      <c r="I79" t="s">
        <v>14636</v>
      </c>
      <c r="J79" t="s">
        <v>11333</v>
      </c>
      <c r="K79" s="5" t="s">
        <v>284</v>
      </c>
      <c r="L79" t="s">
        <v>10758</v>
      </c>
      <c r="M79" t="str">
        <f>"https://www.artic.edu/iiif/2/"&amp;Table9[[#This Row],[Image ID]]&amp;"/full/843,/0/default.jpg"</f>
        <v>https://www.artic.edu/iiif/2/1a087ef7-8455-e5d0-0b2b-9738cd33058c/full/843,/0/default.jpg</v>
      </c>
      <c r="N79" s="3">
        <v>0.90200000000000002</v>
      </c>
      <c r="O79" s="3">
        <v>4.9000000000000002E-2</v>
      </c>
      <c r="P79" s="3">
        <v>0.85299999999999998</v>
      </c>
      <c r="Q79" s="3">
        <v>0.75626611709594704</v>
      </c>
    </row>
    <row r="80" spans="1:17" x14ac:dyDescent="0.45">
      <c r="A80" s="3">
        <v>8528</v>
      </c>
      <c r="B80" t="b">
        <v>0</v>
      </c>
      <c r="C80" t="b">
        <v>1</v>
      </c>
      <c r="D80" s="3">
        <v>1829</v>
      </c>
      <c r="E80" s="3">
        <v>1830</v>
      </c>
      <c r="F80" t="s">
        <v>10301</v>
      </c>
      <c r="G80" t="s">
        <v>7</v>
      </c>
      <c r="H80" s="3">
        <v>22.991399999999999</v>
      </c>
      <c r="I80" t="s">
        <v>10302</v>
      </c>
      <c r="J80" t="s">
        <v>11418</v>
      </c>
      <c r="L80" t="s">
        <v>10303</v>
      </c>
      <c r="M80" t="str">
        <f>"https://www.artic.edu/iiif/2/"&amp;Table9[[#This Row],[Image ID]]&amp;"/full/843,/0/default.jpg"</f>
        <v>https://www.artic.edu/iiif/2/1f99a0f0-a2f2-c551-75ef-be7f7c23b046/full/843,/0/default.jpg</v>
      </c>
      <c r="N80" s="3">
        <v>0.90200000000000002</v>
      </c>
      <c r="O80" s="3">
        <v>4.9000000000000002E-2</v>
      </c>
      <c r="P80" s="3">
        <v>0.85299999999999998</v>
      </c>
      <c r="Q80" s="3">
        <v>0.82163673639297397</v>
      </c>
    </row>
    <row r="81" spans="1:17" x14ac:dyDescent="0.45">
      <c r="A81" s="3">
        <v>181460</v>
      </c>
      <c r="B81" t="b">
        <v>0</v>
      </c>
      <c r="C81" t="b">
        <v>1</v>
      </c>
      <c r="D81" s="3">
        <v>1896</v>
      </c>
      <c r="E81" s="3">
        <v>1898</v>
      </c>
      <c r="F81" t="s">
        <v>4721</v>
      </c>
      <c r="G81" t="s">
        <v>7</v>
      </c>
      <c r="H81" s="3">
        <v>24.370200000000001</v>
      </c>
      <c r="I81" t="s">
        <v>2437</v>
      </c>
      <c r="J81" t="s">
        <v>13575</v>
      </c>
      <c r="L81" t="s">
        <v>4722</v>
      </c>
      <c r="M81" t="str">
        <f>"https://www.artic.edu/iiif/2/"&amp;Table9[[#This Row],[Image ID]]&amp;"/full/843,/0/default.jpg"</f>
        <v>https://www.artic.edu/iiif/2/ba6ef7ee-677c-0bcd-8150-ef7487f17a36/full/843,/0/default.jpg</v>
      </c>
      <c r="N81" s="3">
        <v>0.90200000000000002</v>
      </c>
      <c r="O81" s="3">
        <v>4.9000000000000002E-2</v>
      </c>
      <c r="P81" s="3">
        <v>0.85299999999999998</v>
      </c>
      <c r="Q81" s="3">
        <v>0.90650492906570401</v>
      </c>
    </row>
    <row r="82" spans="1:17" x14ac:dyDescent="0.45">
      <c r="A82" s="3">
        <v>115502</v>
      </c>
      <c r="B82" t="b">
        <v>0</v>
      </c>
      <c r="C82" t="b">
        <v>1</v>
      </c>
      <c r="D82" s="3">
        <v>1719</v>
      </c>
      <c r="E82" s="3">
        <v>1769</v>
      </c>
      <c r="F82" t="s">
        <v>1973</v>
      </c>
      <c r="G82" t="s">
        <v>1921</v>
      </c>
      <c r="H82" s="3">
        <v>13.863200000000001</v>
      </c>
      <c r="I82" t="s">
        <v>1922</v>
      </c>
      <c r="J82" t="s">
        <v>14451</v>
      </c>
      <c r="L82" t="s">
        <v>1974</v>
      </c>
      <c r="M82" t="str">
        <f>"https://www.artic.edu/iiif/2/"&amp;Table9[[#This Row],[Image ID]]&amp;"/full/843,/0/default.jpg"</f>
        <v>https://www.artic.edu/iiif/2/f9e67d31-29df-884a-9af7-2b1af54c01fe/full/843,/0/default.jpg</v>
      </c>
      <c r="N82" s="3">
        <v>0.9</v>
      </c>
      <c r="O82" s="3">
        <v>4.9000000000000002E-2</v>
      </c>
      <c r="P82" s="3">
        <v>0.85099999999999998</v>
      </c>
      <c r="Q82" s="3">
        <v>0.89553087949752797</v>
      </c>
    </row>
    <row r="83" spans="1:17" x14ac:dyDescent="0.45">
      <c r="A83" s="3">
        <v>93802</v>
      </c>
      <c r="B83" t="b">
        <v>0</v>
      </c>
      <c r="C83" t="b">
        <v>0</v>
      </c>
      <c r="D83" s="3">
        <v>1970</v>
      </c>
      <c r="E83" s="3">
        <v>1974</v>
      </c>
      <c r="F83" t="s">
        <v>10625</v>
      </c>
      <c r="G83" t="s">
        <v>7</v>
      </c>
      <c r="H83" s="3">
        <v>21.726800000000001</v>
      </c>
      <c r="I83" t="s">
        <v>378</v>
      </c>
      <c r="J83" t="s">
        <v>12355</v>
      </c>
      <c r="K83" s="5" t="s">
        <v>45</v>
      </c>
      <c r="L83" t="s">
        <v>10626</v>
      </c>
      <c r="M83" t="str">
        <f>"https://www.artic.edu/iiif/2/"&amp;Table9[[#This Row],[Image ID]]&amp;"/full/843,/0/default.jpg"</f>
        <v>https://www.artic.edu/iiif/2/5e8ff889-2138-0a5c-267e-c938169285cd/full/843,/0/default.jpg</v>
      </c>
      <c r="N83" s="3">
        <v>0.92500000000000004</v>
      </c>
      <c r="O83" s="3">
        <v>7.4999999999999997E-2</v>
      </c>
      <c r="P83" s="3">
        <v>0.85000000000000009</v>
      </c>
      <c r="Q83" s="3">
        <v>0.90219449996948198</v>
      </c>
    </row>
    <row r="84" spans="1:17" x14ac:dyDescent="0.45">
      <c r="A84" s="3">
        <v>146968</v>
      </c>
      <c r="B84" t="b">
        <v>0</v>
      </c>
      <c r="C84" t="b">
        <v>0</v>
      </c>
      <c r="D84" s="3">
        <v>1977</v>
      </c>
      <c r="E84" s="3">
        <v>1977</v>
      </c>
      <c r="F84" t="s">
        <v>3534</v>
      </c>
      <c r="G84" t="s">
        <v>642</v>
      </c>
      <c r="H84" s="3">
        <v>15.0481</v>
      </c>
      <c r="I84" t="s">
        <v>350</v>
      </c>
      <c r="J84" t="s">
        <v>11882</v>
      </c>
      <c r="L84" t="s">
        <v>3535</v>
      </c>
      <c r="M84" t="str">
        <f>"https://www.artic.edu/iiif/2/"&amp;Table9[[#This Row],[Image ID]]&amp;"/full/843,/0/default.jpg"</f>
        <v>https://www.artic.edu/iiif/2/bf7ce773-7b00-0a31-a7b2-96f09142c701/full/843,/0/default.jpg</v>
      </c>
      <c r="N84" s="3">
        <v>0.92500000000000004</v>
      </c>
      <c r="O84" s="3">
        <v>7.4999999999999997E-2</v>
      </c>
      <c r="P84" s="3">
        <v>0.85000000000000009</v>
      </c>
      <c r="Q84" s="3">
        <v>0.87734389305114702</v>
      </c>
    </row>
    <row r="85" spans="1:17" x14ac:dyDescent="0.45">
      <c r="A85" s="3">
        <v>38666</v>
      </c>
      <c r="B85" t="b">
        <v>0</v>
      </c>
      <c r="C85" t="b">
        <v>1</v>
      </c>
      <c r="D85" s="3">
        <v>1898</v>
      </c>
      <c r="E85" s="3">
        <v>1899</v>
      </c>
      <c r="F85" t="s">
        <v>7293</v>
      </c>
      <c r="G85" t="s">
        <v>7294</v>
      </c>
      <c r="H85" s="3">
        <v>39.060099999999998</v>
      </c>
      <c r="I85" t="s">
        <v>1337</v>
      </c>
      <c r="J85" t="s">
        <v>11388</v>
      </c>
      <c r="K85" s="5" t="s">
        <v>284</v>
      </c>
      <c r="L85" t="s">
        <v>7295</v>
      </c>
      <c r="M85" t="str">
        <f>"https://www.artic.edu/iiif/2/"&amp;Table9[[#This Row],[Image ID]]&amp;"/full/843,/0/default.jpg"</f>
        <v>https://www.artic.edu/iiif/2/1de73bb7-52d6-e099-f4e1-763e201e78fa/full/843,/0/default.jpg</v>
      </c>
      <c r="N85" s="3">
        <v>0.92500000000000004</v>
      </c>
      <c r="O85" s="3">
        <v>7.4999999999999997E-2</v>
      </c>
      <c r="P85" s="3">
        <v>0.85000000000000009</v>
      </c>
      <c r="Q85" s="3">
        <v>0.88149833679199197</v>
      </c>
    </row>
    <row r="86" spans="1:17" x14ac:dyDescent="0.45">
      <c r="A86" s="3">
        <v>113244</v>
      </c>
      <c r="B86" t="b">
        <v>0</v>
      </c>
      <c r="C86" t="b">
        <v>1</v>
      </c>
      <c r="D86" s="3">
        <v>1837</v>
      </c>
      <c r="E86" s="3">
        <v>1864</v>
      </c>
      <c r="F86" t="s">
        <v>1373</v>
      </c>
      <c r="G86" t="s">
        <v>1374</v>
      </c>
      <c r="H86" s="3">
        <v>27.587800000000001</v>
      </c>
      <c r="I86" t="s">
        <v>1295</v>
      </c>
      <c r="J86" t="s">
        <v>11860</v>
      </c>
      <c r="L86" t="s">
        <v>1375</v>
      </c>
      <c r="M86" t="str">
        <f>"https://www.artic.edu/iiif/2/"&amp;Table9[[#This Row],[Image ID]]&amp;"/full/843,/0/default.jpg"</f>
        <v>https://www.artic.edu/iiif/2/3c53f19b-d17e-a081-9a59-93dfc1736a93/full/843,/0/default.jpg</v>
      </c>
      <c r="N86" s="3">
        <v>0.92500000000000004</v>
      </c>
      <c r="O86" s="3">
        <v>7.4999999999999997E-2</v>
      </c>
      <c r="P86" s="3">
        <v>0.85000000000000009</v>
      </c>
      <c r="Q86" s="3">
        <v>0.80225121974945002</v>
      </c>
    </row>
    <row r="87" spans="1:17" x14ac:dyDescent="0.45">
      <c r="A87" s="3">
        <v>65811</v>
      </c>
      <c r="B87" t="b">
        <v>0</v>
      </c>
      <c r="C87" t="b">
        <v>1</v>
      </c>
      <c r="D87" s="3">
        <v>1872</v>
      </c>
      <c r="E87" s="3">
        <v>1882</v>
      </c>
      <c r="F87" t="s">
        <v>9036</v>
      </c>
      <c r="G87" t="s">
        <v>7</v>
      </c>
      <c r="H87" s="3">
        <v>44.583599999999997</v>
      </c>
      <c r="I87" t="s">
        <v>14591</v>
      </c>
      <c r="J87" t="s">
        <v>14543</v>
      </c>
      <c r="K87" s="5" t="s">
        <v>115</v>
      </c>
      <c r="L87" t="s">
        <v>9037</v>
      </c>
      <c r="M87" t="str">
        <f>"https://www.artic.edu/iiif/2/"&amp;Table9[[#This Row],[Image ID]]&amp;"/full/843,/0/default.jpg"</f>
        <v>https://www.artic.edu/iiif/2/ffba2da9-51b1-9641-c95a-ab537717efbe/full/843,/0/default.jpg</v>
      </c>
      <c r="N87" s="3">
        <v>0.92500000000000004</v>
      </c>
      <c r="O87" s="3">
        <v>7.4999999999999997E-2</v>
      </c>
      <c r="P87" s="3">
        <v>0.85000000000000009</v>
      </c>
      <c r="Q87" s="3">
        <v>0.70110565423965399</v>
      </c>
    </row>
    <row r="88" spans="1:17" x14ac:dyDescent="0.45">
      <c r="A88" s="3">
        <v>41483</v>
      </c>
      <c r="B88" t="b">
        <v>0</v>
      </c>
      <c r="C88" t="b">
        <v>0</v>
      </c>
      <c r="D88" s="3">
        <v>1943</v>
      </c>
      <c r="E88" s="3">
        <v>1943</v>
      </c>
      <c r="F88" t="s">
        <v>7695</v>
      </c>
      <c r="G88" t="s">
        <v>7</v>
      </c>
      <c r="H88" s="3">
        <v>59.605800000000002</v>
      </c>
      <c r="I88" t="s">
        <v>1083</v>
      </c>
      <c r="J88" t="s">
        <v>11277</v>
      </c>
      <c r="L88" t="s">
        <v>7696</v>
      </c>
      <c r="M88" t="str">
        <f>"https://www.artic.edu/iiif/2/"&amp;Table9[[#This Row],[Image ID]]&amp;"/full/843,/0/default.jpg"</f>
        <v>https://www.artic.edu/iiif/2/1630e6a7-697e-3deb-cb9e-62b1f1239791/full/843,/0/default.jpg</v>
      </c>
      <c r="N88" s="3">
        <v>0.85</v>
      </c>
      <c r="O88" s="3">
        <v>0</v>
      </c>
      <c r="P88" s="3">
        <v>0.85</v>
      </c>
      <c r="Q88" s="3">
        <v>0.86757248640060403</v>
      </c>
    </row>
    <row r="89" spans="1:17" x14ac:dyDescent="0.45">
      <c r="A89" s="3">
        <v>200640</v>
      </c>
      <c r="B89" t="b">
        <v>0</v>
      </c>
      <c r="C89" t="b">
        <v>0</v>
      </c>
      <c r="D89" s="3">
        <v>1955</v>
      </c>
      <c r="E89" s="3">
        <v>1955</v>
      </c>
      <c r="F89" t="s">
        <v>3432</v>
      </c>
      <c r="G89" t="s">
        <v>75</v>
      </c>
      <c r="H89" s="3">
        <v>28.622499999999999</v>
      </c>
      <c r="I89" t="s">
        <v>3073</v>
      </c>
      <c r="J89" t="s">
        <v>11544</v>
      </c>
      <c r="L89" t="s">
        <v>5321</v>
      </c>
      <c r="M89" t="str">
        <f>"https://www.artic.edu/iiif/2/"&amp;Table9[[#This Row],[Image ID]]&amp;"/full/843,/0/default.jpg"</f>
        <v>https://www.artic.edu/iiif/2/276252ca-b499-5539-ea43-a7e58c8ea973/full/843,/0/default.jpg</v>
      </c>
      <c r="N89" s="3">
        <v>0.85</v>
      </c>
      <c r="O89" s="3">
        <v>0</v>
      </c>
      <c r="P89" s="3">
        <v>0.85</v>
      </c>
      <c r="Q89" s="3">
        <v>0.80970406532287598</v>
      </c>
    </row>
    <row r="90" spans="1:17" x14ac:dyDescent="0.45">
      <c r="A90" s="3">
        <v>229368</v>
      </c>
      <c r="B90" t="b">
        <v>0</v>
      </c>
      <c r="C90" t="b">
        <v>0</v>
      </c>
      <c r="D90" s="3">
        <v>1985</v>
      </c>
      <c r="E90" s="3">
        <v>1985</v>
      </c>
      <c r="F90" t="s">
        <v>6096</v>
      </c>
      <c r="G90" t="s">
        <v>7</v>
      </c>
      <c r="H90" s="3">
        <v>18.148299999999999</v>
      </c>
      <c r="I90" t="s">
        <v>52</v>
      </c>
      <c r="J90" t="s">
        <v>11673</v>
      </c>
      <c r="L90" t="s">
        <v>6097</v>
      </c>
      <c r="M90" t="str">
        <f>"https://www.artic.edu/iiif/2/"&amp;Table9[[#This Row],[Image ID]]&amp;"/full/843,/0/default.jpg"</f>
        <v>https://www.artic.edu/iiif/2/2fc6cbcb-3c5f-c1c3-47c2-d0ccb9914058/full/843,/0/default.jpg</v>
      </c>
      <c r="N90" s="3">
        <v>0.9</v>
      </c>
      <c r="O90" s="3">
        <v>0.05</v>
      </c>
      <c r="P90" s="3">
        <v>0.85</v>
      </c>
      <c r="Q90" s="3">
        <v>0.63000959157943703</v>
      </c>
    </row>
    <row r="91" spans="1:17" x14ac:dyDescent="0.45">
      <c r="A91" s="3">
        <v>76777</v>
      </c>
      <c r="B91" t="b">
        <v>0</v>
      </c>
      <c r="C91" t="b">
        <v>0</v>
      </c>
      <c r="D91" s="3">
        <v>1919</v>
      </c>
      <c r="E91" s="3">
        <v>1919</v>
      </c>
      <c r="F91" t="s">
        <v>9796</v>
      </c>
      <c r="G91" t="s">
        <v>7</v>
      </c>
      <c r="H91" s="3">
        <v>20.468</v>
      </c>
      <c r="I91" t="s">
        <v>9797</v>
      </c>
      <c r="J91" t="s">
        <v>11763</v>
      </c>
      <c r="L91" t="s">
        <v>9798</v>
      </c>
      <c r="M91" t="str">
        <f>"https://www.artic.edu/iiif/2/"&amp;Table9[[#This Row],[Image ID]]&amp;"/full/843,/0/default.jpg"</f>
        <v>https://www.artic.edu/iiif/2/36b03bc2-9a98-b582-f695-98e14fd118bb/full/843,/0/default.jpg</v>
      </c>
      <c r="N91" s="3">
        <v>0.875</v>
      </c>
      <c r="O91" s="3">
        <v>2.5000000000000001E-2</v>
      </c>
      <c r="P91" s="3">
        <v>0.85</v>
      </c>
      <c r="Q91" s="3">
        <v>0.66621959209442105</v>
      </c>
    </row>
    <row r="92" spans="1:17" x14ac:dyDescent="0.45">
      <c r="A92" s="3">
        <v>66416</v>
      </c>
      <c r="B92" t="b">
        <v>0</v>
      </c>
      <c r="C92" t="b">
        <v>0</v>
      </c>
      <c r="D92" s="3">
        <v>1956</v>
      </c>
      <c r="E92" s="3">
        <v>1957</v>
      </c>
      <c r="F92" t="s">
        <v>9265</v>
      </c>
      <c r="G92" t="s">
        <v>9266</v>
      </c>
      <c r="H92" s="3">
        <v>18.918299999999999</v>
      </c>
      <c r="I92" t="s">
        <v>1091</v>
      </c>
      <c r="J92" t="s">
        <v>11787</v>
      </c>
      <c r="L92" t="s">
        <v>9267</v>
      </c>
      <c r="M92" t="str">
        <f>"https://www.artic.edu/iiif/2/"&amp;Table9[[#This Row],[Image ID]]&amp;"/full/843,/0/default.jpg"</f>
        <v>https://www.artic.edu/iiif/2/3813196d-fda9-885a-942f-d19cb113e6e9/full/843,/0/default.jpg</v>
      </c>
      <c r="N92" s="3">
        <v>0.85</v>
      </c>
      <c r="O92" s="3">
        <v>0</v>
      </c>
      <c r="P92" s="3">
        <v>0.85</v>
      </c>
      <c r="Q92" s="3">
        <v>0.86170005798339799</v>
      </c>
    </row>
    <row r="93" spans="1:17" x14ac:dyDescent="0.45">
      <c r="A93" s="3">
        <v>34149</v>
      </c>
      <c r="B93" t="b">
        <v>0</v>
      </c>
      <c r="C93" t="b">
        <v>0</v>
      </c>
      <c r="D93" s="3">
        <v>1969</v>
      </c>
      <c r="E93" s="3">
        <v>1969</v>
      </c>
      <c r="F93" t="s">
        <v>7105</v>
      </c>
      <c r="G93" t="s">
        <v>7</v>
      </c>
      <c r="H93" s="3">
        <v>60.9026</v>
      </c>
      <c r="I93" t="s">
        <v>153</v>
      </c>
      <c r="J93" t="s">
        <v>11486</v>
      </c>
      <c r="L93" t="s">
        <v>7106</v>
      </c>
      <c r="M93" t="str">
        <f>"https://www.artic.edu/iiif/2/"&amp;Table9[[#This Row],[Image ID]]&amp;"/full/843,/0/default.jpg"</f>
        <v>https://www.artic.edu/iiif/2/3c8a4360-27d8-bba2-a434-8b04dbe3f829/full/843,/0/default.jpg</v>
      </c>
      <c r="N93" s="3">
        <v>0.9</v>
      </c>
      <c r="O93" s="3">
        <v>0.05</v>
      </c>
      <c r="P93" s="3">
        <v>0.85</v>
      </c>
      <c r="Q93" s="3">
        <v>0.77372556924819902</v>
      </c>
    </row>
    <row r="94" spans="1:17" x14ac:dyDescent="0.45">
      <c r="A94" s="3">
        <v>129685</v>
      </c>
      <c r="B94" t="b">
        <v>0</v>
      </c>
      <c r="C94" t="b">
        <v>0</v>
      </c>
      <c r="D94" s="3">
        <v>1941</v>
      </c>
      <c r="E94" s="3">
        <v>1941</v>
      </c>
      <c r="F94" t="s">
        <v>14654</v>
      </c>
      <c r="G94" t="s">
        <v>2892</v>
      </c>
      <c r="H94" s="3">
        <v>29.1099</v>
      </c>
      <c r="I94" t="s">
        <v>14549</v>
      </c>
      <c r="J94" t="s">
        <v>10990</v>
      </c>
      <c r="L94" t="s">
        <v>2911</v>
      </c>
      <c r="M94" t="str">
        <f>"https://www.artic.edu/iiif/2/"&amp;Table9[[#This Row],[Image ID]]&amp;"/full/843,/0/default.jpg"</f>
        <v>https://www.artic.edu/iiif/2/5bafce3a-5d1a-1592-373d-a455850bae34/full/843,/0/default.jpg</v>
      </c>
      <c r="N94" s="3">
        <v>0.9</v>
      </c>
      <c r="O94" s="3">
        <v>0.05</v>
      </c>
      <c r="P94" s="3">
        <v>0.85</v>
      </c>
      <c r="Q94" s="3">
        <v>0.83720916509628296</v>
      </c>
    </row>
    <row r="95" spans="1:17" x14ac:dyDescent="0.45">
      <c r="A95" s="3">
        <v>48506</v>
      </c>
      <c r="B95" t="b">
        <v>0</v>
      </c>
      <c r="C95" t="b">
        <v>0</v>
      </c>
      <c r="D95" s="3">
        <v>1969</v>
      </c>
      <c r="E95" s="3">
        <v>1969</v>
      </c>
      <c r="F95" t="s">
        <v>7997</v>
      </c>
      <c r="G95" t="s">
        <v>7</v>
      </c>
      <c r="H95" s="3">
        <v>57.440199999999997</v>
      </c>
      <c r="I95" t="s">
        <v>1276</v>
      </c>
      <c r="J95" t="s">
        <v>12316</v>
      </c>
      <c r="L95" t="s">
        <v>7998</v>
      </c>
      <c r="M95" t="str">
        <f>"https://www.artic.edu/iiif/2/"&amp;Table9[[#This Row],[Image ID]]&amp;"/full/843,/0/default.jpg"</f>
        <v>https://www.artic.edu/iiif/2/5bc13eb5-3406-9b7e-db22-360d8dbb8428/full/843,/0/default.jpg</v>
      </c>
      <c r="N95" s="3">
        <v>0.9</v>
      </c>
      <c r="O95" s="3">
        <v>0.05</v>
      </c>
      <c r="P95" s="3">
        <v>0.85</v>
      </c>
      <c r="Q95" s="3">
        <v>0.94347906112670898</v>
      </c>
    </row>
    <row r="96" spans="1:17" x14ac:dyDescent="0.45">
      <c r="A96" s="3">
        <v>107070</v>
      </c>
      <c r="B96" t="b">
        <v>0</v>
      </c>
      <c r="C96" t="b">
        <v>0</v>
      </c>
      <c r="D96" s="3">
        <v>1980</v>
      </c>
      <c r="E96" s="3">
        <v>1980</v>
      </c>
      <c r="F96" t="s">
        <v>607</v>
      </c>
      <c r="G96" t="s">
        <v>608</v>
      </c>
      <c r="H96" s="3">
        <v>11.278</v>
      </c>
      <c r="I96" t="s">
        <v>609</v>
      </c>
      <c r="J96" t="s">
        <v>12422</v>
      </c>
      <c r="L96" t="s">
        <v>610</v>
      </c>
      <c r="M96" t="str">
        <f>"https://www.artic.edu/iiif/2/"&amp;Table9[[#This Row],[Image ID]]&amp;"/full/843,/0/default.jpg"</f>
        <v>https://www.artic.edu/iiif/2/6359d354-d48c-8824-938b-b66f678001ac/full/843,/0/default.jpg</v>
      </c>
      <c r="N96" s="3">
        <v>0.9</v>
      </c>
      <c r="O96" s="3">
        <v>0.05</v>
      </c>
      <c r="P96" s="3">
        <v>0.85</v>
      </c>
      <c r="Q96" s="3">
        <v>0.80995506048202504</v>
      </c>
    </row>
    <row r="97" spans="1:17" x14ac:dyDescent="0.45">
      <c r="A97" s="3">
        <v>73347</v>
      </c>
      <c r="B97" t="b">
        <v>0</v>
      </c>
      <c r="C97" t="b">
        <v>0</v>
      </c>
      <c r="D97" s="3">
        <v>1978</v>
      </c>
      <c r="E97" s="3">
        <v>1978</v>
      </c>
      <c r="F97" t="s">
        <v>9613</v>
      </c>
      <c r="G97" t="s">
        <v>9614</v>
      </c>
      <c r="H97" s="3">
        <v>30.020199999999999</v>
      </c>
      <c r="I97" t="s">
        <v>9615</v>
      </c>
      <c r="J97" t="s">
        <v>12514</v>
      </c>
      <c r="L97" t="s">
        <v>9616</v>
      </c>
      <c r="M97" t="str">
        <f>"https://www.artic.edu/iiif/2/"&amp;Table9[[#This Row],[Image ID]]&amp;"/full/843,/0/default.jpg"</f>
        <v>https://www.artic.edu/iiif/2/69c8a441-6f10-d996-4c94-af28c63cd586/full/843,/0/default.jpg</v>
      </c>
      <c r="N97" s="3">
        <v>0.9</v>
      </c>
      <c r="O97" s="3">
        <v>0.05</v>
      </c>
      <c r="P97" s="3">
        <v>0.85</v>
      </c>
      <c r="Q97" s="3">
        <v>0.76412844657897905</v>
      </c>
    </row>
    <row r="98" spans="1:17" x14ac:dyDescent="0.45">
      <c r="A98" s="3">
        <v>235710</v>
      </c>
      <c r="B98" t="b">
        <v>0</v>
      </c>
      <c r="C98" t="b">
        <v>0</v>
      </c>
      <c r="D98" s="3">
        <v>1999</v>
      </c>
      <c r="E98" s="3">
        <v>2000</v>
      </c>
      <c r="F98" t="s">
        <v>6255</v>
      </c>
      <c r="G98" t="s">
        <v>6256</v>
      </c>
      <c r="H98" s="3">
        <v>128.87090000000001</v>
      </c>
      <c r="I98" t="s">
        <v>14594</v>
      </c>
      <c r="J98" t="s">
        <v>12548</v>
      </c>
      <c r="K98" s="5" t="s">
        <v>15</v>
      </c>
      <c r="L98" t="s">
        <v>6257</v>
      </c>
      <c r="M98" t="str">
        <f>"https://www.artic.edu/iiif/2/"&amp;Table9[[#This Row],[Image ID]]&amp;"/full/843,/0/default.jpg"</f>
        <v>https://www.artic.edu/iiif/2/6bec08f2-cb32-6bd4-54f0-6ac8cb68c218/full/843,/0/default.jpg</v>
      </c>
      <c r="N98" s="3">
        <v>0.97499999999999998</v>
      </c>
      <c r="O98" s="3">
        <v>0.125</v>
      </c>
      <c r="P98" s="3">
        <v>0.85</v>
      </c>
      <c r="Q98" s="3">
        <v>0.85881632566452004</v>
      </c>
    </row>
    <row r="99" spans="1:17" x14ac:dyDescent="0.45">
      <c r="A99" s="3">
        <v>229378</v>
      </c>
      <c r="B99" t="b">
        <v>0</v>
      </c>
      <c r="C99" t="b">
        <v>0</v>
      </c>
      <c r="D99" s="3">
        <v>2000</v>
      </c>
      <c r="E99" s="3">
        <v>2000</v>
      </c>
      <c r="F99" t="s">
        <v>6103</v>
      </c>
      <c r="G99" t="s">
        <v>7</v>
      </c>
      <c r="H99" s="3">
        <v>46.9129</v>
      </c>
      <c r="I99" t="s">
        <v>4148</v>
      </c>
      <c r="J99" t="s">
        <v>12845</v>
      </c>
      <c r="K99" s="5" t="s">
        <v>15</v>
      </c>
      <c r="L99" t="s">
        <v>6104</v>
      </c>
      <c r="M99" t="str">
        <f>"https://www.artic.edu/iiif/2/"&amp;Table9[[#This Row],[Image ID]]&amp;"/full/843,/0/default.jpg"</f>
        <v>https://www.artic.edu/iiif/2/82087976-fbb8-4315-3070-1aa7660ceb39/full/843,/0/default.jpg</v>
      </c>
      <c r="N99" s="3">
        <v>0.875</v>
      </c>
      <c r="O99" s="3">
        <v>2.5000000000000001E-2</v>
      </c>
      <c r="P99" s="3">
        <v>0.85</v>
      </c>
      <c r="Q99" s="3">
        <v>0.85047584772109897</v>
      </c>
    </row>
    <row r="100" spans="1:17" x14ac:dyDescent="0.45">
      <c r="A100" s="3">
        <v>224326</v>
      </c>
      <c r="B100" t="b">
        <v>0</v>
      </c>
      <c r="C100" t="b">
        <v>0</v>
      </c>
      <c r="D100" s="3">
        <v>2013</v>
      </c>
      <c r="E100" s="3">
        <v>2013</v>
      </c>
      <c r="F100" t="s">
        <v>5883</v>
      </c>
      <c r="G100" t="s">
        <v>5884</v>
      </c>
      <c r="H100" s="3">
        <v>60.010800000000003</v>
      </c>
      <c r="I100" t="s">
        <v>5885</v>
      </c>
      <c r="J100" t="s">
        <v>12932</v>
      </c>
      <c r="K100" s="5" t="s">
        <v>15</v>
      </c>
      <c r="L100" t="s">
        <v>5886</v>
      </c>
      <c r="M100" t="str">
        <f>"https://www.artic.edu/iiif/2/"&amp;Table9[[#This Row],[Image ID]]&amp;"/full/843,/0/default.jpg"</f>
        <v>https://www.artic.edu/iiif/2/88fd4c7e-c0c3-3c95-48f0-6d61c57c76e1/full/843,/0/default.jpg</v>
      </c>
      <c r="N100" s="3">
        <v>0.875</v>
      </c>
      <c r="O100" s="3">
        <v>2.5000000000000001E-2</v>
      </c>
      <c r="P100" s="3">
        <v>0.85</v>
      </c>
      <c r="Q100" s="3">
        <v>0.86696088314056396</v>
      </c>
    </row>
    <row r="101" spans="1:17" x14ac:dyDescent="0.45">
      <c r="A101" s="3">
        <v>18576</v>
      </c>
      <c r="B101" t="b">
        <v>0</v>
      </c>
      <c r="C101" t="b">
        <v>0</v>
      </c>
      <c r="D101" s="3">
        <v>1932</v>
      </c>
      <c r="E101" s="3">
        <v>1949</v>
      </c>
      <c r="F101" t="s">
        <v>4999</v>
      </c>
      <c r="G101" t="s">
        <v>1283</v>
      </c>
      <c r="H101" s="3">
        <v>25.0809</v>
      </c>
      <c r="I101" t="s">
        <v>5000</v>
      </c>
      <c r="J101" t="s">
        <v>12988</v>
      </c>
      <c r="L101" t="s">
        <v>5001</v>
      </c>
      <c r="M101" t="str">
        <f>"https://www.artic.edu/iiif/2/"&amp;Table9[[#This Row],[Image ID]]&amp;"/full/843,/0/default.jpg"</f>
        <v>https://www.artic.edu/iiif/2/8cac8241-79f1-5365-a48f-77ae2639757f/full/843,/0/default.jpg</v>
      </c>
      <c r="N101" s="3">
        <v>0.875</v>
      </c>
      <c r="O101" s="3">
        <v>2.5000000000000001E-2</v>
      </c>
      <c r="P101" s="3">
        <v>0.85</v>
      </c>
      <c r="Q101" s="3">
        <v>0.90536218881607</v>
      </c>
    </row>
    <row r="102" spans="1:17" x14ac:dyDescent="0.45">
      <c r="A102" s="3">
        <v>251290</v>
      </c>
      <c r="B102" t="b">
        <v>0</v>
      </c>
      <c r="C102" t="b">
        <v>0</v>
      </c>
      <c r="D102" s="3">
        <v>2003</v>
      </c>
      <c r="E102" s="3">
        <v>2003</v>
      </c>
      <c r="F102" t="s">
        <v>6495</v>
      </c>
      <c r="G102" t="s">
        <v>6496</v>
      </c>
      <c r="H102" s="3">
        <v>65.846900000000005</v>
      </c>
      <c r="I102" t="s">
        <v>6497</v>
      </c>
      <c r="J102" t="s">
        <v>13073</v>
      </c>
      <c r="L102" t="s">
        <v>6498</v>
      </c>
      <c r="M102" t="str">
        <f>"https://www.artic.edu/iiif/2/"&amp;Table9[[#This Row],[Image ID]]&amp;"/full/843,/0/default.jpg"</f>
        <v>https://www.artic.edu/iiif/2/94387fff-971c-d2d2-737d-de157d09fc03/full/843,/0/default.jpg</v>
      </c>
      <c r="N102" s="3">
        <v>0.85</v>
      </c>
      <c r="O102" s="3">
        <v>0</v>
      </c>
      <c r="P102" s="3">
        <v>0.85</v>
      </c>
      <c r="Q102" s="3">
        <v>0.875510573387146</v>
      </c>
    </row>
    <row r="103" spans="1:17" x14ac:dyDescent="0.45">
      <c r="A103" s="3">
        <v>229362</v>
      </c>
      <c r="B103" t="b">
        <v>0</v>
      </c>
      <c r="C103" t="b">
        <v>0</v>
      </c>
      <c r="D103" s="3">
        <v>1985</v>
      </c>
      <c r="E103" s="3">
        <v>1985</v>
      </c>
      <c r="F103" t="s">
        <v>6083</v>
      </c>
      <c r="G103" t="s">
        <v>6079</v>
      </c>
      <c r="H103" s="3">
        <v>14.082000000000001</v>
      </c>
      <c r="I103" t="s">
        <v>2666</v>
      </c>
      <c r="J103" t="s">
        <v>10972</v>
      </c>
      <c r="K103" s="5" t="s">
        <v>149</v>
      </c>
      <c r="L103" t="s">
        <v>6084</v>
      </c>
      <c r="M103" t="str">
        <f>"https://www.artic.edu/iiif/2/"&amp;Table9[[#This Row],[Image ID]]&amp;"/full/843,/0/default.jpg"</f>
        <v>https://www.artic.edu/iiif/2/a0eaf95b-694c-f6fa-1a33-90777b5c62ca/full/843,/0/default.jpg</v>
      </c>
      <c r="N103" s="3">
        <v>0.95</v>
      </c>
      <c r="O103" s="3">
        <v>0.1</v>
      </c>
      <c r="P103" s="3">
        <v>0.85</v>
      </c>
      <c r="Q103" s="3">
        <v>0.858592569828033</v>
      </c>
    </row>
    <row r="104" spans="1:17" x14ac:dyDescent="0.45">
      <c r="A104" s="3">
        <v>118964</v>
      </c>
      <c r="B104" t="b">
        <v>0</v>
      </c>
      <c r="C104" t="b">
        <v>0</v>
      </c>
      <c r="D104" s="3">
        <v>1939</v>
      </c>
      <c r="E104" s="3">
        <v>1939</v>
      </c>
      <c r="F104" t="s">
        <v>2571</v>
      </c>
      <c r="G104" t="s">
        <v>7</v>
      </c>
      <c r="H104" s="3">
        <v>35.572299999999998</v>
      </c>
      <c r="I104" t="s">
        <v>2572</v>
      </c>
      <c r="J104" t="s">
        <v>13338</v>
      </c>
      <c r="L104" t="s">
        <v>2573</v>
      </c>
      <c r="M104" t="str">
        <f>"https://www.artic.edu/iiif/2/"&amp;Table9[[#This Row],[Image ID]]&amp;"/full/843,/0/default.jpg"</f>
        <v>https://www.artic.edu/iiif/2/a799c64e-66dd-f356-5851-c2a9d5e922cc/full/843,/0/default.jpg</v>
      </c>
      <c r="N104" s="3">
        <v>0.85</v>
      </c>
      <c r="O104" s="3">
        <v>0</v>
      </c>
      <c r="P104" s="3">
        <v>0.85</v>
      </c>
      <c r="Q104" s="3">
        <v>0.763225138187408</v>
      </c>
    </row>
    <row r="105" spans="1:17" x14ac:dyDescent="0.45">
      <c r="A105" s="3">
        <v>32349</v>
      </c>
      <c r="B105" t="b">
        <v>0</v>
      </c>
      <c r="C105" t="b">
        <v>0</v>
      </c>
      <c r="D105" s="3">
        <v>1968</v>
      </c>
      <c r="E105" s="3">
        <v>1968</v>
      </c>
      <c r="F105" t="s">
        <v>7050</v>
      </c>
      <c r="G105" t="s">
        <v>7</v>
      </c>
      <c r="H105" s="3">
        <v>51.577399999999997</v>
      </c>
      <c r="I105" t="s">
        <v>2472</v>
      </c>
      <c r="J105" t="s">
        <v>13364</v>
      </c>
      <c r="L105" t="s">
        <v>7051</v>
      </c>
      <c r="M105" t="str">
        <f>"https://www.artic.edu/iiif/2/"&amp;Table9[[#This Row],[Image ID]]&amp;"/full/843,/0/default.jpg"</f>
        <v>https://www.artic.edu/iiif/2/a8fe598b-a83b-1cd4-e4fb-ffc63599f249/full/843,/0/default.jpg</v>
      </c>
      <c r="N105" s="3">
        <v>0.875</v>
      </c>
      <c r="O105" s="3">
        <v>2.5000000000000001E-2</v>
      </c>
      <c r="P105" s="3">
        <v>0.85</v>
      </c>
      <c r="Q105" s="3">
        <v>0.92054206132888705</v>
      </c>
    </row>
    <row r="106" spans="1:17" x14ac:dyDescent="0.45">
      <c r="A106" s="3">
        <v>82506</v>
      </c>
      <c r="B106" t="b">
        <v>0</v>
      </c>
      <c r="C106" t="b">
        <v>0</v>
      </c>
      <c r="D106" s="3">
        <v>1950</v>
      </c>
      <c r="E106" s="3">
        <v>1950</v>
      </c>
      <c r="F106" t="s">
        <v>10182</v>
      </c>
      <c r="G106" t="s">
        <v>7</v>
      </c>
      <c r="H106" s="3">
        <v>30.545400000000001</v>
      </c>
      <c r="I106" t="s">
        <v>10183</v>
      </c>
      <c r="J106" t="s">
        <v>13427</v>
      </c>
      <c r="L106" t="s">
        <v>10184</v>
      </c>
      <c r="M106" t="str">
        <f>"https://www.artic.edu/iiif/2/"&amp;Table9[[#This Row],[Image ID]]&amp;"/full/843,/0/default.jpg"</f>
        <v>https://www.artic.edu/iiif/2/ae593ea2-9fce-817d-7bad-940415beddd8/full/843,/0/default.jpg</v>
      </c>
      <c r="N106" s="3">
        <v>0.9</v>
      </c>
      <c r="O106" s="3">
        <v>0.05</v>
      </c>
      <c r="P106" s="3">
        <v>0.85</v>
      </c>
      <c r="Q106" s="3">
        <v>0.755606830120086</v>
      </c>
    </row>
    <row r="107" spans="1:17" x14ac:dyDescent="0.45">
      <c r="A107" s="3">
        <v>100076</v>
      </c>
      <c r="B107" t="b">
        <v>0</v>
      </c>
      <c r="C107" t="b">
        <v>0</v>
      </c>
      <c r="D107" s="3">
        <v>1979</v>
      </c>
      <c r="E107" s="3">
        <v>1979</v>
      </c>
      <c r="F107" t="s">
        <v>30</v>
      </c>
      <c r="G107" t="s">
        <v>31</v>
      </c>
      <c r="H107" s="3">
        <v>19.7334</v>
      </c>
      <c r="I107" t="s">
        <v>32</v>
      </c>
      <c r="J107" t="s">
        <v>13982</v>
      </c>
      <c r="L107" t="s">
        <v>33</v>
      </c>
      <c r="M107" t="str">
        <f>"https://www.artic.edu/iiif/2/"&amp;Table9[[#This Row],[Image ID]]&amp;"/full/843,/0/default.jpg"</f>
        <v>https://www.artic.edu/iiif/2/da4ecac6-5023-7afd-413a-b766cbbb9380/full/843,/0/default.jpg</v>
      </c>
      <c r="N107" s="3">
        <v>0.875</v>
      </c>
      <c r="O107" s="3">
        <v>2.5000000000000001E-2</v>
      </c>
      <c r="P107" s="3">
        <v>0.85</v>
      </c>
      <c r="Q107" s="3">
        <v>0.72369146347045898</v>
      </c>
    </row>
    <row r="108" spans="1:17" x14ac:dyDescent="0.45">
      <c r="A108" s="3">
        <v>82499</v>
      </c>
      <c r="B108" t="b">
        <v>0</v>
      </c>
      <c r="C108" t="b">
        <v>0</v>
      </c>
      <c r="D108" s="3">
        <v>1902</v>
      </c>
      <c r="E108" s="3">
        <v>1909</v>
      </c>
      <c r="F108" t="s">
        <v>10179</v>
      </c>
      <c r="G108" t="s">
        <v>10180</v>
      </c>
      <c r="H108" s="3">
        <v>41.111499999999999</v>
      </c>
      <c r="I108" t="s">
        <v>439</v>
      </c>
      <c r="J108" t="s">
        <v>14254</v>
      </c>
      <c r="L108" t="s">
        <v>10181</v>
      </c>
      <c r="M108" t="str">
        <f>"https://www.artic.edu/iiif/2/"&amp;Table9[[#This Row],[Image ID]]&amp;"/full/843,/0/default.jpg"</f>
        <v>https://www.artic.edu/iiif/2/ec3561ff-0793-a9e4-51c7-ab9bf12392d7/full/843,/0/default.jpg</v>
      </c>
      <c r="N108" s="3">
        <v>0.85</v>
      </c>
      <c r="O108" s="3">
        <v>0</v>
      </c>
      <c r="P108" s="3">
        <v>0.85</v>
      </c>
      <c r="Q108" s="3">
        <v>0.85509938001632602</v>
      </c>
    </row>
    <row r="109" spans="1:17" x14ac:dyDescent="0.45">
      <c r="A109" s="3">
        <v>55967</v>
      </c>
      <c r="B109" t="b">
        <v>0</v>
      </c>
      <c r="C109" t="b">
        <v>0</v>
      </c>
      <c r="D109" s="3">
        <v>1971</v>
      </c>
      <c r="E109" s="3">
        <v>1971</v>
      </c>
      <c r="F109" t="s">
        <v>8427</v>
      </c>
      <c r="G109" t="s">
        <v>8428</v>
      </c>
      <c r="H109" s="3">
        <v>16.2742</v>
      </c>
      <c r="I109" t="s">
        <v>599</v>
      </c>
      <c r="J109" t="s">
        <v>14347</v>
      </c>
      <c r="L109" t="s">
        <v>8429</v>
      </c>
      <c r="M109" t="str">
        <f>"https://www.artic.edu/iiif/2/"&amp;Table9[[#This Row],[Image ID]]&amp;"/full/843,/0/default.jpg"</f>
        <v>https://www.artic.edu/iiif/2/f256b665-f3ad-dfd0-c75a-7c890b5a5cc4/full/843,/0/default.jpg</v>
      </c>
      <c r="N109" s="3">
        <v>0.9</v>
      </c>
      <c r="O109" s="3">
        <v>0.05</v>
      </c>
      <c r="P109" s="3">
        <v>0.85</v>
      </c>
      <c r="Q109" s="3">
        <v>0.84297704696655196</v>
      </c>
    </row>
    <row r="110" spans="1:17" x14ac:dyDescent="0.45">
      <c r="A110" s="3">
        <v>99542</v>
      </c>
      <c r="B110" t="b">
        <v>0</v>
      </c>
      <c r="C110" t="b">
        <v>0</v>
      </c>
      <c r="D110" s="3">
        <v>1967</v>
      </c>
      <c r="E110" s="3">
        <v>1967</v>
      </c>
      <c r="F110" t="s">
        <v>10921</v>
      </c>
      <c r="G110" t="s">
        <v>10922</v>
      </c>
      <c r="H110" s="3">
        <v>28.803999999999998</v>
      </c>
      <c r="I110" t="s">
        <v>1036</v>
      </c>
      <c r="J110" t="s">
        <v>14377</v>
      </c>
      <c r="L110" t="s">
        <v>10923</v>
      </c>
      <c r="M110" t="str">
        <f>"https://www.artic.edu/iiif/2/"&amp;Table9[[#This Row],[Image ID]]&amp;"/full/843,/0/default.jpg"</f>
        <v>https://www.artic.edu/iiif/2/f4d5c027-dc92-2efe-88db-dfa508c09657/full/843,/0/default.jpg</v>
      </c>
      <c r="N110" s="3">
        <v>0.875</v>
      </c>
      <c r="O110" s="3">
        <v>2.5000000000000001E-2</v>
      </c>
      <c r="P110" s="3">
        <v>0.85</v>
      </c>
      <c r="Q110" s="3">
        <v>0.88037145137786799</v>
      </c>
    </row>
    <row r="111" spans="1:17" x14ac:dyDescent="0.45">
      <c r="A111" s="3">
        <v>182383</v>
      </c>
      <c r="B111" t="b">
        <v>0</v>
      </c>
      <c r="C111" t="b">
        <v>0</v>
      </c>
      <c r="D111" s="3">
        <v>1898</v>
      </c>
      <c r="E111" s="3">
        <v>1898</v>
      </c>
      <c r="F111" t="s">
        <v>4748</v>
      </c>
      <c r="G111" t="s">
        <v>75</v>
      </c>
      <c r="H111" s="3">
        <v>37.842700000000001</v>
      </c>
      <c r="I111" t="s">
        <v>4746</v>
      </c>
      <c r="J111" t="s">
        <v>11590</v>
      </c>
      <c r="L111" t="s">
        <v>4749</v>
      </c>
      <c r="M111" t="str">
        <f>"https://www.artic.edu/iiif/2/"&amp;Table9[[#This Row],[Image ID]]&amp;"/full/843,/0/default.jpg"</f>
        <v>https://www.artic.edu/iiif/2/f509eab9-20e8-0153-b7a4-0a2702a28ca8/full/843,/0/default.jpg</v>
      </c>
      <c r="N111" s="3">
        <v>0.9</v>
      </c>
      <c r="O111" s="3">
        <v>0.05</v>
      </c>
      <c r="P111" s="3">
        <v>0.85</v>
      </c>
      <c r="Q111" s="3">
        <v>0.92383843660354603</v>
      </c>
    </row>
    <row r="112" spans="1:17" x14ac:dyDescent="0.45">
      <c r="A112" s="3">
        <v>93814</v>
      </c>
      <c r="B112" t="b">
        <v>0</v>
      </c>
      <c r="C112" t="b">
        <v>0</v>
      </c>
      <c r="D112" s="3">
        <v>1962</v>
      </c>
      <c r="E112" s="3">
        <v>1964</v>
      </c>
      <c r="F112" t="s">
        <v>10649</v>
      </c>
      <c r="G112" t="s">
        <v>250</v>
      </c>
      <c r="H112" s="3">
        <v>11.834899999999999</v>
      </c>
      <c r="I112" t="s">
        <v>378</v>
      </c>
      <c r="J112" t="s">
        <v>12037</v>
      </c>
      <c r="K112" s="5" t="s">
        <v>45</v>
      </c>
      <c r="L112" t="s">
        <v>10650</v>
      </c>
      <c r="M112" t="str">
        <f>"https://www.artic.edu/iiif/2/"&amp;Table9[[#This Row],[Image ID]]&amp;"/full/843,/0/default.jpg"</f>
        <v>https://www.artic.edu/iiif/2/f9bd5533-4c7f-fc2d-0bd2-db8581c4ff52/full/843,/0/default.jpg</v>
      </c>
      <c r="N112" s="3">
        <v>0.9</v>
      </c>
      <c r="O112" s="3">
        <v>0.05</v>
      </c>
      <c r="P112" s="3">
        <v>0.85</v>
      </c>
      <c r="Q112" s="3">
        <v>0.76396667957305897</v>
      </c>
    </row>
    <row r="113" spans="1:17" x14ac:dyDescent="0.45">
      <c r="A113" s="3">
        <v>53042</v>
      </c>
      <c r="B113" t="b">
        <v>0</v>
      </c>
      <c r="C113" t="b">
        <v>0</v>
      </c>
      <c r="D113" s="3">
        <v>1937</v>
      </c>
      <c r="E113" s="3">
        <v>1937</v>
      </c>
      <c r="F113" t="s">
        <v>8228</v>
      </c>
      <c r="G113" t="s">
        <v>7</v>
      </c>
      <c r="H113" s="3">
        <v>63.5867</v>
      </c>
      <c r="I113" t="s">
        <v>2405</v>
      </c>
      <c r="J113" t="s">
        <v>14490</v>
      </c>
      <c r="K113" s="5" t="s">
        <v>2</v>
      </c>
      <c r="L113" t="s">
        <v>8229</v>
      </c>
      <c r="M113" t="str">
        <f>"https://www.artic.edu/iiif/2/"&amp;Table9[[#This Row],[Image ID]]&amp;"/full/843,/0/default.jpg"</f>
        <v>https://www.artic.edu/iiif/2/fc831cd3-8a53-4d12-43e9-55635c833d84/full/843,/0/default.jpg</v>
      </c>
      <c r="N113" s="3">
        <v>0.875</v>
      </c>
      <c r="O113" s="3">
        <v>2.5000000000000001E-2</v>
      </c>
      <c r="P113" s="3">
        <v>0.85</v>
      </c>
      <c r="Q113" s="3">
        <v>0.95998269319534302</v>
      </c>
    </row>
    <row r="114" spans="1:17" x14ac:dyDescent="0.45">
      <c r="A114" s="3">
        <v>94123</v>
      </c>
      <c r="B114" t="b">
        <v>0</v>
      </c>
      <c r="C114" t="b">
        <v>1</v>
      </c>
      <c r="D114" s="3">
        <v>1723</v>
      </c>
      <c r="E114" s="3">
        <v>1724</v>
      </c>
      <c r="F114" t="s">
        <v>10724</v>
      </c>
      <c r="G114" t="s">
        <v>7</v>
      </c>
      <c r="H114" s="3">
        <v>0</v>
      </c>
      <c r="I114" t="s">
        <v>14683</v>
      </c>
      <c r="J114" t="s">
        <v>11345</v>
      </c>
      <c r="L114" t="s">
        <v>10725</v>
      </c>
      <c r="M114" t="str">
        <f>"https://www.artic.edu/iiif/2/"&amp;Table9[[#This Row],[Image ID]]&amp;"/full/843,/0/default.jpg"</f>
        <v>https://www.artic.edu/iiif/2/1b09b81c-d793-e6f9-7862-8770be502f7b/full/843,/0/default.jpg</v>
      </c>
      <c r="N114" s="3">
        <v>0.9</v>
      </c>
      <c r="O114" s="3">
        <v>0.05</v>
      </c>
      <c r="P114" s="3">
        <v>0.85</v>
      </c>
      <c r="Q114" s="3">
        <v>0.79144763946533203</v>
      </c>
    </row>
    <row r="115" spans="1:17" x14ac:dyDescent="0.45">
      <c r="A115" s="3">
        <v>93372</v>
      </c>
      <c r="B115" t="b">
        <v>0</v>
      </c>
      <c r="C115" t="b">
        <v>1</v>
      </c>
      <c r="D115" s="3">
        <v>1550</v>
      </c>
      <c r="E115" s="3">
        <v>1580</v>
      </c>
      <c r="F115" t="s">
        <v>10584</v>
      </c>
      <c r="G115" t="s">
        <v>75</v>
      </c>
      <c r="H115" s="3">
        <v>29.973800000000001</v>
      </c>
      <c r="I115" t="s">
        <v>10261</v>
      </c>
      <c r="J115" t="s">
        <v>11743</v>
      </c>
      <c r="L115" t="s">
        <v>10585</v>
      </c>
      <c r="M115" t="str">
        <f>"https://www.artic.edu/iiif/2/"&amp;Table9[[#This Row],[Image ID]]&amp;"/full/843,/0/default.jpg"</f>
        <v>https://www.artic.edu/iiif/2/34ecfe47-70cc-7f1d-fc4d-af7ba35a570c/full/843,/0/default.jpg</v>
      </c>
      <c r="N115" s="3">
        <v>0.9</v>
      </c>
      <c r="O115" s="3">
        <v>0.05</v>
      </c>
      <c r="P115" s="3">
        <v>0.85</v>
      </c>
      <c r="Q115" s="3">
        <v>0.82283657789230302</v>
      </c>
    </row>
    <row r="116" spans="1:17" x14ac:dyDescent="0.45">
      <c r="A116" s="3">
        <v>133531</v>
      </c>
      <c r="B116" t="b">
        <v>0</v>
      </c>
      <c r="C116" t="b">
        <v>1</v>
      </c>
      <c r="D116" s="3">
        <v>1827</v>
      </c>
      <c r="E116" s="3">
        <v>1827</v>
      </c>
      <c r="F116" t="s">
        <v>3051</v>
      </c>
      <c r="G116" t="s">
        <v>2826</v>
      </c>
      <c r="H116" s="3">
        <v>15.9903</v>
      </c>
      <c r="I116" t="s">
        <v>1086</v>
      </c>
      <c r="J116" t="s">
        <v>12251</v>
      </c>
      <c r="L116" t="s">
        <v>3052</v>
      </c>
      <c r="M116" t="str">
        <f>"https://www.artic.edu/iiif/2/"&amp;Table9[[#This Row],[Image ID]]&amp;"/full/843,/0/default.jpg"</f>
        <v>https://www.artic.edu/iiif/2/56bb73d6-f164-d130-9964-fcb495d93c20/full/843,/0/default.jpg</v>
      </c>
      <c r="N116" s="3">
        <v>0.875</v>
      </c>
      <c r="O116" s="3">
        <v>2.5000000000000001E-2</v>
      </c>
      <c r="P116" s="3">
        <v>0.85</v>
      </c>
      <c r="Q116" s="3">
        <v>0.78734570741653398</v>
      </c>
    </row>
    <row r="117" spans="1:17" x14ac:dyDescent="0.45">
      <c r="A117" s="3">
        <v>159069</v>
      </c>
      <c r="B117" t="b">
        <v>0</v>
      </c>
      <c r="C117" t="b">
        <v>1</v>
      </c>
      <c r="D117" s="3">
        <v>1889</v>
      </c>
      <c r="E117" s="3">
        <v>1890</v>
      </c>
      <c r="F117" t="s">
        <v>4179</v>
      </c>
      <c r="G117" t="s">
        <v>4180</v>
      </c>
      <c r="H117" s="3">
        <v>68.987799999999993</v>
      </c>
      <c r="I117" t="s">
        <v>872</v>
      </c>
      <c r="J117" t="s">
        <v>12517</v>
      </c>
      <c r="L117" t="s">
        <v>4181</v>
      </c>
      <c r="M117" t="str">
        <f>"https://www.artic.edu/iiif/2/"&amp;Table9[[#This Row],[Image ID]]&amp;"/full/843,/0/default.jpg"</f>
        <v>https://www.artic.edu/iiif/2/6a1494fe-ed5e-c3a4-7758-a23779bb6fde/full/843,/0/default.jpg</v>
      </c>
      <c r="N117" s="3">
        <v>0.9</v>
      </c>
      <c r="O117" s="3">
        <v>0.05</v>
      </c>
      <c r="P117" s="3">
        <v>0.85</v>
      </c>
      <c r="Q117" s="3">
        <v>0.80498141050338701</v>
      </c>
    </row>
    <row r="118" spans="1:17" x14ac:dyDescent="0.45">
      <c r="A118" s="3">
        <v>56862</v>
      </c>
      <c r="B118" t="b">
        <v>0</v>
      </c>
      <c r="C118" t="b">
        <v>1</v>
      </c>
      <c r="D118" s="3">
        <v>1895</v>
      </c>
      <c r="E118" s="3">
        <v>1895</v>
      </c>
      <c r="F118" t="s">
        <v>8463</v>
      </c>
      <c r="G118" t="s">
        <v>7</v>
      </c>
      <c r="H118" s="3">
        <v>27.7605</v>
      </c>
      <c r="I118" t="s">
        <v>8464</v>
      </c>
      <c r="J118" t="s">
        <v>12688</v>
      </c>
      <c r="K118" s="5" t="s">
        <v>284</v>
      </c>
      <c r="L118" t="s">
        <v>8465</v>
      </c>
      <c r="M118" t="str">
        <f>"https://www.artic.edu/iiif/2/"&amp;Table9[[#This Row],[Image ID]]&amp;"/full/843,/0/default.jpg"</f>
        <v>https://www.artic.edu/iiif/2/7649eda7-1cc3-2b84-257e-670c0953b26b/full/843,/0/default.jpg</v>
      </c>
      <c r="N118" s="3">
        <v>0.875</v>
      </c>
      <c r="O118" s="3">
        <v>2.5000000000000001E-2</v>
      </c>
      <c r="P118" s="3">
        <v>0.85</v>
      </c>
      <c r="Q118" s="3">
        <v>0.79184979200363104</v>
      </c>
    </row>
    <row r="119" spans="1:17" x14ac:dyDescent="0.45">
      <c r="A119" s="3">
        <v>80538</v>
      </c>
      <c r="B119" t="b">
        <v>0</v>
      </c>
      <c r="C119" t="b">
        <v>1</v>
      </c>
      <c r="D119" s="3">
        <v>1520</v>
      </c>
      <c r="E119" s="3">
        <v>1530</v>
      </c>
      <c r="F119" t="s">
        <v>10005</v>
      </c>
      <c r="G119" t="s">
        <v>75</v>
      </c>
      <c r="H119" s="3">
        <v>32.9587</v>
      </c>
      <c r="I119" t="s">
        <v>10006</v>
      </c>
      <c r="J119" t="s">
        <v>13307</v>
      </c>
      <c r="L119" t="s">
        <v>10007</v>
      </c>
      <c r="M119" t="str">
        <f>"https://www.artic.edu/iiif/2/"&amp;Table9[[#This Row],[Image ID]]&amp;"/full/843,/0/default.jpg"</f>
        <v>https://www.artic.edu/iiif/2/a599382c-d166-8f30-904b-64b19514265e/full/843,/0/default.jpg</v>
      </c>
      <c r="N119" s="3">
        <v>0.875</v>
      </c>
      <c r="O119" s="3">
        <v>2.5000000000000001E-2</v>
      </c>
      <c r="P119" s="3">
        <v>0.85</v>
      </c>
      <c r="Q119" s="3">
        <v>0.92123109102249101</v>
      </c>
    </row>
    <row r="120" spans="1:17" x14ac:dyDescent="0.45">
      <c r="A120" s="3">
        <v>11575</v>
      </c>
      <c r="B120" t="b">
        <v>0</v>
      </c>
      <c r="C120" t="b">
        <v>1</v>
      </c>
      <c r="D120" s="3">
        <v>1740</v>
      </c>
      <c r="E120" s="3">
        <v>1743</v>
      </c>
      <c r="F120" t="s">
        <v>2084</v>
      </c>
      <c r="G120" t="s">
        <v>7</v>
      </c>
      <c r="H120" s="3">
        <v>25.913699999999999</v>
      </c>
      <c r="I120" t="s">
        <v>2085</v>
      </c>
      <c r="J120" t="s">
        <v>13491</v>
      </c>
      <c r="L120" t="s">
        <v>2086</v>
      </c>
      <c r="M120" t="str">
        <f>"https://www.artic.edu/iiif/2/"&amp;Table9[[#This Row],[Image ID]]&amp;"/full/843,/0/default.jpg"</f>
        <v>https://www.artic.edu/iiif/2/b309fd62-e317-7ec8-0623-41573e93b22c/full/843,/0/default.jpg</v>
      </c>
      <c r="N120" s="3">
        <v>0.875</v>
      </c>
      <c r="O120" s="3">
        <v>2.5000000000000001E-2</v>
      </c>
      <c r="P120" s="3">
        <v>0.85</v>
      </c>
      <c r="Q120" s="3">
        <v>0.89233267307281405</v>
      </c>
    </row>
    <row r="121" spans="1:17" x14ac:dyDescent="0.45">
      <c r="A121" s="3">
        <v>61136</v>
      </c>
      <c r="B121" t="b">
        <v>0</v>
      </c>
      <c r="C121" t="b">
        <v>1</v>
      </c>
      <c r="D121" s="3">
        <v>1855</v>
      </c>
      <c r="E121" s="3">
        <v>1855</v>
      </c>
      <c r="F121" t="s">
        <v>8774</v>
      </c>
      <c r="G121" t="s">
        <v>7</v>
      </c>
      <c r="H121" s="3">
        <v>38.884999999999998</v>
      </c>
      <c r="I121" t="s">
        <v>8775</v>
      </c>
      <c r="J121" t="s">
        <v>13643</v>
      </c>
      <c r="K121" s="5" t="s">
        <v>125</v>
      </c>
      <c r="L121" t="s">
        <v>8776</v>
      </c>
      <c r="M121" t="str">
        <f>"https://www.artic.edu/iiif/2/"&amp;Table9[[#This Row],[Image ID]]&amp;"/full/843,/0/default.jpg"</f>
        <v>https://www.artic.edu/iiif/2/befbea43-31d3-3093-c53f-399c047c50c9/full/843,/0/default.jpg</v>
      </c>
      <c r="N121" s="3">
        <v>0.9</v>
      </c>
      <c r="O121" s="3">
        <v>0.05</v>
      </c>
      <c r="P121" s="3">
        <v>0.85</v>
      </c>
      <c r="Q121" s="3">
        <v>0.85878443717956499</v>
      </c>
    </row>
    <row r="122" spans="1:17" x14ac:dyDescent="0.45">
      <c r="A122" s="3">
        <v>64412</v>
      </c>
      <c r="B122" t="b">
        <v>0</v>
      </c>
      <c r="C122" t="b">
        <v>1</v>
      </c>
      <c r="D122" s="3">
        <v>1870</v>
      </c>
      <c r="E122" s="3">
        <v>1890</v>
      </c>
      <c r="F122" t="s">
        <v>8982</v>
      </c>
      <c r="G122" t="s">
        <v>7</v>
      </c>
      <c r="H122" s="3">
        <v>0</v>
      </c>
      <c r="I122" t="s">
        <v>8983</v>
      </c>
      <c r="J122" t="s">
        <v>13721</v>
      </c>
      <c r="L122" t="s">
        <v>8984</v>
      </c>
      <c r="M122" t="str">
        <f>"https://www.artic.edu/iiif/2/"&amp;Table9[[#This Row],[Image ID]]&amp;"/full/843,/0/default.jpg"</f>
        <v>https://www.artic.edu/iiif/2/c66cff23-22a1-e440-b390-ef4e68facd6a/full/843,/0/default.jpg</v>
      </c>
      <c r="N122" s="3">
        <v>0.95</v>
      </c>
      <c r="O122" s="3">
        <v>0.1</v>
      </c>
      <c r="P122" s="3">
        <v>0.85</v>
      </c>
      <c r="Q122" s="3">
        <v>0.62468278408050504</v>
      </c>
    </row>
    <row r="123" spans="1:17" x14ac:dyDescent="0.45">
      <c r="A123" s="3">
        <v>28136</v>
      </c>
      <c r="B123" t="b">
        <v>0</v>
      </c>
      <c r="C123" t="b">
        <v>1</v>
      </c>
      <c r="D123" s="3">
        <v>1820</v>
      </c>
      <c r="E123" s="3">
        <v>1830</v>
      </c>
      <c r="F123" t="s">
        <v>6786</v>
      </c>
      <c r="G123" t="s">
        <v>7</v>
      </c>
      <c r="H123" s="3">
        <v>0</v>
      </c>
      <c r="I123" t="s">
        <v>1294</v>
      </c>
      <c r="J123" t="s">
        <v>13905</v>
      </c>
      <c r="L123" t="s">
        <v>6787</v>
      </c>
      <c r="M123" t="str">
        <f>"https://www.artic.edu/iiif/2/"&amp;Table9[[#This Row],[Image ID]]&amp;"/full/843,/0/default.jpg"</f>
        <v>https://www.artic.edu/iiif/2/d51d6837-5331-4b12-6e97-ca0bd1021940/full/843,/0/default.jpg</v>
      </c>
      <c r="N123" s="3">
        <v>0.875</v>
      </c>
      <c r="O123" s="3">
        <v>2.5000000000000001E-2</v>
      </c>
      <c r="P123" s="3">
        <v>0.85</v>
      </c>
      <c r="Q123" s="3">
        <v>0.725802421569824</v>
      </c>
    </row>
    <row r="124" spans="1:17" x14ac:dyDescent="0.45">
      <c r="A124" s="3">
        <v>113249</v>
      </c>
      <c r="B124" t="b">
        <v>0</v>
      </c>
      <c r="C124" t="b">
        <v>1</v>
      </c>
      <c r="D124" s="3">
        <v>1837</v>
      </c>
      <c r="E124" s="3">
        <v>1864</v>
      </c>
      <c r="F124" t="s">
        <v>1385</v>
      </c>
      <c r="G124" t="s">
        <v>1374</v>
      </c>
      <c r="H124" s="3">
        <v>33.115400000000001</v>
      </c>
      <c r="I124" t="s">
        <v>1295</v>
      </c>
      <c r="J124" t="s">
        <v>14144</v>
      </c>
      <c r="L124" t="s">
        <v>1386</v>
      </c>
      <c r="M124" t="str">
        <f>"https://www.artic.edu/iiif/2/"&amp;Table9[[#This Row],[Image ID]]&amp;"/full/843,/0/default.jpg"</f>
        <v>https://www.artic.edu/iiif/2/e4a99eb0-2b52-3558-b632-67537ac196b7/full/843,/0/default.jpg</v>
      </c>
      <c r="N124" s="3">
        <v>0.875</v>
      </c>
      <c r="O124" s="3">
        <v>2.5000000000000001E-2</v>
      </c>
      <c r="P124" s="3">
        <v>0.85</v>
      </c>
      <c r="Q124" s="3">
        <v>0.81517964601516701</v>
      </c>
    </row>
    <row r="125" spans="1:17" x14ac:dyDescent="0.45">
      <c r="A125" s="3">
        <v>115808</v>
      </c>
      <c r="B125" t="b">
        <v>0</v>
      </c>
      <c r="C125" t="b">
        <v>1</v>
      </c>
      <c r="D125" s="3">
        <v>1800</v>
      </c>
      <c r="E125" s="3">
        <v>1899</v>
      </c>
      <c r="F125" t="s">
        <v>2101</v>
      </c>
      <c r="G125" t="s">
        <v>2102</v>
      </c>
      <c r="H125" s="3">
        <v>20.183499999999999</v>
      </c>
      <c r="I125" t="s">
        <v>16</v>
      </c>
      <c r="J125" t="s">
        <v>14246</v>
      </c>
      <c r="L125" t="s">
        <v>2103</v>
      </c>
      <c r="M125" t="str">
        <f>"https://www.artic.edu/iiif/2/"&amp;Table9[[#This Row],[Image ID]]&amp;"/full/843,/0/default.jpg"</f>
        <v>https://www.artic.edu/iiif/2/eb78ede8-2f51-cae7-a09a-9d4e13001516/full/843,/0/default.jpg</v>
      </c>
      <c r="N125" s="3">
        <v>0.875</v>
      </c>
      <c r="O125" s="3">
        <v>2.5000000000000001E-2</v>
      </c>
      <c r="P125" s="3">
        <v>0.85</v>
      </c>
      <c r="Q125" s="3">
        <v>0.63755995035171498</v>
      </c>
    </row>
    <row r="126" spans="1:17" x14ac:dyDescent="0.45">
      <c r="A126" s="3">
        <v>15705</v>
      </c>
      <c r="B126" t="b">
        <v>0</v>
      </c>
      <c r="C126" t="b">
        <v>1</v>
      </c>
      <c r="D126" s="3">
        <v>1882</v>
      </c>
      <c r="E126" s="3">
        <v>1892</v>
      </c>
      <c r="F126" t="s">
        <v>4082</v>
      </c>
      <c r="G126" t="s">
        <v>7</v>
      </c>
      <c r="H126" s="3">
        <v>30.36</v>
      </c>
      <c r="I126" t="s">
        <v>4083</v>
      </c>
      <c r="J126" t="s">
        <v>14332</v>
      </c>
      <c r="K126" s="5" t="s">
        <v>9</v>
      </c>
      <c r="L126" t="s">
        <v>4084</v>
      </c>
      <c r="M126" t="str">
        <f>"https://www.artic.edu/iiif/2/"&amp;Table9[[#This Row],[Image ID]]&amp;"/full/843,/0/default.jpg"</f>
        <v>https://www.artic.edu/iiif/2/f117b976-3897-fbbd-7a1f-ac8a5ccbfa51/full/843,/0/default.jpg</v>
      </c>
      <c r="N126" s="3">
        <v>0.9</v>
      </c>
      <c r="O126" s="3">
        <v>0.05</v>
      </c>
      <c r="P126" s="3">
        <v>0.85</v>
      </c>
      <c r="Q126" s="3">
        <v>0.79559236764907804</v>
      </c>
    </row>
    <row r="127" spans="1:17" x14ac:dyDescent="0.45">
      <c r="A127" s="3">
        <v>190830</v>
      </c>
      <c r="B127" t="b">
        <v>0</v>
      </c>
      <c r="C127" t="b">
        <v>0</v>
      </c>
      <c r="D127" s="3">
        <v>1989</v>
      </c>
      <c r="E127" s="3">
        <v>1989</v>
      </c>
      <c r="F127" t="s">
        <v>5176</v>
      </c>
      <c r="G127" t="s">
        <v>5174</v>
      </c>
      <c r="H127" s="3">
        <v>8.8475999999999999</v>
      </c>
      <c r="I127" t="s">
        <v>2254</v>
      </c>
      <c r="J127" t="s">
        <v>11202</v>
      </c>
      <c r="L127" t="s">
        <v>5177</v>
      </c>
      <c r="M127" t="str">
        <f>"https://www.artic.edu/iiif/2/"&amp;Table9[[#This Row],[Image ID]]&amp;"/full/843,/0/default.jpg"</f>
        <v>https://www.artic.edu/iiif/2/ebd9caaa-d321-4e61-d6c7-09a45953848d/full/843,/0/default.jpg</v>
      </c>
      <c r="N127" s="3">
        <v>0.92900000000000005</v>
      </c>
      <c r="O127" s="3">
        <v>9.5000000000000001E-2</v>
      </c>
      <c r="P127" s="3">
        <v>0.83400000000000007</v>
      </c>
      <c r="Q127" s="3">
        <v>0.88699507713317804</v>
      </c>
    </row>
    <row r="128" spans="1:17" x14ac:dyDescent="0.45">
      <c r="A128" s="3">
        <v>113250</v>
      </c>
      <c r="B128" t="b">
        <v>0</v>
      </c>
      <c r="C128" t="b">
        <v>1</v>
      </c>
      <c r="D128" s="3">
        <v>1851</v>
      </c>
      <c r="E128" s="3">
        <v>1861</v>
      </c>
      <c r="F128" t="s">
        <v>1387</v>
      </c>
      <c r="G128" t="s">
        <v>1374</v>
      </c>
      <c r="H128" s="3">
        <v>27.663499999999999</v>
      </c>
      <c r="I128" t="s">
        <v>1295</v>
      </c>
      <c r="J128" t="s">
        <v>11777</v>
      </c>
      <c r="L128" t="s">
        <v>1388</v>
      </c>
      <c r="M128" t="str">
        <f>"https://www.artic.edu/iiif/2/"&amp;Table9[[#This Row],[Image ID]]&amp;"/full/843,/0/default.jpg"</f>
        <v>https://www.artic.edu/iiif/2/378beec7-a0e4-6a63-9755-0c63d2cfcaba/full/843,/0/default.jpg</v>
      </c>
      <c r="N128" s="3">
        <v>0.90500000000000003</v>
      </c>
      <c r="O128" s="3">
        <v>7.0999999999999994E-2</v>
      </c>
      <c r="P128" s="3">
        <v>0.83400000000000007</v>
      </c>
      <c r="Q128" s="3">
        <v>0.76762181520462003</v>
      </c>
    </row>
    <row r="129" spans="1:17" x14ac:dyDescent="0.45">
      <c r="A129" s="3">
        <v>238754</v>
      </c>
      <c r="B129" t="b">
        <v>0</v>
      </c>
      <c r="C129" t="b">
        <v>0</v>
      </c>
      <c r="D129" s="3">
        <v>1991</v>
      </c>
      <c r="E129" s="3">
        <v>1991</v>
      </c>
      <c r="F129" t="s">
        <v>6334</v>
      </c>
      <c r="G129" t="s">
        <v>3118</v>
      </c>
      <c r="H129" s="3">
        <v>22.3215</v>
      </c>
      <c r="I129" t="s">
        <v>14552</v>
      </c>
      <c r="J129" t="s">
        <v>11069</v>
      </c>
      <c r="L129" t="s">
        <v>6335</v>
      </c>
      <c r="M129" t="str">
        <f>"https://www.artic.edu/iiif/2/"&amp;Table9[[#This Row],[Image ID]]&amp;"/full/843,/0/default.jpg"</f>
        <v>https://www.artic.edu/iiif/2/06f014d4-1872-577a-dfb9-2f831d086a82/full/843,/0/default.jpg</v>
      </c>
      <c r="N129" s="3">
        <v>0.88100000000000001</v>
      </c>
      <c r="O129" s="3">
        <v>4.8000000000000001E-2</v>
      </c>
      <c r="P129" s="3">
        <v>0.83299999999999996</v>
      </c>
      <c r="Q129" s="3">
        <v>0.93799841403961104</v>
      </c>
    </row>
    <row r="130" spans="1:17" x14ac:dyDescent="0.45">
      <c r="A130" s="3">
        <v>236741</v>
      </c>
      <c r="B130" t="b">
        <v>0</v>
      </c>
      <c r="C130" t="b">
        <v>0</v>
      </c>
      <c r="D130" s="3">
        <v>2004</v>
      </c>
      <c r="E130" s="3">
        <v>2004</v>
      </c>
      <c r="F130" t="s">
        <v>6287</v>
      </c>
      <c r="G130" t="s">
        <v>75</v>
      </c>
      <c r="H130" s="3">
        <v>21.7239</v>
      </c>
      <c r="I130" t="s">
        <v>4952</v>
      </c>
      <c r="J130" t="s">
        <v>11411</v>
      </c>
      <c r="K130" s="5" t="s">
        <v>15</v>
      </c>
      <c r="L130" t="s">
        <v>6288</v>
      </c>
      <c r="M130" t="str">
        <f>"https://www.artic.edu/iiif/2/"&amp;Table9[[#This Row],[Image ID]]&amp;"/full/843,/0/default.jpg"</f>
        <v>https://www.artic.edu/iiif/2/1f5a5dce-9184-fe98-bd8c-07db675af2d7/full/843,/0/default.jpg</v>
      </c>
      <c r="N130" s="3">
        <v>0.88100000000000001</v>
      </c>
      <c r="O130" s="3">
        <v>4.8000000000000001E-2</v>
      </c>
      <c r="P130" s="3">
        <v>0.83299999999999996</v>
      </c>
      <c r="Q130" s="3">
        <v>0.79977560043334905</v>
      </c>
    </row>
    <row r="131" spans="1:17" x14ac:dyDescent="0.45">
      <c r="A131" s="3">
        <v>257404</v>
      </c>
      <c r="B131" t="b">
        <v>0</v>
      </c>
      <c r="C131" t="b">
        <v>0</v>
      </c>
      <c r="D131" s="3">
        <v>1964</v>
      </c>
      <c r="E131" s="3">
        <v>1964</v>
      </c>
      <c r="F131" t="s">
        <v>6568</v>
      </c>
      <c r="G131" t="s">
        <v>7</v>
      </c>
      <c r="H131" s="3">
        <v>60.699300000000001</v>
      </c>
      <c r="I131" t="s">
        <v>3918</v>
      </c>
      <c r="J131" t="s">
        <v>11036</v>
      </c>
      <c r="L131" t="s">
        <v>6569</v>
      </c>
      <c r="M131" t="str">
        <f>"https://www.artic.edu/iiif/2/"&amp;Table9[[#This Row],[Image ID]]&amp;"/full/843,/0/default.jpg"</f>
        <v>https://www.artic.edu/iiif/2/045cd4c2-5123-9187-0a01-e3a33916b994/full/843,/0/default.jpg</v>
      </c>
      <c r="N131" s="3">
        <v>0.878</v>
      </c>
      <c r="O131" s="3">
        <v>4.8000000000000001E-2</v>
      </c>
      <c r="P131" s="3">
        <v>0.83</v>
      </c>
      <c r="Q131" s="3">
        <v>0.77697336673736495</v>
      </c>
    </row>
    <row r="132" spans="1:17" x14ac:dyDescent="0.45">
      <c r="A132" s="3">
        <v>15257</v>
      </c>
      <c r="B132" t="b">
        <v>0</v>
      </c>
      <c r="C132" t="b">
        <v>0</v>
      </c>
      <c r="D132" s="3">
        <v>1962</v>
      </c>
      <c r="E132" s="3">
        <v>1962</v>
      </c>
      <c r="F132" t="s">
        <v>3894</v>
      </c>
      <c r="G132" t="s">
        <v>250</v>
      </c>
      <c r="H132" s="3">
        <v>87.921499999999995</v>
      </c>
      <c r="I132" t="s">
        <v>791</v>
      </c>
      <c r="J132" t="s">
        <v>12695</v>
      </c>
      <c r="L132" t="s">
        <v>3895</v>
      </c>
      <c r="M132" t="str">
        <f>"https://www.artic.edu/iiif/2/"&amp;Table9[[#This Row],[Image ID]]&amp;"/full/843,/0/default.jpg"</f>
        <v>https://www.artic.edu/iiif/2/c696dd0e-3166-f4e3-3159-525bf266249a/full/843,/0/default.jpg</v>
      </c>
      <c r="N132" s="3">
        <v>0.92700000000000005</v>
      </c>
      <c r="O132" s="3">
        <v>9.8000000000000004E-2</v>
      </c>
      <c r="P132" s="3">
        <v>0.82900000000000007</v>
      </c>
      <c r="Q132" s="3">
        <v>0.88506191968917802</v>
      </c>
    </row>
    <row r="133" spans="1:17" x14ac:dyDescent="0.45">
      <c r="A133" s="3">
        <v>25019</v>
      </c>
      <c r="B133" t="b">
        <v>0</v>
      </c>
      <c r="C133" t="b">
        <v>0</v>
      </c>
      <c r="D133" s="3">
        <v>1965</v>
      </c>
      <c r="E133" s="3">
        <v>1965</v>
      </c>
      <c r="F133" t="s">
        <v>6460</v>
      </c>
      <c r="G133" t="s">
        <v>2373</v>
      </c>
      <c r="H133" s="3">
        <v>25.1599</v>
      </c>
      <c r="I133" t="s">
        <v>6461</v>
      </c>
      <c r="J133" t="s">
        <v>13956</v>
      </c>
      <c r="L133" t="s">
        <v>6462</v>
      </c>
      <c r="M133" t="str">
        <f>"https://www.artic.edu/iiif/2/"&amp;Table9[[#This Row],[Image ID]]&amp;"/full/843,/0/default.jpg"</f>
        <v>https://www.artic.edu/iiif/2/d85f52f9-d60a-1485-cccb-892cd18fdfcd/full/843,/0/default.jpg</v>
      </c>
      <c r="N133" s="3">
        <v>0.90200000000000002</v>
      </c>
      <c r="O133" s="3">
        <v>7.2999999999999995E-2</v>
      </c>
      <c r="P133" s="3">
        <v>0.82900000000000007</v>
      </c>
      <c r="Q133" s="3">
        <v>0.92939639091491699</v>
      </c>
    </row>
    <row r="134" spans="1:17" x14ac:dyDescent="0.45">
      <c r="A134" s="3">
        <v>70185</v>
      </c>
      <c r="B134" t="b">
        <v>0</v>
      </c>
      <c r="C134" t="b">
        <v>0</v>
      </c>
      <c r="D134" s="3">
        <v>1983</v>
      </c>
      <c r="E134" s="3">
        <v>1987</v>
      </c>
      <c r="F134" t="s">
        <v>9447</v>
      </c>
      <c r="G134" t="s">
        <v>7</v>
      </c>
      <c r="H134" s="3">
        <v>14.754899999999999</v>
      </c>
      <c r="I134" t="s">
        <v>2402</v>
      </c>
      <c r="J134" t="s">
        <v>14292</v>
      </c>
      <c r="L134" t="s">
        <v>9448</v>
      </c>
      <c r="M134" t="str">
        <f>"https://www.artic.edu/iiif/2/"&amp;Table9[[#This Row],[Image ID]]&amp;"/full/843,/0/default.jpg"</f>
        <v>https://www.artic.edu/iiif/2/ee59c1e1-c464-8f95-2e40-6daedf237e48/full/843,/0/default.jpg</v>
      </c>
      <c r="N134" s="3">
        <v>0.90200000000000002</v>
      </c>
      <c r="O134" s="3">
        <v>7.2999999999999995E-2</v>
      </c>
      <c r="P134" s="3">
        <v>0.82900000000000007</v>
      </c>
      <c r="Q134" s="3">
        <v>0.73660176992416304</v>
      </c>
    </row>
    <row r="135" spans="1:17" x14ac:dyDescent="0.45">
      <c r="A135" s="3">
        <v>61139</v>
      </c>
      <c r="B135" t="b">
        <v>0</v>
      </c>
      <c r="C135" t="b">
        <v>1</v>
      </c>
      <c r="D135" s="3">
        <v>1825</v>
      </c>
      <c r="E135" s="3">
        <v>1825</v>
      </c>
      <c r="F135" t="s">
        <v>8777</v>
      </c>
      <c r="G135" t="s">
        <v>75</v>
      </c>
      <c r="H135" s="3">
        <v>29.747499999999999</v>
      </c>
      <c r="I135" t="s">
        <v>8778</v>
      </c>
      <c r="J135" t="s">
        <v>11584</v>
      </c>
      <c r="K135" s="5" t="s">
        <v>125</v>
      </c>
      <c r="L135" t="s">
        <v>8779</v>
      </c>
      <c r="M135" t="str">
        <f>"https://www.artic.edu/iiif/2/"&amp;Table9[[#This Row],[Image ID]]&amp;"/full/843,/0/default.jpg"</f>
        <v>https://www.artic.edu/iiif/2/29ed4a54-868c-a158-f574-cddfdffe809c/full/843,/0/default.jpg</v>
      </c>
      <c r="N135" s="3">
        <v>0.90200000000000002</v>
      </c>
      <c r="O135" s="3">
        <v>7.2999999999999995E-2</v>
      </c>
      <c r="P135" s="3">
        <v>0.82900000000000007</v>
      </c>
      <c r="Q135" s="3">
        <v>0.85293871164321899</v>
      </c>
    </row>
    <row r="136" spans="1:17" x14ac:dyDescent="0.45">
      <c r="A136" s="3">
        <v>61158</v>
      </c>
      <c r="B136" t="b">
        <v>0</v>
      </c>
      <c r="C136" t="b">
        <v>1</v>
      </c>
      <c r="D136" s="3">
        <v>1836</v>
      </c>
      <c r="E136" s="3">
        <v>1840</v>
      </c>
      <c r="F136" t="s">
        <v>8791</v>
      </c>
      <c r="G136" t="s">
        <v>7</v>
      </c>
      <c r="H136" s="3">
        <v>28.0852</v>
      </c>
      <c r="I136" t="s">
        <v>8792</v>
      </c>
      <c r="J136" t="s">
        <v>13008</v>
      </c>
      <c r="K136" s="5" t="s">
        <v>125</v>
      </c>
      <c r="L136" t="s">
        <v>8793</v>
      </c>
      <c r="M136" t="str">
        <f>"https://www.artic.edu/iiif/2/"&amp;Table9[[#This Row],[Image ID]]&amp;"/full/843,/0/default.jpg"</f>
        <v>https://www.artic.edu/iiif/2/8e7bbaa0-1748-3844-56ce-f6c22c50e583/full/843,/0/default.jpg</v>
      </c>
      <c r="N136" s="3">
        <v>0.90200000000000002</v>
      </c>
      <c r="O136" s="3">
        <v>7.2999999999999995E-2</v>
      </c>
      <c r="P136" s="3">
        <v>0.82900000000000007</v>
      </c>
      <c r="Q136" s="3">
        <v>0.88761949539184504</v>
      </c>
    </row>
    <row r="137" spans="1:17" x14ac:dyDescent="0.45">
      <c r="A137" s="3">
        <v>115183</v>
      </c>
      <c r="B137" t="b">
        <v>0</v>
      </c>
      <c r="C137" t="b">
        <v>1</v>
      </c>
      <c r="D137" s="3">
        <v>1835</v>
      </c>
      <c r="E137" s="3">
        <v>1882</v>
      </c>
      <c r="F137" t="s">
        <v>1818</v>
      </c>
      <c r="G137" t="s">
        <v>1774</v>
      </c>
      <c r="H137" s="3">
        <v>21.637499999999999</v>
      </c>
      <c r="I137" t="s">
        <v>1555</v>
      </c>
      <c r="J137" t="s">
        <v>13192</v>
      </c>
      <c r="L137" t="s">
        <v>1819</v>
      </c>
      <c r="M137" t="str">
        <f>"https://www.artic.edu/iiif/2/"&amp;Table9[[#This Row],[Image ID]]&amp;"/full/843,/0/default.jpg"</f>
        <v>https://www.artic.edu/iiif/2/9d0161ca-504d-44be-b99c-9b4e06798d47/full/843,/0/default.jpg</v>
      </c>
      <c r="N137" s="3">
        <v>0.90200000000000002</v>
      </c>
      <c r="O137" s="3">
        <v>7.2999999999999995E-2</v>
      </c>
      <c r="P137" s="3">
        <v>0.82900000000000007</v>
      </c>
      <c r="Q137" s="3">
        <v>0.82787293195724398</v>
      </c>
    </row>
    <row r="138" spans="1:17" x14ac:dyDescent="0.45">
      <c r="A138" s="3">
        <v>81901</v>
      </c>
      <c r="B138" t="b">
        <v>0</v>
      </c>
      <c r="C138" t="b">
        <v>1</v>
      </c>
      <c r="D138" s="3">
        <v>1519</v>
      </c>
      <c r="E138" s="3">
        <v>1543</v>
      </c>
      <c r="F138" t="s">
        <v>10150</v>
      </c>
      <c r="G138" t="s">
        <v>10151</v>
      </c>
      <c r="H138" s="3">
        <v>46.226399999999998</v>
      </c>
      <c r="I138" t="s">
        <v>881</v>
      </c>
      <c r="J138" t="s">
        <v>13800</v>
      </c>
      <c r="L138" t="s">
        <v>10152</v>
      </c>
      <c r="M138" t="str">
        <f>"https://www.artic.edu/iiif/2/"&amp;Table9[[#This Row],[Image ID]]&amp;"/full/843,/0/default.jpg"</f>
        <v>https://www.artic.edu/iiif/2/cbf38585-f164-5b8a-2827-873a4a0a752e/full/843,/0/default.jpg</v>
      </c>
      <c r="N138" s="3">
        <v>0.90200000000000002</v>
      </c>
      <c r="O138" s="3">
        <v>7.2999999999999995E-2</v>
      </c>
      <c r="P138" s="3">
        <v>0.82900000000000007</v>
      </c>
      <c r="Q138" s="3">
        <v>0.80892163515090898</v>
      </c>
    </row>
    <row r="139" spans="1:17" x14ac:dyDescent="0.45">
      <c r="A139" s="3">
        <v>117241</v>
      </c>
      <c r="B139" t="b">
        <v>0</v>
      </c>
      <c r="C139" t="b">
        <v>0</v>
      </c>
      <c r="D139" s="3">
        <v>1937</v>
      </c>
      <c r="E139" s="3">
        <v>1937</v>
      </c>
      <c r="F139" t="s">
        <v>2260</v>
      </c>
      <c r="G139" t="s">
        <v>250</v>
      </c>
      <c r="H139" s="3">
        <v>27.3735</v>
      </c>
      <c r="I139" t="s">
        <v>1504</v>
      </c>
      <c r="J139" t="s">
        <v>11428</v>
      </c>
      <c r="L139" t="s">
        <v>2261</v>
      </c>
      <c r="M139" t="str">
        <f>"https://www.artic.edu/iiif/2/"&amp;Table9[[#This Row],[Image ID]]&amp;"/full/843,/0/default.jpg"</f>
        <v>https://www.artic.edu/iiif/2/1ff6d8fe-5cc0-f7b4-5af5-870df19f0330/full/843,/0/default.jpg</v>
      </c>
      <c r="N139" s="3">
        <v>0.878</v>
      </c>
      <c r="O139" s="3">
        <v>4.9000000000000002E-2</v>
      </c>
      <c r="P139" s="3">
        <v>0.82899999999999996</v>
      </c>
      <c r="Q139" s="3">
        <v>0.85554766654968195</v>
      </c>
    </row>
    <row r="140" spans="1:17" x14ac:dyDescent="0.45">
      <c r="A140" s="3">
        <v>97396</v>
      </c>
      <c r="B140" t="b">
        <v>0</v>
      </c>
      <c r="C140" t="b">
        <v>0</v>
      </c>
      <c r="D140" s="3">
        <v>1978</v>
      </c>
      <c r="E140" s="3">
        <v>1978</v>
      </c>
      <c r="F140" t="s">
        <v>10816</v>
      </c>
      <c r="G140" t="s">
        <v>7</v>
      </c>
      <c r="H140" s="3">
        <v>26.993400000000001</v>
      </c>
      <c r="I140" t="s">
        <v>2439</v>
      </c>
      <c r="J140" t="s">
        <v>11502</v>
      </c>
      <c r="L140" t="s">
        <v>10817</v>
      </c>
      <c r="M140" t="str">
        <f>"https://www.artic.edu/iiif/2/"&amp;Table9[[#This Row],[Image ID]]&amp;"/full/843,/0/default.jpg"</f>
        <v>https://www.artic.edu/iiif/2/25875572-288f-c9c2-5046-328848f0c8a8/full/843,/0/default.jpg</v>
      </c>
      <c r="N140" s="3">
        <v>0.82899999999999996</v>
      </c>
      <c r="O140" s="3">
        <v>0</v>
      </c>
      <c r="P140" s="3">
        <v>0.82899999999999996</v>
      </c>
      <c r="Q140" s="3">
        <v>0.80420798063278198</v>
      </c>
    </row>
    <row r="141" spans="1:17" x14ac:dyDescent="0.45">
      <c r="A141" s="3">
        <v>73049</v>
      </c>
      <c r="B141" t="b">
        <v>0</v>
      </c>
      <c r="C141" t="b">
        <v>0</v>
      </c>
      <c r="D141" s="3">
        <v>1968</v>
      </c>
      <c r="E141" s="3">
        <v>1968</v>
      </c>
      <c r="F141" t="s">
        <v>5502</v>
      </c>
      <c r="G141" t="s">
        <v>7</v>
      </c>
      <c r="H141" s="3">
        <v>7.8087</v>
      </c>
      <c r="I141" t="s">
        <v>3826</v>
      </c>
      <c r="J141" t="s">
        <v>13500</v>
      </c>
      <c r="L141" t="s">
        <v>9591</v>
      </c>
      <c r="M141" t="str">
        <f>"https://www.artic.edu/iiif/2/"&amp;Table9[[#This Row],[Image ID]]&amp;"/full/843,/0/default.jpg"</f>
        <v>https://www.artic.edu/iiif/2/b7a8f2b4-a17a-8266-7710-f7f82a80ccf8/full/843,/0/default.jpg</v>
      </c>
      <c r="N141" s="3">
        <v>0.878</v>
      </c>
      <c r="O141" s="3">
        <v>4.9000000000000002E-2</v>
      </c>
      <c r="P141" s="3">
        <v>0.82899999999999996</v>
      </c>
      <c r="Q141" s="3">
        <v>0.82244890928268399</v>
      </c>
    </row>
    <row r="142" spans="1:17" x14ac:dyDescent="0.45">
      <c r="A142" s="3">
        <v>59865</v>
      </c>
      <c r="B142" t="b">
        <v>0</v>
      </c>
      <c r="C142" t="b">
        <v>0</v>
      </c>
      <c r="D142" s="3">
        <v>1925</v>
      </c>
      <c r="E142" s="3">
        <v>1930</v>
      </c>
      <c r="F142" t="s">
        <v>8608</v>
      </c>
      <c r="G142" t="s">
        <v>7</v>
      </c>
      <c r="H142" s="3">
        <v>27.539100000000001</v>
      </c>
      <c r="I142" t="s">
        <v>14554</v>
      </c>
      <c r="J142" t="s">
        <v>14299</v>
      </c>
      <c r="L142" t="s">
        <v>8609</v>
      </c>
      <c r="M142" t="str">
        <f>"https://www.artic.edu/iiif/2/"&amp;Table9[[#This Row],[Image ID]]&amp;"/full/843,/0/default.jpg"</f>
        <v>https://www.artic.edu/iiif/2/ef0b4c76-c524-053a-f171-3e05f01f8d27/full/843,/0/default.jpg</v>
      </c>
      <c r="N142" s="3">
        <v>0.878</v>
      </c>
      <c r="O142" s="3">
        <v>4.9000000000000002E-2</v>
      </c>
      <c r="P142" s="3">
        <v>0.82899999999999996</v>
      </c>
      <c r="Q142" s="3">
        <v>0.85687732696533203</v>
      </c>
    </row>
    <row r="143" spans="1:17" x14ac:dyDescent="0.45">
      <c r="A143" s="3">
        <v>16794</v>
      </c>
      <c r="B143" t="b">
        <v>0</v>
      </c>
      <c r="C143" t="b">
        <v>1</v>
      </c>
      <c r="D143" s="3">
        <v>1899</v>
      </c>
      <c r="E143" s="3">
        <v>1899</v>
      </c>
      <c r="F143" t="s">
        <v>4580</v>
      </c>
      <c r="G143" t="s">
        <v>4581</v>
      </c>
      <c r="H143" s="3">
        <v>22.622800000000002</v>
      </c>
      <c r="I143" t="s">
        <v>1337</v>
      </c>
      <c r="J143" t="s">
        <v>12056</v>
      </c>
      <c r="L143" t="s">
        <v>4582</v>
      </c>
      <c r="M143" t="str">
        <f>"https://www.artic.edu/iiif/2/"&amp;Table9[[#This Row],[Image ID]]&amp;"/full/843,/0/default.jpg"</f>
        <v>https://www.artic.edu/iiif/2/4a076002-dffe-54e9-5256-0691c3a65c3b/full/843,/0/default.jpg</v>
      </c>
      <c r="N143" s="3">
        <v>0.878</v>
      </c>
      <c r="O143" s="3">
        <v>4.9000000000000002E-2</v>
      </c>
      <c r="P143" s="3">
        <v>0.82899999999999996</v>
      </c>
      <c r="Q143" s="3">
        <v>0.75795352458953802</v>
      </c>
    </row>
    <row r="144" spans="1:17" x14ac:dyDescent="0.45">
      <c r="A144" s="3">
        <v>114318</v>
      </c>
      <c r="B144" t="b">
        <v>0</v>
      </c>
      <c r="C144" t="b">
        <v>1</v>
      </c>
      <c r="D144" s="3">
        <v>1754</v>
      </c>
      <c r="E144" s="3">
        <v>1796</v>
      </c>
      <c r="F144" t="s">
        <v>1582</v>
      </c>
      <c r="G144" t="s">
        <v>1583</v>
      </c>
      <c r="H144" s="3">
        <v>31.3047</v>
      </c>
      <c r="I144" t="s">
        <v>1584</v>
      </c>
      <c r="J144" t="s">
        <v>13842</v>
      </c>
      <c r="L144" t="s">
        <v>1585</v>
      </c>
      <c r="M144" t="str">
        <f>"https://www.artic.edu/iiif/2/"&amp;Table9[[#This Row],[Image ID]]&amp;"/full/843,/0/default.jpg"</f>
        <v>https://www.artic.edu/iiif/2/cfcd4a54-d301-9ba9-8ec9-19169f66cf43/full/843,/0/default.jpg</v>
      </c>
      <c r="N144" s="3">
        <v>0.878</v>
      </c>
      <c r="O144" s="3">
        <v>4.9000000000000002E-2</v>
      </c>
      <c r="P144" s="3">
        <v>0.82899999999999996</v>
      </c>
      <c r="Q144" s="3">
        <v>0.71867460012435902</v>
      </c>
    </row>
    <row r="145" spans="1:17" x14ac:dyDescent="0.45">
      <c r="A145" s="3">
        <v>95613</v>
      </c>
      <c r="B145" t="b">
        <v>0</v>
      </c>
      <c r="C145" t="b">
        <v>1</v>
      </c>
      <c r="D145" s="3">
        <v>1878</v>
      </c>
      <c r="E145" s="3">
        <v>1878</v>
      </c>
      <c r="F145" t="s">
        <v>10772</v>
      </c>
      <c r="G145" t="s">
        <v>7</v>
      </c>
      <c r="H145" s="3">
        <v>0</v>
      </c>
      <c r="I145" t="s">
        <v>10773</v>
      </c>
      <c r="J145" t="s">
        <v>13878</v>
      </c>
      <c r="L145" t="s">
        <v>10774</v>
      </c>
      <c r="M145" t="str">
        <f>"https://www.artic.edu/iiif/2/"&amp;Table9[[#This Row],[Image ID]]&amp;"/full/843,/0/default.jpg"</f>
        <v>https://www.artic.edu/iiif/2/d36bfff3-6670-e3c8-c087-df4b51683b71/full/843,/0/default.jpg</v>
      </c>
      <c r="N145" s="3">
        <v>0.878</v>
      </c>
      <c r="O145" s="3">
        <v>4.9000000000000002E-2</v>
      </c>
      <c r="P145" s="3">
        <v>0.82899999999999996</v>
      </c>
      <c r="Q145" s="3">
        <v>0.73831266164779596</v>
      </c>
    </row>
    <row r="146" spans="1:17" x14ac:dyDescent="0.45">
      <c r="A146" s="3">
        <v>62271</v>
      </c>
      <c r="B146" t="b">
        <v>0</v>
      </c>
      <c r="C146" t="b">
        <v>0</v>
      </c>
      <c r="D146" s="3">
        <v>1931</v>
      </c>
      <c r="E146" s="3">
        <v>1931</v>
      </c>
      <c r="F146" t="s">
        <v>1653</v>
      </c>
      <c r="G146" t="s">
        <v>7</v>
      </c>
      <c r="H146" s="3">
        <v>16.311699999999998</v>
      </c>
      <c r="I146" t="s">
        <v>378</v>
      </c>
      <c r="J146" t="s">
        <v>12178</v>
      </c>
      <c r="K146" s="5" t="s">
        <v>45</v>
      </c>
      <c r="L146" t="s">
        <v>8867</v>
      </c>
      <c r="M146" t="str">
        <f>"https://www.artic.edu/iiif/2/"&amp;Table9[[#This Row],[Image ID]]&amp;"/full/843,/0/default.jpg"</f>
        <v>https://www.artic.edu/iiif/2/528f813c-9a8b-b07a-d28f-ac443bac4dd8/full/843,/0/default.jpg</v>
      </c>
      <c r="N146" s="3">
        <v>0.9</v>
      </c>
      <c r="O146" s="3">
        <v>7.2999999999999995E-2</v>
      </c>
      <c r="P146" s="3">
        <v>0.82700000000000007</v>
      </c>
      <c r="Q146" s="3">
        <v>0.84354019165038996</v>
      </c>
    </row>
    <row r="147" spans="1:17" x14ac:dyDescent="0.45">
      <c r="A147" s="3">
        <v>184668</v>
      </c>
      <c r="B147" t="b">
        <v>0</v>
      </c>
      <c r="C147" t="b">
        <v>1</v>
      </c>
      <c r="D147" s="3">
        <v>1601</v>
      </c>
      <c r="E147" s="3">
        <v>1700</v>
      </c>
      <c r="F147" t="s">
        <v>4820</v>
      </c>
      <c r="G147" t="s">
        <v>463</v>
      </c>
      <c r="H147" s="3">
        <v>63.662300000000002</v>
      </c>
      <c r="J147" t="s">
        <v>13571</v>
      </c>
      <c r="K147" s="5" t="s">
        <v>5</v>
      </c>
      <c r="L147" t="s">
        <v>4821</v>
      </c>
      <c r="M147" t="str">
        <f>"https://www.artic.edu/iiif/2/"&amp;Table9[[#This Row],[Image ID]]&amp;"/full/843,/0/default.jpg"</f>
        <v>https://www.artic.edu/iiif/2/ba490e49-d2dc-907d-2809-ef22ff15f547/full/843,/0/default.jpg</v>
      </c>
      <c r="N147" s="3">
        <v>0.9</v>
      </c>
      <c r="O147" s="3">
        <v>7.2999999999999995E-2</v>
      </c>
      <c r="P147" s="3">
        <v>0.82700000000000007</v>
      </c>
      <c r="Q147" s="3">
        <v>0.84399020671844405</v>
      </c>
    </row>
    <row r="148" spans="1:17" x14ac:dyDescent="0.45">
      <c r="A148" s="3">
        <v>104672</v>
      </c>
      <c r="B148" t="b">
        <v>0</v>
      </c>
      <c r="C148" t="b">
        <v>0</v>
      </c>
      <c r="D148" s="3">
        <v>1876</v>
      </c>
      <c r="E148" s="3">
        <v>1876</v>
      </c>
      <c r="F148" t="s">
        <v>455</v>
      </c>
      <c r="G148" t="s">
        <v>456</v>
      </c>
      <c r="H148" s="3">
        <v>29.5626</v>
      </c>
      <c r="I148" t="s">
        <v>73</v>
      </c>
      <c r="J148" t="s">
        <v>11880</v>
      </c>
      <c r="L148" t="s">
        <v>457</v>
      </c>
      <c r="M148" t="str">
        <f>"https://www.artic.edu/iiif/2/"&amp;Table9[[#This Row],[Image ID]]&amp;"/full/843,/0/default.jpg"</f>
        <v>https://www.artic.edu/iiif/2/3db962fb-17bc-2788-3e1d-4adf15f2ba6d/full/843,/0/default.jpg</v>
      </c>
      <c r="N148" s="3">
        <v>0.85</v>
      </c>
      <c r="O148" s="3">
        <v>2.4E-2</v>
      </c>
      <c r="P148" s="3">
        <v>0.82599999999999996</v>
      </c>
      <c r="Q148" s="3">
        <v>0.85304999351501398</v>
      </c>
    </row>
    <row r="149" spans="1:17" x14ac:dyDescent="0.45">
      <c r="A149" s="3">
        <v>111326</v>
      </c>
      <c r="B149" t="b">
        <v>0</v>
      </c>
      <c r="C149" t="b">
        <v>0</v>
      </c>
      <c r="D149" s="3">
        <v>1902</v>
      </c>
      <c r="E149" s="3">
        <v>1902</v>
      </c>
      <c r="F149" t="s">
        <v>1074</v>
      </c>
      <c r="G149" t="s">
        <v>7</v>
      </c>
      <c r="H149" s="3">
        <v>27.041399999999999</v>
      </c>
      <c r="I149" t="s">
        <v>1075</v>
      </c>
      <c r="J149" t="s">
        <v>12596</v>
      </c>
      <c r="K149" s="5" t="s">
        <v>9</v>
      </c>
      <c r="L149" t="s">
        <v>1076</v>
      </c>
      <c r="M149" t="str">
        <f>"https://www.artic.edu/iiif/2/"&amp;Table9[[#This Row],[Image ID]]&amp;"/full/843,/0/default.jpg"</f>
        <v>https://www.artic.edu/iiif/2/6f92b799-de7c-7603-3644-3934563703f2/full/843,/0/default.jpg</v>
      </c>
      <c r="N149" s="3">
        <v>0.85</v>
      </c>
      <c r="O149" s="3">
        <v>2.4E-2</v>
      </c>
      <c r="P149" s="3">
        <v>0.82599999999999996</v>
      </c>
      <c r="Q149" s="3">
        <v>0.68286478519439697</v>
      </c>
    </row>
    <row r="150" spans="1:17" x14ac:dyDescent="0.45">
      <c r="A150" s="3">
        <v>100227</v>
      </c>
      <c r="B150" t="b">
        <v>0</v>
      </c>
      <c r="C150" t="b">
        <v>0</v>
      </c>
      <c r="D150" s="3">
        <v>1982</v>
      </c>
      <c r="E150" s="3">
        <v>1982</v>
      </c>
      <c r="F150" t="s">
        <v>51</v>
      </c>
      <c r="G150" t="s">
        <v>7</v>
      </c>
      <c r="H150" s="3">
        <v>48.01</v>
      </c>
      <c r="I150" t="s">
        <v>52</v>
      </c>
      <c r="J150" t="s">
        <v>14037</v>
      </c>
      <c r="L150" t="s">
        <v>53</v>
      </c>
      <c r="M150" t="str">
        <f>"https://www.artic.edu/iiif/2/"&amp;Table9[[#This Row],[Image ID]]&amp;"/full/843,/0/default.jpg"</f>
        <v>https://www.artic.edu/iiif/2/de1e2f41-8bbc-4530-7d63-e9cbcae88de7/full/843,/0/default.jpg</v>
      </c>
      <c r="N150" s="3">
        <v>0.85</v>
      </c>
      <c r="O150" s="3">
        <v>2.4E-2</v>
      </c>
      <c r="P150" s="3">
        <v>0.82599999999999996</v>
      </c>
      <c r="Q150" s="3">
        <v>0.80576705932617099</v>
      </c>
    </row>
    <row r="151" spans="1:17" x14ac:dyDescent="0.45">
      <c r="A151" s="3">
        <v>58622</v>
      </c>
      <c r="B151" t="b">
        <v>0</v>
      </c>
      <c r="C151" t="b">
        <v>0</v>
      </c>
      <c r="D151" s="3">
        <v>1904</v>
      </c>
      <c r="E151" s="3">
        <v>1974</v>
      </c>
      <c r="F151" t="s">
        <v>8527</v>
      </c>
      <c r="G151" t="s">
        <v>6820</v>
      </c>
      <c r="H151" s="3">
        <v>42.3583</v>
      </c>
      <c r="I151" t="s">
        <v>14560</v>
      </c>
      <c r="J151" t="s">
        <v>11696</v>
      </c>
      <c r="L151" t="s">
        <v>8528</v>
      </c>
      <c r="M151" t="str">
        <f>"https://www.artic.edu/iiif/2/"&amp;Table9[[#This Row],[Image ID]]&amp;"/full/843,/0/default.jpg"</f>
        <v>https://www.artic.edu/iiif/2/315f62a3-34a7-40a7-24f8-4ce495568e2f/full/843,/0/default.jpg</v>
      </c>
      <c r="N151" s="3">
        <v>0.9</v>
      </c>
      <c r="O151" s="3">
        <v>7.4999999999999997E-2</v>
      </c>
      <c r="P151" s="3">
        <v>0.82500000000000007</v>
      </c>
      <c r="Q151" s="3">
        <v>0.74695885181427002</v>
      </c>
    </row>
    <row r="152" spans="1:17" x14ac:dyDescent="0.45">
      <c r="A152" s="3">
        <v>186825</v>
      </c>
      <c r="B152" t="b">
        <v>0</v>
      </c>
      <c r="C152" t="b">
        <v>0</v>
      </c>
      <c r="D152" s="3">
        <v>1978</v>
      </c>
      <c r="E152" s="3">
        <v>1978</v>
      </c>
      <c r="F152" t="s">
        <v>5076</v>
      </c>
      <c r="G152" t="s">
        <v>4220</v>
      </c>
      <c r="H152" s="3">
        <v>39.316600000000001</v>
      </c>
      <c r="I152" t="s">
        <v>18</v>
      </c>
      <c r="J152" t="s">
        <v>11918</v>
      </c>
      <c r="L152" t="s">
        <v>5077</v>
      </c>
      <c r="M152" t="str">
        <f>"https://www.artic.edu/iiif/2/"&amp;Table9[[#This Row],[Image ID]]&amp;"/full/843,/0/default.jpg"</f>
        <v>https://www.artic.edu/iiif/2/40018ea0-fc65-6cb1-d441-72e84d896699/full/843,/0/default.jpg</v>
      </c>
      <c r="N152" s="3">
        <v>0.9</v>
      </c>
      <c r="O152" s="3">
        <v>7.4999999999999997E-2</v>
      </c>
      <c r="P152" s="3">
        <v>0.82500000000000007</v>
      </c>
      <c r="Q152" s="3">
        <v>0.68384873867034901</v>
      </c>
    </row>
    <row r="153" spans="1:17" x14ac:dyDescent="0.45">
      <c r="A153" s="3">
        <v>60053</v>
      </c>
      <c r="B153" t="b">
        <v>0</v>
      </c>
      <c r="C153" t="b">
        <v>0</v>
      </c>
      <c r="D153" s="3">
        <v>1898</v>
      </c>
      <c r="E153" s="3">
        <v>1906</v>
      </c>
      <c r="F153" t="s">
        <v>14</v>
      </c>
      <c r="G153" t="s">
        <v>7</v>
      </c>
      <c r="H153" s="3">
        <v>23.868200000000002</v>
      </c>
      <c r="I153" t="s">
        <v>283</v>
      </c>
      <c r="J153" t="s">
        <v>11943</v>
      </c>
      <c r="K153" s="5" t="s">
        <v>9</v>
      </c>
      <c r="L153" t="s">
        <v>8683</v>
      </c>
      <c r="M153" t="str">
        <f>"https://www.artic.edu/iiif/2/"&amp;Table9[[#This Row],[Image ID]]&amp;"/full/843,/0/default.jpg"</f>
        <v>https://www.artic.edu/iiif/2/419dfc20-ac89-5777-60c8-af1fd05cf828/full/843,/0/default.jpg</v>
      </c>
      <c r="N153" s="3">
        <v>0.9</v>
      </c>
      <c r="O153" s="3">
        <v>7.4999999999999997E-2</v>
      </c>
      <c r="P153" s="3">
        <v>0.82500000000000007</v>
      </c>
      <c r="Q153" s="3">
        <v>0.87993097305297796</v>
      </c>
    </row>
    <row r="154" spans="1:17" x14ac:dyDescent="0.45">
      <c r="A154" s="3">
        <v>66204</v>
      </c>
      <c r="B154" t="b">
        <v>0</v>
      </c>
      <c r="C154" t="b">
        <v>0</v>
      </c>
      <c r="D154" s="3">
        <v>1963</v>
      </c>
      <c r="E154" s="3">
        <v>1963</v>
      </c>
      <c r="F154" t="s">
        <v>9224</v>
      </c>
      <c r="G154" t="s">
        <v>9225</v>
      </c>
      <c r="H154" s="3">
        <v>6.5452000000000004</v>
      </c>
      <c r="I154" t="s">
        <v>850</v>
      </c>
      <c r="J154" t="s">
        <v>12007</v>
      </c>
      <c r="L154" t="s">
        <v>9226</v>
      </c>
      <c r="M154" t="str">
        <f>"https://www.artic.edu/iiif/2/"&amp;Table9[[#This Row],[Image ID]]&amp;"/full/843,/0/default.jpg"</f>
        <v>https://www.artic.edu/iiif/2/461ed835-a63f-fdcc-57e3-c25c8053c09e/full/843,/0/default.jpg</v>
      </c>
      <c r="N154" s="3">
        <v>0.9</v>
      </c>
      <c r="O154" s="3">
        <v>7.4999999999999997E-2</v>
      </c>
      <c r="P154" s="3">
        <v>0.82500000000000007</v>
      </c>
      <c r="Q154" s="3">
        <v>0.85117566585540705</v>
      </c>
    </row>
    <row r="155" spans="1:17" x14ac:dyDescent="0.45">
      <c r="A155" s="3">
        <v>104271</v>
      </c>
      <c r="B155" t="b">
        <v>0</v>
      </c>
      <c r="C155" t="b">
        <v>0</v>
      </c>
      <c r="D155" s="3">
        <v>1982</v>
      </c>
      <c r="E155" s="3">
        <v>1982</v>
      </c>
      <c r="F155" t="s">
        <v>404</v>
      </c>
      <c r="G155" t="s">
        <v>272</v>
      </c>
      <c r="H155" s="3">
        <v>19.425599999999999</v>
      </c>
      <c r="I155" t="s">
        <v>378</v>
      </c>
      <c r="J155" t="s">
        <v>12215</v>
      </c>
      <c r="K155" s="5" t="s">
        <v>45</v>
      </c>
      <c r="L155" t="s">
        <v>405</v>
      </c>
      <c r="M155" t="str">
        <f>"https://www.artic.edu/iiif/2/"&amp;Table9[[#This Row],[Image ID]]&amp;"/full/843,/0/default.jpg"</f>
        <v>https://www.artic.edu/iiif/2/6dc1f7e0-37e4-137a-04f4-a3940a317420/full/843,/0/default.jpg</v>
      </c>
      <c r="N155" s="3">
        <v>0.9</v>
      </c>
      <c r="O155" s="3">
        <v>7.4999999999999997E-2</v>
      </c>
      <c r="P155" s="3">
        <v>0.82500000000000007</v>
      </c>
      <c r="Q155" s="3">
        <v>0.93166238069534302</v>
      </c>
    </row>
    <row r="156" spans="1:17" x14ac:dyDescent="0.45">
      <c r="A156" s="3">
        <v>98034</v>
      </c>
      <c r="B156" t="b">
        <v>0</v>
      </c>
      <c r="C156" t="b">
        <v>0</v>
      </c>
      <c r="D156" s="3">
        <v>1968</v>
      </c>
      <c r="E156" s="3">
        <v>1972</v>
      </c>
      <c r="F156" t="s">
        <v>619</v>
      </c>
      <c r="G156" t="s">
        <v>10906</v>
      </c>
      <c r="H156" s="3">
        <v>26.000900000000001</v>
      </c>
      <c r="I156" t="s">
        <v>612</v>
      </c>
      <c r="J156" t="s">
        <v>12819</v>
      </c>
      <c r="L156" t="s">
        <v>10907</v>
      </c>
      <c r="M156" t="str">
        <f>"https://www.artic.edu/iiif/2/"&amp;Table9[[#This Row],[Image ID]]&amp;"/full/843,/0/default.jpg"</f>
        <v>https://www.artic.edu/iiif/2/80417f99-ab41-63b5-b810-31882ece26ea/full/843,/0/default.jpg</v>
      </c>
      <c r="N156" s="3">
        <v>0.9</v>
      </c>
      <c r="O156" s="3">
        <v>7.4999999999999997E-2</v>
      </c>
      <c r="P156" s="3">
        <v>0.82500000000000007</v>
      </c>
      <c r="Q156" s="3">
        <v>0.87807518243789595</v>
      </c>
    </row>
    <row r="157" spans="1:17" x14ac:dyDescent="0.45">
      <c r="A157" s="3">
        <v>190828</v>
      </c>
      <c r="B157" t="b">
        <v>0</v>
      </c>
      <c r="C157" t="b">
        <v>0</v>
      </c>
      <c r="D157" s="3">
        <v>1989</v>
      </c>
      <c r="E157" s="3">
        <v>1989</v>
      </c>
      <c r="F157" t="s">
        <v>5173</v>
      </c>
      <c r="G157" t="s">
        <v>5174</v>
      </c>
      <c r="H157" s="3">
        <v>5.1391999999999998</v>
      </c>
      <c r="I157" t="s">
        <v>2254</v>
      </c>
      <c r="J157" t="s">
        <v>11202</v>
      </c>
      <c r="L157" t="s">
        <v>5175</v>
      </c>
      <c r="M157" t="str">
        <f>"https://www.artic.edu/iiif/2/"&amp;Table9[[#This Row],[Image ID]]&amp;"/full/843,/0/default.jpg"</f>
        <v>https://www.artic.edu/iiif/2/c083e74b-bb50-1440-5acc-5879948d955d/full/843,/0/default.jpg</v>
      </c>
      <c r="N157" s="3">
        <v>0.9</v>
      </c>
      <c r="O157" s="3">
        <v>7.4999999999999997E-2</v>
      </c>
      <c r="P157" s="3">
        <v>0.82500000000000007</v>
      </c>
      <c r="Q157" s="3">
        <v>0.88215750455856301</v>
      </c>
    </row>
    <row r="158" spans="1:17" x14ac:dyDescent="0.45">
      <c r="A158" s="3">
        <v>82410</v>
      </c>
      <c r="B158" t="b">
        <v>0</v>
      </c>
      <c r="C158" t="b">
        <v>0</v>
      </c>
      <c r="D158" s="3">
        <v>1953</v>
      </c>
      <c r="E158" s="3">
        <v>1954</v>
      </c>
      <c r="F158" t="s">
        <v>10174</v>
      </c>
      <c r="G158" t="s">
        <v>7</v>
      </c>
      <c r="H158" s="3">
        <v>71.543199999999999</v>
      </c>
      <c r="I158" t="s">
        <v>112</v>
      </c>
      <c r="J158" t="s">
        <v>14052</v>
      </c>
      <c r="L158" t="s">
        <v>10175</v>
      </c>
      <c r="M158" t="str">
        <f>"https://www.artic.edu/iiif/2/"&amp;Table9[[#This Row],[Image ID]]&amp;"/full/843,/0/default.jpg"</f>
        <v>https://www.artic.edu/iiif/2/df0a03a4-be1c-3f8d-73b1-5941dca57bba/full/843,/0/default.jpg</v>
      </c>
      <c r="N158" s="3">
        <v>0.92500000000000004</v>
      </c>
      <c r="O158" s="3">
        <v>0.1</v>
      </c>
      <c r="P158" s="3">
        <v>0.82500000000000007</v>
      </c>
      <c r="Q158" s="3">
        <v>0.90066188573837203</v>
      </c>
    </row>
    <row r="159" spans="1:17" x14ac:dyDescent="0.45">
      <c r="A159" s="3">
        <v>152752</v>
      </c>
      <c r="B159" t="b">
        <v>0</v>
      </c>
      <c r="C159" t="b">
        <v>0</v>
      </c>
      <c r="D159" s="3">
        <v>1989</v>
      </c>
      <c r="E159" s="3">
        <v>1999</v>
      </c>
      <c r="F159" t="s">
        <v>3914</v>
      </c>
      <c r="G159" t="s">
        <v>3915</v>
      </c>
      <c r="H159" s="3">
        <v>0.82569999999999999</v>
      </c>
      <c r="I159" t="s">
        <v>62</v>
      </c>
      <c r="J159" t="s">
        <v>14179</v>
      </c>
      <c r="L159" t="s">
        <v>3916</v>
      </c>
      <c r="M159" t="str">
        <f>"https://www.artic.edu/iiif/2/"&amp;Table9[[#This Row],[Image ID]]&amp;"/full/843,/0/default.jpg"</f>
        <v>https://www.artic.edu/iiif/2/e763fafc-fc52-6f6b-a12e-5772dda7d12a/full/843,/0/default.jpg</v>
      </c>
      <c r="N159" s="3">
        <v>0.9</v>
      </c>
      <c r="O159" s="3">
        <v>7.4999999999999997E-2</v>
      </c>
      <c r="P159" s="3">
        <v>0.82500000000000007</v>
      </c>
      <c r="Q159" s="3">
        <v>0.92614412307739202</v>
      </c>
    </row>
    <row r="160" spans="1:17" x14ac:dyDescent="0.45">
      <c r="A160" s="3">
        <v>184857</v>
      </c>
      <c r="B160" t="b">
        <v>0</v>
      </c>
      <c r="C160" t="b">
        <v>0</v>
      </c>
      <c r="D160" s="3">
        <v>2003</v>
      </c>
      <c r="E160" s="3">
        <v>2003</v>
      </c>
      <c r="F160" t="s">
        <v>4863</v>
      </c>
      <c r="G160" t="s">
        <v>4823</v>
      </c>
      <c r="H160" s="3">
        <v>6.4783999999999997</v>
      </c>
      <c r="I160" t="s">
        <v>293</v>
      </c>
      <c r="J160" t="s">
        <v>10977</v>
      </c>
      <c r="K160" s="5" t="s">
        <v>15</v>
      </c>
      <c r="L160" t="s">
        <v>4864</v>
      </c>
      <c r="M160" t="str">
        <f>"https://www.artic.edu/iiif/2/"&amp;Table9[[#This Row],[Image ID]]&amp;"/full/843,/0/default.jpg"</f>
        <v>https://www.artic.edu/iiif/2/ea275426-a1cd-e2d2-cc48-360bf043ab80/full/843,/0/default.jpg</v>
      </c>
      <c r="N160" s="3">
        <v>0.92500000000000004</v>
      </c>
      <c r="O160" s="3">
        <v>0.1</v>
      </c>
      <c r="P160" s="3">
        <v>0.82500000000000007</v>
      </c>
      <c r="Q160" s="3">
        <v>0.90226417779922397</v>
      </c>
    </row>
    <row r="161" spans="1:17" x14ac:dyDescent="0.45">
      <c r="A161" s="3">
        <v>52697</v>
      </c>
      <c r="B161" t="b">
        <v>0</v>
      </c>
      <c r="C161" t="b">
        <v>0</v>
      </c>
      <c r="D161" s="3">
        <v>1911</v>
      </c>
      <c r="E161" s="3">
        <v>1911</v>
      </c>
      <c r="F161" t="s">
        <v>1653</v>
      </c>
      <c r="G161" t="s">
        <v>7</v>
      </c>
      <c r="H161" s="3">
        <v>36.780200000000001</v>
      </c>
      <c r="I161" t="s">
        <v>14624</v>
      </c>
      <c r="J161" t="s">
        <v>14532</v>
      </c>
      <c r="L161" t="s">
        <v>8194</v>
      </c>
      <c r="M161" t="str">
        <f>"https://www.artic.edu/iiif/2/"&amp;Table9[[#This Row],[Image ID]]&amp;"/full/843,/0/default.jpg"</f>
        <v>https://www.artic.edu/iiif/2/ff5ad798-0635-329c-4969-856886f97f31/full/843,/0/default.jpg</v>
      </c>
      <c r="N161" s="3">
        <v>0.9</v>
      </c>
      <c r="O161" s="3">
        <v>7.4999999999999997E-2</v>
      </c>
      <c r="P161" s="3">
        <v>0.82500000000000007</v>
      </c>
      <c r="Q161" s="3">
        <v>0.93272304534912098</v>
      </c>
    </row>
    <row r="162" spans="1:17" x14ac:dyDescent="0.45">
      <c r="A162" s="3">
        <v>115180</v>
      </c>
      <c r="B162" t="b">
        <v>0</v>
      </c>
      <c r="C162" t="b">
        <v>1</v>
      </c>
      <c r="D162" s="3">
        <v>1835</v>
      </c>
      <c r="E162" s="3">
        <v>1882</v>
      </c>
      <c r="F162" t="s">
        <v>1812</v>
      </c>
      <c r="G162" t="s">
        <v>1774</v>
      </c>
      <c r="H162" s="3">
        <v>16.3599</v>
      </c>
      <c r="I162" t="s">
        <v>1555</v>
      </c>
      <c r="J162" t="s">
        <v>11607</v>
      </c>
      <c r="L162" t="s">
        <v>1813</v>
      </c>
      <c r="M162" t="str">
        <f>"https://www.artic.edu/iiif/2/"&amp;Table9[[#This Row],[Image ID]]&amp;"/full/843,/0/default.jpg"</f>
        <v>https://www.artic.edu/iiif/2/2b35fc44-ea81-47ed-d8d9-01795b01313f/full/843,/0/default.jpg</v>
      </c>
      <c r="N162" s="3">
        <v>0.9</v>
      </c>
      <c r="O162" s="3">
        <v>7.4999999999999997E-2</v>
      </c>
      <c r="P162" s="3">
        <v>0.82500000000000007</v>
      </c>
      <c r="Q162" s="3">
        <v>0.79157739877700795</v>
      </c>
    </row>
    <row r="163" spans="1:17" x14ac:dyDescent="0.45">
      <c r="A163" s="3">
        <v>100351</v>
      </c>
      <c r="B163" t="b">
        <v>0</v>
      </c>
      <c r="C163" t="b">
        <v>1</v>
      </c>
      <c r="D163" s="3">
        <v>1874</v>
      </c>
      <c r="E163" s="3">
        <v>1874</v>
      </c>
      <c r="F163" t="s">
        <v>95</v>
      </c>
      <c r="G163" t="s">
        <v>7</v>
      </c>
      <c r="H163" s="3">
        <v>34.495699999999999</v>
      </c>
      <c r="I163" t="s">
        <v>96</v>
      </c>
      <c r="J163" t="s">
        <v>12038</v>
      </c>
      <c r="L163" t="s">
        <v>97</v>
      </c>
      <c r="M163" t="str">
        <f>"https://www.artic.edu/iiif/2/"&amp;Table9[[#This Row],[Image ID]]&amp;"/full/843,/0/default.jpg"</f>
        <v>https://www.artic.edu/iiif/2/488e2088-06a5-6811-78b4-56d736a25019/full/843,/0/default.jpg</v>
      </c>
      <c r="N163" s="3">
        <v>0.9</v>
      </c>
      <c r="O163" s="3">
        <v>7.4999999999999997E-2</v>
      </c>
      <c r="P163" s="3">
        <v>0.82500000000000007</v>
      </c>
      <c r="Q163" s="3">
        <v>0.93075549602508501</v>
      </c>
    </row>
    <row r="164" spans="1:17" x14ac:dyDescent="0.45">
      <c r="A164" s="3">
        <v>154495</v>
      </c>
      <c r="B164" t="b">
        <v>0</v>
      </c>
      <c r="C164" t="b">
        <v>1</v>
      </c>
      <c r="D164" s="3">
        <v>1887</v>
      </c>
      <c r="E164" s="3">
        <v>1887</v>
      </c>
      <c r="F164" t="s">
        <v>3994</v>
      </c>
      <c r="G164" t="s">
        <v>7</v>
      </c>
      <c r="H164" s="3">
        <v>37.511099999999999</v>
      </c>
      <c r="I164" t="s">
        <v>3995</v>
      </c>
      <c r="J164" t="s">
        <v>12322</v>
      </c>
      <c r="K164" s="5" t="s">
        <v>284</v>
      </c>
      <c r="L164" t="s">
        <v>3996</v>
      </c>
      <c r="M164" t="str">
        <f>"https://www.artic.edu/iiif/2/"&amp;Table9[[#This Row],[Image ID]]&amp;"/full/843,/0/default.jpg"</f>
        <v>https://www.artic.edu/iiif/2/5bfd7409-b07d-dd6d-8f11-1ebb3ca034e5/full/843,/0/default.jpg</v>
      </c>
      <c r="N164" s="3">
        <v>0.9</v>
      </c>
      <c r="O164" s="3">
        <v>7.4999999999999997E-2</v>
      </c>
      <c r="P164" s="3">
        <v>0.82500000000000007</v>
      </c>
      <c r="Q164" s="3">
        <v>0.76736348867416304</v>
      </c>
    </row>
    <row r="165" spans="1:17" x14ac:dyDescent="0.45">
      <c r="A165" s="3">
        <v>115567</v>
      </c>
      <c r="B165" t="b">
        <v>0</v>
      </c>
      <c r="C165" t="b">
        <v>1</v>
      </c>
      <c r="D165" s="3">
        <v>1814</v>
      </c>
      <c r="E165" s="3">
        <v>1814</v>
      </c>
      <c r="F165" t="s">
        <v>2019</v>
      </c>
      <c r="G165" t="s">
        <v>2020</v>
      </c>
      <c r="H165" s="3">
        <v>36.588900000000002</v>
      </c>
      <c r="I165" t="s">
        <v>2021</v>
      </c>
      <c r="J165" t="s">
        <v>12930</v>
      </c>
      <c r="L165" t="s">
        <v>2022</v>
      </c>
      <c r="M165" t="str">
        <f>"https://www.artic.edu/iiif/2/"&amp;Table9[[#This Row],[Image ID]]&amp;"/full/843,/0/default.jpg"</f>
        <v>https://www.artic.edu/iiif/2/88ad299c-cd3c-fc64-8a62-29801903f99d/full/843,/0/default.jpg</v>
      </c>
      <c r="N165" s="3">
        <v>0.9</v>
      </c>
      <c r="O165" s="3">
        <v>7.4999999999999997E-2</v>
      </c>
      <c r="P165" s="3">
        <v>0.82500000000000007</v>
      </c>
      <c r="Q165" s="3">
        <v>0.79134714603423995</v>
      </c>
    </row>
    <row r="166" spans="1:17" x14ac:dyDescent="0.45">
      <c r="A166" s="3">
        <v>56464</v>
      </c>
      <c r="B166" t="b">
        <v>0</v>
      </c>
      <c r="C166" t="b">
        <v>1</v>
      </c>
      <c r="D166" s="3">
        <v>1896</v>
      </c>
      <c r="E166" s="3">
        <v>1896</v>
      </c>
      <c r="F166" t="s">
        <v>8456</v>
      </c>
      <c r="G166" t="s">
        <v>7</v>
      </c>
      <c r="H166" s="3">
        <v>15.9603</v>
      </c>
      <c r="I166" t="s">
        <v>14606</v>
      </c>
      <c r="J166" t="s">
        <v>13091</v>
      </c>
      <c r="L166" t="s">
        <v>8457</v>
      </c>
      <c r="M166" t="str">
        <f>"https://www.artic.edu/iiif/2/"&amp;Table9[[#This Row],[Image ID]]&amp;"/full/843,/0/default.jpg"</f>
        <v>https://www.artic.edu/iiif/2/95ad6bb3-00e0-cb37-fae0-915f5ebacf84/full/843,/0/default.jpg</v>
      </c>
      <c r="N166" s="3">
        <v>0.9</v>
      </c>
      <c r="O166" s="3">
        <v>7.4999999999999997E-2</v>
      </c>
      <c r="P166" s="3">
        <v>0.82500000000000007</v>
      </c>
      <c r="Q166" s="3">
        <v>0.81619668006896895</v>
      </c>
    </row>
    <row r="167" spans="1:17" x14ac:dyDescent="0.45">
      <c r="A167" s="3">
        <v>86298</v>
      </c>
      <c r="B167" t="b">
        <v>0</v>
      </c>
      <c r="C167" t="b">
        <v>1</v>
      </c>
      <c r="D167" s="3">
        <v>1870</v>
      </c>
      <c r="E167" s="3">
        <v>1890</v>
      </c>
      <c r="F167" t="s">
        <v>8982</v>
      </c>
      <c r="G167" t="s">
        <v>7</v>
      </c>
      <c r="H167" s="3">
        <v>33.9495</v>
      </c>
      <c r="I167" t="s">
        <v>8983</v>
      </c>
      <c r="J167" t="s">
        <v>13685</v>
      </c>
      <c r="L167" t="s">
        <v>10327</v>
      </c>
      <c r="M167" t="str">
        <f>"https://www.artic.edu/iiif/2/"&amp;Table9[[#This Row],[Image ID]]&amp;"/full/843,/0/default.jpg"</f>
        <v>https://www.artic.edu/iiif/2/c2bf35ea-3878-ffd1-18c3-311f13db873a/full/843,/0/default.jpg</v>
      </c>
      <c r="N167" s="3">
        <v>0.9</v>
      </c>
      <c r="O167" s="3">
        <v>7.4999999999999997E-2</v>
      </c>
      <c r="P167" s="3">
        <v>0.82500000000000007</v>
      </c>
      <c r="Q167" s="3">
        <v>0.66314858198165805</v>
      </c>
    </row>
    <row r="168" spans="1:17" x14ac:dyDescent="0.45">
      <c r="A168" s="3">
        <v>120170</v>
      </c>
      <c r="B168" t="b">
        <v>0</v>
      </c>
      <c r="C168" t="b">
        <v>1</v>
      </c>
      <c r="D168" s="3">
        <v>1863</v>
      </c>
      <c r="E168" s="3">
        <v>1863</v>
      </c>
      <c r="F168" t="s">
        <v>14</v>
      </c>
      <c r="G168" t="s">
        <v>2629</v>
      </c>
      <c r="H168" s="3">
        <v>21.2044</v>
      </c>
      <c r="I168" t="s">
        <v>2630</v>
      </c>
      <c r="J168" t="s">
        <v>13764</v>
      </c>
      <c r="K168" s="5" t="s">
        <v>284</v>
      </c>
      <c r="L168" t="s">
        <v>2631</v>
      </c>
      <c r="M168" t="str">
        <f>"https://www.artic.edu/iiif/2/"&amp;Table9[[#This Row],[Image ID]]&amp;"/full/843,/0/default.jpg"</f>
        <v>https://www.artic.edu/iiif/2/c8eacf36-436a-f4df-819e-d8fefbfac1d2/full/843,/0/default.jpg</v>
      </c>
      <c r="N168" s="3">
        <v>0.92500000000000004</v>
      </c>
      <c r="O168" s="3">
        <v>0.1</v>
      </c>
      <c r="P168" s="3">
        <v>0.82500000000000007</v>
      </c>
      <c r="Q168" s="3">
        <v>0.73013442754745395</v>
      </c>
    </row>
    <row r="169" spans="1:17" x14ac:dyDescent="0.45">
      <c r="A169" s="3">
        <v>100341</v>
      </c>
      <c r="B169" t="b">
        <v>0</v>
      </c>
      <c r="C169" t="b">
        <v>0</v>
      </c>
      <c r="D169" s="3">
        <v>1578</v>
      </c>
      <c r="E169" s="3">
        <v>1585</v>
      </c>
      <c r="F169" t="s">
        <v>3184</v>
      </c>
      <c r="G169" t="s">
        <v>75</v>
      </c>
      <c r="H169" s="3">
        <v>28.8035</v>
      </c>
      <c r="I169" t="s">
        <v>76</v>
      </c>
      <c r="J169" t="s">
        <v>10976</v>
      </c>
      <c r="L169" t="s">
        <v>77</v>
      </c>
      <c r="M169" t="str">
        <f>"https://www.artic.edu/iiif/2/"&amp;Table9[[#This Row],[Image ID]]&amp;"/full/843,/0/default.jpg"</f>
        <v>https://www.artic.edu/iiif/2/003117ac-f7f8-c1c8-317b-88e3f990d712/full/843,/0/default.jpg</v>
      </c>
      <c r="N169" s="3">
        <v>0.85</v>
      </c>
      <c r="O169" s="3">
        <v>2.5000000000000001E-2</v>
      </c>
      <c r="P169" s="3">
        <v>0.82499999999999996</v>
      </c>
      <c r="Q169" s="3">
        <v>0.81272619962692205</v>
      </c>
    </row>
    <row r="170" spans="1:17" x14ac:dyDescent="0.45">
      <c r="A170" s="3">
        <v>229824</v>
      </c>
      <c r="B170" t="b">
        <v>0</v>
      </c>
      <c r="C170" t="b">
        <v>0</v>
      </c>
      <c r="D170" s="3">
        <v>1924</v>
      </c>
      <c r="E170" s="3">
        <v>1924</v>
      </c>
      <c r="F170" t="s">
        <v>6112</v>
      </c>
      <c r="G170" t="s">
        <v>6113</v>
      </c>
      <c r="H170" s="3">
        <v>37.335000000000001</v>
      </c>
      <c r="I170" t="s">
        <v>6114</v>
      </c>
      <c r="J170" t="s">
        <v>11194</v>
      </c>
      <c r="L170" t="s">
        <v>6115</v>
      </c>
      <c r="M170" t="str">
        <f>"https://www.artic.edu/iiif/2/"&amp;Table9[[#This Row],[Image ID]]&amp;"/full/843,/0/default.jpg"</f>
        <v>https://www.artic.edu/iiif/2/10ded856-4cd4-e1b3-24bb-024c8071c50b/full/843,/0/default.jpg</v>
      </c>
      <c r="N170" s="3">
        <v>0.85</v>
      </c>
      <c r="O170" s="3">
        <v>2.5000000000000001E-2</v>
      </c>
      <c r="P170" s="3">
        <v>0.82499999999999996</v>
      </c>
      <c r="Q170" s="3">
        <v>0.947307288646698</v>
      </c>
    </row>
    <row r="171" spans="1:17" x14ac:dyDescent="0.45">
      <c r="A171" s="3">
        <v>55703</v>
      </c>
      <c r="B171" t="b">
        <v>0</v>
      </c>
      <c r="C171" t="b">
        <v>0</v>
      </c>
      <c r="D171" s="3">
        <v>1906</v>
      </c>
      <c r="E171" s="3">
        <v>1972</v>
      </c>
      <c r="F171" t="s">
        <v>8381</v>
      </c>
      <c r="G171" t="s">
        <v>8382</v>
      </c>
      <c r="H171" s="3">
        <v>57.588099999999997</v>
      </c>
      <c r="I171" t="s">
        <v>599</v>
      </c>
      <c r="J171" t="s">
        <v>11214</v>
      </c>
      <c r="L171" t="s">
        <v>8383</v>
      </c>
      <c r="M171" t="str">
        <f>"https://www.artic.edu/iiif/2/"&amp;Table9[[#This Row],[Image ID]]&amp;"/full/843,/0/default.jpg"</f>
        <v>https://www.artic.edu/iiif/2/120798bb-0825-0abc-f4ad-84762c5f1dfc/full/843,/0/default.jpg</v>
      </c>
      <c r="N171" s="3">
        <v>0.82499999999999996</v>
      </c>
      <c r="O171" s="3">
        <v>0</v>
      </c>
      <c r="P171" s="3">
        <v>0.82499999999999996</v>
      </c>
      <c r="Q171" s="3">
        <v>0.86464583873748702</v>
      </c>
    </row>
    <row r="172" spans="1:17" x14ac:dyDescent="0.45">
      <c r="A172" s="3">
        <v>189556</v>
      </c>
      <c r="B172" t="b">
        <v>0</v>
      </c>
      <c r="C172" t="b">
        <v>0</v>
      </c>
      <c r="D172" s="3">
        <v>1981</v>
      </c>
      <c r="E172" s="3">
        <v>1981</v>
      </c>
      <c r="F172" t="s">
        <v>5156</v>
      </c>
      <c r="G172" t="s">
        <v>7</v>
      </c>
      <c r="H172" s="3">
        <v>15.5587</v>
      </c>
      <c r="I172" t="s">
        <v>2439</v>
      </c>
      <c r="J172" t="s">
        <v>11319</v>
      </c>
      <c r="L172" t="s">
        <v>5157</v>
      </c>
      <c r="M172" t="str">
        <f>"https://www.artic.edu/iiif/2/"&amp;Table9[[#This Row],[Image ID]]&amp;"/full/843,/0/default.jpg"</f>
        <v>https://www.artic.edu/iiif/2/19631cfa-647b-0363-7079-2ea1f8372453/full/843,/0/default.jpg</v>
      </c>
      <c r="N172" s="3">
        <v>0.85</v>
      </c>
      <c r="O172" s="3">
        <v>2.5000000000000001E-2</v>
      </c>
      <c r="P172" s="3">
        <v>0.82499999999999996</v>
      </c>
      <c r="Q172" s="3">
        <v>0.66911888122558505</v>
      </c>
    </row>
    <row r="173" spans="1:17" x14ac:dyDescent="0.45">
      <c r="A173" s="3">
        <v>83147</v>
      </c>
      <c r="B173" t="b">
        <v>0</v>
      </c>
      <c r="C173" t="b">
        <v>0</v>
      </c>
      <c r="D173" s="3">
        <v>1890</v>
      </c>
      <c r="E173" s="3">
        <v>1922</v>
      </c>
      <c r="F173" t="s">
        <v>10210</v>
      </c>
      <c r="G173" t="s">
        <v>10211</v>
      </c>
      <c r="H173" s="3">
        <v>38.444600000000001</v>
      </c>
      <c r="I173" t="s">
        <v>10212</v>
      </c>
      <c r="J173" t="s">
        <v>11755</v>
      </c>
      <c r="L173" t="s">
        <v>10213</v>
      </c>
      <c r="M173" t="str">
        <f>"https://www.artic.edu/iiif/2/"&amp;Table9[[#This Row],[Image ID]]&amp;"/full/843,/0/default.jpg"</f>
        <v>https://www.artic.edu/iiif/2/35f3586a-7208-cac6-057b-3ee9af77e96c/full/843,/0/default.jpg</v>
      </c>
      <c r="N173" s="3">
        <v>0.82499999999999996</v>
      </c>
      <c r="O173" s="3">
        <v>0</v>
      </c>
      <c r="P173" s="3">
        <v>0.82499999999999996</v>
      </c>
      <c r="Q173" s="3">
        <v>0.81492435932159402</v>
      </c>
    </row>
    <row r="174" spans="1:17" x14ac:dyDescent="0.45">
      <c r="A174" s="3">
        <v>52992</v>
      </c>
      <c r="B174" t="b">
        <v>0</v>
      </c>
      <c r="C174" t="b">
        <v>0</v>
      </c>
      <c r="D174" s="3">
        <v>1917</v>
      </c>
      <c r="E174" s="3">
        <v>1917</v>
      </c>
      <c r="F174" t="s">
        <v>8211</v>
      </c>
      <c r="G174" t="s">
        <v>8212</v>
      </c>
      <c r="H174" s="3">
        <v>0</v>
      </c>
      <c r="I174" t="s">
        <v>8213</v>
      </c>
      <c r="J174" t="s">
        <v>11806</v>
      </c>
      <c r="L174" t="s">
        <v>8214</v>
      </c>
      <c r="M174" t="str">
        <f>"https://www.artic.edu/iiif/2/"&amp;Table9[[#This Row],[Image ID]]&amp;"/full/843,/0/default.jpg"</f>
        <v>https://www.artic.edu/iiif/2/39149ead-2dec-befd-b24b-3783502c4f3d/full/843,/0/default.jpg</v>
      </c>
      <c r="N174" s="3">
        <v>0.85</v>
      </c>
      <c r="O174" s="3">
        <v>2.5000000000000001E-2</v>
      </c>
      <c r="P174" s="3">
        <v>0.82499999999999996</v>
      </c>
      <c r="Q174" s="3">
        <v>0.90181332826614302</v>
      </c>
    </row>
    <row r="175" spans="1:17" x14ac:dyDescent="0.45">
      <c r="A175" s="3">
        <v>59836</v>
      </c>
      <c r="B175" t="b">
        <v>0</v>
      </c>
      <c r="C175" t="b">
        <v>0</v>
      </c>
      <c r="D175" s="3">
        <v>1920</v>
      </c>
      <c r="E175" s="3">
        <v>1920</v>
      </c>
      <c r="F175" t="s">
        <v>8595</v>
      </c>
      <c r="G175" t="s">
        <v>7</v>
      </c>
      <c r="H175" s="3">
        <v>0</v>
      </c>
      <c r="I175" t="s">
        <v>8596</v>
      </c>
      <c r="J175" t="s">
        <v>11935</v>
      </c>
      <c r="L175" t="s">
        <v>8597</v>
      </c>
      <c r="M175" t="str">
        <f>"https://www.artic.edu/iiif/2/"&amp;Table9[[#This Row],[Image ID]]&amp;"/full/843,/0/default.jpg"</f>
        <v>https://www.artic.edu/iiif/2/4139acbb-b0a6-78ed-4c56-16d67d1f9997/full/843,/0/default.jpg</v>
      </c>
      <c r="N175" s="3">
        <v>0.85</v>
      </c>
      <c r="O175" s="3">
        <v>2.5000000000000001E-2</v>
      </c>
      <c r="P175" s="3">
        <v>0.82499999999999996</v>
      </c>
      <c r="Q175" s="3">
        <v>0.77198594808578402</v>
      </c>
    </row>
    <row r="176" spans="1:17" x14ac:dyDescent="0.45">
      <c r="A176" s="3">
        <v>229358</v>
      </c>
      <c r="B176" t="b">
        <v>0</v>
      </c>
      <c r="C176" t="b">
        <v>0</v>
      </c>
      <c r="D176" s="3">
        <v>1964</v>
      </c>
      <c r="E176" s="3">
        <v>1964</v>
      </c>
      <c r="F176" t="s">
        <v>14</v>
      </c>
      <c r="G176" t="s">
        <v>6074</v>
      </c>
      <c r="H176" s="3">
        <v>12.902100000000001</v>
      </c>
      <c r="I176" t="s">
        <v>2666</v>
      </c>
      <c r="J176" t="s">
        <v>11548</v>
      </c>
      <c r="K176" s="5" t="s">
        <v>149</v>
      </c>
      <c r="L176" t="s">
        <v>6075</v>
      </c>
      <c r="M176" t="str">
        <f>"https://www.artic.edu/iiif/2/"&amp;Table9[[#This Row],[Image ID]]&amp;"/full/843,/0/default.jpg"</f>
        <v>https://www.artic.edu/iiif/2/446680d8-037b-aea7-738e-62ac5765aaa3/full/843,/0/default.jpg</v>
      </c>
      <c r="N176" s="3">
        <v>0.85</v>
      </c>
      <c r="O176" s="3">
        <v>2.5000000000000001E-2</v>
      </c>
      <c r="P176" s="3">
        <v>0.82499999999999996</v>
      </c>
      <c r="Q176" s="3">
        <v>0.84858524799346902</v>
      </c>
    </row>
    <row r="177" spans="1:17" x14ac:dyDescent="0.45">
      <c r="A177" s="3">
        <v>87440</v>
      </c>
      <c r="B177" t="b">
        <v>0</v>
      </c>
      <c r="C177" t="b">
        <v>0</v>
      </c>
      <c r="D177" s="3">
        <v>1923</v>
      </c>
      <c r="E177" s="3">
        <v>1923</v>
      </c>
      <c r="F177" t="s">
        <v>10381</v>
      </c>
      <c r="G177" t="s">
        <v>7</v>
      </c>
      <c r="H177" s="3">
        <v>50.370199999999997</v>
      </c>
      <c r="I177" t="s">
        <v>5827</v>
      </c>
      <c r="J177" t="s">
        <v>12079</v>
      </c>
      <c r="K177" s="5" t="s">
        <v>9</v>
      </c>
      <c r="L177" t="s">
        <v>10382</v>
      </c>
      <c r="M177" t="str">
        <f>"https://www.artic.edu/iiif/2/"&amp;Table9[[#This Row],[Image ID]]&amp;"/full/843,/0/default.jpg"</f>
        <v>https://www.artic.edu/iiif/2/4c290ea6-7969-d1c8-3c4c-132bd99f629a/full/843,/0/default.jpg</v>
      </c>
      <c r="N177" s="3">
        <v>0.875</v>
      </c>
      <c r="O177" s="3">
        <v>0.05</v>
      </c>
      <c r="P177" s="3">
        <v>0.82499999999999996</v>
      </c>
      <c r="Q177" s="3">
        <v>0.73315864801406805</v>
      </c>
    </row>
    <row r="178" spans="1:17" x14ac:dyDescent="0.45">
      <c r="A178" s="3">
        <v>145149</v>
      </c>
      <c r="B178" t="b">
        <v>0</v>
      </c>
      <c r="C178" t="b">
        <v>0</v>
      </c>
      <c r="D178" s="3">
        <v>1962</v>
      </c>
      <c r="E178" s="3">
        <v>1962</v>
      </c>
      <c r="F178" t="s">
        <v>3339</v>
      </c>
      <c r="G178" t="s">
        <v>3340</v>
      </c>
      <c r="H178" s="3">
        <v>46.011299999999999</v>
      </c>
      <c r="I178" t="s">
        <v>3161</v>
      </c>
      <c r="J178" t="s">
        <v>12190</v>
      </c>
      <c r="L178" t="s">
        <v>3341</v>
      </c>
      <c r="M178" t="str">
        <f>"https://www.artic.edu/iiif/2/"&amp;Table9[[#This Row],[Image ID]]&amp;"/full/843,/0/default.jpg"</f>
        <v>https://www.artic.edu/iiif/2/53923bc1-f44d-2889-f73e-f0cf7c007e8e/full/843,/0/default.jpg</v>
      </c>
      <c r="N178" s="3">
        <v>0.82499999999999996</v>
      </c>
      <c r="O178" s="3">
        <v>0</v>
      </c>
      <c r="P178" s="3">
        <v>0.82499999999999996</v>
      </c>
      <c r="Q178" s="3">
        <v>0.83401304483413696</v>
      </c>
    </row>
    <row r="179" spans="1:17" x14ac:dyDescent="0.45">
      <c r="A179" s="3">
        <v>27980</v>
      </c>
      <c r="B179" t="b">
        <v>0</v>
      </c>
      <c r="C179" t="b">
        <v>0</v>
      </c>
      <c r="D179" s="3">
        <v>1921</v>
      </c>
      <c r="E179" s="3">
        <v>1921</v>
      </c>
      <c r="F179" t="s">
        <v>6771</v>
      </c>
      <c r="G179" t="s">
        <v>7</v>
      </c>
      <c r="H179" s="3">
        <v>33.441499999999998</v>
      </c>
      <c r="I179" t="s">
        <v>49</v>
      </c>
      <c r="J179" t="s">
        <v>12466</v>
      </c>
      <c r="L179" t="s">
        <v>6772</v>
      </c>
      <c r="M179" t="str">
        <f>"https://www.artic.edu/iiif/2/"&amp;Table9[[#This Row],[Image ID]]&amp;"/full/843,/0/default.jpg"</f>
        <v>https://www.artic.edu/iiif/2/65e58fc4-4dd1-7149-b76b-94547745bece/full/843,/0/default.jpg</v>
      </c>
      <c r="N179" s="3">
        <v>0.85</v>
      </c>
      <c r="O179" s="3">
        <v>2.5000000000000001E-2</v>
      </c>
      <c r="P179" s="3">
        <v>0.82499999999999996</v>
      </c>
      <c r="Q179" s="3">
        <v>0.78778815269470204</v>
      </c>
    </row>
    <row r="180" spans="1:17" x14ac:dyDescent="0.45">
      <c r="A180" s="3">
        <v>90581</v>
      </c>
      <c r="B180" t="b">
        <v>0</v>
      </c>
      <c r="C180" t="b">
        <v>0</v>
      </c>
      <c r="D180" s="3">
        <v>1977</v>
      </c>
      <c r="E180" s="3">
        <v>1977</v>
      </c>
      <c r="F180" t="s">
        <v>10533</v>
      </c>
      <c r="G180" t="s">
        <v>7</v>
      </c>
      <c r="H180" s="3">
        <v>21.158000000000001</v>
      </c>
      <c r="I180" t="s">
        <v>838</v>
      </c>
      <c r="J180" t="s">
        <v>12537</v>
      </c>
      <c r="L180" t="s">
        <v>10534</v>
      </c>
      <c r="M180" t="str">
        <f>"https://www.artic.edu/iiif/2/"&amp;Table9[[#This Row],[Image ID]]&amp;"/full/843,/0/default.jpg"</f>
        <v>https://www.artic.edu/iiif/2/6b38b7ca-39e6-b9d8-bfb1-86bc07454f35/full/843,/0/default.jpg</v>
      </c>
      <c r="N180" s="3">
        <v>0.85</v>
      </c>
      <c r="O180" s="3">
        <v>2.5000000000000001E-2</v>
      </c>
      <c r="P180" s="3">
        <v>0.82499999999999996</v>
      </c>
      <c r="Q180" s="3">
        <v>0.89440608024597101</v>
      </c>
    </row>
    <row r="181" spans="1:17" x14ac:dyDescent="0.45">
      <c r="A181" s="3">
        <v>66398</v>
      </c>
      <c r="B181" t="b">
        <v>0</v>
      </c>
      <c r="C181" t="b">
        <v>0</v>
      </c>
      <c r="D181" s="3">
        <v>1956</v>
      </c>
      <c r="E181" s="3">
        <v>1957</v>
      </c>
      <c r="F181" t="s">
        <v>9256</v>
      </c>
      <c r="G181" t="s">
        <v>9241</v>
      </c>
      <c r="H181" s="3">
        <v>17.0002</v>
      </c>
      <c r="I181" t="s">
        <v>1091</v>
      </c>
      <c r="J181" t="s">
        <v>12662</v>
      </c>
      <c r="L181" t="s">
        <v>9257</v>
      </c>
      <c r="M181" t="str">
        <f>"https://www.artic.edu/iiif/2/"&amp;Table9[[#This Row],[Image ID]]&amp;"/full/843,/0/default.jpg"</f>
        <v>https://www.artic.edu/iiif/2/7454d154-c28f-210e-0df2-8b6b0e8ff0a8/full/843,/0/default.jpg</v>
      </c>
      <c r="N181" s="3">
        <v>0.875</v>
      </c>
      <c r="O181" s="3">
        <v>0.05</v>
      </c>
      <c r="P181" s="3">
        <v>0.82499999999999996</v>
      </c>
      <c r="Q181" s="3">
        <v>0.84991514682769698</v>
      </c>
    </row>
    <row r="182" spans="1:17" x14ac:dyDescent="0.45">
      <c r="A182" s="3">
        <v>62275</v>
      </c>
      <c r="B182" t="b">
        <v>0</v>
      </c>
      <c r="C182" t="b">
        <v>0</v>
      </c>
      <c r="D182" s="3">
        <v>1942</v>
      </c>
      <c r="E182" s="3">
        <v>1942</v>
      </c>
      <c r="F182" t="s">
        <v>8869</v>
      </c>
      <c r="G182" t="s">
        <v>7</v>
      </c>
      <c r="H182" s="3">
        <v>42.326000000000001</v>
      </c>
      <c r="I182" t="s">
        <v>849</v>
      </c>
      <c r="J182" t="s">
        <v>12766</v>
      </c>
      <c r="L182" t="s">
        <v>8870</v>
      </c>
      <c r="M182" t="str">
        <f>"https://www.artic.edu/iiif/2/"&amp;Table9[[#This Row],[Image ID]]&amp;"/full/843,/0/default.jpg"</f>
        <v>https://www.artic.edu/iiif/2/7c42d99b-2284-8106-afc4-ebc5874aaa60/full/843,/0/default.jpg</v>
      </c>
      <c r="N182" s="3">
        <v>0.82499999999999996</v>
      </c>
      <c r="O182" s="3">
        <v>0</v>
      </c>
      <c r="P182" s="3">
        <v>0.82499999999999996</v>
      </c>
      <c r="Q182" s="3">
        <v>0.72132581472396795</v>
      </c>
    </row>
    <row r="183" spans="1:17" x14ac:dyDescent="0.45">
      <c r="A183" s="3">
        <v>107327</v>
      </c>
      <c r="B183" t="b">
        <v>0</v>
      </c>
      <c r="C183" t="b">
        <v>0</v>
      </c>
      <c r="D183" s="3">
        <v>1965</v>
      </c>
      <c r="E183" s="3">
        <v>1975</v>
      </c>
      <c r="F183" t="s">
        <v>657</v>
      </c>
      <c r="G183" t="s">
        <v>658</v>
      </c>
      <c r="H183" s="3">
        <v>40.260199999999998</v>
      </c>
      <c r="I183" t="s">
        <v>14657</v>
      </c>
      <c r="J183" t="s">
        <v>12969</v>
      </c>
      <c r="L183" t="s">
        <v>659</v>
      </c>
      <c r="M183" t="str">
        <f>"https://www.artic.edu/iiif/2/"&amp;Table9[[#This Row],[Image ID]]&amp;"/full/843,/0/default.jpg"</f>
        <v>https://www.artic.edu/iiif/2/8b9d755d-0a7a-2276-0195-4e671088ac8a/full/843,/0/default.jpg</v>
      </c>
      <c r="N183" s="3">
        <v>0.82499999999999996</v>
      </c>
      <c r="O183" s="3">
        <v>0</v>
      </c>
      <c r="P183" s="3">
        <v>0.82499999999999996</v>
      </c>
      <c r="Q183" s="3">
        <v>0.87888801097869795</v>
      </c>
    </row>
    <row r="184" spans="1:17" x14ac:dyDescent="0.45">
      <c r="A184" s="3">
        <v>185773</v>
      </c>
      <c r="B184" t="b">
        <v>0</v>
      </c>
      <c r="C184" t="b">
        <v>0</v>
      </c>
      <c r="D184" s="3">
        <v>1997</v>
      </c>
      <c r="E184" s="3">
        <v>1997</v>
      </c>
      <c r="F184" t="s">
        <v>5013</v>
      </c>
      <c r="G184" t="s">
        <v>5014</v>
      </c>
      <c r="H184" s="3">
        <v>14.7471</v>
      </c>
      <c r="I184" t="s">
        <v>2941</v>
      </c>
      <c r="J184" t="s">
        <v>12979</v>
      </c>
      <c r="L184" t="s">
        <v>5015</v>
      </c>
      <c r="M184" t="str">
        <f>"https://www.artic.edu/iiif/2/"&amp;Table9[[#This Row],[Image ID]]&amp;"/full/843,/0/default.jpg"</f>
        <v>https://www.artic.edu/iiif/2/8c4c8346-560a-bd5a-ed11-5f771cd34d7d/full/843,/0/default.jpg</v>
      </c>
      <c r="N184" s="3">
        <v>0.85</v>
      </c>
      <c r="O184" s="3">
        <v>2.5000000000000001E-2</v>
      </c>
      <c r="P184" s="3">
        <v>0.82499999999999996</v>
      </c>
      <c r="Q184" s="3">
        <v>0.85739386081695501</v>
      </c>
    </row>
    <row r="185" spans="1:17" x14ac:dyDescent="0.45">
      <c r="A185" s="3">
        <v>149742</v>
      </c>
      <c r="B185" t="b">
        <v>0</v>
      </c>
      <c r="C185" t="b">
        <v>0</v>
      </c>
      <c r="D185" s="3">
        <v>1998</v>
      </c>
      <c r="E185" s="3">
        <v>1998</v>
      </c>
      <c r="F185" t="s">
        <v>11</v>
      </c>
      <c r="G185" t="s">
        <v>3118</v>
      </c>
      <c r="H185" s="3">
        <v>34.810899999999997</v>
      </c>
      <c r="I185" t="s">
        <v>3758</v>
      </c>
      <c r="J185" t="s">
        <v>13284</v>
      </c>
      <c r="L185" t="s">
        <v>3759</v>
      </c>
      <c r="M185" t="str">
        <f>"https://www.artic.edu/iiif/2/"&amp;Table9[[#This Row],[Image ID]]&amp;"/full/843,/0/default.jpg"</f>
        <v>https://www.artic.edu/iiif/2/a3d26c55-430e-2c80-36ee-7d5fa478cc3a/full/843,/0/default.jpg</v>
      </c>
      <c r="N185" s="3">
        <v>0.875</v>
      </c>
      <c r="O185" s="3">
        <v>0.05</v>
      </c>
      <c r="P185" s="3">
        <v>0.82499999999999996</v>
      </c>
      <c r="Q185" s="3">
        <v>0.95216888189315796</v>
      </c>
    </row>
    <row r="186" spans="1:17" x14ac:dyDescent="0.45">
      <c r="A186" s="3">
        <v>184880</v>
      </c>
      <c r="B186" t="b">
        <v>0</v>
      </c>
      <c r="C186" t="b">
        <v>0</v>
      </c>
      <c r="D186" s="3">
        <v>2003</v>
      </c>
      <c r="E186" s="3">
        <v>2003</v>
      </c>
      <c r="F186" t="s">
        <v>4866</v>
      </c>
      <c r="G186" t="s">
        <v>4823</v>
      </c>
      <c r="H186" s="3">
        <v>9.9057999999999993</v>
      </c>
      <c r="I186" t="s">
        <v>293</v>
      </c>
      <c r="J186" t="s">
        <v>10977</v>
      </c>
      <c r="K186" s="5" t="s">
        <v>15</v>
      </c>
      <c r="L186" t="s">
        <v>4867</v>
      </c>
      <c r="M186" t="str">
        <f>"https://www.artic.edu/iiif/2/"&amp;Table9[[#This Row],[Image ID]]&amp;"/full/843,/0/default.jpg"</f>
        <v>https://www.artic.edu/iiif/2/bb20fd96-fa18-3eb7-fb56-d5cae3fd8762/full/843,/0/default.jpg</v>
      </c>
      <c r="N186" s="3">
        <v>0.82499999999999996</v>
      </c>
      <c r="O186" s="3">
        <v>0</v>
      </c>
      <c r="P186" s="3">
        <v>0.82499999999999996</v>
      </c>
      <c r="Q186" s="3">
        <v>0.80391049385070801</v>
      </c>
    </row>
    <row r="187" spans="1:17" x14ac:dyDescent="0.45">
      <c r="A187" s="3">
        <v>196415</v>
      </c>
      <c r="B187" t="b">
        <v>0</v>
      </c>
      <c r="C187" t="b">
        <v>0</v>
      </c>
      <c r="D187" s="3">
        <v>1989</v>
      </c>
      <c r="E187" s="3">
        <v>1989</v>
      </c>
      <c r="F187" t="s">
        <v>2794</v>
      </c>
      <c r="G187" t="s">
        <v>5174</v>
      </c>
      <c r="H187" s="3">
        <v>2.8</v>
      </c>
      <c r="I187" t="s">
        <v>2254</v>
      </c>
      <c r="J187" t="s">
        <v>13657</v>
      </c>
      <c r="L187" t="s">
        <v>5285</v>
      </c>
      <c r="M187" t="str">
        <f>"https://www.artic.edu/iiif/2/"&amp;Table9[[#This Row],[Image ID]]&amp;"/full/843,/0/default.jpg"</f>
        <v>https://www.artic.edu/iiif/2/c069c84b-acd7-9c1a-af1d-8ca54e7657d6/full/843,/0/default.jpg</v>
      </c>
      <c r="N187" s="3">
        <v>0.85</v>
      </c>
      <c r="O187" s="3">
        <v>2.5000000000000001E-2</v>
      </c>
      <c r="P187" s="3">
        <v>0.82499999999999996</v>
      </c>
      <c r="Q187" s="3">
        <v>0.90790802240371704</v>
      </c>
    </row>
    <row r="188" spans="1:17" x14ac:dyDescent="0.45">
      <c r="A188" s="3">
        <v>28890</v>
      </c>
      <c r="B188" t="b">
        <v>0</v>
      </c>
      <c r="C188" t="b">
        <v>0</v>
      </c>
      <c r="D188" s="3">
        <v>1963</v>
      </c>
      <c r="E188" s="3">
        <v>1965</v>
      </c>
      <c r="F188" t="s">
        <v>6845</v>
      </c>
      <c r="G188" t="s">
        <v>6846</v>
      </c>
      <c r="H188" s="3">
        <v>5.0189000000000004</v>
      </c>
      <c r="I188" t="s">
        <v>4131</v>
      </c>
      <c r="J188" t="s">
        <v>13695</v>
      </c>
      <c r="L188" t="s">
        <v>6847</v>
      </c>
      <c r="M188" t="str">
        <f>"https://www.artic.edu/iiif/2/"&amp;Table9[[#This Row],[Image ID]]&amp;"/full/843,/0/default.jpg"</f>
        <v>https://www.artic.edu/iiif/2/c44dbabd-ab24-673d-bbf3-60c39451c894/full/843,/0/default.jpg</v>
      </c>
      <c r="N188" s="3">
        <v>0.875</v>
      </c>
      <c r="O188" s="3">
        <v>0.05</v>
      </c>
      <c r="P188" s="3">
        <v>0.82499999999999996</v>
      </c>
      <c r="Q188" s="3">
        <v>0.819047391414642</v>
      </c>
    </row>
    <row r="189" spans="1:17" x14ac:dyDescent="0.45">
      <c r="A189" s="3">
        <v>236501</v>
      </c>
      <c r="B189" t="b">
        <v>0</v>
      </c>
      <c r="C189" t="b">
        <v>0</v>
      </c>
      <c r="D189" s="3">
        <v>1945</v>
      </c>
      <c r="E189" s="3">
        <v>1955</v>
      </c>
      <c r="F189" t="s">
        <v>6269</v>
      </c>
      <c r="G189" t="s">
        <v>7</v>
      </c>
      <c r="H189" s="3">
        <v>22.020099999999999</v>
      </c>
      <c r="I189" t="s">
        <v>287</v>
      </c>
      <c r="J189" t="s">
        <v>13736</v>
      </c>
      <c r="K189" s="5" t="s">
        <v>2</v>
      </c>
      <c r="L189" t="s">
        <v>6270</v>
      </c>
      <c r="M189" t="str">
        <f>"https://www.artic.edu/iiif/2/"&amp;Table9[[#This Row],[Image ID]]&amp;"/full/843,/0/default.jpg"</f>
        <v>https://www.artic.edu/iiif/2/c73af721-157e-eb9e-2836-e2ca3c9d0a20/full/843,/0/default.jpg</v>
      </c>
      <c r="N189" s="3">
        <v>0.875</v>
      </c>
      <c r="O189" s="3">
        <v>0.05</v>
      </c>
      <c r="P189" s="3">
        <v>0.82499999999999996</v>
      </c>
      <c r="Q189" s="3">
        <v>0.84576523303985596</v>
      </c>
    </row>
    <row r="190" spans="1:17" x14ac:dyDescent="0.45">
      <c r="A190" s="3">
        <v>10018</v>
      </c>
      <c r="B190" t="b">
        <v>0</v>
      </c>
      <c r="C190" t="b">
        <v>0</v>
      </c>
      <c r="D190" s="3">
        <v>1940</v>
      </c>
      <c r="E190" s="3">
        <v>1940</v>
      </c>
      <c r="F190" t="s">
        <v>38</v>
      </c>
      <c r="G190" t="s">
        <v>39</v>
      </c>
      <c r="H190" s="3">
        <v>29.544599999999999</v>
      </c>
      <c r="I190" t="s">
        <v>40</v>
      </c>
      <c r="J190" t="s">
        <v>13772</v>
      </c>
      <c r="L190" t="s">
        <v>41</v>
      </c>
      <c r="M190" t="str">
        <f>"https://www.artic.edu/iiif/2/"&amp;Table9[[#This Row],[Image ID]]&amp;"/full/843,/0/default.jpg"</f>
        <v>https://www.artic.edu/iiif/2/c96955c7-879a-8ace-12a0-a416c4d264fe/full/843,/0/default.jpg</v>
      </c>
      <c r="N190" s="3">
        <v>0.875</v>
      </c>
      <c r="O190" s="3">
        <v>0.05</v>
      </c>
      <c r="P190" s="3">
        <v>0.82499999999999996</v>
      </c>
      <c r="Q190" s="3">
        <v>0.80928087234497004</v>
      </c>
    </row>
    <row r="191" spans="1:17" x14ac:dyDescent="0.45">
      <c r="A191" s="3">
        <v>64962</v>
      </c>
      <c r="B191" t="b">
        <v>0</v>
      </c>
      <c r="C191" t="b">
        <v>0</v>
      </c>
      <c r="D191" s="3">
        <v>1924</v>
      </c>
      <c r="E191" s="3">
        <v>1924</v>
      </c>
      <c r="F191" t="s">
        <v>9013</v>
      </c>
      <c r="G191" t="s">
        <v>7</v>
      </c>
      <c r="H191" s="3">
        <v>3.3041</v>
      </c>
      <c r="I191" t="s">
        <v>9014</v>
      </c>
      <c r="J191" t="s">
        <v>13808</v>
      </c>
      <c r="L191" t="s">
        <v>9015</v>
      </c>
      <c r="M191" t="str">
        <f>"https://www.artic.edu/iiif/2/"&amp;Table9[[#This Row],[Image ID]]&amp;"/full/843,/0/default.jpg"</f>
        <v>https://www.artic.edu/iiif/2/cc7d2ecc-f4ae-393e-7ab0-fe3716f49502/full/843,/0/default.jpg</v>
      </c>
      <c r="N191" s="3">
        <v>0.875</v>
      </c>
      <c r="O191" s="3">
        <v>0.05</v>
      </c>
      <c r="P191" s="3">
        <v>0.82499999999999996</v>
      </c>
      <c r="Q191" s="3">
        <v>0.84336471557617099</v>
      </c>
    </row>
    <row r="192" spans="1:17" x14ac:dyDescent="0.45">
      <c r="A192" s="3">
        <v>84742</v>
      </c>
      <c r="B192" t="b">
        <v>0</v>
      </c>
      <c r="C192" t="b">
        <v>0</v>
      </c>
      <c r="D192" s="3">
        <v>1938</v>
      </c>
      <c r="E192" s="3">
        <v>1938</v>
      </c>
      <c r="F192" t="s">
        <v>10297</v>
      </c>
      <c r="G192" t="s">
        <v>7</v>
      </c>
      <c r="H192" s="3">
        <v>59.5565</v>
      </c>
      <c r="I192" t="s">
        <v>144</v>
      </c>
      <c r="J192" t="s">
        <v>14050</v>
      </c>
      <c r="K192" s="5" t="s">
        <v>45</v>
      </c>
      <c r="L192" t="s">
        <v>10298</v>
      </c>
      <c r="M192" t="str">
        <f>"https://www.artic.edu/iiif/2/"&amp;Table9[[#This Row],[Image ID]]&amp;"/full/843,/0/default.jpg"</f>
        <v>https://www.artic.edu/iiif/2/ded89c7f-e204-d5de-f60a-53de3d28e69a/full/843,/0/default.jpg</v>
      </c>
      <c r="N192" s="3">
        <v>0.875</v>
      </c>
      <c r="O192" s="3">
        <v>0.05</v>
      </c>
      <c r="P192" s="3">
        <v>0.82499999999999996</v>
      </c>
      <c r="Q192" s="3">
        <v>0.77811765670776301</v>
      </c>
    </row>
    <row r="193" spans="1:17" x14ac:dyDescent="0.45">
      <c r="A193" s="3">
        <v>146967</v>
      </c>
      <c r="B193" t="b">
        <v>0</v>
      </c>
      <c r="C193" t="b">
        <v>0</v>
      </c>
      <c r="D193" s="3">
        <v>1977</v>
      </c>
      <c r="E193" s="3">
        <v>1977</v>
      </c>
      <c r="F193" t="s">
        <v>3532</v>
      </c>
      <c r="G193" t="s">
        <v>642</v>
      </c>
      <c r="H193" s="3">
        <v>17.332799999999999</v>
      </c>
      <c r="I193" t="s">
        <v>350</v>
      </c>
      <c r="J193" t="s">
        <v>11882</v>
      </c>
      <c r="L193" t="s">
        <v>3533</v>
      </c>
      <c r="M193" t="str">
        <f>"https://www.artic.edu/iiif/2/"&amp;Table9[[#This Row],[Image ID]]&amp;"/full/843,/0/default.jpg"</f>
        <v>https://www.artic.edu/iiif/2/e0a279ae-ac7c-c082-cd19-0287fb9b7f0a/full/843,/0/default.jpg</v>
      </c>
      <c r="N193" s="3">
        <v>0.85</v>
      </c>
      <c r="O193" s="3">
        <v>2.5000000000000001E-2</v>
      </c>
      <c r="P193" s="3">
        <v>0.82499999999999996</v>
      </c>
      <c r="Q193" s="3">
        <v>0.90192598104476895</v>
      </c>
    </row>
    <row r="194" spans="1:17" x14ac:dyDescent="0.45">
      <c r="A194" s="3">
        <v>229121</v>
      </c>
      <c r="B194" t="b">
        <v>0</v>
      </c>
      <c r="C194" t="b">
        <v>0</v>
      </c>
      <c r="D194" s="3">
        <v>1974</v>
      </c>
      <c r="E194" s="3">
        <v>1974</v>
      </c>
      <c r="F194" t="s">
        <v>5840</v>
      </c>
      <c r="G194" t="s">
        <v>238</v>
      </c>
      <c r="H194" s="3">
        <v>120.5761</v>
      </c>
      <c r="I194" t="s">
        <v>5841</v>
      </c>
      <c r="J194" t="s">
        <v>11563</v>
      </c>
      <c r="L194" t="s">
        <v>6055</v>
      </c>
      <c r="M194" t="str">
        <f>"https://www.artic.edu/iiif/2/"&amp;Table9[[#This Row],[Image ID]]&amp;"/full/843,/0/default.jpg"</f>
        <v>https://www.artic.edu/iiif/2/f14efcbb-f6c3-1087-88a4-9fefc4cf910d/full/843,/0/default.jpg</v>
      </c>
      <c r="N194" s="3">
        <v>0.875</v>
      </c>
      <c r="O194" s="3">
        <v>0.05</v>
      </c>
      <c r="P194" s="3">
        <v>0.82499999999999996</v>
      </c>
      <c r="Q194" s="3">
        <v>0.92527937889099099</v>
      </c>
    </row>
    <row r="195" spans="1:17" x14ac:dyDescent="0.45">
      <c r="A195" s="3">
        <v>99605</v>
      </c>
      <c r="B195" t="b">
        <v>0</v>
      </c>
      <c r="C195" t="b">
        <v>0</v>
      </c>
      <c r="D195" s="3">
        <v>1881</v>
      </c>
      <c r="E195" s="3">
        <v>1909</v>
      </c>
      <c r="F195" t="s">
        <v>10933</v>
      </c>
      <c r="G195" t="s">
        <v>10934</v>
      </c>
      <c r="H195" s="3">
        <v>19.6098</v>
      </c>
      <c r="I195" t="s">
        <v>192</v>
      </c>
      <c r="J195" t="s">
        <v>14429</v>
      </c>
      <c r="L195" t="s">
        <v>10935</v>
      </c>
      <c r="M195" t="str">
        <f>"https://www.artic.edu/iiif/2/"&amp;Table9[[#This Row],[Image ID]]&amp;"/full/843,/0/default.jpg"</f>
        <v>https://www.artic.edu/iiif/2/f84efc8f-b72e-4a92-be5d-50b7c010e3ee/full/843,/0/default.jpg</v>
      </c>
      <c r="N195" s="3">
        <v>0.875</v>
      </c>
      <c r="O195" s="3">
        <v>0.05</v>
      </c>
      <c r="P195" s="3">
        <v>0.82499999999999996</v>
      </c>
      <c r="Q195" s="3">
        <v>0.708332300186157</v>
      </c>
    </row>
    <row r="196" spans="1:17" x14ac:dyDescent="0.45">
      <c r="A196" s="3">
        <v>129682</v>
      </c>
      <c r="B196" t="b">
        <v>0</v>
      </c>
      <c r="C196" t="b">
        <v>0</v>
      </c>
      <c r="D196" s="3">
        <v>1941</v>
      </c>
      <c r="E196" s="3">
        <v>1941</v>
      </c>
      <c r="F196" t="s">
        <v>2906</v>
      </c>
      <c r="G196" t="s">
        <v>2892</v>
      </c>
      <c r="H196" s="3">
        <v>35.717599999999997</v>
      </c>
      <c r="I196" t="s">
        <v>14549</v>
      </c>
      <c r="J196" t="s">
        <v>10990</v>
      </c>
      <c r="L196" t="s">
        <v>2907</v>
      </c>
      <c r="M196" t="str">
        <f>"https://www.artic.edu/iiif/2/"&amp;Table9[[#This Row],[Image ID]]&amp;"/full/843,/0/default.jpg"</f>
        <v>https://www.artic.edu/iiif/2/faeac822-88ab-179e-d71c-9fb96d951851/full/843,/0/default.jpg</v>
      </c>
      <c r="N196" s="3">
        <v>0.875</v>
      </c>
      <c r="O196" s="3">
        <v>0.05</v>
      </c>
      <c r="P196" s="3">
        <v>0.82499999999999996</v>
      </c>
      <c r="Q196" s="3">
        <v>0.83138793706893899</v>
      </c>
    </row>
    <row r="197" spans="1:17" x14ac:dyDescent="0.45">
      <c r="A197" s="3">
        <v>61151</v>
      </c>
      <c r="B197" t="b">
        <v>0</v>
      </c>
      <c r="C197" t="b">
        <v>1</v>
      </c>
      <c r="D197" s="3">
        <v>1808</v>
      </c>
      <c r="E197" s="3">
        <v>1810</v>
      </c>
      <c r="F197" t="s">
        <v>8787</v>
      </c>
      <c r="G197" t="s">
        <v>2618</v>
      </c>
      <c r="H197" s="3">
        <v>16.677</v>
      </c>
      <c r="I197" t="s">
        <v>8785</v>
      </c>
      <c r="J197" t="s">
        <v>11153</v>
      </c>
      <c r="L197" t="s">
        <v>8788</v>
      </c>
      <c r="M197" t="str">
        <f>"https://www.artic.edu/iiif/2/"&amp;Table9[[#This Row],[Image ID]]&amp;"/full/843,/0/default.jpg"</f>
        <v>https://www.artic.edu/iiif/2/0da87889-35af-df93-2e73-3227ddc48749/full/843,/0/default.jpg</v>
      </c>
      <c r="N197" s="3">
        <v>0.82499999999999996</v>
      </c>
      <c r="O197" s="3">
        <v>0</v>
      </c>
      <c r="P197" s="3">
        <v>0.82499999999999996</v>
      </c>
      <c r="Q197" s="3">
        <v>0.79332894086837702</v>
      </c>
    </row>
    <row r="198" spans="1:17" x14ac:dyDescent="0.45">
      <c r="A198" s="3">
        <v>110776</v>
      </c>
      <c r="B198" t="b">
        <v>0</v>
      </c>
      <c r="C198" t="b">
        <v>1</v>
      </c>
      <c r="D198" s="3">
        <v>1824</v>
      </c>
      <c r="E198" s="3">
        <v>1824</v>
      </c>
      <c r="F198" t="s">
        <v>14576</v>
      </c>
      <c r="G198" t="s">
        <v>7</v>
      </c>
      <c r="H198" s="3">
        <v>17.5886</v>
      </c>
      <c r="I198" t="s">
        <v>940</v>
      </c>
      <c r="J198" t="s">
        <v>11899</v>
      </c>
      <c r="L198" t="s">
        <v>941</v>
      </c>
      <c r="M198" t="str">
        <f>"https://www.artic.edu/iiif/2/"&amp;Table9[[#This Row],[Image ID]]&amp;"/full/843,/0/default.jpg"</f>
        <v>https://www.artic.edu/iiif/2/3ef09d92-f10b-f01f-515d-c69a0a3a3e92/full/843,/0/default.jpg</v>
      </c>
      <c r="N198" s="3">
        <v>0.85</v>
      </c>
      <c r="O198" s="3">
        <v>2.5000000000000001E-2</v>
      </c>
      <c r="P198" s="3">
        <v>0.82499999999999996</v>
      </c>
      <c r="Q198" s="3">
        <v>0.76390630006790095</v>
      </c>
    </row>
    <row r="199" spans="1:17" x14ac:dyDescent="0.45">
      <c r="A199" s="3">
        <v>47590</v>
      </c>
      <c r="B199" t="b">
        <v>0</v>
      </c>
      <c r="C199" t="b">
        <v>1</v>
      </c>
      <c r="D199" s="3">
        <v>1789</v>
      </c>
      <c r="E199" s="3">
        <v>1789</v>
      </c>
      <c r="F199" t="s">
        <v>7958</v>
      </c>
      <c r="G199" t="s">
        <v>7</v>
      </c>
      <c r="H199" s="3">
        <v>43.362299999999998</v>
      </c>
      <c r="I199" t="s">
        <v>7959</v>
      </c>
      <c r="J199" t="s">
        <v>11922</v>
      </c>
      <c r="L199" t="s">
        <v>7960</v>
      </c>
      <c r="M199" t="str">
        <f>"https://www.artic.edu/iiif/2/"&amp;Table9[[#This Row],[Image ID]]&amp;"/full/843,/0/default.jpg"</f>
        <v>https://www.artic.edu/iiif/2/4059d913-1ed9-a1f3-60de-571f921acc38/full/843,/0/default.jpg</v>
      </c>
      <c r="N199" s="3">
        <v>0.85</v>
      </c>
      <c r="O199" s="3">
        <v>2.5000000000000001E-2</v>
      </c>
      <c r="P199" s="3">
        <v>0.82499999999999996</v>
      </c>
      <c r="Q199" s="3">
        <v>0.84747213125228804</v>
      </c>
    </row>
    <row r="200" spans="1:17" x14ac:dyDescent="0.45">
      <c r="A200" s="3">
        <v>25964</v>
      </c>
      <c r="B200" t="b">
        <v>0</v>
      </c>
      <c r="C200" t="b">
        <v>1</v>
      </c>
      <c r="D200" s="3">
        <v>1835</v>
      </c>
      <c r="E200" s="3">
        <v>1840</v>
      </c>
      <c r="F200" t="s">
        <v>6656</v>
      </c>
      <c r="G200" t="s">
        <v>7</v>
      </c>
      <c r="H200" s="3">
        <v>31.0547</v>
      </c>
      <c r="I200" t="s">
        <v>6657</v>
      </c>
      <c r="J200" t="s">
        <v>12034</v>
      </c>
      <c r="L200" t="s">
        <v>6658</v>
      </c>
      <c r="M200" t="str">
        <f>"https://www.artic.edu/iiif/2/"&amp;Table9[[#This Row],[Image ID]]&amp;"/full/843,/0/default.jpg"</f>
        <v>https://www.artic.edu/iiif/2/4841c80c-ecd9-047b-8590-c975964ad879/full/843,/0/default.jpg</v>
      </c>
      <c r="N200" s="3">
        <v>0.85</v>
      </c>
      <c r="O200" s="3">
        <v>2.5000000000000001E-2</v>
      </c>
      <c r="P200" s="3">
        <v>0.82499999999999996</v>
      </c>
      <c r="Q200" s="3">
        <v>0.823871910572052</v>
      </c>
    </row>
    <row r="201" spans="1:17" x14ac:dyDescent="0.45">
      <c r="A201" s="3">
        <v>52306</v>
      </c>
      <c r="B201" t="b">
        <v>0</v>
      </c>
      <c r="C201" t="b">
        <v>1</v>
      </c>
      <c r="D201" s="3">
        <v>1725</v>
      </c>
      <c r="E201" s="3">
        <v>1775</v>
      </c>
      <c r="F201" t="s">
        <v>8185</v>
      </c>
      <c r="G201" t="s">
        <v>723</v>
      </c>
      <c r="H201" s="3">
        <v>47.113199999999999</v>
      </c>
      <c r="J201" t="s">
        <v>12064</v>
      </c>
      <c r="K201" s="5" t="s">
        <v>3250</v>
      </c>
      <c r="L201" t="s">
        <v>8186</v>
      </c>
      <c r="M201" t="str">
        <f>"https://www.artic.edu/iiif/2/"&amp;Table9[[#This Row],[Image ID]]&amp;"/full/843,/0/default.jpg"</f>
        <v>https://www.artic.edu/iiif/2/4ab20567-ffb7-e5e5-1904-666467e8a4b7/full/843,/0/default.jpg</v>
      </c>
      <c r="N201" s="3">
        <v>0.82499999999999996</v>
      </c>
      <c r="O201" s="3">
        <v>0</v>
      </c>
      <c r="P201" s="3">
        <v>0.82499999999999996</v>
      </c>
      <c r="Q201" s="3">
        <v>0.63269758224487305</v>
      </c>
    </row>
    <row r="202" spans="1:17" x14ac:dyDescent="0.45">
      <c r="A202" s="3">
        <v>115518</v>
      </c>
      <c r="B202" t="b">
        <v>0</v>
      </c>
      <c r="C202" t="b">
        <v>1</v>
      </c>
      <c r="D202" s="3">
        <v>1719</v>
      </c>
      <c r="E202" s="3">
        <v>1769</v>
      </c>
      <c r="F202" t="s">
        <v>2001</v>
      </c>
      <c r="G202" t="s">
        <v>1982</v>
      </c>
      <c r="H202" s="3">
        <v>41.441000000000003</v>
      </c>
      <c r="I202" t="s">
        <v>1922</v>
      </c>
      <c r="J202" t="s">
        <v>12621</v>
      </c>
      <c r="L202" t="s">
        <v>2002</v>
      </c>
      <c r="M202" t="str">
        <f>"https://www.artic.edu/iiif/2/"&amp;Table9[[#This Row],[Image ID]]&amp;"/full/843,/0/default.jpg"</f>
        <v>https://www.artic.edu/iiif/2/70dcfe88-2291-7323-67e8-bae9454b8376/full/843,/0/default.jpg</v>
      </c>
      <c r="N202" s="3">
        <v>0.85</v>
      </c>
      <c r="O202" s="3">
        <v>2.5000000000000001E-2</v>
      </c>
      <c r="P202" s="3">
        <v>0.82499999999999996</v>
      </c>
      <c r="Q202" s="3">
        <v>0.89351689815521196</v>
      </c>
    </row>
    <row r="203" spans="1:17" x14ac:dyDescent="0.45">
      <c r="A203" s="3">
        <v>61146</v>
      </c>
      <c r="B203" t="b">
        <v>0</v>
      </c>
      <c r="C203" t="b">
        <v>1</v>
      </c>
      <c r="D203" s="3">
        <v>1825</v>
      </c>
      <c r="E203" s="3">
        <v>1825</v>
      </c>
      <c r="F203" t="s">
        <v>8782</v>
      </c>
      <c r="G203" t="s">
        <v>75</v>
      </c>
      <c r="H203" s="3">
        <v>30.122</v>
      </c>
      <c r="I203" t="s">
        <v>8778</v>
      </c>
      <c r="J203" t="s">
        <v>11584</v>
      </c>
      <c r="K203" s="5" t="s">
        <v>125</v>
      </c>
      <c r="L203" t="s">
        <v>8783</v>
      </c>
      <c r="M203" t="str">
        <f>"https://www.artic.edu/iiif/2/"&amp;Table9[[#This Row],[Image ID]]&amp;"/full/843,/0/default.jpg"</f>
        <v>https://www.artic.edu/iiif/2/77da3827-005a-2149-c590-34d31fdfa83c/full/843,/0/default.jpg</v>
      </c>
      <c r="N203" s="3">
        <v>0.875</v>
      </c>
      <c r="O203" s="3">
        <v>0.05</v>
      </c>
      <c r="P203" s="3">
        <v>0.82499999999999996</v>
      </c>
      <c r="Q203" s="3">
        <v>0.86209160089492798</v>
      </c>
    </row>
    <row r="204" spans="1:17" x14ac:dyDescent="0.45">
      <c r="A204" s="3">
        <v>115488</v>
      </c>
      <c r="B204" t="b">
        <v>0</v>
      </c>
      <c r="C204" t="b">
        <v>1</v>
      </c>
      <c r="D204" s="3">
        <v>1719</v>
      </c>
      <c r="E204" s="3">
        <v>1769</v>
      </c>
      <c r="F204" t="s">
        <v>1939</v>
      </c>
      <c r="G204" t="s">
        <v>1940</v>
      </c>
      <c r="H204" s="3">
        <v>51.947000000000003</v>
      </c>
      <c r="I204" t="s">
        <v>1922</v>
      </c>
      <c r="J204" t="s">
        <v>13297</v>
      </c>
      <c r="L204" t="s">
        <v>1941</v>
      </c>
      <c r="M204" t="str">
        <f>"https://www.artic.edu/iiif/2/"&amp;Table9[[#This Row],[Image ID]]&amp;"/full/843,/0/default.jpg"</f>
        <v>https://www.artic.edu/iiif/2/a4a582e4-1401-be63-3176-d75b1bbd2b6c/full/843,/0/default.jpg</v>
      </c>
      <c r="N204" s="3">
        <v>0.85</v>
      </c>
      <c r="O204" s="3">
        <v>2.5000000000000001E-2</v>
      </c>
      <c r="P204" s="3">
        <v>0.82499999999999996</v>
      </c>
      <c r="Q204" s="3">
        <v>0.95879679918289096</v>
      </c>
    </row>
    <row r="205" spans="1:17" x14ac:dyDescent="0.45">
      <c r="A205" s="3">
        <v>8210</v>
      </c>
      <c r="B205" t="b">
        <v>0</v>
      </c>
      <c r="C205" t="b">
        <v>1</v>
      </c>
      <c r="D205" s="3">
        <v>1701</v>
      </c>
      <c r="E205" s="3">
        <v>1900</v>
      </c>
      <c r="F205" t="s">
        <v>10169</v>
      </c>
      <c r="G205" t="s">
        <v>10165</v>
      </c>
      <c r="H205" s="3">
        <v>30.543399999999998</v>
      </c>
      <c r="J205" t="s">
        <v>14082</v>
      </c>
      <c r="K205" s="5" t="s">
        <v>278</v>
      </c>
      <c r="L205" t="s">
        <v>10170</v>
      </c>
      <c r="M205" t="str">
        <f>"https://www.artic.edu/iiif/2/"&amp;Table9[[#This Row],[Image ID]]&amp;"/full/843,/0/default.jpg"</f>
        <v>https://www.artic.edu/iiif/2/e11dfc91-b8d2-eddd-6339-bd3fef07e6d3/full/843,/0/default.jpg</v>
      </c>
      <c r="N205" s="3">
        <v>0.875</v>
      </c>
      <c r="O205" s="3">
        <v>0.05</v>
      </c>
      <c r="P205" s="3">
        <v>0.82499999999999996</v>
      </c>
      <c r="Q205" s="3">
        <v>0.89087712764739901</v>
      </c>
    </row>
    <row r="206" spans="1:17" x14ac:dyDescent="0.45">
      <c r="A206" s="3">
        <v>111624</v>
      </c>
      <c r="B206" t="b">
        <v>0</v>
      </c>
      <c r="C206" t="b">
        <v>1</v>
      </c>
      <c r="D206" s="3">
        <v>1878</v>
      </c>
      <c r="E206" s="3">
        <v>1878</v>
      </c>
      <c r="F206" t="s">
        <v>47</v>
      </c>
      <c r="G206" t="s">
        <v>249</v>
      </c>
      <c r="H206" s="3">
        <v>5.3891</v>
      </c>
      <c r="I206" t="s">
        <v>14626</v>
      </c>
      <c r="J206" t="s">
        <v>14291</v>
      </c>
      <c r="L206" t="s">
        <v>1159</v>
      </c>
      <c r="M206" t="str">
        <f>"https://www.artic.edu/iiif/2/"&amp;Table9[[#This Row],[Image ID]]&amp;"/full/843,/0/default.jpg"</f>
        <v>https://www.artic.edu/iiif/2/ee5768cc-fdc2-763c-31b9-f9764c7187aa/full/843,/0/default.jpg</v>
      </c>
      <c r="N206" s="3">
        <v>0.85</v>
      </c>
      <c r="O206" s="3">
        <v>2.5000000000000001E-2</v>
      </c>
      <c r="P206" s="3">
        <v>0.82499999999999996</v>
      </c>
      <c r="Q206" s="3">
        <v>0.68680471181869496</v>
      </c>
    </row>
    <row r="207" spans="1:17" x14ac:dyDescent="0.45">
      <c r="A207" s="3">
        <v>71018</v>
      </c>
      <c r="B207" t="b">
        <v>0</v>
      </c>
      <c r="C207" t="b">
        <v>1</v>
      </c>
      <c r="D207" s="3">
        <v>1825</v>
      </c>
      <c r="E207" s="3">
        <v>1835</v>
      </c>
      <c r="F207" t="s">
        <v>9471</v>
      </c>
      <c r="G207" t="s">
        <v>75</v>
      </c>
      <c r="H207" s="3">
        <v>27.203099999999999</v>
      </c>
      <c r="I207" t="s">
        <v>1294</v>
      </c>
      <c r="J207" t="s">
        <v>14089</v>
      </c>
      <c r="L207" t="s">
        <v>9472</v>
      </c>
      <c r="M207" t="str">
        <f>"https://www.artic.edu/iiif/2/"&amp;Table9[[#This Row],[Image ID]]&amp;"/full/843,/0/default.jpg"</f>
        <v>https://www.artic.edu/iiif/2/e1826a0c-e20a-0e5e-a9e3-abf4fe123884/full/843,/0/default.jpg</v>
      </c>
      <c r="N207" s="3">
        <v>0.88400000000000001</v>
      </c>
      <c r="O207" s="3">
        <v>7.0000000000000007E-2</v>
      </c>
      <c r="P207" s="3">
        <v>0.81400000000000006</v>
      </c>
      <c r="Q207" s="3">
        <v>0.731656074523925</v>
      </c>
    </row>
    <row r="208" spans="1:17" x14ac:dyDescent="0.45">
      <c r="A208" s="3">
        <v>15714</v>
      </c>
      <c r="B208" t="b">
        <v>0</v>
      </c>
      <c r="C208" t="b">
        <v>1</v>
      </c>
      <c r="D208" s="3">
        <v>1654</v>
      </c>
      <c r="E208" s="3">
        <v>1654</v>
      </c>
      <c r="F208" t="s">
        <v>4087</v>
      </c>
      <c r="G208" t="s">
        <v>7</v>
      </c>
      <c r="H208" s="3">
        <v>16.3004</v>
      </c>
      <c r="I208" t="s">
        <v>4088</v>
      </c>
      <c r="J208" t="s">
        <v>12597</v>
      </c>
      <c r="L208" t="s">
        <v>4089</v>
      </c>
      <c r="M208" t="str">
        <f>"https://www.artic.edu/iiif/2/"&amp;Table9[[#This Row],[Image ID]]&amp;"/full/843,/0/default.jpg"</f>
        <v>https://www.artic.edu/iiif/2/6f9efc13-46f6-32a6-ac9a-80447870fb5c/full/843,/0/default.jpg</v>
      </c>
      <c r="N208" s="3">
        <v>0.90500000000000003</v>
      </c>
      <c r="O208" s="3">
        <v>9.2999999999999999E-2</v>
      </c>
      <c r="P208" s="3">
        <v>0.81200000000000006</v>
      </c>
      <c r="Q208" s="3">
        <v>0.74098956584930398</v>
      </c>
    </row>
    <row r="209" spans="1:17" x14ac:dyDescent="0.45">
      <c r="A209" s="3">
        <v>229118</v>
      </c>
      <c r="B209" t="b">
        <v>0</v>
      </c>
      <c r="C209" t="b">
        <v>0</v>
      </c>
      <c r="D209" s="3">
        <v>1974</v>
      </c>
      <c r="E209" s="3">
        <v>1974</v>
      </c>
      <c r="F209" t="s">
        <v>5840</v>
      </c>
      <c r="G209" t="s">
        <v>238</v>
      </c>
      <c r="H209" s="3">
        <v>166.57859999999999</v>
      </c>
      <c r="I209" t="s">
        <v>5841</v>
      </c>
      <c r="J209" t="s">
        <v>11563</v>
      </c>
      <c r="L209" t="s">
        <v>6052</v>
      </c>
      <c r="M209" t="str">
        <f>"https://www.artic.edu/iiif/2/"&amp;Table9[[#This Row],[Image ID]]&amp;"/full/843,/0/default.jpg"</f>
        <v>https://www.artic.edu/iiif/2/5cebad38-ad3b-b3c8-c9bf-cadeca6435aa/full/843,/0/default.jpg</v>
      </c>
      <c r="N209" s="3">
        <v>0.90500000000000003</v>
      </c>
      <c r="O209" s="3">
        <v>9.5000000000000001E-2</v>
      </c>
      <c r="P209" s="3">
        <v>0.81</v>
      </c>
      <c r="Q209" s="3">
        <v>0.932109594345092</v>
      </c>
    </row>
    <row r="210" spans="1:17" x14ac:dyDescent="0.45">
      <c r="A210" s="3">
        <v>181478</v>
      </c>
      <c r="B210" t="b">
        <v>0</v>
      </c>
      <c r="C210" t="b">
        <v>1</v>
      </c>
      <c r="D210" s="3">
        <v>1828</v>
      </c>
      <c r="E210" s="3">
        <v>1828</v>
      </c>
      <c r="F210" t="s">
        <v>4723</v>
      </c>
      <c r="G210" t="s">
        <v>75</v>
      </c>
      <c r="H210" s="3">
        <v>31.251999999999999</v>
      </c>
      <c r="I210" t="s">
        <v>4724</v>
      </c>
      <c r="J210" t="s">
        <v>11812</v>
      </c>
      <c r="L210" t="s">
        <v>4725</v>
      </c>
      <c r="M210" t="str">
        <f>"https://www.artic.edu/iiif/2/"&amp;Table9[[#This Row],[Image ID]]&amp;"/full/843,/0/default.jpg"</f>
        <v>https://www.artic.edu/iiif/2/399332e9-94a4-64ac-4ed2-040647b2ca80/full/843,/0/default.jpg</v>
      </c>
      <c r="N210" s="3">
        <v>0.90500000000000003</v>
      </c>
      <c r="O210" s="3">
        <v>9.5000000000000001E-2</v>
      </c>
      <c r="P210" s="3">
        <v>0.81</v>
      </c>
      <c r="Q210" s="3">
        <v>0.80953913927078203</v>
      </c>
    </row>
    <row r="211" spans="1:17" x14ac:dyDescent="0.45">
      <c r="A211" s="3">
        <v>185188</v>
      </c>
      <c r="B211" t="b">
        <v>0</v>
      </c>
      <c r="C211" t="b">
        <v>0</v>
      </c>
      <c r="D211" s="3">
        <v>1957</v>
      </c>
      <c r="E211" s="3">
        <v>1957</v>
      </c>
      <c r="F211" t="s">
        <v>11</v>
      </c>
      <c r="G211" t="s">
        <v>7</v>
      </c>
      <c r="H211" s="3">
        <v>56.631999999999998</v>
      </c>
      <c r="I211" t="s">
        <v>2302</v>
      </c>
      <c r="J211" t="s">
        <v>12484</v>
      </c>
      <c r="K211" s="5" t="s">
        <v>3755</v>
      </c>
      <c r="L211" t="s">
        <v>4976</v>
      </c>
      <c r="M211" t="str">
        <f>"https://www.artic.edu/iiif/2/"&amp;Table9[[#This Row],[Image ID]]&amp;"/full/843,/0/default.jpg"</f>
        <v>https://www.artic.edu/iiif/2/67841e8f-a428-8488-2118-22215a2b53b5/full/843,/0/default.jpg</v>
      </c>
      <c r="N211" s="3">
        <v>0.85699999999999998</v>
      </c>
      <c r="O211" s="3">
        <v>4.8000000000000001E-2</v>
      </c>
      <c r="P211" s="3">
        <v>0.80899999999999994</v>
      </c>
      <c r="Q211" s="3">
        <v>0.86023098230361905</v>
      </c>
    </row>
    <row r="212" spans="1:17" x14ac:dyDescent="0.45">
      <c r="A212" s="3">
        <v>60281</v>
      </c>
      <c r="B212" t="b">
        <v>0</v>
      </c>
      <c r="C212" t="b">
        <v>0</v>
      </c>
      <c r="D212" s="3">
        <v>1967</v>
      </c>
      <c r="E212" s="3">
        <v>1967</v>
      </c>
      <c r="F212" t="s">
        <v>8699</v>
      </c>
      <c r="G212" t="s">
        <v>250</v>
      </c>
      <c r="H212" s="3">
        <v>92.603099999999998</v>
      </c>
      <c r="I212" t="s">
        <v>791</v>
      </c>
      <c r="J212" t="s">
        <v>12695</v>
      </c>
      <c r="L212" t="s">
        <v>8700</v>
      </c>
      <c r="M212" t="str">
        <f>"https://www.artic.edu/iiif/2/"&amp;Table9[[#This Row],[Image ID]]&amp;"/full/843,/0/default.jpg"</f>
        <v>https://www.artic.edu/iiif/2/76af207b-150d-c328-d8ef-189fc6848ae8/full/843,/0/default.jpg</v>
      </c>
      <c r="N212" s="3">
        <v>0.85699999999999998</v>
      </c>
      <c r="O212" s="3">
        <v>4.8000000000000001E-2</v>
      </c>
      <c r="P212" s="3">
        <v>0.80899999999999994</v>
      </c>
      <c r="Q212" s="3">
        <v>0.88700306415557795</v>
      </c>
    </row>
    <row r="213" spans="1:17" x14ac:dyDescent="0.45">
      <c r="A213" s="3">
        <v>55903</v>
      </c>
      <c r="B213" t="b">
        <v>0</v>
      </c>
      <c r="C213" t="b">
        <v>0</v>
      </c>
      <c r="D213" s="3">
        <v>1962</v>
      </c>
      <c r="E213" s="3">
        <v>1965</v>
      </c>
      <c r="F213" t="s">
        <v>8417</v>
      </c>
      <c r="G213" t="s">
        <v>8364</v>
      </c>
      <c r="H213" s="3">
        <v>41.639000000000003</v>
      </c>
      <c r="I213" t="s">
        <v>599</v>
      </c>
      <c r="J213" t="s">
        <v>12234</v>
      </c>
      <c r="L213" t="s">
        <v>8418</v>
      </c>
      <c r="M213" t="str">
        <f>"https://www.artic.edu/iiif/2/"&amp;Table9[[#This Row],[Image ID]]&amp;"/full/843,/0/default.jpg"</f>
        <v>https://www.artic.edu/iiif/2/dfdef1d5-e905-3bac-ad40-1b605b0992dd/full/843,/0/default.jpg</v>
      </c>
      <c r="N213" s="3">
        <v>0.83299999999999996</v>
      </c>
      <c r="O213" s="3">
        <v>2.4E-2</v>
      </c>
      <c r="P213" s="3">
        <v>0.80899999999999994</v>
      </c>
      <c r="Q213" s="3">
        <v>0.77107638120651201</v>
      </c>
    </row>
    <row r="214" spans="1:17" x14ac:dyDescent="0.45">
      <c r="A214" s="3">
        <v>86782</v>
      </c>
      <c r="B214" t="b">
        <v>0</v>
      </c>
      <c r="C214" t="b">
        <v>1</v>
      </c>
      <c r="D214" s="3">
        <v>1650</v>
      </c>
      <c r="E214" s="3">
        <v>1660</v>
      </c>
      <c r="F214" t="s">
        <v>904</v>
      </c>
      <c r="G214" t="s">
        <v>75</v>
      </c>
      <c r="H214" s="3">
        <v>2.0407000000000002</v>
      </c>
      <c r="I214" t="s">
        <v>1137</v>
      </c>
      <c r="J214" t="s">
        <v>12406</v>
      </c>
      <c r="L214" t="s">
        <v>10350</v>
      </c>
      <c r="M214" t="str">
        <f>"https://www.artic.edu/iiif/2/"&amp;Table9[[#This Row],[Image ID]]&amp;"/full/843,/0/default.jpg"</f>
        <v>https://www.artic.edu/iiif/2/6246e043-2b40-bf6b-ab7d-f2a4109e25d8/full/843,/0/default.jpg</v>
      </c>
      <c r="N214" s="3">
        <v>0.85699999999999998</v>
      </c>
      <c r="O214" s="3">
        <v>4.8000000000000001E-2</v>
      </c>
      <c r="P214" s="3">
        <v>0.80899999999999994</v>
      </c>
      <c r="Q214" s="3">
        <v>0.76354581117630005</v>
      </c>
    </row>
    <row r="215" spans="1:17" x14ac:dyDescent="0.45">
      <c r="A215" s="3">
        <v>55726</v>
      </c>
      <c r="B215" t="b">
        <v>0</v>
      </c>
      <c r="C215" t="b">
        <v>0</v>
      </c>
      <c r="D215" s="3">
        <v>1906</v>
      </c>
      <c r="E215" s="3">
        <v>1972</v>
      </c>
      <c r="F215" t="s">
        <v>8391</v>
      </c>
      <c r="G215" t="s">
        <v>8392</v>
      </c>
      <c r="H215" s="3">
        <v>48.047699999999999</v>
      </c>
      <c r="I215" t="s">
        <v>599</v>
      </c>
      <c r="J215" t="s">
        <v>12603</v>
      </c>
      <c r="L215" t="s">
        <v>8393</v>
      </c>
      <c r="M215" t="str">
        <f>"https://www.artic.edu/iiif/2/"&amp;Table9[[#This Row],[Image ID]]&amp;"/full/843,/0/default.jpg"</f>
        <v>https://www.artic.edu/iiif/2/6fdc2d6f-5ae7-6c9d-24f4-cd2a2d0182f7/full/843,/0/default.jpg</v>
      </c>
      <c r="N215" s="3">
        <v>0.90200000000000002</v>
      </c>
      <c r="O215" s="3">
        <v>9.5000000000000001E-2</v>
      </c>
      <c r="P215" s="3">
        <v>0.80700000000000005</v>
      </c>
      <c r="Q215" s="3">
        <v>0.83849984407424905</v>
      </c>
    </row>
    <row r="216" spans="1:17" x14ac:dyDescent="0.45">
      <c r="A216" s="3">
        <v>147000</v>
      </c>
      <c r="B216" t="b">
        <v>0</v>
      </c>
      <c r="C216" t="b">
        <v>0</v>
      </c>
      <c r="D216" s="3">
        <v>1963</v>
      </c>
      <c r="E216" s="3">
        <v>1963</v>
      </c>
      <c r="F216" t="s">
        <v>3565</v>
      </c>
      <c r="G216" t="s">
        <v>7</v>
      </c>
      <c r="H216" s="3">
        <v>45.771099999999997</v>
      </c>
      <c r="I216" t="s">
        <v>52</v>
      </c>
      <c r="J216" t="s">
        <v>12073</v>
      </c>
      <c r="L216" t="s">
        <v>3566</v>
      </c>
      <c r="M216" t="str">
        <f>"https://www.artic.edu/iiif/2/"&amp;Table9[[#This Row],[Image ID]]&amp;"/full/843,/0/default.jpg"</f>
        <v>https://www.artic.edu/iiif/2/4ba4e0d9-7167-84fa-0d9b-fad379643109/full/843,/0/default.jpg</v>
      </c>
      <c r="N216" s="3">
        <v>0.878</v>
      </c>
      <c r="O216" s="3">
        <v>7.2999999999999995E-2</v>
      </c>
      <c r="P216" s="3">
        <v>0.80500000000000005</v>
      </c>
      <c r="Q216" s="3">
        <v>0.90986967086791903</v>
      </c>
    </row>
    <row r="217" spans="1:17" x14ac:dyDescent="0.45">
      <c r="A217" s="3">
        <v>105532</v>
      </c>
      <c r="B217" t="b">
        <v>0</v>
      </c>
      <c r="C217" t="b">
        <v>0</v>
      </c>
      <c r="D217" s="3">
        <v>1983</v>
      </c>
      <c r="E217" s="3">
        <v>1983</v>
      </c>
      <c r="F217" t="s">
        <v>528</v>
      </c>
      <c r="G217" t="s">
        <v>529</v>
      </c>
      <c r="H217" s="3">
        <v>54.561799999999998</v>
      </c>
      <c r="I217" t="s">
        <v>530</v>
      </c>
      <c r="J217" t="s">
        <v>12084</v>
      </c>
      <c r="L217" t="s">
        <v>531</v>
      </c>
      <c r="M217" t="str">
        <f>"https://www.artic.edu/iiif/2/"&amp;Table9[[#This Row],[Image ID]]&amp;"/full/843,/0/default.jpg"</f>
        <v>https://www.artic.edu/iiif/2/4c74ba21-3d43-854d-c860-ad5b8f207926/full/843,/0/default.jpg</v>
      </c>
      <c r="N217" s="3">
        <v>0.878</v>
      </c>
      <c r="O217" s="3">
        <v>7.2999999999999995E-2</v>
      </c>
      <c r="P217" s="3">
        <v>0.80500000000000005</v>
      </c>
      <c r="Q217" s="3">
        <v>0.86398220062255804</v>
      </c>
    </row>
    <row r="218" spans="1:17" x14ac:dyDescent="0.45">
      <c r="A218" s="3">
        <v>133852</v>
      </c>
      <c r="B218" t="b">
        <v>0</v>
      </c>
      <c r="C218" t="b">
        <v>0</v>
      </c>
      <c r="D218" s="3">
        <v>1942</v>
      </c>
      <c r="E218" s="3">
        <v>1942</v>
      </c>
      <c r="F218" t="s">
        <v>14</v>
      </c>
      <c r="G218" t="s">
        <v>2516</v>
      </c>
      <c r="H218" s="3">
        <v>10.7126</v>
      </c>
      <c r="I218" t="s">
        <v>3073</v>
      </c>
      <c r="J218" t="s">
        <v>12250</v>
      </c>
      <c r="K218" s="5" t="s">
        <v>2</v>
      </c>
      <c r="L218" t="s">
        <v>3074</v>
      </c>
      <c r="M218" t="str">
        <f>"https://www.artic.edu/iiif/2/"&amp;Table9[[#This Row],[Image ID]]&amp;"/full/843,/0/default.jpg"</f>
        <v>https://www.artic.edu/iiif/2/56adb33f-d208-2932-9f91-d48ba7088995/full/843,/0/default.jpg</v>
      </c>
      <c r="N218" s="3">
        <v>0.80500000000000005</v>
      </c>
      <c r="O218" s="3">
        <v>0</v>
      </c>
      <c r="P218" s="3">
        <v>0.80500000000000005</v>
      </c>
      <c r="Q218" s="3">
        <v>0.79671829938888505</v>
      </c>
    </row>
    <row r="219" spans="1:17" x14ac:dyDescent="0.45">
      <c r="A219" s="3">
        <v>184919</v>
      </c>
      <c r="B219" t="b">
        <v>0</v>
      </c>
      <c r="C219" t="b">
        <v>0</v>
      </c>
      <c r="D219" s="3">
        <v>2003</v>
      </c>
      <c r="E219" s="3">
        <v>2003</v>
      </c>
      <c r="F219" t="s">
        <v>4898</v>
      </c>
      <c r="G219" t="s">
        <v>4823</v>
      </c>
      <c r="H219" s="3">
        <v>7.5389999999999997</v>
      </c>
      <c r="I219" t="s">
        <v>293</v>
      </c>
      <c r="J219" t="s">
        <v>10977</v>
      </c>
      <c r="K219" s="5" t="s">
        <v>15</v>
      </c>
      <c r="L219" t="s">
        <v>4899</v>
      </c>
      <c r="M219" t="str">
        <f>"https://www.artic.edu/iiif/2/"&amp;Table9[[#This Row],[Image ID]]&amp;"/full/843,/0/default.jpg"</f>
        <v>https://www.artic.edu/iiif/2/b1667198-7f4e-f390-a777-4f50e0bc9fe4/full/843,/0/default.jpg</v>
      </c>
      <c r="N219" s="3">
        <v>0.878</v>
      </c>
      <c r="O219" s="3">
        <v>7.2999999999999995E-2</v>
      </c>
      <c r="P219" s="3">
        <v>0.80500000000000005</v>
      </c>
      <c r="Q219" s="3">
        <v>0.852894306182861</v>
      </c>
    </row>
    <row r="220" spans="1:17" x14ac:dyDescent="0.45">
      <c r="A220" s="3">
        <v>228847</v>
      </c>
      <c r="B220" t="b">
        <v>0</v>
      </c>
      <c r="C220" t="b">
        <v>0</v>
      </c>
      <c r="D220" s="3">
        <v>2001</v>
      </c>
      <c r="E220" s="3">
        <v>2001</v>
      </c>
      <c r="F220" t="s">
        <v>14695</v>
      </c>
      <c r="G220" t="s">
        <v>6033</v>
      </c>
      <c r="H220" s="3">
        <v>24.093399999999999</v>
      </c>
      <c r="I220" t="s">
        <v>6034</v>
      </c>
      <c r="J220" t="s">
        <v>13699</v>
      </c>
      <c r="K220" s="5" t="s">
        <v>15</v>
      </c>
      <c r="L220" t="s">
        <v>6036</v>
      </c>
      <c r="M220" t="str">
        <f>"https://www.artic.edu/iiif/2/"&amp;Table9[[#This Row],[Image ID]]&amp;"/full/843,/0/default.jpg"</f>
        <v>https://www.artic.edu/iiif/2/c4aa4327-7a0d-de7d-ae21-dafecde6ace4/full/843,/0/default.jpg</v>
      </c>
      <c r="N220" s="3">
        <v>0.92700000000000005</v>
      </c>
      <c r="O220" s="3">
        <v>0.122</v>
      </c>
      <c r="P220" s="3">
        <v>0.80500000000000005</v>
      </c>
      <c r="Q220" s="3">
        <v>0.93044662475585904</v>
      </c>
    </row>
    <row r="221" spans="1:17" x14ac:dyDescent="0.45">
      <c r="A221" s="3">
        <v>94241</v>
      </c>
      <c r="B221" t="b">
        <v>0</v>
      </c>
      <c r="C221" t="b">
        <v>1</v>
      </c>
      <c r="D221" s="3">
        <v>1899</v>
      </c>
      <c r="E221" s="3">
        <v>1899</v>
      </c>
      <c r="F221" t="s">
        <v>10739</v>
      </c>
      <c r="G221" t="s">
        <v>9006</v>
      </c>
      <c r="H221" s="3">
        <v>47.652999999999999</v>
      </c>
      <c r="I221" t="s">
        <v>14624</v>
      </c>
      <c r="J221" t="s">
        <v>14151</v>
      </c>
      <c r="K221" s="5" t="s">
        <v>115</v>
      </c>
      <c r="L221" t="s">
        <v>10740</v>
      </c>
      <c r="M221" t="str">
        <f>"https://www.artic.edu/iiif/2/"&amp;Table9[[#This Row],[Image ID]]&amp;"/full/843,/0/default.jpg"</f>
        <v>https://www.artic.edu/iiif/2/e4df4d4a-4cfb-5be8-3728-0d0bf1b44751/full/843,/0/default.jpg</v>
      </c>
      <c r="N221" s="3">
        <v>0.80500000000000005</v>
      </c>
      <c r="O221" s="3">
        <v>0</v>
      </c>
      <c r="P221" s="3">
        <v>0.80500000000000005</v>
      </c>
      <c r="Q221" s="3">
        <v>0.71241790056228604</v>
      </c>
    </row>
    <row r="222" spans="1:17" x14ac:dyDescent="0.45">
      <c r="A222" s="3">
        <v>152758</v>
      </c>
      <c r="B222" t="b">
        <v>0</v>
      </c>
      <c r="C222" t="b">
        <v>0</v>
      </c>
      <c r="D222" s="3">
        <v>1989</v>
      </c>
      <c r="E222" s="3">
        <v>1999</v>
      </c>
      <c r="F222" t="s">
        <v>3914</v>
      </c>
      <c r="G222" t="s">
        <v>3915</v>
      </c>
      <c r="H222" s="3">
        <v>53.030999999999999</v>
      </c>
      <c r="I222" t="s">
        <v>62</v>
      </c>
      <c r="J222" t="s">
        <v>11111</v>
      </c>
      <c r="L222" t="s">
        <v>3924</v>
      </c>
      <c r="M222" t="str">
        <f>"https://www.artic.edu/iiif/2/"&amp;Table9[[#This Row],[Image ID]]&amp;"/full/843,/0/default.jpg"</f>
        <v>https://www.artic.edu/iiif/2/09a1e448-d439-7616-ca91-02347e1934f9/full/843,/0/default.jpg</v>
      </c>
      <c r="N222" s="3">
        <v>0.85399999999999998</v>
      </c>
      <c r="O222" s="3">
        <v>4.9000000000000002E-2</v>
      </c>
      <c r="P222" s="3">
        <v>0.80499999999999994</v>
      </c>
      <c r="Q222" s="3">
        <v>0.92017310857772805</v>
      </c>
    </row>
    <row r="223" spans="1:17" x14ac:dyDescent="0.45">
      <c r="A223" s="3">
        <v>53237</v>
      </c>
      <c r="B223" t="b">
        <v>0</v>
      </c>
      <c r="C223" t="b">
        <v>0</v>
      </c>
      <c r="D223" s="3">
        <v>1944</v>
      </c>
      <c r="E223" s="3">
        <v>1944</v>
      </c>
      <c r="F223" t="s">
        <v>8256</v>
      </c>
      <c r="G223" t="s">
        <v>7</v>
      </c>
      <c r="H223" s="3">
        <v>12.9834</v>
      </c>
      <c r="I223" t="s">
        <v>2368</v>
      </c>
      <c r="J223" t="s">
        <v>11438</v>
      </c>
      <c r="K223" s="5" t="s">
        <v>2</v>
      </c>
      <c r="L223" t="s">
        <v>8257</v>
      </c>
      <c r="M223" t="str">
        <f>"https://www.artic.edu/iiif/2/"&amp;Table9[[#This Row],[Image ID]]&amp;"/full/843,/0/default.jpg"</f>
        <v>https://www.artic.edu/iiif/2/20c72625-9ab4-2e8e-04d5-4f038c18b2a9/full/843,/0/default.jpg</v>
      </c>
      <c r="N223" s="3">
        <v>0.85399999999999998</v>
      </c>
      <c r="O223" s="3">
        <v>4.9000000000000002E-2</v>
      </c>
      <c r="P223" s="3">
        <v>0.80499999999999994</v>
      </c>
      <c r="Q223" s="3">
        <v>0.64414477348327603</v>
      </c>
    </row>
    <row r="224" spans="1:17" x14ac:dyDescent="0.45">
      <c r="A224" s="3">
        <v>204399</v>
      </c>
      <c r="B224" t="b">
        <v>0</v>
      </c>
      <c r="C224" t="b">
        <v>0</v>
      </c>
      <c r="D224" s="3">
        <v>1945</v>
      </c>
      <c r="E224" s="3">
        <v>1945</v>
      </c>
      <c r="F224" t="s">
        <v>11</v>
      </c>
      <c r="G224" t="s">
        <v>5409</v>
      </c>
      <c r="H224" s="3">
        <v>58.217199999999998</v>
      </c>
      <c r="I224" t="s">
        <v>4685</v>
      </c>
      <c r="J224" t="s">
        <v>11929</v>
      </c>
      <c r="L224" t="s">
        <v>5410</v>
      </c>
      <c r="M224" t="str">
        <f>"https://www.artic.edu/iiif/2/"&amp;Table9[[#This Row],[Image ID]]&amp;"/full/843,/0/default.jpg"</f>
        <v>https://www.artic.edu/iiif/2/40ccb08d-0878-5044-69ca-d75dbbde4680/full/843,/0/default.jpg</v>
      </c>
      <c r="N224" s="3">
        <v>0.82899999999999996</v>
      </c>
      <c r="O224" s="3">
        <v>2.4E-2</v>
      </c>
      <c r="P224" s="3">
        <v>0.80499999999999994</v>
      </c>
      <c r="Q224" s="3">
        <v>0.91918808221817005</v>
      </c>
    </row>
    <row r="225" spans="1:17" x14ac:dyDescent="0.45">
      <c r="A225" s="3">
        <v>66379</v>
      </c>
      <c r="B225" t="b">
        <v>0</v>
      </c>
      <c r="C225" t="b">
        <v>0</v>
      </c>
      <c r="D225" s="3">
        <v>1956</v>
      </c>
      <c r="E225" s="3">
        <v>1958</v>
      </c>
      <c r="F225" t="s">
        <v>9240</v>
      </c>
      <c r="G225" t="s">
        <v>9241</v>
      </c>
      <c r="H225" s="3">
        <v>23.742100000000001</v>
      </c>
      <c r="I225" t="s">
        <v>1091</v>
      </c>
      <c r="J225" t="s">
        <v>12131</v>
      </c>
      <c r="L225" t="s">
        <v>9242</v>
      </c>
      <c r="M225" t="str">
        <f>"https://www.artic.edu/iiif/2/"&amp;Table9[[#This Row],[Image ID]]&amp;"/full/843,/0/default.jpg"</f>
        <v>https://www.artic.edu/iiif/2/4fcfcf81-afba-122d-a5aa-513d9bf03ad6/full/843,/0/default.jpg</v>
      </c>
      <c r="N225" s="3">
        <v>0.85399999999999998</v>
      </c>
      <c r="O225" s="3">
        <v>4.9000000000000002E-2</v>
      </c>
      <c r="P225" s="3">
        <v>0.80499999999999994</v>
      </c>
      <c r="Q225" s="3">
        <v>0.83496445417404097</v>
      </c>
    </row>
    <row r="226" spans="1:17" x14ac:dyDescent="0.45">
      <c r="A226" s="3">
        <v>70037</v>
      </c>
      <c r="B226" t="b">
        <v>0</v>
      </c>
      <c r="C226" t="b">
        <v>0</v>
      </c>
      <c r="D226" s="3">
        <v>1972</v>
      </c>
      <c r="E226" s="3">
        <v>1972</v>
      </c>
      <c r="F226" t="s">
        <v>9425</v>
      </c>
      <c r="G226" t="s">
        <v>7</v>
      </c>
      <c r="H226" s="3">
        <v>38.2087</v>
      </c>
      <c r="I226" t="s">
        <v>144</v>
      </c>
      <c r="J226" t="s">
        <v>12203</v>
      </c>
      <c r="K226" s="5" t="s">
        <v>45</v>
      </c>
      <c r="L226" t="s">
        <v>9426</v>
      </c>
      <c r="M226" t="str">
        <f>"https://www.artic.edu/iiif/2/"&amp;Table9[[#This Row],[Image ID]]&amp;"/full/843,/0/default.jpg"</f>
        <v>https://www.artic.edu/iiif/2/544501c8-c144-000b-7165-f7a0b15b899d/full/843,/0/default.jpg</v>
      </c>
      <c r="N226" s="3">
        <v>0.82899999999999996</v>
      </c>
      <c r="O226" s="3">
        <v>2.4E-2</v>
      </c>
      <c r="P226" s="3">
        <v>0.80499999999999994</v>
      </c>
      <c r="Q226" s="3">
        <v>0.92890733480453402</v>
      </c>
    </row>
    <row r="227" spans="1:17" x14ac:dyDescent="0.45">
      <c r="A227" s="3">
        <v>187091</v>
      </c>
      <c r="B227" t="b">
        <v>0</v>
      </c>
      <c r="C227" t="b">
        <v>0</v>
      </c>
      <c r="D227" s="3">
        <v>1967</v>
      </c>
      <c r="E227" s="3">
        <v>1967</v>
      </c>
      <c r="F227" t="s">
        <v>5103</v>
      </c>
      <c r="G227" t="s">
        <v>7</v>
      </c>
      <c r="H227" s="3">
        <v>37.419499999999999</v>
      </c>
      <c r="I227" t="s">
        <v>5104</v>
      </c>
      <c r="J227" t="s">
        <v>12564</v>
      </c>
      <c r="K227" s="5" t="s">
        <v>5105</v>
      </c>
      <c r="L227" t="s">
        <v>5106</v>
      </c>
      <c r="M227" t="str">
        <f>"https://www.artic.edu/iiif/2/"&amp;Table9[[#This Row],[Image ID]]&amp;"/full/843,/0/default.jpg"</f>
        <v>https://www.artic.edu/iiif/2/6d4571d7-3cb2-d0b4-4449-09c481da1475/full/843,/0/default.jpg</v>
      </c>
      <c r="N227" s="3">
        <v>0.85399999999999998</v>
      </c>
      <c r="O227" s="3">
        <v>4.9000000000000002E-2</v>
      </c>
      <c r="P227" s="3">
        <v>0.80499999999999994</v>
      </c>
      <c r="Q227" s="3">
        <v>0.75076037645339899</v>
      </c>
    </row>
    <row r="228" spans="1:17" x14ac:dyDescent="0.45">
      <c r="A228" s="3">
        <v>229124</v>
      </c>
      <c r="B228" t="b">
        <v>0</v>
      </c>
      <c r="C228" t="b">
        <v>0</v>
      </c>
      <c r="D228" s="3">
        <v>1974</v>
      </c>
      <c r="E228" s="3">
        <v>1974</v>
      </c>
      <c r="F228" t="s">
        <v>5840</v>
      </c>
      <c r="G228" t="s">
        <v>238</v>
      </c>
      <c r="H228" s="3">
        <v>13.6523</v>
      </c>
      <c r="I228" t="s">
        <v>5841</v>
      </c>
      <c r="J228" t="s">
        <v>11563</v>
      </c>
      <c r="L228" t="s">
        <v>6058</v>
      </c>
      <c r="M228" t="str">
        <f>"https://www.artic.edu/iiif/2/"&amp;Table9[[#This Row],[Image ID]]&amp;"/full/843,/0/default.jpg"</f>
        <v>https://www.artic.edu/iiif/2/718dda27-e2b1-0f01-637e-513bc861a76e/full/843,/0/default.jpg</v>
      </c>
      <c r="N228" s="3">
        <v>0.82899999999999996</v>
      </c>
      <c r="O228" s="3">
        <v>2.4E-2</v>
      </c>
      <c r="P228" s="3">
        <v>0.80499999999999994</v>
      </c>
      <c r="Q228" s="3">
        <v>0.81980550289153997</v>
      </c>
    </row>
    <row r="229" spans="1:17" x14ac:dyDescent="0.45">
      <c r="A229" s="3">
        <v>218144</v>
      </c>
      <c r="B229" t="b">
        <v>0</v>
      </c>
      <c r="C229" t="b">
        <v>0</v>
      </c>
      <c r="D229" s="3">
        <v>1953</v>
      </c>
      <c r="E229" s="3">
        <v>1953</v>
      </c>
      <c r="F229" t="s">
        <v>5760</v>
      </c>
      <c r="G229" t="s">
        <v>7</v>
      </c>
      <c r="H229" s="3">
        <v>13.1462</v>
      </c>
      <c r="I229" t="s">
        <v>3073</v>
      </c>
      <c r="J229" t="s">
        <v>12715</v>
      </c>
      <c r="K229" s="5" t="s">
        <v>2</v>
      </c>
      <c r="L229" t="s">
        <v>5761</v>
      </c>
      <c r="M229" t="str">
        <f>"https://www.artic.edu/iiif/2/"&amp;Table9[[#This Row],[Image ID]]&amp;"/full/843,/0/default.jpg"</f>
        <v>https://www.artic.edu/iiif/2/783829fd-b6f7-d9ca-503f-14e6ad5ce0f7/full/843,/0/default.jpg</v>
      </c>
      <c r="N229" s="3">
        <v>0.85399999999999998</v>
      </c>
      <c r="O229" s="3">
        <v>4.9000000000000002E-2</v>
      </c>
      <c r="P229" s="3">
        <v>0.80499999999999994</v>
      </c>
      <c r="Q229" s="3">
        <v>0.86028146743774403</v>
      </c>
    </row>
    <row r="230" spans="1:17" x14ac:dyDescent="0.45">
      <c r="A230" s="3">
        <v>145241</v>
      </c>
      <c r="B230" t="b">
        <v>0</v>
      </c>
      <c r="C230" t="b">
        <v>0</v>
      </c>
      <c r="D230" s="3">
        <v>1936</v>
      </c>
      <c r="E230" s="3">
        <v>1936</v>
      </c>
      <c r="F230" t="s">
        <v>3345</v>
      </c>
      <c r="G230" t="s">
        <v>7</v>
      </c>
      <c r="H230" s="3">
        <v>38.041200000000003</v>
      </c>
      <c r="I230" t="s">
        <v>315</v>
      </c>
      <c r="J230" t="s">
        <v>13130</v>
      </c>
      <c r="K230" s="5" t="s">
        <v>2</v>
      </c>
      <c r="L230" t="s">
        <v>3346</v>
      </c>
      <c r="M230" t="str">
        <f>"https://www.artic.edu/iiif/2/"&amp;Table9[[#This Row],[Image ID]]&amp;"/full/843,/0/default.jpg"</f>
        <v>https://www.artic.edu/iiif/2/98b6c754-f814-ef35-2263-7a2bdf0c097c/full/843,/0/default.jpg</v>
      </c>
      <c r="N230" s="3">
        <v>0.85399999999999998</v>
      </c>
      <c r="O230" s="3">
        <v>4.9000000000000002E-2</v>
      </c>
      <c r="P230" s="3">
        <v>0.80499999999999994</v>
      </c>
      <c r="Q230" s="3">
        <v>0.66296857595443703</v>
      </c>
    </row>
    <row r="231" spans="1:17" x14ac:dyDescent="0.45">
      <c r="A231" s="3">
        <v>66961</v>
      </c>
      <c r="B231" t="b">
        <v>0</v>
      </c>
      <c r="C231" t="b">
        <v>0</v>
      </c>
      <c r="D231" s="3">
        <v>1900</v>
      </c>
      <c r="E231" s="3">
        <v>1905</v>
      </c>
      <c r="F231" t="s">
        <v>9329</v>
      </c>
      <c r="G231" t="s">
        <v>9327</v>
      </c>
      <c r="H231" s="3">
        <v>16.652000000000001</v>
      </c>
      <c r="I231" t="s">
        <v>68</v>
      </c>
      <c r="J231" t="s">
        <v>13217</v>
      </c>
      <c r="L231" t="s">
        <v>9330</v>
      </c>
      <c r="M231" t="str">
        <f>"https://www.artic.edu/iiif/2/"&amp;Table9[[#This Row],[Image ID]]&amp;"/full/843,/0/default.jpg"</f>
        <v>https://www.artic.edu/iiif/2/9e819173-1761-ba8b-17c5-0e707a008ac8/full/843,/0/default.jpg</v>
      </c>
      <c r="N231" s="3">
        <v>0.95099999999999996</v>
      </c>
      <c r="O231" s="3">
        <v>0.14599999999999999</v>
      </c>
      <c r="P231" s="3">
        <v>0.80499999999999994</v>
      </c>
      <c r="Q231" s="3">
        <v>0.91689175367355302</v>
      </c>
    </row>
    <row r="232" spans="1:17" x14ac:dyDescent="0.45">
      <c r="A232" s="3">
        <v>98200</v>
      </c>
      <c r="B232" t="b">
        <v>0</v>
      </c>
      <c r="C232" t="b">
        <v>0</v>
      </c>
      <c r="D232" s="3">
        <v>1965</v>
      </c>
      <c r="E232" s="3">
        <v>1966</v>
      </c>
      <c r="F232" t="s">
        <v>2694</v>
      </c>
      <c r="G232" t="s">
        <v>10913</v>
      </c>
      <c r="H232" s="3">
        <v>121.1079</v>
      </c>
      <c r="I232" t="s">
        <v>474</v>
      </c>
      <c r="J232" t="s">
        <v>13692</v>
      </c>
      <c r="K232" s="5" t="s">
        <v>149</v>
      </c>
      <c r="L232" t="s">
        <v>10914</v>
      </c>
      <c r="M232" t="str">
        <f>"https://www.artic.edu/iiif/2/"&amp;Table9[[#This Row],[Image ID]]&amp;"/full/843,/0/default.jpg"</f>
        <v>https://www.artic.edu/iiif/2/c43adaf7-fef5-19d4-789f-0b13ed083e8c/full/843,/0/default.jpg</v>
      </c>
      <c r="N232" s="3">
        <v>0.85399999999999998</v>
      </c>
      <c r="O232" s="3">
        <v>4.9000000000000002E-2</v>
      </c>
      <c r="P232" s="3">
        <v>0.80499999999999994</v>
      </c>
      <c r="Q232" s="3">
        <v>0.902673780918121</v>
      </c>
    </row>
    <row r="233" spans="1:17" x14ac:dyDescent="0.45">
      <c r="A233" s="3">
        <v>159827</v>
      </c>
      <c r="B233" t="b">
        <v>0</v>
      </c>
      <c r="C233" t="b">
        <v>0</v>
      </c>
      <c r="D233" s="3">
        <v>2002</v>
      </c>
      <c r="E233" s="3">
        <v>2002</v>
      </c>
      <c r="F233" t="s">
        <v>4224</v>
      </c>
      <c r="G233" t="s">
        <v>4220</v>
      </c>
      <c r="H233" s="3">
        <v>33.8215</v>
      </c>
      <c r="I233" t="s">
        <v>2941</v>
      </c>
      <c r="J233" t="s">
        <v>12839</v>
      </c>
      <c r="K233" s="5" t="s">
        <v>15</v>
      </c>
      <c r="L233" t="s">
        <v>4225</v>
      </c>
      <c r="M233" t="str">
        <f>"https://www.artic.edu/iiif/2/"&amp;Table9[[#This Row],[Image ID]]&amp;"/full/843,/0/default.jpg"</f>
        <v>https://www.artic.edu/iiif/2/c4aaac16-1ac8-7596-8975-621be36ef258/full/843,/0/default.jpg</v>
      </c>
      <c r="N233" s="3">
        <v>0.82899999999999996</v>
      </c>
      <c r="O233" s="3">
        <v>2.4E-2</v>
      </c>
      <c r="P233" s="3">
        <v>0.80499999999999994</v>
      </c>
      <c r="Q233" s="3">
        <v>0.89084368944168002</v>
      </c>
    </row>
    <row r="234" spans="1:17" x14ac:dyDescent="0.45">
      <c r="A234" s="3">
        <v>154496</v>
      </c>
      <c r="B234" t="b">
        <v>0</v>
      </c>
      <c r="C234" t="b">
        <v>1</v>
      </c>
      <c r="D234" s="3">
        <v>1879</v>
      </c>
      <c r="E234" s="3">
        <v>1879</v>
      </c>
      <c r="F234" t="s">
        <v>3997</v>
      </c>
      <c r="G234" t="s">
        <v>7</v>
      </c>
      <c r="H234" s="3">
        <v>44.215200000000003</v>
      </c>
      <c r="I234" t="s">
        <v>3998</v>
      </c>
      <c r="J234" t="s">
        <v>11463</v>
      </c>
      <c r="K234" s="5" t="s">
        <v>284</v>
      </c>
      <c r="L234" t="s">
        <v>3999</v>
      </c>
      <c r="M234" t="str">
        <f>"https://www.artic.edu/iiif/2/"&amp;Table9[[#This Row],[Image ID]]&amp;"/full/843,/0/default.jpg"</f>
        <v>https://www.artic.edu/iiif/2/22609746-bd4b-c9b6-8293-dfd393f00c20/full/843,/0/default.jpg</v>
      </c>
      <c r="N234" s="3">
        <v>0.82899999999999996</v>
      </c>
      <c r="O234" s="3">
        <v>2.4E-2</v>
      </c>
      <c r="P234" s="3">
        <v>0.80499999999999994</v>
      </c>
      <c r="Q234" s="3">
        <v>0.82538151741027799</v>
      </c>
    </row>
    <row r="235" spans="1:17" x14ac:dyDescent="0.45">
      <c r="A235" s="3">
        <v>115218</v>
      </c>
      <c r="B235" t="b">
        <v>0</v>
      </c>
      <c r="C235" t="b">
        <v>1</v>
      </c>
      <c r="D235" s="3">
        <v>1835</v>
      </c>
      <c r="E235" s="3">
        <v>1882</v>
      </c>
      <c r="F235" t="s">
        <v>1879</v>
      </c>
      <c r="G235" t="s">
        <v>1880</v>
      </c>
      <c r="H235" s="3">
        <v>26.176100000000002</v>
      </c>
      <c r="I235" t="s">
        <v>1555</v>
      </c>
      <c r="J235" t="s">
        <v>11496</v>
      </c>
      <c r="L235" t="s">
        <v>1881</v>
      </c>
      <c r="M235" t="str">
        <f>"https://www.artic.edu/iiif/2/"&amp;Table9[[#This Row],[Image ID]]&amp;"/full/843,/0/default.jpg"</f>
        <v>https://www.artic.edu/iiif/2/24bb2eee-83da-988e-cbec-2086b7f04e53/full/843,/0/default.jpg</v>
      </c>
      <c r="N235" s="3">
        <v>0.82899999999999996</v>
      </c>
      <c r="O235" s="3">
        <v>2.4E-2</v>
      </c>
      <c r="P235" s="3">
        <v>0.80499999999999994</v>
      </c>
      <c r="Q235" s="3">
        <v>0.77525269985198897</v>
      </c>
    </row>
    <row r="236" spans="1:17" x14ac:dyDescent="0.45">
      <c r="A236" s="3">
        <v>160229</v>
      </c>
      <c r="B236" t="b">
        <v>0</v>
      </c>
      <c r="C236" t="b">
        <v>1</v>
      </c>
      <c r="D236" s="3">
        <v>1829</v>
      </c>
      <c r="E236" s="3">
        <v>1839</v>
      </c>
      <c r="F236" t="s">
        <v>4250</v>
      </c>
      <c r="G236" t="s">
        <v>505</v>
      </c>
      <c r="H236" s="3">
        <v>27.5366</v>
      </c>
      <c r="I236" t="s">
        <v>4251</v>
      </c>
      <c r="J236" t="s">
        <v>11708</v>
      </c>
      <c r="L236" t="s">
        <v>4252</v>
      </c>
      <c r="M236" t="str">
        <f>"https://www.artic.edu/iiif/2/"&amp;Table9[[#This Row],[Image ID]]&amp;"/full/843,/0/default.jpg"</f>
        <v>https://www.artic.edu/iiif/2/3236b056-f154-b3b6-3c37-6d70cac49bfe/full/843,/0/default.jpg</v>
      </c>
      <c r="N236" s="3">
        <v>0.85399999999999998</v>
      </c>
      <c r="O236" s="3">
        <v>4.9000000000000002E-2</v>
      </c>
      <c r="P236" s="3">
        <v>0.80499999999999994</v>
      </c>
      <c r="Q236" s="3">
        <v>0.64829462766647294</v>
      </c>
    </row>
    <row r="237" spans="1:17" x14ac:dyDescent="0.45">
      <c r="A237" s="3">
        <v>69541</v>
      </c>
      <c r="B237" t="b">
        <v>0</v>
      </c>
      <c r="C237" t="b">
        <v>1</v>
      </c>
      <c r="D237" s="3">
        <v>1898</v>
      </c>
      <c r="E237" s="3">
        <v>1900</v>
      </c>
      <c r="F237" t="s">
        <v>9405</v>
      </c>
      <c r="G237" t="s">
        <v>7</v>
      </c>
      <c r="H237" s="3">
        <v>10.008900000000001</v>
      </c>
      <c r="I237" t="s">
        <v>9406</v>
      </c>
      <c r="J237" t="s">
        <v>12119</v>
      </c>
      <c r="K237" s="5" t="s">
        <v>284</v>
      </c>
      <c r="L237" t="s">
        <v>9407</v>
      </c>
      <c r="M237" t="str">
        <f>"https://www.artic.edu/iiif/2/"&amp;Table9[[#This Row],[Image ID]]&amp;"/full/843,/0/default.jpg"</f>
        <v>https://www.artic.edu/iiif/2/4ecbef85-aec1-7455-e329-28540504fe96/full/843,/0/default.jpg</v>
      </c>
      <c r="N237" s="3">
        <v>0.85399999999999998</v>
      </c>
      <c r="O237" s="3">
        <v>4.9000000000000002E-2</v>
      </c>
      <c r="P237" s="3">
        <v>0.80499999999999994</v>
      </c>
      <c r="Q237" s="3">
        <v>0.67342209815979004</v>
      </c>
    </row>
    <row r="238" spans="1:17" x14ac:dyDescent="0.45">
      <c r="A238" s="3">
        <v>97451</v>
      </c>
      <c r="B238" t="b">
        <v>0</v>
      </c>
      <c r="C238" t="b">
        <v>1</v>
      </c>
      <c r="D238" s="3">
        <v>1746</v>
      </c>
      <c r="E238" s="3">
        <v>1801</v>
      </c>
      <c r="F238" t="s">
        <v>10842</v>
      </c>
      <c r="G238" t="s">
        <v>10843</v>
      </c>
      <c r="H238" s="3">
        <v>24.876899999999999</v>
      </c>
      <c r="I238" t="s">
        <v>725</v>
      </c>
      <c r="J238" t="s">
        <v>12161</v>
      </c>
      <c r="L238" t="s">
        <v>10844</v>
      </c>
      <c r="M238" t="str">
        <f>"https://www.artic.edu/iiif/2/"&amp;Table9[[#This Row],[Image ID]]&amp;"/full/843,/0/default.jpg"</f>
        <v>https://www.artic.edu/iiif/2/5182d5b0-bf3b-1fad-e966-93998b2af498/full/843,/0/default.jpg</v>
      </c>
      <c r="N238" s="3">
        <v>0.82899999999999996</v>
      </c>
      <c r="O238" s="3">
        <v>2.4E-2</v>
      </c>
      <c r="P238" s="3">
        <v>0.80499999999999994</v>
      </c>
      <c r="Q238" s="3">
        <v>0.79617923498153598</v>
      </c>
    </row>
    <row r="239" spans="1:17" x14ac:dyDescent="0.45">
      <c r="A239" s="3">
        <v>40558</v>
      </c>
      <c r="B239" t="b">
        <v>0</v>
      </c>
      <c r="C239" t="b">
        <v>1</v>
      </c>
      <c r="D239" s="3">
        <v>1470</v>
      </c>
      <c r="E239" s="3">
        <v>1523</v>
      </c>
      <c r="F239" t="s">
        <v>7649</v>
      </c>
      <c r="G239" t="s">
        <v>7650</v>
      </c>
      <c r="H239" s="3">
        <v>14.148999999999999</v>
      </c>
      <c r="I239" t="s">
        <v>7651</v>
      </c>
      <c r="J239" t="s">
        <v>13512</v>
      </c>
      <c r="K239" s="5" t="s">
        <v>130</v>
      </c>
      <c r="L239" t="s">
        <v>7652</v>
      </c>
      <c r="M239" t="str">
        <f>"https://www.artic.edu/iiif/2/"&amp;Table9[[#This Row],[Image ID]]&amp;"/full/843,/0/default.jpg"</f>
        <v>https://www.artic.edu/iiif/2/b537efd5-9719-2f33-ff5d-89578177002b/full/843,/0/default.jpg</v>
      </c>
      <c r="N239" s="3">
        <v>0.82899999999999996</v>
      </c>
      <c r="O239" s="3">
        <v>2.4E-2</v>
      </c>
      <c r="P239" s="3">
        <v>0.80499999999999994</v>
      </c>
      <c r="Q239" s="3">
        <v>0.69899547100067105</v>
      </c>
    </row>
    <row r="240" spans="1:17" x14ac:dyDescent="0.45">
      <c r="A240" s="3">
        <v>78507</v>
      </c>
      <c r="B240" t="b">
        <v>0</v>
      </c>
      <c r="C240" t="b">
        <v>1</v>
      </c>
      <c r="D240" s="3">
        <v>1790</v>
      </c>
      <c r="E240" s="3">
        <v>1790</v>
      </c>
      <c r="F240" t="s">
        <v>9840</v>
      </c>
      <c r="G240" t="s">
        <v>7</v>
      </c>
      <c r="H240" s="3">
        <v>21.383600000000001</v>
      </c>
      <c r="I240" t="s">
        <v>9838</v>
      </c>
      <c r="J240" t="s">
        <v>14046</v>
      </c>
      <c r="L240" t="s">
        <v>9841</v>
      </c>
      <c r="M240" t="str">
        <f>"https://www.artic.edu/iiif/2/"&amp;Table9[[#This Row],[Image ID]]&amp;"/full/843,/0/default.jpg"</f>
        <v>https://www.artic.edu/iiif/2/de8b304b-8250-78cf-dfa2-5f91458b78f9/full/843,/0/default.jpg</v>
      </c>
      <c r="N240" s="3">
        <v>0.85399999999999998</v>
      </c>
      <c r="O240" s="3">
        <v>4.9000000000000002E-2</v>
      </c>
      <c r="P240" s="3">
        <v>0.80499999999999994</v>
      </c>
      <c r="Q240" s="3">
        <v>0.79059243202209395</v>
      </c>
    </row>
    <row r="241" spans="1:17" x14ac:dyDescent="0.45">
      <c r="A241" s="3">
        <v>39542</v>
      </c>
      <c r="B241" t="b">
        <v>0</v>
      </c>
      <c r="C241" t="b">
        <v>1</v>
      </c>
      <c r="D241" s="3">
        <v>1885</v>
      </c>
      <c r="E241" s="3">
        <v>1885</v>
      </c>
      <c r="F241" t="s">
        <v>7581</v>
      </c>
      <c r="G241" t="s">
        <v>7</v>
      </c>
      <c r="H241" s="3">
        <v>23.824100000000001</v>
      </c>
      <c r="I241" t="s">
        <v>1129</v>
      </c>
      <c r="J241" t="s">
        <v>14309</v>
      </c>
      <c r="L241" t="s">
        <v>7582</v>
      </c>
      <c r="M241" t="str">
        <f>"https://www.artic.edu/iiif/2/"&amp;Table9[[#This Row],[Image ID]]&amp;"/full/843,/0/default.jpg"</f>
        <v>https://www.artic.edu/iiif/2/efdd5540-5579-8761-fd1d-af318f65a0a6/full/843,/0/default.jpg</v>
      </c>
      <c r="N241" s="3">
        <v>0.82899999999999996</v>
      </c>
      <c r="O241" s="3">
        <v>2.4E-2</v>
      </c>
      <c r="P241" s="3">
        <v>0.80499999999999994</v>
      </c>
      <c r="Q241" s="3">
        <v>0.77183020114898604</v>
      </c>
    </row>
    <row r="242" spans="1:17" x14ac:dyDescent="0.45">
      <c r="A242" s="3">
        <v>80553</v>
      </c>
      <c r="B242" t="b">
        <v>0</v>
      </c>
      <c r="C242" t="b">
        <v>1</v>
      </c>
      <c r="D242" s="3">
        <v>1597</v>
      </c>
      <c r="E242" s="3">
        <v>1640</v>
      </c>
      <c r="F242" t="s">
        <v>10015</v>
      </c>
      <c r="G242" t="s">
        <v>75</v>
      </c>
      <c r="H242" s="3">
        <v>7.0750999999999999</v>
      </c>
      <c r="I242" t="s">
        <v>79</v>
      </c>
      <c r="J242" t="s">
        <v>11117</v>
      </c>
      <c r="L242" t="s">
        <v>10016</v>
      </c>
      <c r="M242" t="str">
        <f>"https://www.artic.edu/iiif/2/"&amp;Table9[[#This Row],[Image ID]]&amp;"/full/843,/0/default.jpg"</f>
        <v>https://www.artic.edu/iiif/2/0a991ed0-5816-1fbe-33d2-a12c384334ab/full/843,/0/default.jpg</v>
      </c>
      <c r="N242" s="3">
        <v>0.90200000000000002</v>
      </c>
      <c r="O242" s="3">
        <v>9.8000000000000004E-2</v>
      </c>
      <c r="P242" s="3">
        <v>0.80400000000000005</v>
      </c>
      <c r="Q242" s="3">
        <v>0.73330539464950495</v>
      </c>
    </row>
    <row r="243" spans="1:17" x14ac:dyDescent="0.45">
      <c r="A243" s="3">
        <v>144814</v>
      </c>
      <c r="B243" t="b">
        <v>0</v>
      </c>
      <c r="C243" t="b">
        <v>0</v>
      </c>
      <c r="D243" s="3">
        <v>1991</v>
      </c>
      <c r="E243" s="3">
        <v>1991</v>
      </c>
      <c r="F243" t="s">
        <v>3330</v>
      </c>
      <c r="G243" t="s">
        <v>7</v>
      </c>
      <c r="H243" s="3">
        <v>9.8347999999999995</v>
      </c>
      <c r="I243" t="s">
        <v>350</v>
      </c>
      <c r="J243" t="s">
        <v>11753</v>
      </c>
      <c r="L243" t="s">
        <v>3331</v>
      </c>
      <c r="M243" t="str">
        <f>"https://www.artic.edu/iiif/2/"&amp;Table9[[#This Row],[Image ID]]&amp;"/full/843,/0/default.jpg"</f>
        <v>https://www.artic.edu/iiif/2/35bd0b59-ba23-b13d-ebc8-75388610b344/full/843,/0/default.jpg</v>
      </c>
      <c r="N243" s="3">
        <v>0.875</v>
      </c>
      <c r="O243" s="3">
        <v>7.2999999999999995E-2</v>
      </c>
      <c r="P243" s="3">
        <v>0.80200000000000005</v>
      </c>
      <c r="Q243" s="3">
        <v>0.88920766115188599</v>
      </c>
    </row>
    <row r="244" spans="1:17" x14ac:dyDescent="0.45">
      <c r="A244" s="3">
        <v>14752</v>
      </c>
      <c r="B244" t="b">
        <v>0</v>
      </c>
      <c r="C244" t="b">
        <v>0</v>
      </c>
      <c r="D244" s="3">
        <v>1925</v>
      </c>
      <c r="E244" s="3">
        <v>1925</v>
      </c>
      <c r="F244" t="s">
        <v>1305</v>
      </c>
      <c r="G244" t="s">
        <v>3625</v>
      </c>
      <c r="H244" s="3">
        <v>30.716699999999999</v>
      </c>
      <c r="I244" t="s">
        <v>1164</v>
      </c>
      <c r="J244" t="s">
        <v>13532</v>
      </c>
      <c r="L244" t="s">
        <v>3626</v>
      </c>
      <c r="M244" t="str">
        <f>"https://www.artic.edu/iiif/2/"&amp;Table9[[#This Row],[Image ID]]&amp;"/full/843,/0/default.jpg"</f>
        <v>https://www.artic.edu/iiif/2/b6a9d052-6e12-1e5b-a129-0dd57f7a7b19/full/843,/0/default.jpg</v>
      </c>
      <c r="N244" s="3">
        <v>0.875</v>
      </c>
      <c r="O244" s="3">
        <v>7.2999999999999995E-2</v>
      </c>
      <c r="P244" s="3">
        <v>0.80200000000000005</v>
      </c>
      <c r="Q244" s="3">
        <v>0.64609706401824896</v>
      </c>
    </row>
    <row r="245" spans="1:17" x14ac:dyDescent="0.45">
      <c r="A245" s="3">
        <v>40647</v>
      </c>
      <c r="B245" t="b">
        <v>0</v>
      </c>
      <c r="C245" t="b">
        <v>1</v>
      </c>
      <c r="D245" s="3">
        <v>1889</v>
      </c>
      <c r="E245" s="3">
        <v>1889</v>
      </c>
      <c r="F245" t="s">
        <v>14</v>
      </c>
      <c r="G245" t="s">
        <v>5158</v>
      </c>
      <c r="H245" s="3">
        <v>20.744499999999999</v>
      </c>
      <c r="I245" t="s">
        <v>2630</v>
      </c>
      <c r="J245" t="s">
        <v>12335</v>
      </c>
      <c r="L245" t="s">
        <v>7662</v>
      </c>
      <c r="M245" t="str">
        <f>"https://www.artic.edu/iiif/2/"&amp;Table9[[#This Row],[Image ID]]&amp;"/full/843,/0/default.jpg"</f>
        <v>https://www.artic.edu/iiif/2/5cde06a4-c11d-ab9a-8016-a1644a967a89/full/843,/0/default.jpg</v>
      </c>
      <c r="N245" s="3">
        <v>0.875</v>
      </c>
      <c r="O245" s="3">
        <v>7.2999999999999995E-2</v>
      </c>
      <c r="P245" s="3">
        <v>0.80200000000000005</v>
      </c>
      <c r="Q245" s="3">
        <v>0.89271491765975897</v>
      </c>
    </row>
    <row r="246" spans="1:17" x14ac:dyDescent="0.45">
      <c r="A246" s="3">
        <v>94841</v>
      </c>
      <c r="B246" t="b">
        <v>0</v>
      </c>
      <c r="C246" t="b">
        <v>1</v>
      </c>
      <c r="D246" s="3">
        <v>1884</v>
      </c>
      <c r="E246" s="3">
        <v>1884</v>
      </c>
      <c r="F246" t="s">
        <v>10744</v>
      </c>
      <c r="G246" t="s">
        <v>7</v>
      </c>
      <c r="H246" s="3">
        <v>30.922000000000001</v>
      </c>
      <c r="I246" t="s">
        <v>10745</v>
      </c>
      <c r="J246" t="s">
        <v>12041</v>
      </c>
      <c r="L246" t="s">
        <v>10746</v>
      </c>
      <c r="M246" t="str">
        <f>"https://www.artic.edu/iiif/2/"&amp;Table9[[#This Row],[Image ID]]&amp;"/full/843,/0/default.jpg"</f>
        <v>https://www.artic.edu/iiif/2/48b2de88-ba73-8e19-f448-d1cef4a1c847/full/843,/0/default.jpg</v>
      </c>
      <c r="N246" s="3">
        <v>0.85</v>
      </c>
      <c r="O246" s="3">
        <v>4.8000000000000001E-2</v>
      </c>
      <c r="P246" s="3">
        <v>0.80199999999999994</v>
      </c>
      <c r="Q246" s="3">
        <v>0.80094611644744795</v>
      </c>
    </row>
    <row r="247" spans="1:17" x14ac:dyDescent="0.45">
      <c r="A247" s="3">
        <v>97400</v>
      </c>
      <c r="B247" t="b">
        <v>0</v>
      </c>
      <c r="C247" t="b">
        <v>0</v>
      </c>
      <c r="D247" s="3">
        <v>1972</v>
      </c>
      <c r="E247" s="3">
        <v>1972</v>
      </c>
      <c r="F247" t="s">
        <v>10822</v>
      </c>
      <c r="G247" t="s">
        <v>10823</v>
      </c>
      <c r="H247" s="3">
        <v>22.487100000000002</v>
      </c>
      <c r="I247" t="s">
        <v>4121</v>
      </c>
      <c r="J247" t="s">
        <v>11241</v>
      </c>
      <c r="L247" t="s">
        <v>10824</v>
      </c>
      <c r="M247" t="str">
        <f>"https://www.artic.edu/iiif/2/"&amp;Table9[[#This Row],[Image ID]]&amp;"/full/843,/0/default.jpg"</f>
        <v>https://www.artic.edu/iiif/2/139c57f8-90d0-7215-84a8-1afaf985a70c/full/843,/0/default.jpg</v>
      </c>
      <c r="N247" s="3">
        <v>0.82499999999999996</v>
      </c>
      <c r="O247" s="3">
        <v>2.4E-2</v>
      </c>
      <c r="P247" s="3">
        <v>0.80099999999999993</v>
      </c>
      <c r="Q247" s="3">
        <v>0.94366711378097501</v>
      </c>
    </row>
    <row r="248" spans="1:17" x14ac:dyDescent="0.45">
      <c r="A248" s="3">
        <v>104260</v>
      </c>
      <c r="B248" t="b">
        <v>0</v>
      </c>
      <c r="C248" t="b">
        <v>0</v>
      </c>
      <c r="D248" s="3">
        <v>1981</v>
      </c>
      <c r="E248" s="3">
        <v>1981</v>
      </c>
      <c r="F248" t="s">
        <v>380</v>
      </c>
      <c r="G248" t="s">
        <v>272</v>
      </c>
      <c r="H248" s="3">
        <v>17.744700000000002</v>
      </c>
      <c r="I248" t="s">
        <v>378</v>
      </c>
      <c r="J248" t="s">
        <v>10996</v>
      </c>
      <c r="K248" s="5" t="s">
        <v>45</v>
      </c>
      <c r="L248" t="s">
        <v>381</v>
      </c>
      <c r="M248" t="str">
        <f>"https://www.artic.edu/iiif/2/"&amp;Table9[[#This Row],[Image ID]]&amp;"/full/843,/0/default.jpg"</f>
        <v>https://www.artic.edu/iiif/2/237b40f0-4c66-7073-2848-c1a1be7f2d0e/full/843,/0/default.jpg</v>
      </c>
      <c r="N248" s="3">
        <v>0.85</v>
      </c>
      <c r="O248" s="3">
        <v>4.9000000000000002E-2</v>
      </c>
      <c r="P248" s="3">
        <v>0.80099999999999993</v>
      </c>
      <c r="Q248" s="3">
        <v>0.85617113113403298</v>
      </c>
    </row>
    <row r="249" spans="1:17" x14ac:dyDescent="0.45">
      <c r="A249" s="3">
        <v>239851</v>
      </c>
      <c r="B249" t="b">
        <v>0</v>
      </c>
      <c r="C249" t="b">
        <v>0</v>
      </c>
      <c r="D249" s="3">
        <v>2001</v>
      </c>
      <c r="E249" s="3">
        <v>2001</v>
      </c>
      <c r="F249" t="s">
        <v>6353</v>
      </c>
      <c r="G249" t="s">
        <v>141</v>
      </c>
      <c r="H249" s="3">
        <v>72.669399999999996</v>
      </c>
      <c r="I249" t="s">
        <v>176</v>
      </c>
      <c r="J249" t="s">
        <v>13813</v>
      </c>
      <c r="K249" s="5" t="s">
        <v>15</v>
      </c>
      <c r="L249" t="s">
        <v>6354</v>
      </c>
      <c r="M249" t="str">
        <f>"https://www.artic.edu/iiif/2/"&amp;Table9[[#This Row],[Image ID]]&amp;"/full/843,/0/default.jpg"</f>
        <v>https://www.artic.edu/iiif/2/cd1107b0-c82b-5e40-f762-7506081923c2/full/843,/0/default.jpg</v>
      </c>
      <c r="N249" s="3">
        <v>0.85</v>
      </c>
      <c r="O249" s="3">
        <v>4.9000000000000002E-2</v>
      </c>
      <c r="P249" s="3">
        <v>0.80099999999999993</v>
      </c>
      <c r="Q249" s="3">
        <v>0.81021875143051103</v>
      </c>
    </row>
    <row r="250" spans="1:17" x14ac:dyDescent="0.45">
      <c r="A250" s="3">
        <v>15708</v>
      </c>
      <c r="B250" t="b">
        <v>0</v>
      </c>
      <c r="C250" t="b">
        <v>1</v>
      </c>
      <c r="D250" s="3">
        <v>1810</v>
      </c>
      <c r="E250" s="3">
        <v>1820</v>
      </c>
      <c r="F250" t="s">
        <v>4085</v>
      </c>
      <c r="G250" t="s">
        <v>7</v>
      </c>
      <c r="H250" s="3">
        <v>0</v>
      </c>
      <c r="I250" t="s">
        <v>1726</v>
      </c>
      <c r="J250" t="s">
        <v>12164</v>
      </c>
      <c r="L250" t="s">
        <v>4086</v>
      </c>
      <c r="M250" t="str">
        <f>"https://www.artic.edu/iiif/2/"&amp;Table9[[#This Row],[Image ID]]&amp;"/full/843,/0/default.jpg"</f>
        <v>https://www.artic.edu/iiif/2/51a56e7e-ffa2-bb9e-7f16-99bc0b4b4d66/full/843,/0/default.jpg</v>
      </c>
      <c r="N250" s="3">
        <v>0.85</v>
      </c>
      <c r="O250" s="3">
        <v>4.9000000000000002E-2</v>
      </c>
      <c r="P250" s="3">
        <v>0.80099999999999993</v>
      </c>
      <c r="Q250" s="3">
        <v>0.78391444683074896</v>
      </c>
    </row>
    <row r="251" spans="1:17" x14ac:dyDescent="0.45">
      <c r="A251" s="3">
        <v>39116</v>
      </c>
      <c r="B251" t="b">
        <v>0</v>
      </c>
      <c r="C251" t="b">
        <v>1</v>
      </c>
      <c r="D251" s="3">
        <v>1835</v>
      </c>
      <c r="E251" s="3">
        <v>1840</v>
      </c>
      <c r="F251" t="s">
        <v>7452</v>
      </c>
      <c r="G251" t="s">
        <v>7453</v>
      </c>
      <c r="H251" s="3">
        <v>24.063500000000001</v>
      </c>
      <c r="I251" t="s">
        <v>7440</v>
      </c>
      <c r="J251" t="s">
        <v>12579</v>
      </c>
      <c r="L251" t="s">
        <v>7454</v>
      </c>
      <c r="M251" t="str">
        <f>"https://www.artic.edu/iiif/2/"&amp;Table9[[#This Row],[Image ID]]&amp;"/full/843,/0/default.jpg"</f>
        <v>https://www.artic.edu/iiif/2/6ea87fdd-c30d-4190-8a8e-f85e5794e385/full/843,/0/default.jpg</v>
      </c>
      <c r="N251" s="3">
        <v>0.85</v>
      </c>
      <c r="O251" s="3">
        <v>4.9000000000000002E-2</v>
      </c>
      <c r="P251" s="3">
        <v>0.80099999999999993</v>
      </c>
      <c r="Q251" s="3">
        <v>0.77676081657409601</v>
      </c>
    </row>
    <row r="252" spans="1:17" x14ac:dyDescent="0.45">
      <c r="A252" s="3">
        <v>129639</v>
      </c>
      <c r="B252" t="b">
        <v>0</v>
      </c>
      <c r="C252" t="b">
        <v>1</v>
      </c>
      <c r="D252" s="3">
        <v>1850</v>
      </c>
      <c r="E252" s="3">
        <v>1850</v>
      </c>
      <c r="F252" t="s">
        <v>2888</v>
      </c>
      <c r="G252" t="s">
        <v>7</v>
      </c>
      <c r="H252" s="3">
        <v>17.269400000000001</v>
      </c>
      <c r="I252" t="s">
        <v>2889</v>
      </c>
      <c r="J252" t="s">
        <v>13874</v>
      </c>
      <c r="L252" t="s">
        <v>2890</v>
      </c>
      <c r="M252" t="str">
        <f>"https://www.artic.edu/iiif/2/"&amp;Table9[[#This Row],[Image ID]]&amp;"/full/843,/0/default.jpg"</f>
        <v>https://www.artic.edu/iiif/2/d33c55db-d036-0e1c-b8fe-4ba5b74efb03/full/843,/0/default.jpg</v>
      </c>
      <c r="N252" s="3">
        <v>0.82499999999999996</v>
      </c>
      <c r="O252" s="3">
        <v>2.4E-2</v>
      </c>
      <c r="P252" s="3">
        <v>0.80099999999999993</v>
      </c>
      <c r="Q252" s="3">
        <v>0.67550450563430697</v>
      </c>
    </row>
    <row r="253" spans="1:17" x14ac:dyDescent="0.45">
      <c r="A253" s="3">
        <v>204262</v>
      </c>
      <c r="B253" t="b">
        <v>0</v>
      </c>
      <c r="C253" t="b">
        <v>0</v>
      </c>
      <c r="D253" s="3">
        <v>2008</v>
      </c>
      <c r="E253" s="3">
        <v>2008</v>
      </c>
      <c r="F253" t="s">
        <v>5400</v>
      </c>
      <c r="G253" t="s">
        <v>5401</v>
      </c>
      <c r="H253" s="3">
        <v>51.2087</v>
      </c>
      <c r="I253" t="s">
        <v>3132</v>
      </c>
      <c r="J253" t="s">
        <v>10998</v>
      </c>
      <c r="K253" s="5" t="s">
        <v>15</v>
      </c>
      <c r="L253" t="s">
        <v>5402</v>
      </c>
      <c r="M253" t="str">
        <f>"https://www.artic.edu/iiif/2/"&amp;Table9[[#This Row],[Image ID]]&amp;"/full/843,/0/default.jpg"</f>
        <v>https://www.artic.edu/iiif/2/023bda57-8318-9c9c-bca9-f5771e10855e/full/843,/0/default.jpg</v>
      </c>
      <c r="N253" s="3">
        <v>0.8</v>
      </c>
      <c r="O253" s="3">
        <v>0</v>
      </c>
      <c r="P253" s="3">
        <v>0.8</v>
      </c>
      <c r="Q253" s="3">
        <v>0.716369569301605</v>
      </c>
    </row>
    <row r="254" spans="1:17" x14ac:dyDescent="0.45">
      <c r="A254" s="3">
        <v>22482</v>
      </c>
      <c r="B254" t="b">
        <v>0</v>
      </c>
      <c r="C254" t="b">
        <v>0</v>
      </c>
      <c r="D254" s="3">
        <v>1943</v>
      </c>
      <c r="E254" s="3">
        <v>1953</v>
      </c>
      <c r="F254" t="s">
        <v>5895</v>
      </c>
      <c r="G254" t="s">
        <v>5896</v>
      </c>
      <c r="H254" s="3">
        <v>30.309100000000001</v>
      </c>
      <c r="I254" t="s">
        <v>6932</v>
      </c>
      <c r="J254" t="s">
        <v>11022</v>
      </c>
      <c r="L254" t="s">
        <v>5897</v>
      </c>
      <c r="M254" t="str">
        <f>"https://www.artic.edu/iiif/2/"&amp;Table9[[#This Row],[Image ID]]&amp;"/full/843,/0/default.jpg"</f>
        <v>https://www.artic.edu/iiif/2/0366abf0-fb3c-4631-71f5-e2574b31de9e/full/843,/0/default.jpg</v>
      </c>
      <c r="N254" s="3">
        <v>0.9</v>
      </c>
      <c r="O254" s="3">
        <v>0.1</v>
      </c>
      <c r="P254" s="3">
        <v>0.8</v>
      </c>
      <c r="Q254" s="3">
        <v>0.60803043842315596</v>
      </c>
    </row>
    <row r="255" spans="1:17" x14ac:dyDescent="0.45">
      <c r="A255" s="3">
        <v>184949</v>
      </c>
      <c r="B255" t="b">
        <v>0</v>
      </c>
      <c r="C255" t="b">
        <v>0</v>
      </c>
      <c r="D255" s="3">
        <v>2003</v>
      </c>
      <c r="E255" s="3">
        <v>2003</v>
      </c>
      <c r="F255" t="s">
        <v>4942</v>
      </c>
      <c r="G255" t="s">
        <v>4823</v>
      </c>
      <c r="H255" s="3">
        <v>8.2403999999999993</v>
      </c>
      <c r="I255" t="s">
        <v>293</v>
      </c>
      <c r="J255" t="s">
        <v>10977</v>
      </c>
      <c r="K255" s="5" t="s">
        <v>15</v>
      </c>
      <c r="L255" t="s">
        <v>4943</v>
      </c>
      <c r="M255" t="str">
        <f>"https://www.artic.edu/iiif/2/"&amp;Table9[[#This Row],[Image ID]]&amp;"/full/843,/0/default.jpg"</f>
        <v>https://www.artic.edu/iiif/2/0d6fe13a-7630-2658-858d-845b8dc9e784/full/843,/0/default.jpg</v>
      </c>
      <c r="N255" s="3">
        <v>0.92500000000000004</v>
      </c>
      <c r="O255" s="3">
        <v>0.125</v>
      </c>
      <c r="P255" s="3">
        <v>0.8</v>
      </c>
      <c r="Q255" s="3">
        <v>0.90155243873596103</v>
      </c>
    </row>
    <row r="256" spans="1:17" x14ac:dyDescent="0.45">
      <c r="A256" s="3">
        <v>28884</v>
      </c>
      <c r="B256" t="b">
        <v>0</v>
      </c>
      <c r="C256" t="b">
        <v>0</v>
      </c>
      <c r="D256" s="3">
        <v>1921</v>
      </c>
      <c r="E256" s="3">
        <v>1921</v>
      </c>
      <c r="F256" t="s">
        <v>6842</v>
      </c>
      <c r="G256" t="s">
        <v>7</v>
      </c>
      <c r="H256" s="3">
        <v>42.914299999999997</v>
      </c>
      <c r="I256" t="s">
        <v>133</v>
      </c>
      <c r="J256" t="s">
        <v>11589</v>
      </c>
      <c r="K256" s="5" t="s">
        <v>6843</v>
      </c>
      <c r="L256" t="s">
        <v>6844</v>
      </c>
      <c r="M256" t="str">
        <f>"https://www.artic.edu/iiif/2/"&amp;Table9[[#This Row],[Image ID]]&amp;"/full/843,/0/default.jpg"</f>
        <v>https://www.artic.edu/iiif/2/2a269129-0a2a-75e7-4e7c-01d184a146e1/full/843,/0/default.jpg</v>
      </c>
      <c r="N256" s="3">
        <v>0.8</v>
      </c>
      <c r="O256" s="3">
        <v>0</v>
      </c>
      <c r="P256" s="3">
        <v>0.8</v>
      </c>
      <c r="Q256" s="3">
        <v>0.88433659076690596</v>
      </c>
    </row>
    <row r="257" spans="1:17" x14ac:dyDescent="0.45">
      <c r="A257" s="3">
        <v>196081</v>
      </c>
      <c r="B257" t="b">
        <v>0</v>
      </c>
      <c r="C257" t="b">
        <v>0</v>
      </c>
      <c r="D257" s="3">
        <v>1961</v>
      </c>
      <c r="E257" s="3">
        <v>1961</v>
      </c>
      <c r="F257" t="s">
        <v>11</v>
      </c>
      <c r="G257" t="s">
        <v>5267</v>
      </c>
      <c r="H257" s="3">
        <v>71.973100000000002</v>
      </c>
      <c r="I257" t="s">
        <v>2737</v>
      </c>
      <c r="J257" t="s">
        <v>11661</v>
      </c>
      <c r="L257" t="s">
        <v>5268</v>
      </c>
      <c r="M257" t="str">
        <f>"https://www.artic.edu/iiif/2/"&amp;Table9[[#This Row],[Image ID]]&amp;"/full/843,/0/default.jpg"</f>
        <v>https://www.artic.edu/iiif/2/2ef1c245-862d-faa3-e872-57221cadec6a/full/843,/0/default.jpg</v>
      </c>
      <c r="N257" s="3">
        <v>0.875</v>
      </c>
      <c r="O257" s="3">
        <v>7.4999999999999997E-2</v>
      </c>
      <c r="P257" s="3">
        <v>0.8</v>
      </c>
      <c r="Q257" s="3">
        <v>0.85782611370086603</v>
      </c>
    </row>
    <row r="258" spans="1:17" x14ac:dyDescent="0.45">
      <c r="A258" s="3">
        <v>107706</v>
      </c>
      <c r="B258" t="b">
        <v>0</v>
      </c>
      <c r="C258" t="b">
        <v>0</v>
      </c>
      <c r="D258" s="3">
        <v>1985</v>
      </c>
      <c r="E258" s="3">
        <v>1985</v>
      </c>
      <c r="F258" t="s">
        <v>688</v>
      </c>
      <c r="G258" t="s">
        <v>689</v>
      </c>
      <c r="H258" s="3">
        <v>91.395600000000002</v>
      </c>
      <c r="I258" t="s">
        <v>690</v>
      </c>
      <c r="J258" t="s">
        <v>11751</v>
      </c>
      <c r="L258" t="s">
        <v>691</v>
      </c>
      <c r="M258" t="str">
        <f>"https://www.artic.edu/iiif/2/"&amp;Table9[[#This Row],[Image ID]]&amp;"/full/843,/0/default.jpg"</f>
        <v>https://www.artic.edu/iiif/2/35a6cf63-dc8f-364a-3ba3-de862c874588/full/843,/0/default.jpg</v>
      </c>
      <c r="N258" s="3">
        <v>0.92500000000000004</v>
      </c>
      <c r="O258" s="3">
        <v>0.125</v>
      </c>
      <c r="P258" s="3">
        <v>0.8</v>
      </c>
      <c r="Q258" s="3">
        <v>0.92713296413421598</v>
      </c>
    </row>
    <row r="259" spans="1:17" x14ac:dyDescent="0.45">
      <c r="A259" s="3">
        <v>225732</v>
      </c>
      <c r="B259" t="b">
        <v>0</v>
      </c>
      <c r="C259" t="b">
        <v>0</v>
      </c>
      <c r="D259" s="3">
        <v>1959</v>
      </c>
      <c r="E259" s="3">
        <v>1959</v>
      </c>
      <c r="F259" t="s">
        <v>5924</v>
      </c>
      <c r="G259" t="s">
        <v>5917</v>
      </c>
      <c r="H259" s="3">
        <v>48.273099999999999</v>
      </c>
      <c r="I259" t="s">
        <v>5918</v>
      </c>
      <c r="J259" t="s">
        <v>11203</v>
      </c>
      <c r="L259" t="s">
        <v>5925</v>
      </c>
      <c r="M259" t="str">
        <f>"https://www.artic.edu/iiif/2/"&amp;Table9[[#This Row],[Image ID]]&amp;"/full/843,/0/default.jpg"</f>
        <v>https://www.artic.edu/iiif/2/3ac2fe61-2dfe-183b-250a-ea66deff483d/full/843,/0/default.jpg</v>
      </c>
      <c r="N259" s="3">
        <v>0.875</v>
      </c>
      <c r="O259" s="3">
        <v>7.4999999999999997E-2</v>
      </c>
      <c r="P259" s="3">
        <v>0.8</v>
      </c>
      <c r="Q259" s="3">
        <v>0.76114577054977395</v>
      </c>
    </row>
    <row r="260" spans="1:17" x14ac:dyDescent="0.45">
      <c r="A260" s="3">
        <v>111640</v>
      </c>
      <c r="B260" t="b">
        <v>0</v>
      </c>
      <c r="C260" t="b">
        <v>0</v>
      </c>
      <c r="D260" s="3">
        <v>1987</v>
      </c>
      <c r="E260" s="3">
        <v>1987</v>
      </c>
      <c r="F260" t="s">
        <v>1186</v>
      </c>
      <c r="G260" t="s">
        <v>1187</v>
      </c>
      <c r="H260" s="3">
        <v>26.837800000000001</v>
      </c>
      <c r="I260" t="s">
        <v>1188</v>
      </c>
      <c r="J260" t="s">
        <v>11838</v>
      </c>
      <c r="L260" t="s">
        <v>1189</v>
      </c>
      <c r="M260" t="str">
        <f>"https://www.artic.edu/iiif/2/"&amp;Table9[[#This Row],[Image ID]]&amp;"/full/843,/0/default.jpg"</f>
        <v>https://www.artic.edu/iiif/2/3aed0d09-f460-a4bc-b777-81bd2963806a/full/843,/0/default.jpg</v>
      </c>
      <c r="N260" s="3">
        <v>0.875</v>
      </c>
      <c r="O260" s="3">
        <v>7.4999999999999997E-2</v>
      </c>
      <c r="P260" s="3">
        <v>0.8</v>
      </c>
      <c r="Q260" s="3">
        <v>0.86557024717330899</v>
      </c>
    </row>
    <row r="261" spans="1:17" x14ac:dyDescent="0.45">
      <c r="A261" s="3">
        <v>129694</v>
      </c>
      <c r="B261" t="b">
        <v>0</v>
      </c>
      <c r="C261" t="b">
        <v>0</v>
      </c>
      <c r="D261" s="3">
        <v>1941</v>
      </c>
      <c r="E261" s="3">
        <v>1941</v>
      </c>
      <c r="F261" t="s">
        <v>2928</v>
      </c>
      <c r="G261" t="s">
        <v>2892</v>
      </c>
      <c r="H261" s="3">
        <v>41.489600000000003</v>
      </c>
      <c r="I261" t="s">
        <v>14549</v>
      </c>
      <c r="J261" t="s">
        <v>10990</v>
      </c>
      <c r="L261" t="s">
        <v>2929</v>
      </c>
      <c r="M261" t="str">
        <f>"https://www.artic.edu/iiif/2/"&amp;Table9[[#This Row],[Image ID]]&amp;"/full/843,/0/default.jpg"</f>
        <v>https://www.artic.edu/iiif/2/4cb91855-cb79-5235-c412-787c35a293d8/full/843,/0/default.jpg</v>
      </c>
      <c r="N261" s="3">
        <v>0.875</v>
      </c>
      <c r="O261" s="3">
        <v>7.4999999999999997E-2</v>
      </c>
      <c r="P261" s="3">
        <v>0.8</v>
      </c>
      <c r="Q261" s="3">
        <v>0.77494019269943204</v>
      </c>
    </row>
    <row r="262" spans="1:17" x14ac:dyDescent="0.45">
      <c r="A262" s="3">
        <v>125658</v>
      </c>
      <c r="B262" t="b">
        <v>0</v>
      </c>
      <c r="C262" t="b">
        <v>0</v>
      </c>
      <c r="D262" s="3">
        <v>1980</v>
      </c>
      <c r="E262" s="3">
        <v>1980</v>
      </c>
      <c r="F262" t="s">
        <v>2761</v>
      </c>
      <c r="G262" t="s">
        <v>2762</v>
      </c>
      <c r="H262" s="3">
        <v>2.6606999999999998</v>
      </c>
      <c r="I262" t="s">
        <v>2666</v>
      </c>
      <c r="J262" t="s">
        <v>10972</v>
      </c>
      <c r="K262" s="5" t="s">
        <v>149</v>
      </c>
      <c r="L262" t="s">
        <v>2763</v>
      </c>
      <c r="M262" t="str">
        <f>"https://www.artic.edu/iiif/2/"&amp;Table9[[#This Row],[Image ID]]&amp;"/full/843,/0/default.jpg"</f>
        <v>https://www.artic.edu/iiif/2/4fc4f3c4-8388-4d89-a570-01d0fb629572/full/843,/0/default.jpg</v>
      </c>
      <c r="N262" s="3">
        <v>0.8</v>
      </c>
      <c r="O262" s="3">
        <v>0</v>
      </c>
      <c r="P262" s="3">
        <v>0.8</v>
      </c>
      <c r="Q262" s="3">
        <v>0.76100897789001398</v>
      </c>
    </row>
    <row r="263" spans="1:17" x14ac:dyDescent="0.45">
      <c r="A263" s="3">
        <v>111636</v>
      </c>
      <c r="B263" t="b">
        <v>0</v>
      </c>
      <c r="C263" t="b">
        <v>0</v>
      </c>
      <c r="D263" s="3">
        <v>1930</v>
      </c>
      <c r="E263" s="3">
        <v>1930</v>
      </c>
      <c r="F263" t="s">
        <v>1178</v>
      </c>
      <c r="G263" t="s">
        <v>7</v>
      </c>
      <c r="H263" s="3">
        <v>22.4438</v>
      </c>
      <c r="I263" t="s">
        <v>1179</v>
      </c>
      <c r="J263" t="s">
        <v>12229</v>
      </c>
      <c r="K263" s="5" t="s">
        <v>45</v>
      </c>
      <c r="L263" t="s">
        <v>1180</v>
      </c>
      <c r="M263" t="str">
        <f>"https://www.artic.edu/iiif/2/"&amp;Table9[[#This Row],[Image ID]]&amp;"/full/843,/0/default.jpg"</f>
        <v>https://www.artic.edu/iiif/2/55bed66c-1551-5073-ac7e-3d253dbfd36c/full/843,/0/default.jpg</v>
      </c>
      <c r="N263" s="3">
        <v>0.8</v>
      </c>
      <c r="O263" s="3">
        <v>0</v>
      </c>
      <c r="P263" s="3">
        <v>0.8</v>
      </c>
      <c r="Q263" s="3">
        <v>0.79077756404876698</v>
      </c>
    </row>
    <row r="264" spans="1:17" x14ac:dyDescent="0.45">
      <c r="A264" s="3">
        <v>104270</v>
      </c>
      <c r="B264" t="b">
        <v>0</v>
      </c>
      <c r="C264" t="b">
        <v>0</v>
      </c>
      <c r="D264" s="3">
        <v>1982</v>
      </c>
      <c r="E264" s="3">
        <v>1982</v>
      </c>
      <c r="F264" t="s">
        <v>402</v>
      </c>
      <c r="G264" t="s">
        <v>272</v>
      </c>
      <c r="H264" s="3">
        <v>30.352399999999999</v>
      </c>
      <c r="I264" t="s">
        <v>378</v>
      </c>
      <c r="J264" t="s">
        <v>12099</v>
      </c>
      <c r="K264" s="5" t="s">
        <v>45</v>
      </c>
      <c r="L264" t="s">
        <v>403</v>
      </c>
      <c r="M264" t="str">
        <f>"https://www.artic.edu/iiif/2/"&amp;Table9[[#This Row],[Image ID]]&amp;"/full/843,/0/default.jpg"</f>
        <v>https://www.artic.edu/iiif/2/80441fc3-1875-593e-72ab-2ce8d003259f/full/843,/0/default.jpg</v>
      </c>
      <c r="N264" s="3">
        <v>0.875</v>
      </c>
      <c r="O264" s="3">
        <v>7.4999999999999997E-2</v>
      </c>
      <c r="P264" s="3">
        <v>0.8</v>
      </c>
      <c r="Q264" s="3">
        <v>0.81914073228836004</v>
      </c>
    </row>
    <row r="265" spans="1:17" x14ac:dyDescent="0.45">
      <c r="A265" s="3">
        <v>159826</v>
      </c>
      <c r="B265" t="b">
        <v>0</v>
      </c>
      <c r="C265" t="b">
        <v>0</v>
      </c>
      <c r="D265" s="3">
        <v>2002</v>
      </c>
      <c r="E265" s="3">
        <v>2002</v>
      </c>
      <c r="F265" t="s">
        <v>4222</v>
      </c>
      <c r="G265" t="s">
        <v>4220</v>
      </c>
      <c r="H265" s="3">
        <v>45.837699999999998</v>
      </c>
      <c r="I265" t="s">
        <v>2941</v>
      </c>
      <c r="J265" t="s">
        <v>12839</v>
      </c>
      <c r="K265" s="5" t="s">
        <v>15</v>
      </c>
      <c r="L265" t="s">
        <v>4223</v>
      </c>
      <c r="M265" t="str">
        <f>"https://www.artic.edu/iiif/2/"&amp;Table9[[#This Row],[Image ID]]&amp;"/full/843,/0/default.jpg"</f>
        <v>https://www.artic.edu/iiif/2/811d81a1-25ea-8a87-bed6-72ac7328accb/full/843,/0/default.jpg</v>
      </c>
      <c r="N265" s="3">
        <v>0.875</v>
      </c>
      <c r="O265" s="3">
        <v>7.4999999999999997E-2</v>
      </c>
      <c r="P265" s="3">
        <v>0.8</v>
      </c>
      <c r="Q265" s="3">
        <v>0.89093440771102905</v>
      </c>
    </row>
    <row r="266" spans="1:17" x14ac:dyDescent="0.45">
      <c r="A266" s="3">
        <v>59646</v>
      </c>
      <c r="B266" t="b">
        <v>0</v>
      </c>
      <c r="C266" t="b">
        <v>0</v>
      </c>
      <c r="D266" s="3">
        <v>1978</v>
      </c>
      <c r="E266" s="3">
        <v>1978</v>
      </c>
      <c r="F266" t="s">
        <v>8569</v>
      </c>
      <c r="G266" t="s">
        <v>8570</v>
      </c>
      <c r="H266" s="3">
        <v>6.2938000000000001</v>
      </c>
      <c r="I266" t="s">
        <v>8571</v>
      </c>
      <c r="J266" t="s">
        <v>12922</v>
      </c>
      <c r="L266" t="s">
        <v>8572</v>
      </c>
      <c r="M266" t="str">
        <f>"https://www.artic.edu/iiif/2/"&amp;Table9[[#This Row],[Image ID]]&amp;"/full/843,/0/default.jpg"</f>
        <v>https://www.artic.edu/iiif/2/8806d7fe-0e1d-128a-5e2b-67fbbdb009cb/full/843,/0/default.jpg</v>
      </c>
      <c r="N266" s="3">
        <v>0.92500000000000004</v>
      </c>
      <c r="O266" s="3">
        <v>0.125</v>
      </c>
      <c r="P266" s="3">
        <v>0.8</v>
      </c>
      <c r="Q266" s="3">
        <v>0.94759666919708196</v>
      </c>
    </row>
    <row r="267" spans="1:17" x14ac:dyDescent="0.45">
      <c r="A267" s="3">
        <v>182391</v>
      </c>
      <c r="B267" t="b">
        <v>0</v>
      </c>
      <c r="C267" t="b">
        <v>0</v>
      </c>
      <c r="D267" s="3">
        <v>2003</v>
      </c>
      <c r="E267" s="3">
        <v>2003</v>
      </c>
      <c r="F267" t="s">
        <v>4762</v>
      </c>
      <c r="G267" t="s">
        <v>75</v>
      </c>
      <c r="H267" s="3">
        <v>46.199199999999998</v>
      </c>
      <c r="I267" t="s">
        <v>4763</v>
      </c>
      <c r="J267" t="s">
        <v>12995</v>
      </c>
      <c r="K267" s="5" t="s">
        <v>15</v>
      </c>
      <c r="L267" t="s">
        <v>4764</v>
      </c>
      <c r="M267" t="str">
        <f>"https://www.artic.edu/iiif/2/"&amp;Table9[[#This Row],[Image ID]]&amp;"/full/843,/0/default.jpg"</f>
        <v>https://www.artic.edu/iiif/2/8d893d4e-9d9e-442d-3f9e-bb865c29a861/full/843,/0/default.jpg</v>
      </c>
      <c r="N267" s="3">
        <v>0.9</v>
      </c>
      <c r="O267" s="3">
        <v>0.1</v>
      </c>
      <c r="P267" s="3">
        <v>0.8</v>
      </c>
      <c r="Q267" s="3">
        <v>0.90339833498001099</v>
      </c>
    </row>
    <row r="268" spans="1:17" x14ac:dyDescent="0.45">
      <c r="A268" s="3">
        <v>129094</v>
      </c>
      <c r="B268" t="b">
        <v>0</v>
      </c>
      <c r="C268" t="b">
        <v>0</v>
      </c>
      <c r="D268" s="3">
        <v>1947</v>
      </c>
      <c r="E268" s="3">
        <v>1948</v>
      </c>
      <c r="F268" t="s">
        <v>2853</v>
      </c>
      <c r="G268" t="s">
        <v>7</v>
      </c>
      <c r="H268" s="3">
        <v>68.009699999999995</v>
      </c>
      <c r="I268" t="s">
        <v>2854</v>
      </c>
      <c r="J268" t="s">
        <v>13034</v>
      </c>
      <c r="K268" s="5" t="s">
        <v>45</v>
      </c>
      <c r="L268" t="s">
        <v>2855</v>
      </c>
      <c r="M268" t="str">
        <f>"https://www.artic.edu/iiif/2/"&amp;Table9[[#This Row],[Image ID]]&amp;"/full/843,/0/default.jpg"</f>
        <v>https://www.artic.edu/iiif/2/90b89735-8645-89c9-f011-619308670d0f/full/843,/0/default.jpg</v>
      </c>
      <c r="N268" s="3">
        <v>0.9</v>
      </c>
      <c r="O268" s="3">
        <v>0.1</v>
      </c>
      <c r="P268" s="3">
        <v>0.8</v>
      </c>
      <c r="Q268" s="3">
        <v>0.82019007205963101</v>
      </c>
    </row>
    <row r="269" spans="1:17" x14ac:dyDescent="0.45">
      <c r="A269" s="3">
        <v>155880</v>
      </c>
      <c r="B269" t="b">
        <v>0</v>
      </c>
      <c r="C269" t="b">
        <v>0</v>
      </c>
      <c r="D269" s="3">
        <v>1983</v>
      </c>
      <c r="E269" s="3">
        <v>1983</v>
      </c>
      <c r="F269" t="s">
        <v>4045</v>
      </c>
      <c r="G269" t="s">
        <v>4046</v>
      </c>
      <c r="H269" s="3">
        <v>18.287400000000002</v>
      </c>
      <c r="I269" t="s">
        <v>4047</v>
      </c>
      <c r="J269" t="s">
        <v>13248</v>
      </c>
      <c r="L269" t="s">
        <v>4048</v>
      </c>
      <c r="M269" t="str">
        <f>"https://www.artic.edu/iiif/2/"&amp;Table9[[#This Row],[Image ID]]&amp;"/full/843,/0/default.jpg"</f>
        <v>https://www.artic.edu/iiif/2/a16458f4-a78c-d418-5db8-1eec7bc989a0/full/843,/0/default.jpg</v>
      </c>
      <c r="N269" s="3">
        <v>0.875</v>
      </c>
      <c r="O269" s="3">
        <v>7.4999999999999997E-2</v>
      </c>
      <c r="P269" s="3">
        <v>0.8</v>
      </c>
      <c r="Q269" s="3">
        <v>0.820897936820983</v>
      </c>
    </row>
    <row r="270" spans="1:17" x14ac:dyDescent="0.45">
      <c r="A270" s="3">
        <v>157153</v>
      </c>
      <c r="B270" t="b">
        <v>0</v>
      </c>
      <c r="C270" t="b">
        <v>0</v>
      </c>
      <c r="D270" s="3">
        <v>1996</v>
      </c>
      <c r="E270" s="3">
        <v>1999</v>
      </c>
      <c r="F270" t="s">
        <v>4090</v>
      </c>
      <c r="G270" t="s">
        <v>141</v>
      </c>
      <c r="H270" s="3">
        <v>70.677199999999999</v>
      </c>
      <c r="I270" t="s">
        <v>866</v>
      </c>
      <c r="J270" t="s">
        <v>13275</v>
      </c>
      <c r="L270" t="s">
        <v>4091</v>
      </c>
      <c r="M270" t="str">
        <f>"https://www.artic.edu/iiif/2/"&amp;Table9[[#This Row],[Image ID]]&amp;"/full/843,/0/default.jpg"</f>
        <v>https://www.artic.edu/iiif/2/a34d1b30-5a74-f2e6-71f1-b357eb731a25/full/843,/0/default.jpg</v>
      </c>
      <c r="N270" s="3">
        <v>0.9</v>
      </c>
      <c r="O270" s="3">
        <v>0.1</v>
      </c>
      <c r="P270" s="3">
        <v>0.8</v>
      </c>
      <c r="Q270" s="3">
        <v>0.85123813152313199</v>
      </c>
    </row>
    <row r="271" spans="1:17" x14ac:dyDescent="0.45">
      <c r="A271" s="3">
        <v>129691</v>
      </c>
      <c r="B271" t="b">
        <v>0</v>
      </c>
      <c r="C271" t="b">
        <v>0</v>
      </c>
      <c r="D271" s="3">
        <v>1941</v>
      </c>
      <c r="E271" s="3">
        <v>1941</v>
      </c>
      <c r="F271" t="s">
        <v>2922</v>
      </c>
      <c r="G271" t="s">
        <v>2892</v>
      </c>
      <c r="H271" s="3">
        <v>65.3215</v>
      </c>
      <c r="I271" t="s">
        <v>14549</v>
      </c>
      <c r="J271" t="s">
        <v>10990</v>
      </c>
      <c r="L271" t="s">
        <v>2923</v>
      </c>
      <c r="M271" t="str">
        <f>"https://www.artic.edu/iiif/2/"&amp;Table9[[#This Row],[Image ID]]&amp;"/full/843,/0/default.jpg"</f>
        <v>https://www.artic.edu/iiif/2/a678624e-ee5e-8880-d025-6a371b4bbf13/full/843,/0/default.jpg</v>
      </c>
      <c r="N271" s="3">
        <v>0.9</v>
      </c>
      <c r="O271" s="3">
        <v>0.1</v>
      </c>
      <c r="P271" s="3">
        <v>0.8</v>
      </c>
      <c r="Q271" s="3">
        <v>0.863608717918396</v>
      </c>
    </row>
    <row r="272" spans="1:17" x14ac:dyDescent="0.45">
      <c r="A272" s="3">
        <v>9293</v>
      </c>
      <c r="B272" t="b">
        <v>0</v>
      </c>
      <c r="C272" t="b">
        <v>0</v>
      </c>
      <c r="D272" s="3">
        <v>1900</v>
      </c>
      <c r="E272" s="3">
        <v>1923</v>
      </c>
      <c r="F272" t="s">
        <v>10566</v>
      </c>
      <c r="G272" t="s">
        <v>1093</v>
      </c>
      <c r="H272" s="3">
        <v>38.977400000000003</v>
      </c>
      <c r="I272" t="s">
        <v>1094</v>
      </c>
      <c r="J272" t="s">
        <v>13569</v>
      </c>
      <c r="L272" t="s">
        <v>10567</v>
      </c>
      <c r="M272" t="str">
        <f>"https://www.artic.edu/iiif/2/"&amp;Table9[[#This Row],[Image ID]]&amp;"/full/843,/0/default.jpg"</f>
        <v>https://www.artic.edu/iiif/2/ba2e2260-da71-177b-06f7-543d86c6e50a/full/843,/0/default.jpg</v>
      </c>
      <c r="N272" s="3">
        <v>0.875</v>
      </c>
      <c r="O272" s="3">
        <v>7.4999999999999997E-2</v>
      </c>
      <c r="P272" s="3">
        <v>0.8</v>
      </c>
      <c r="Q272" s="3">
        <v>0.79904752969741799</v>
      </c>
    </row>
    <row r="273" spans="1:17" x14ac:dyDescent="0.45">
      <c r="A273" s="3">
        <v>184942</v>
      </c>
      <c r="B273" t="b">
        <v>0</v>
      </c>
      <c r="C273" t="b">
        <v>0</v>
      </c>
      <c r="D273" s="3">
        <v>2003</v>
      </c>
      <c r="E273" s="3">
        <v>2003</v>
      </c>
      <c r="F273" t="s">
        <v>4932</v>
      </c>
      <c r="G273" t="s">
        <v>4823</v>
      </c>
      <c r="H273" s="3">
        <v>10.883599999999999</v>
      </c>
      <c r="I273" t="s">
        <v>293</v>
      </c>
      <c r="J273" t="s">
        <v>10977</v>
      </c>
      <c r="K273" s="5" t="s">
        <v>15</v>
      </c>
      <c r="L273" t="s">
        <v>4933</v>
      </c>
      <c r="M273" t="str">
        <f>"https://www.artic.edu/iiif/2/"&amp;Table9[[#This Row],[Image ID]]&amp;"/full/843,/0/default.jpg"</f>
        <v>https://www.artic.edu/iiif/2/bcb10e16-361a-9bda-ca74-08dc24af0d12/full/843,/0/default.jpg</v>
      </c>
      <c r="N273" s="3">
        <v>0.9</v>
      </c>
      <c r="O273" s="3">
        <v>0.1</v>
      </c>
      <c r="P273" s="3">
        <v>0.8</v>
      </c>
      <c r="Q273" s="3">
        <v>0.82628911733627297</v>
      </c>
    </row>
    <row r="274" spans="1:17" x14ac:dyDescent="0.45">
      <c r="A274" s="3">
        <v>228849</v>
      </c>
      <c r="B274" t="b">
        <v>0</v>
      </c>
      <c r="C274" t="b">
        <v>0</v>
      </c>
      <c r="D274" s="3">
        <v>2012</v>
      </c>
      <c r="E274" s="3">
        <v>2012</v>
      </c>
      <c r="F274" t="s">
        <v>6037</v>
      </c>
      <c r="G274" t="s">
        <v>6033</v>
      </c>
      <c r="H274" s="3">
        <v>13.580299999999999</v>
      </c>
      <c r="I274" t="s">
        <v>6034</v>
      </c>
      <c r="J274" t="s">
        <v>13898</v>
      </c>
      <c r="K274" s="5" t="s">
        <v>15</v>
      </c>
      <c r="L274" t="s">
        <v>6038</v>
      </c>
      <c r="M274" t="str">
        <f>"https://www.artic.edu/iiif/2/"&amp;Table9[[#This Row],[Image ID]]&amp;"/full/843,/0/default.jpg"</f>
        <v>https://www.artic.edu/iiif/2/d4c519f6-43ba-be87-2e17-6f3874166211/full/843,/0/default.jpg</v>
      </c>
      <c r="N274" s="3">
        <v>0.9</v>
      </c>
      <c r="O274" s="3">
        <v>0.1</v>
      </c>
      <c r="P274" s="3">
        <v>0.8</v>
      </c>
      <c r="Q274" s="3">
        <v>0.89563947916030795</v>
      </c>
    </row>
    <row r="275" spans="1:17" x14ac:dyDescent="0.45">
      <c r="A275" s="3">
        <v>51671</v>
      </c>
      <c r="B275" t="b">
        <v>0</v>
      </c>
      <c r="C275" t="b">
        <v>0</v>
      </c>
      <c r="D275" s="3">
        <v>1927</v>
      </c>
      <c r="E275" s="3">
        <v>1937</v>
      </c>
      <c r="F275" t="s">
        <v>234</v>
      </c>
      <c r="G275" t="s">
        <v>8158</v>
      </c>
      <c r="H275" s="3">
        <v>38.891300000000001</v>
      </c>
      <c r="I275" t="s">
        <v>378</v>
      </c>
      <c r="J275" t="s">
        <v>13978</v>
      </c>
      <c r="L275" t="s">
        <v>8159</v>
      </c>
      <c r="M275" t="str">
        <f>"https://www.artic.edu/iiif/2/"&amp;Table9[[#This Row],[Image ID]]&amp;"/full/843,/0/default.jpg"</f>
        <v>https://www.artic.edu/iiif/2/da04d818-1f1f-aedd-9675-0082b21ee784/full/843,/0/default.jpg</v>
      </c>
      <c r="N275" s="3">
        <v>0.875</v>
      </c>
      <c r="O275" s="3">
        <v>7.4999999999999997E-2</v>
      </c>
      <c r="P275" s="3">
        <v>0.8</v>
      </c>
      <c r="Q275" s="3">
        <v>0.82442706823348999</v>
      </c>
    </row>
    <row r="276" spans="1:17" x14ac:dyDescent="0.45">
      <c r="A276" s="3">
        <v>249426</v>
      </c>
      <c r="B276" t="b">
        <v>0</v>
      </c>
      <c r="C276" t="b">
        <v>0</v>
      </c>
      <c r="D276" s="3">
        <v>1947</v>
      </c>
      <c r="E276" s="3">
        <v>1947</v>
      </c>
      <c r="F276" t="s">
        <v>6449</v>
      </c>
      <c r="G276" t="s">
        <v>272</v>
      </c>
      <c r="H276" s="3">
        <v>10.2212</v>
      </c>
      <c r="I276" t="s">
        <v>5205</v>
      </c>
      <c r="J276" t="s">
        <v>6451</v>
      </c>
      <c r="K276" s="5" t="s">
        <v>17</v>
      </c>
      <c r="L276" t="s">
        <v>6450</v>
      </c>
      <c r="M276" t="str">
        <f>"https://www.artic.edu/iiif/2/"&amp;Table9[[#This Row],[Image ID]]&amp;"/full/843,/0/default.jpg"</f>
        <v>https://www.artic.edu/iiif/2/db9d179d-5a4d-bc1f-f90d-b2f000d1d294/full/843,/0/default.jpg</v>
      </c>
      <c r="N276" s="3">
        <v>0.875</v>
      </c>
      <c r="O276" s="3">
        <v>7.4999999999999997E-2</v>
      </c>
      <c r="P276" s="3">
        <v>0.8</v>
      </c>
      <c r="Q276" s="3">
        <v>0.819432973861694</v>
      </c>
    </row>
    <row r="277" spans="1:17" x14ac:dyDescent="0.45">
      <c r="A277" s="3">
        <v>185189</v>
      </c>
      <c r="B277" t="b">
        <v>0</v>
      </c>
      <c r="C277" t="b">
        <v>0</v>
      </c>
      <c r="D277" s="3">
        <v>1930</v>
      </c>
      <c r="E277" s="3">
        <v>1930</v>
      </c>
      <c r="F277" t="s">
        <v>4977</v>
      </c>
      <c r="G277" t="s">
        <v>7</v>
      </c>
      <c r="H277" s="3">
        <v>71.454700000000003</v>
      </c>
      <c r="I277" t="s">
        <v>4865</v>
      </c>
      <c r="J277" t="s">
        <v>14256</v>
      </c>
      <c r="K277" s="5" t="s">
        <v>3755</v>
      </c>
      <c r="L277" t="s">
        <v>4978</v>
      </c>
      <c r="M277" t="str">
        <f>"https://www.artic.edu/iiif/2/"&amp;Table9[[#This Row],[Image ID]]&amp;"/full/843,/0/default.jpg"</f>
        <v>https://www.artic.edu/iiif/2/ec39212c-5017-76cb-160e-b7065b4c47c9/full/843,/0/default.jpg</v>
      </c>
      <c r="N277" s="3">
        <v>0.8</v>
      </c>
      <c r="O277" s="3">
        <v>0</v>
      </c>
      <c r="P277" s="3">
        <v>0.8</v>
      </c>
      <c r="Q277" s="3">
        <v>0.88487857580184903</v>
      </c>
    </row>
    <row r="278" spans="1:17" x14ac:dyDescent="0.45">
      <c r="A278" s="3">
        <v>230609</v>
      </c>
      <c r="B278" t="b">
        <v>0</v>
      </c>
      <c r="C278" t="b">
        <v>0</v>
      </c>
      <c r="D278" s="3">
        <v>1985</v>
      </c>
      <c r="E278" s="3">
        <v>1985</v>
      </c>
      <c r="F278" t="s">
        <v>6083</v>
      </c>
      <c r="G278" t="s">
        <v>6079</v>
      </c>
      <c r="H278" s="3">
        <v>95.503100000000003</v>
      </c>
      <c r="I278" t="s">
        <v>2666</v>
      </c>
      <c r="J278" t="s">
        <v>10972</v>
      </c>
      <c r="K278" s="5" t="s">
        <v>149</v>
      </c>
      <c r="L278" t="s">
        <v>6143</v>
      </c>
      <c r="M278" t="str">
        <f>"https://www.artic.edu/iiif/2/"&amp;Table9[[#This Row],[Image ID]]&amp;"/full/843,/0/default.jpg"</f>
        <v>https://www.artic.edu/iiif/2/ee39666b-372d-ddbf-6200-b25f7d6ec472/full/843,/0/default.jpg</v>
      </c>
      <c r="N278" s="3">
        <v>0.875</v>
      </c>
      <c r="O278" s="3">
        <v>7.4999999999999997E-2</v>
      </c>
      <c r="P278" s="3">
        <v>0.8</v>
      </c>
      <c r="Q278" s="3">
        <v>0.89342135190963701</v>
      </c>
    </row>
    <row r="279" spans="1:17" x14ac:dyDescent="0.45">
      <c r="A279" s="3">
        <v>75419</v>
      </c>
      <c r="B279" t="b">
        <v>0</v>
      </c>
      <c r="C279" t="b">
        <v>0</v>
      </c>
      <c r="D279" s="3">
        <v>1882</v>
      </c>
      <c r="E279" s="3">
        <v>1928</v>
      </c>
      <c r="F279" t="s">
        <v>2757</v>
      </c>
      <c r="G279" t="s">
        <v>9742</v>
      </c>
      <c r="H279" s="3">
        <v>58.513500000000001</v>
      </c>
      <c r="I279" t="s">
        <v>1277</v>
      </c>
      <c r="J279" t="s">
        <v>14308</v>
      </c>
      <c r="L279" t="s">
        <v>9743</v>
      </c>
      <c r="M279" t="str">
        <f>"https://www.artic.edu/iiif/2/"&amp;Table9[[#This Row],[Image ID]]&amp;"/full/843,/0/default.jpg"</f>
        <v>https://www.artic.edu/iiif/2/efd5a82c-2fe7-6a35-728b-81bbd52ed506/full/843,/0/default.jpg</v>
      </c>
      <c r="N279" s="3">
        <v>0.875</v>
      </c>
      <c r="O279" s="3">
        <v>7.4999999999999997E-2</v>
      </c>
      <c r="P279" s="3">
        <v>0.8</v>
      </c>
      <c r="Q279" s="3">
        <v>0.78645932674407903</v>
      </c>
    </row>
    <row r="280" spans="1:17" x14ac:dyDescent="0.45">
      <c r="A280" s="3">
        <v>250768</v>
      </c>
      <c r="B280" t="b">
        <v>0</v>
      </c>
      <c r="C280" t="b">
        <v>0</v>
      </c>
      <c r="D280" s="3">
        <v>1964</v>
      </c>
      <c r="E280" s="3">
        <v>1964</v>
      </c>
      <c r="F280" t="s">
        <v>6488</v>
      </c>
      <c r="G280" t="s">
        <v>7</v>
      </c>
      <c r="H280" s="3">
        <v>39.118299999999998</v>
      </c>
      <c r="I280" t="s">
        <v>6489</v>
      </c>
      <c r="J280" t="s">
        <v>14448</v>
      </c>
      <c r="K280" s="5" t="s">
        <v>61</v>
      </c>
      <c r="L280" t="s">
        <v>6490</v>
      </c>
      <c r="M280" t="str">
        <f>"https://www.artic.edu/iiif/2/"&amp;Table9[[#This Row],[Image ID]]&amp;"/full/843,/0/default.jpg"</f>
        <v>https://www.artic.edu/iiif/2/f9d38d35-4593-fc21-3b83-bd155a974b47/full/843,/0/default.jpg</v>
      </c>
      <c r="N280" s="3">
        <v>0.9</v>
      </c>
      <c r="O280" s="3">
        <v>0.1</v>
      </c>
      <c r="P280" s="3">
        <v>0.8</v>
      </c>
      <c r="Q280" s="3">
        <v>0.94390177726745605</v>
      </c>
    </row>
    <row r="281" spans="1:17" x14ac:dyDescent="0.45">
      <c r="A281" s="3">
        <v>16234</v>
      </c>
      <c r="B281" t="b">
        <v>0</v>
      </c>
      <c r="C281" t="b">
        <v>1</v>
      </c>
      <c r="D281" s="3">
        <v>1401</v>
      </c>
      <c r="E281" s="3">
        <v>1404</v>
      </c>
      <c r="F281" t="s">
        <v>1153</v>
      </c>
      <c r="G281" t="s">
        <v>103</v>
      </c>
      <c r="H281" s="3">
        <v>39.679499999999997</v>
      </c>
      <c r="I281" t="s">
        <v>4320</v>
      </c>
      <c r="J281" t="s">
        <v>11684</v>
      </c>
      <c r="L281" t="s">
        <v>4321</v>
      </c>
      <c r="M281" t="str">
        <f>"https://www.artic.edu/iiif/2/"&amp;Table9[[#This Row],[Image ID]]&amp;"/full/843,/0/default.jpg"</f>
        <v>https://www.artic.edu/iiif/2/308a1405-b198-37e2-c5d2-ca364705c92e/full/843,/0/default.jpg</v>
      </c>
      <c r="N281" s="3">
        <v>0.875</v>
      </c>
      <c r="O281" s="3">
        <v>7.4999999999999997E-2</v>
      </c>
      <c r="P281" s="3">
        <v>0.8</v>
      </c>
      <c r="Q281" s="3">
        <v>0.79059785604476895</v>
      </c>
    </row>
    <row r="282" spans="1:17" x14ac:dyDescent="0.45">
      <c r="A282" s="3">
        <v>81562</v>
      </c>
      <c r="B282" t="b">
        <v>0</v>
      </c>
      <c r="C282" t="b">
        <v>1</v>
      </c>
      <c r="D282" s="3">
        <v>1886</v>
      </c>
      <c r="E282" s="3">
        <v>1886</v>
      </c>
      <c r="F282" t="s">
        <v>10140</v>
      </c>
      <c r="G282" t="s">
        <v>7</v>
      </c>
      <c r="H282" s="3">
        <v>17.264600000000002</v>
      </c>
      <c r="I282" t="s">
        <v>2255</v>
      </c>
      <c r="J282" t="s">
        <v>12036</v>
      </c>
      <c r="L282" t="s">
        <v>10141</v>
      </c>
      <c r="M282" t="str">
        <f>"https://www.artic.edu/iiif/2/"&amp;Table9[[#This Row],[Image ID]]&amp;"/full/843,/0/default.jpg"</f>
        <v>https://www.artic.edu/iiif/2/4872e681-f833-1533-0bc2-dbc8241cfdb8/full/843,/0/default.jpg</v>
      </c>
      <c r="N282" s="3">
        <v>0.8</v>
      </c>
      <c r="O282" s="3">
        <v>0</v>
      </c>
      <c r="P282" s="3">
        <v>0.8</v>
      </c>
      <c r="Q282" s="3">
        <v>0.76505297422409002</v>
      </c>
    </row>
    <row r="283" spans="1:17" x14ac:dyDescent="0.45">
      <c r="A283" s="3">
        <v>22871</v>
      </c>
      <c r="B283" t="b">
        <v>0</v>
      </c>
      <c r="C283" t="b">
        <v>1</v>
      </c>
      <c r="D283" s="3">
        <v>1415</v>
      </c>
      <c r="E283" s="3">
        <v>1435</v>
      </c>
      <c r="F283" t="s">
        <v>6005</v>
      </c>
      <c r="G283" t="s">
        <v>75</v>
      </c>
      <c r="H283" s="3">
        <v>43.441000000000003</v>
      </c>
      <c r="I283" t="s">
        <v>6006</v>
      </c>
      <c r="J283" t="s">
        <v>12072</v>
      </c>
      <c r="L283" t="s">
        <v>6007</v>
      </c>
      <c r="M283" t="str">
        <f>"https://www.artic.edu/iiif/2/"&amp;Table9[[#This Row],[Image ID]]&amp;"/full/843,/0/default.jpg"</f>
        <v>https://www.artic.edu/iiif/2/4b9e255e-4a22-334d-1a57-fee2d84cd426/full/843,/0/default.jpg</v>
      </c>
      <c r="N283" s="3">
        <v>0.875</v>
      </c>
      <c r="O283" s="3">
        <v>7.4999999999999997E-2</v>
      </c>
      <c r="P283" s="3">
        <v>0.8</v>
      </c>
      <c r="Q283" s="3">
        <v>0.85038864612579301</v>
      </c>
    </row>
    <row r="284" spans="1:17" x14ac:dyDescent="0.45">
      <c r="A284" s="3">
        <v>220168</v>
      </c>
      <c r="B284" t="b">
        <v>0</v>
      </c>
      <c r="C284" t="b">
        <v>1</v>
      </c>
      <c r="D284" s="3">
        <v>1701</v>
      </c>
      <c r="E284" s="3">
        <v>1800</v>
      </c>
      <c r="F284" t="s">
        <v>4819</v>
      </c>
      <c r="G284" t="s">
        <v>463</v>
      </c>
      <c r="H284" s="3">
        <v>68.765600000000006</v>
      </c>
      <c r="J284" t="s">
        <v>12198</v>
      </c>
      <c r="K284" s="5" t="s">
        <v>5</v>
      </c>
      <c r="L284" t="s">
        <v>4947</v>
      </c>
      <c r="M284" t="str">
        <f>"https://www.artic.edu/iiif/2/"&amp;Table9[[#This Row],[Image ID]]&amp;"/full/843,/0/default.jpg"</f>
        <v>https://www.artic.edu/iiif/2/53eb3c01-e31d-1688-e3c1-a90c1dbf09d4/full/843,/0/default.jpg</v>
      </c>
      <c r="N284" s="3">
        <v>0.875</v>
      </c>
      <c r="O284" s="3">
        <v>7.4999999999999997E-2</v>
      </c>
      <c r="P284" s="3">
        <v>0.8</v>
      </c>
      <c r="Q284" s="3">
        <v>0.80527347326278598</v>
      </c>
    </row>
    <row r="285" spans="1:17" x14ac:dyDescent="0.45">
      <c r="A285" s="3">
        <v>115221</v>
      </c>
      <c r="B285" t="b">
        <v>0</v>
      </c>
      <c r="C285" t="b">
        <v>1</v>
      </c>
      <c r="D285" s="3">
        <v>1842</v>
      </c>
      <c r="E285" s="3">
        <v>1882</v>
      </c>
      <c r="F285" t="s">
        <v>1884</v>
      </c>
      <c r="G285" t="s">
        <v>1774</v>
      </c>
      <c r="H285" s="3">
        <v>17.873999999999999</v>
      </c>
      <c r="I285" t="s">
        <v>1555</v>
      </c>
      <c r="J285" t="s">
        <v>12205</v>
      </c>
      <c r="L285" t="s">
        <v>1885</v>
      </c>
      <c r="M285" t="str">
        <f>"https://www.artic.edu/iiif/2/"&amp;Table9[[#This Row],[Image ID]]&amp;"/full/843,/0/default.jpg"</f>
        <v>https://www.artic.edu/iiif/2/54687ffb-96fb-663e-5010-3e079af1aa1b/full/843,/0/default.jpg</v>
      </c>
      <c r="N285" s="3">
        <v>0.8</v>
      </c>
      <c r="O285" s="3">
        <v>0</v>
      </c>
      <c r="P285" s="3">
        <v>0.8</v>
      </c>
      <c r="Q285" s="3">
        <v>0.74917250871658303</v>
      </c>
    </row>
    <row r="286" spans="1:17" x14ac:dyDescent="0.45">
      <c r="A286" s="3">
        <v>121377</v>
      </c>
      <c r="B286" t="b">
        <v>0</v>
      </c>
      <c r="C286" t="b">
        <v>1</v>
      </c>
      <c r="D286" s="3">
        <v>1895</v>
      </c>
      <c r="E286" s="3">
        <v>1895</v>
      </c>
      <c r="F286" t="s">
        <v>2675</v>
      </c>
      <c r="G286" t="s">
        <v>7</v>
      </c>
      <c r="H286" s="3">
        <v>32.792099999999998</v>
      </c>
      <c r="I286" t="s">
        <v>2676</v>
      </c>
      <c r="J286" t="s">
        <v>12248</v>
      </c>
      <c r="K286" s="5" t="s">
        <v>9</v>
      </c>
      <c r="L286" t="s">
        <v>2677</v>
      </c>
      <c r="M286" t="str">
        <f>"https://www.artic.edu/iiif/2/"&amp;Table9[[#This Row],[Image ID]]&amp;"/full/843,/0/default.jpg"</f>
        <v>https://www.artic.edu/iiif/2/56a4af78-1d23-3e2a-6119-8aa47e0cf285/full/843,/0/default.jpg</v>
      </c>
      <c r="N286" s="3">
        <v>0.875</v>
      </c>
      <c r="O286" s="3">
        <v>7.4999999999999997E-2</v>
      </c>
      <c r="P286" s="3">
        <v>0.8</v>
      </c>
      <c r="Q286" s="3">
        <v>0.63183629512786799</v>
      </c>
    </row>
    <row r="287" spans="1:17" x14ac:dyDescent="0.45">
      <c r="A287" s="3">
        <v>27126</v>
      </c>
      <c r="B287" t="b">
        <v>0</v>
      </c>
      <c r="C287" t="b">
        <v>1</v>
      </c>
      <c r="D287" s="3">
        <v>1721</v>
      </c>
      <c r="E287" s="3">
        <v>1721</v>
      </c>
      <c r="F287" t="s">
        <v>6700</v>
      </c>
      <c r="G287" t="s">
        <v>7</v>
      </c>
      <c r="H287" s="3">
        <v>18.114000000000001</v>
      </c>
      <c r="I287" t="s">
        <v>21</v>
      </c>
      <c r="J287" t="s">
        <v>12721</v>
      </c>
      <c r="L287" t="s">
        <v>6701</v>
      </c>
      <c r="M287" t="str">
        <f>"https://www.artic.edu/iiif/2/"&amp;Table9[[#This Row],[Image ID]]&amp;"/full/843,/0/default.jpg"</f>
        <v>https://www.artic.edu/iiif/2/78d9bb83-436f-18d4-d525-264ea6957a60/full/843,/0/default.jpg</v>
      </c>
      <c r="N287" s="3">
        <v>0.875</v>
      </c>
      <c r="O287" s="3">
        <v>7.4999999999999997E-2</v>
      </c>
      <c r="P287" s="3">
        <v>0.8</v>
      </c>
      <c r="Q287" s="3">
        <v>0.81936633586883501</v>
      </c>
    </row>
    <row r="288" spans="1:17" x14ac:dyDescent="0.45">
      <c r="A288" s="3">
        <v>114835</v>
      </c>
      <c r="B288" t="b">
        <v>0</v>
      </c>
      <c r="C288" t="b">
        <v>1</v>
      </c>
      <c r="D288" s="3">
        <v>1827</v>
      </c>
      <c r="E288" s="3">
        <v>1827</v>
      </c>
      <c r="F288" t="s">
        <v>1084</v>
      </c>
      <c r="G288" t="s">
        <v>785</v>
      </c>
      <c r="H288" s="3">
        <v>38.873199999999997</v>
      </c>
      <c r="I288" t="s">
        <v>1737</v>
      </c>
      <c r="J288" t="s">
        <v>12790</v>
      </c>
      <c r="L288" t="s">
        <v>1738</v>
      </c>
      <c r="M288" t="str">
        <f>"https://www.artic.edu/iiif/2/"&amp;Table9[[#This Row],[Image ID]]&amp;"/full/843,/0/default.jpg"</f>
        <v>https://www.artic.edu/iiif/2/7e599502-7d36-0073-9edb-d90f71c492eb/full/843,/0/default.jpg</v>
      </c>
      <c r="N288" s="3">
        <v>0.875</v>
      </c>
      <c r="O288" s="3">
        <v>7.4999999999999997E-2</v>
      </c>
      <c r="P288" s="3">
        <v>0.8</v>
      </c>
      <c r="Q288" s="3">
        <v>0.76803016662597601</v>
      </c>
    </row>
    <row r="289" spans="1:17" x14ac:dyDescent="0.45">
      <c r="A289" s="3">
        <v>20701</v>
      </c>
      <c r="B289" t="b">
        <v>0</v>
      </c>
      <c r="C289" t="b">
        <v>1</v>
      </c>
      <c r="D289" s="3">
        <v>1903</v>
      </c>
      <c r="E289" s="3">
        <v>1903</v>
      </c>
      <c r="F289" t="s">
        <v>5500</v>
      </c>
      <c r="G289" t="s">
        <v>7</v>
      </c>
      <c r="H289" s="3">
        <v>22.879200000000001</v>
      </c>
      <c r="I289" t="s">
        <v>43</v>
      </c>
      <c r="J289" t="s">
        <v>12851</v>
      </c>
      <c r="K289" s="5" t="s">
        <v>9</v>
      </c>
      <c r="L289" t="s">
        <v>5501</v>
      </c>
      <c r="M289" t="str">
        <f>"https://www.artic.edu/iiif/2/"&amp;Table9[[#This Row],[Image ID]]&amp;"/full/843,/0/default.jpg"</f>
        <v>https://www.artic.edu/iiif/2/827d02ef-6765-9728-c07e-52ad22b73fd3/full/843,/0/default.jpg</v>
      </c>
      <c r="N289" s="3">
        <v>0.875</v>
      </c>
      <c r="O289" s="3">
        <v>7.4999999999999997E-2</v>
      </c>
      <c r="P289" s="3">
        <v>0.8</v>
      </c>
      <c r="Q289" s="3">
        <v>0.75727802515029896</v>
      </c>
    </row>
    <row r="290" spans="1:17" x14ac:dyDescent="0.45">
      <c r="A290" s="3">
        <v>31233</v>
      </c>
      <c r="B290" t="b">
        <v>0</v>
      </c>
      <c r="C290" t="b">
        <v>1</v>
      </c>
      <c r="D290" s="3">
        <v>1797</v>
      </c>
      <c r="E290" s="3">
        <v>1797</v>
      </c>
      <c r="F290" t="s">
        <v>6997</v>
      </c>
      <c r="G290" t="s">
        <v>7</v>
      </c>
      <c r="H290" s="3">
        <v>27.790299999999998</v>
      </c>
      <c r="I290" t="s">
        <v>14674</v>
      </c>
      <c r="J290" t="s">
        <v>13187</v>
      </c>
      <c r="L290" t="s">
        <v>6998</v>
      </c>
      <c r="M290" t="str">
        <f>"https://www.artic.edu/iiif/2/"&amp;Table9[[#This Row],[Image ID]]&amp;"/full/843,/0/default.jpg"</f>
        <v>https://www.artic.edu/iiif/2/9ca3be44-a673-2ad9-f0d8-a8e28ee8d397/full/843,/0/default.jpg</v>
      </c>
      <c r="N290" s="3">
        <v>0.875</v>
      </c>
      <c r="O290" s="3">
        <v>7.4999999999999997E-2</v>
      </c>
      <c r="P290" s="3">
        <v>0.8</v>
      </c>
      <c r="Q290" s="3">
        <v>0.85057526826858498</v>
      </c>
    </row>
    <row r="291" spans="1:17" x14ac:dyDescent="0.45">
      <c r="A291" s="3">
        <v>115509</v>
      </c>
      <c r="B291" t="b">
        <v>0</v>
      </c>
      <c r="C291" t="b">
        <v>1</v>
      </c>
      <c r="D291" s="3">
        <v>1719</v>
      </c>
      <c r="E291" s="3">
        <v>1769</v>
      </c>
      <c r="F291" t="s">
        <v>1990</v>
      </c>
      <c r="G291" t="s">
        <v>1982</v>
      </c>
      <c r="H291" s="3">
        <v>42.7303</v>
      </c>
      <c r="I291" t="s">
        <v>1922</v>
      </c>
      <c r="J291" t="s">
        <v>13231</v>
      </c>
      <c r="L291" t="s">
        <v>1991</v>
      </c>
      <c r="M291" t="str">
        <f>"https://www.artic.edu/iiif/2/"&amp;Table9[[#This Row],[Image ID]]&amp;"/full/843,/0/default.jpg"</f>
        <v>https://www.artic.edu/iiif/2/a037044d-2979-d3ea-289b-2efc6c7af95c/full/843,/0/default.jpg</v>
      </c>
      <c r="N291" s="3">
        <v>0.875</v>
      </c>
      <c r="O291" s="3">
        <v>7.4999999999999997E-2</v>
      </c>
      <c r="P291" s="3">
        <v>0.8</v>
      </c>
      <c r="Q291" s="3">
        <v>0.936637222766876</v>
      </c>
    </row>
    <row r="292" spans="1:17" x14ac:dyDescent="0.45">
      <c r="A292" s="3">
        <v>198908</v>
      </c>
      <c r="B292" t="b">
        <v>0</v>
      </c>
      <c r="C292" t="b">
        <v>1</v>
      </c>
      <c r="D292" s="3">
        <v>1701</v>
      </c>
      <c r="E292" s="3">
        <v>1733</v>
      </c>
      <c r="F292" t="s">
        <v>5307</v>
      </c>
      <c r="G292" t="s">
        <v>5308</v>
      </c>
      <c r="H292" s="3">
        <v>26.515699999999999</v>
      </c>
      <c r="J292" t="s">
        <v>13324</v>
      </c>
      <c r="K292" s="5" t="s">
        <v>13</v>
      </c>
      <c r="L292" t="s">
        <v>5309</v>
      </c>
      <c r="M292" t="str">
        <f>"https://www.artic.edu/iiif/2/"&amp;Table9[[#This Row],[Image ID]]&amp;"/full/843,/0/default.jpg"</f>
        <v>https://www.artic.edu/iiif/2/a6cd6a81-d236-2841-6e32-2845a062ba23/full/843,/0/default.jpg</v>
      </c>
      <c r="N292" s="3">
        <v>0.8</v>
      </c>
      <c r="O292" s="3">
        <v>0</v>
      </c>
      <c r="P292" s="3">
        <v>0.8</v>
      </c>
      <c r="Q292" s="3">
        <v>0.82762479782104403</v>
      </c>
    </row>
    <row r="293" spans="1:17" x14ac:dyDescent="0.45">
      <c r="A293" s="3">
        <v>12876</v>
      </c>
      <c r="B293" t="b">
        <v>0</v>
      </c>
      <c r="C293" t="b">
        <v>1</v>
      </c>
      <c r="D293" s="3">
        <v>1690</v>
      </c>
      <c r="E293" s="3">
        <v>1695</v>
      </c>
      <c r="F293" t="s">
        <v>2835</v>
      </c>
      <c r="G293" t="s">
        <v>7</v>
      </c>
      <c r="H293" s="3">
        <v>34.105400000000003</v>
      </c>
      <c r="I293" t="s">
        <v>2833</v>
      </c>
      <c r="J293" t="s">
        <v>12067</v>
      </c>
      <c r="L293" t="s">
        <v>2836</v>
      </c>
      <c r="M293" t="str">
        <f>"https://www.artic.edu/iiif/2/"&amp;Table9[[#This Row],[Image ID]]&amp;"/full/843,/0/default.jpg"</f>
        <v>https://www.artic.edu/iiif/2/ab49fdd2-5acc-981e-f11e-c631bbd5487f/full/843,/0/default.jpg</v>
      </c>
      <c r="N293" s="3">
        <v>0.92500000000000004</v>
      </c>
      <c r="O293" s="3">
        <v>0.125</v>
      </c>
      <c r="P293" s="3">
        <v>0.8</v>
      </c>
      <c r="Q293" s="3">
        <v>0.82480329275131203</v>
      </c>
    </row>
    <row r="294" spans="1:17" x14ac:dyDescent="0.45">
      <c r="A294" s="3">
        <v>40652</v>
      </c>
      <c r="B294" t="b">
        <v>0</v>
      </c>
      <c r="C294" t="b">
        <v>1</v>
      </c>
      <c r="D294" s="3">
        <v>1815</v>
      </c>
      <c r="E294" s="3">
        <v>1835</v>
      </c>
      <c r="F294" t="s">
        <v>7663</v>
      </c>
      <c r="G294" t="s">
        <v>7</v>
      </c>
      <c r="H294" s="3">
        <v>22.6069</v>
      </c>
      <c r="I294" t="s">
        <v>7664</v>
      </c>
      <c r="J294" t="s">
        <v>14224</v>
      </c>
      <c r="L294" t="s">
        <v>7665</v>
      </c>
      <c r="M294" t="str">
        <f>"https://www.artic.edu/iiif/2/"&amp;Table9[[#This Row],[Image ID]]&amp;"/full/843,/0/default.jpg"</f>
        <v>https://www.artic.edu/iiif/2/ea28a707-426a-35bf-7989-bdd155f4596d/full/843,/0/default.jpg</v>
      </c>
      <c r="N294" s="3">
        <v>0.9</v>
      </c>
      <c r="O294" s="3">
        <v>0.1</v>
      </c>
      <c r="P294" s="3">
        <v>0.8</v>
      </c>
      <c r="Q294" s="3">
        <v>0.81873744726180997</v>
      </c>
    </row>
    <row r="295" spans="1:17" x14ac:dyDescent="0.45">
      <c r="A295" s="3">
        <v>198303</v>
      </c>
      <c r="B295" t="b">
        <v>0</v>
      </c>
      <c r="C295" t="b">
        <v>0</v>
      </c>
      <c r="D295" s="3">
        <v>1952</v>
      </c>
      <c r="E295" s="3">
        <v>1952</v>
      </c>
      <c r="F295" t="s">
        <v>5291</v>
      </c>
      <c r="G295" t="s">
        <v>249</v>
      </c>
      <c r="H295" s="3">
        <v>41.100999999999999</v>
      </c>
      <c r="I295" t="s">
        <v>62</v>
      </c>
      <c r="J295" t="s">
        <v>10993</v>
      </c>
      <c r="L295" t="s">
        <v>5292</v>
      </c>
      <c r="M295" t="str">
        <f>"https://www.artic.edu/iiif/2/"&amp;Table9[[#This Row],[Image ID]]&amp;"/full/843,/0/default.jpg"</f>
        <v>https://www.artic.edu/iiif/2/019be102-5584-b599-4e81-782a2dba1789/full/843,/0/default.jpg</v>
      </c>
      <c r="N295" s="3">
        <v>0.85</v>
      </c>
      <c r="O295" s="3">
        <v>0.05</v>
      </c>
      <c r="P295" s="3">
        <v>0.79999999999999993</v>
      </c>
      <c r="Q295" s="3">
        <v>0.82964897155761697</v>
      </c>
    </row>
    <row r="296" spans="1:17" x14ac:dyDescent="0.45">
      <c r="A296" s="3">
        <v>10999</v>
      </c>
      <c r="B296" t="b">
        <v>0</v>
      </c>
      <c r="C296" t="b">
        <v>0</v>
      </c>
      <c r="D296" s="3">
        <v>1938</v>
      </c>
      <c r="E296" s="3">
        <v>1938</v>
      </c>
      <c r="F296" t="s">
        <v>873</v>
      </c>
      <c r="G296" t="s">
        <v>874</v>
      </c>
      <c r="H296" s="3">
        <v>47.450800000000001</v>
      </c>
      <c r="I296" t="s">
        <v>40</v>
      </c>
      <c r="J296" t="s">
        <v>11215</v>
      </c>
      <c r="L296" t="s">
        <v>875</v>
      </c>
      <c r="M296" t="str">
        <f>"https://www.artic.edu/iiif/2/"&amp;Table9[[#This Row],[Image ID]]&amp;"/full/843,/0/default.jpg"</f>
        <v>https://www.artic.edu/iiif/2/121164aa-8901-e22a-4eb0-5cb329032b83/full/843,/0/default.jpg</v>
      </c>
      <c r="N296" s="3">
        <v>0.85</v>
      </c>
      <c r="O296" s="3">
        <v>0.05</v>
      </c>
      <c r="P296" s="3">
        <v>0.79999999999999993</v>
      </c>
      <c r="Q296" s="3">
        <v>0.88437962532043402</v>
      </c>
    </row>
    <row r="297" spans="1:17" x14ac:dyDescent="0.45">
      <c r="A297" s="3">
        <v>94029</v>
      </c>
      <c r="B297" t="b">
        <v>0</v>
      </c>
      <c r="C297" t="b">
        <v>0</v>
      </c>
      <c r="D297" s="3">
        <v>1966</v>
      </c>
      <c r="E297" s="3">
        <v>1966</v>
      </c>
      <c r="F297" t="s">
        <v>10697</v>
      </c>
      <c r="G297" t="s">
        <v>10698</v>
      </c>
      <c r="H297" s="3">
        <v>46.159399999999998</v>
      </c>
      <c r="I297" t="s">
        <v>378</v>
      </c>
      <c r="J297" t="s">
        <v>11276</v>
      </c>
      <c r="L297" t="s">
        <v>10699</v>
      </c>
      <c r="M297" t="str">
        <f>"https://www.artic.edu/iiif/2/"&amp;Table9[[#This Row],[Image ID]]&amp;"/full/843,/0/default.jpg"</f>
        <v>https://www.artic.edu/iiif/2/162dd233-73c9-2f8c-bb89-fac6529227f1/full/843,/0/default.jpg</v>
      </c>
      <c r="N297" s="3">
        <v>0.82499999999999996</v>
      </c>
      <c r="O297" s="3">
        <v>2.5000000000000001E-2</v>
      </c>
      <c r="P297" s="3">
        <v>0.79999999999999993</v>
      </c>
      <c r="Q297" s="3">
        <v>0.68203556537628096</v>
      </c>
    </row>
    <row r="298" spans="1:17" x14ac:dyDescent="0.45">
      <c r="A298" s="3">
        <v>113452</v>
      </c>
      <c r="B298" t="b">
        <v>0</v>
      </c>
      <c r="C298" t="b">
        <v>0</v>
      </c>
      <c r="D298" s="3">
        <v>1860</v>
      </c>
      <c r="E298" s="3">
        <v>1917</v>
      </c>
      <c r="F298" t="s">
        <v>1447</v>
      </c>
      <c r="G298" t="s">
        <v>1448</v>
      </c>
      <c r="H298" s="3">
        <v>32.019199999999998</v>
      </c>
      <c r="I298" t="s">
        <v>68</v>
      </c>
      <c r="J298" t="s">
        <v>11302</v>
      </c>
      <c r="L298" t="s">
        <v>1449</v>
      </c>
      <c r="M298" t="str">
        <f>"https://www.artic.edu/iiif/2/"&amp;Table9[[#This Row],[Image ID]]&amp;"/full/843,/0/default.jpg"</f>
        <v>https://www.artic.edu/iiif/2/18099e0f-dba7-6a36-587d-c61e30c602d7/full/843,/0/default.jpg</v>
      </c>
      <c r="N298" s="3">
        <v>0.82499999999999996</v>
      </c>
      <c r="O298" s="3">
        <v>2.5000000000000001E-2</v>
      </c>
      <c r="P298" s="3">
        <v>0.79999999999999993</v>
      </c>
      <c r="Q298" s="3">
        <v>0.86600065231323198</v>
      </c>
    </row>
    <row r="299" spans="1:17" x14ac:dyDescent="0.45">
      <c r="A299" s="3">
        <v>80316</v>
      </c>
      <c r="B299" t="b">
        <v>0</v>
      </c>
      <c r="C299" t="b">
        <v>0</v>
      </c>
      <c r="D299" s="3">
        <v>1918</v>
      </c>
      <c r="E299" s="3">
        <v>1918</v>
      </c>
      <c r="F299" t="s">
        <v>9943</v>
      </c>
      <c r="G299" t="s">
        <v>9944</v>
      </c>
      <c r="H299" s="3">
        <v>30.4101</v>
      </c>
      <c r="I299" t="s">
        <v>14564</v>
      </c>
      <c r="J299" t="s">
        <v>11448</v>
      </c>
      <c r="L299" t="s">
        <v>9945</v>
      </c>
      <c r="M299" t="str">
        <f>"https://www.artic.edu/iiif/2/"&amp;Table9[[#This Row],[Image ID]]&amp;"/full/843,/0/default.jpg"</f>
        <v>https://www.artic.edu/iiif/2/215e9c47-6a90-8e0d-4c17-d37dfe736a83/full/843,/0/default.jpg</v>
      </c>
      <c r="N299" s="3">
        <v>0.85</v>
      </c>
      <c r="O299" s="3">
        <v>0.05</v>
      </c>
      <c r="P299" s="3">
        <v>0.79999999999999993</v>
      </c>
      <c r="Q299" s="3">
        <v>0.85052782297134399</v>
      </c>
    </row>
    <row r="300" spans="1:17" x14ac:dyDescent="0.45">
      <c r="A300" s="3">
        <v>78765</v>
      </c>
      <c r="B300" t="b">
        <v>0</v>
      </c>
      <c r="C300" t="b">
        <v>0</v>
      </c>
      <c r="D300" s="3">
        <v>1952</v>
      </c>
      <c r="E300" s="3">
        <v>1952</v>
      </c>
      <c r="F300" t="s">
        <v>9851</v>
      </c>
      <c r="G300" t="s">
        <v>9852</v>
      </c>
      <c r="H300" s="3">
        <v>18.821100000000001</v>
      </c>
      <c r="I300" t="s">
        <v>1450</v>
      </c>
      <c r="J300" t="s">
        <v>11648</v>
      </c>
      <c r="L300" t="s">
        <v>9853</v>
      </c>
      <c r="M300" t="str">
        <f>"https://www.artic.edu/iiif/2/"&amp;Table9[[#This Row],[Image ID]]&amp;"/full/843,/0/default.jpg"</f>
        <v>https://www.artic.edu/iiif/2/2e5aa431-1b04-71e0-0ea6-735e2e7a4e0d/full/843,/0/default.jpg</v>
      </c>
      <c r="N300" s="3">
        <v>0.82499999999999996</v>
      </c>
      <c r="O300" s="3">
        <v>2.5000000000000001E-2</v>
      </c>
      <c r="P300" s="3">
        <v>0.79999999999999993</v>
      </c>
      <c r="Q300" s="3">
        <v>0.85615015029907204</v>
      </c>
    </row>
    <row r="301" spans="1:17" x14ac:dyDescent="0.45">
      <c r="A301" s="3">
        <v>158466</v>
      </c>
      <c r="B301" t="b">
        <v>0</v>
      </c>
      <c r="C301" t="b">
        <v>0</v>
      </c>
      <c r="D301" s="3">
        <v>2001</v>
      </c>
      <c r="E301" s="3">
        <v>2001</v>
      </c>
      <c r="F301" t="s">
        <v>4147</v>
      </c>
      <c r="G301" t="s">
        <v>7</v>
      </c>
      <c r="H301" s="3">
        <v>33.9649</v>
      </c>
      <c r="I301" t="s">
        <v>4148</v>
      </c>
      <c r="J301" t="s">
        <v>11735</v>
      </c>
      <c r="K301" s="5" t="s">
        <v>15</v>
      </c>
      <c r="L301" t="s">
        <v>4149</v>
      </c>
      <c r="M301" t="str">
        <f>"https://www.artic.edu/iiif/2/"&amp;Table9[[#This Row],[Image ID]]&amp;"/full/843,/0/default.jpg"</f>
        <v>https://www.artic.edu/iiif/2/3438e064-a17a-e068-0acd-b8c80a65a815/full/843,/0/default.jpg</v>
      </c>
      <c r="N301" s="3">
        <v>0.82499999999999996</v>
      </c>
      <c r="O301" s="3">
        <v>2.5000000000000001E-2</v>
      </c>
      <c r="P301" s="3">
        <v>0.79999999999999993</v>
      </c>
      <c r="Q301" s="3">
        <v>0.93703800439834595</v>
      </c>
    </row>
    <row r="302" spans="1:17" x14ac:dyDescent="0.45">
      <c r="A302" s="3">
        <v>36254</v>
      </c>
      <c r="B302" t="b">
        <v>0</v>
      </c>
      <c r="C302" t="b">
        <v>0</v>
      </c>
      <c r="D302" s="3">
        <v>1971</v>
      </c>
      <c r="E302" s="3">
        <v>1971</v>
      </c>
      <c r="F302" t="s">
        <v>7213</v>
      </c>
      <c r="G302" t="s">
        <v>59</v>
      </c>
      <c r="H302" s="3">
        <v>16.8886</v>
      </c>
      <c r="I302" t="s">
        <v>430</v>
      </c>
      <c r="J302" t="s">
        <v>11859</v>
      </c>
      <c r="L302" t="s">
        <v>7214</v>
      </c>
      <c r="M302" t="str">
        <f>"https://www.artic.edu/iiif/2/"&amp;Table9[[#This Row],[Image ID]]&amp;"/full/843,/0/default.jpg"</f>
        <v>https://www.artic.edu/iiif/2/3c420b48-dd78-c39b-81bf-dad5552cae7f/full/843,/0/default.jpg</v>
      </c>
      <c r="N302" s="3">
        <v>0.82499999999999996</v>
      </c>
      <c r="O302" s="3">
        <v>2.5000000000000001E-2</v>
      </c>
      <c r="P302" s="3">
        <v>0.79999999999999993</v>
      </c>
      <c r="Q302" s="3">
        <v>0.92365866899490301</v>
      </c>
    </row>
    <row r="303" spans="1:17" x14ac:dyDescent="0.45">
      <c r="A303" s="3">
        <v>65842</v>
      </c>
      <c r="B303" t="b">
        <v>0</v>
      </c>
      <c r="C303" t="b">
        <v>0</v>
      </c>
      <c r="D303" s="3">
        <v>1965</v>
      </c>
      <c r="E303" s="3">
        <v>1965</v>
      </c>
      <c r="F303">
        <v>23922</v>
      </c>
      <c r="G303" t="s">
        <v>7</v>
      </c>
      <c r="H303" s="3">
        <v>27.1205</v>
      </c>
      <c r="I303" t="s">
        <v>5318</v>
      </c>
      <c r="J303" t="s">
        <v>11931</v>
      </c>
      <c r="L303" t="s">
        <v>9055</v>
      </c>
      <c r="M303" t="str">
        <f>"https://www.artic.edu/iiif/2/"&amp;Table9[[#This Row],[Image ID]]&amp;"/full/843,/0/default.jpg"</f>
        <v>https://www.artic.edu/iiif/2/40e495e3-73b8-17c3-2c27-9d2e866d7ad1/full/843,/0/default.jpg</v>
      </c>
      <c r="N303" s="3">
        <v>0.85</v>
      </c>
      <c r="O303" s="3">
        <v>0.05</v>
      </c>
      <c r="P303" s="3">
        <v>0.79999999999999993</v>
      </c>
      <c r="Q303" s="3">
        <v>0.52403098344802801</v>
      </c>
    </row>
    <row r="304" spans="1:17" x14ac:dyDescent="0.45">
      <c r="A304" s="3">
        <v>129697</v>
      </c>
      <c r="B304" t="b">
        <v>0</v>
      </c>
      <c r="C304" t="b">
        <v>0</v>
      </c>
      <c r="D304" s="3">
        <v>1941</v>
      </c>
      <c r="E304" s="3">
        <v>1941</v>
      </c>
      <c r="F304" t="s">
        <v>2934</v>
      </c>
      <c r="G304" t="s">
        <v>2892</v>
      </c>
      <c r="H304" s="3">
        <v>43.097000000000001</v>
      </c>
      <c r="I304" t="s">
        <v>14549</v>
      </c>
      <c r="J304" t="s">
        <v>10990</v>
      </c>
      <c r="L304" t="s">
        <v>2935</v>
      </c>
      <c r="M304" t="str">
        <f>"https://www.artic.edu/iiif/2/"&amp;Table9[[#This Row],[Image ID]]&amp;"/full/843,/0/default.jpg"</f>
        <v>https://www.artic.edu/iiif/2/43467dab-4055-3459-63a3-ac7be55cdf24/full/843,/0/default.jpg</v>
      </c>
      <c r="N304" s="3">
        <v>0.85</v>
      </c>
      <c r="O304" s="3">
        <v>0.05</v>
      </c>
      <c r="P304" s="3">
        <v>0.79999999999999993</v>
      </c>
      <c r="Q304" s="3">
        <v>0.82152193784713701</v>
      </c>
    </row>
    <row r="305" spans="1:17" x14ac:dyDescent="0.45">
      <c r="A305" s="3">
        <v>146638</v>
      </c>
      <c r="B305" t="b">
        <v>0</v>
      </c>
      <c r="C305" t="b">
        <v>0</v>
      </c>
      <c r="D305" s="3">
        <v>1985</v>
      </c>
      <c r="E305" s="3">
        <v>1985</v>
      </c>
      <c r="F305" t="s">
        <v>14</v>
      </c>
      <c r="G305" t="s">
        <v>1064</v>
      </c>
      <c r="H305" s="3">
        <v>34.753700000000002</v>
      </c>
      <c r="I305" t="s">
        <v>2424</v>
      </c>
      <c r="J305" t="s">
        <v>12093</v>
      </c>
      <c r="L305" t="s">
        <v>3458</v>
      </c>
      <c r="M305" t="str">
        <f>"https://www.artic.edu/iiif/2/"&amp;Table9[[#This Row],[Image ID]]&amp;"/full/843,/0/default.jpg"</f>
        <v>https://www.artic.edu/iiif/2/4cfe4a54-a7cc-94be-7caf-149805bb24e9/full/843,/0/default.jpg</v>
      </c>
      <c r="N305" s="3">
        <v>0.85</v>
      </c>
      <c r="O305" s="3">
        <v>0.05</v>
      </c>
      <c r="P305" s="3">
        <v>0.79999999999999993</v>
      </c>
      <c r="Q305" s="3">
        <v>0.82615566253662098</v>
      </c>
    </row>
    <row r="306" spans="1:17" x14ac:dyDescent="0.45">
      <c r="A306" s="3">
        <v>24213</v>
      </c>
      <c r="B306" t="b">
        <v>0</v>
      </c>
      <c r="C306" t="b">
        <v>0</v>
      </c>
      <c r="D306" s="3">
        <v>1917</v>
      </c>
      <c r="E306" s="3">
        <v>1917</v>
      </c>
      <c r="F306" t="s">
        <v>6376</v>
      </c>
      <c r="G306" t="s">
        <v>7</v>
      </c>
      <c r="H306" s="3">
        <v>31.158300000000001</v>
      </c>
      <c r="I306" t="s">
        <v>435</v>
      </c>
      <c r="J306" t="s">
        <v>12113</v>
      </c>
      <c r="L306" t="s">
        <v>6377</v>
      </c>
      <c r="M306" t="str">
        <f>"https://www.artic.edu/iiif/2/"&amp;Table9[[#This Row],[Image ID]]&amp;"/full/843,/0/default.jpg"</f>
        <v>https://www.artic.edu/iiif/2/4e634f28-2893-9d95-ab56-cd45c33b682f/full/843,/0/default.jpg</v>
      </c>
      <c r="N306" s="3">
        <v>0.85</v>
      </c>
      <c r="O306" s="3">
        <v>0.05</v>
      </c>
      <c r="P306" s="3">
        <v>0.79999999999999993</v>
      </c>
      <c r="Q306" s="3">
        <v>0.83855205774307195</v>
      </c>
    </row>
    <row r="307" spans="1:17" x14ac:dyDescent="0.45">
      <c r="A307" s="3">
        <v>72188</v>
      </c>
      <c r="B307" t="b">
        <v>0</v>
      </c>
      <c r="C307" t="b">
        <v>0</v>
      </c>
      <c r="D307" s="3">
        <v>1401</v>
      </c>
      <c r="E307" s="3">
        <v>1500</v>
      </c>
      <c r="F307" t="s">
        <v>9543</v>
      </c>
      <c r="G307" t="s">
        <v>75</v>
      </c>
      <c r="H307" s="3">
        <v>48.296399999999998</v>
      </c>
      <c r="J307" t="s">
        <v>12196</v>
      </c>
      <c r="L307" t="s">
        <v>9544</v>
      </c>
      <c r="M307" t="str">
        <f>"https://www.artic.edu/iiif/2/"&amp;Table9[[#This Row],[Image ID]]&amp;"/full/843,/0/default.jpg"</f>
        <v>https://www.artic.edu/iiif/2/53c5fada-ff4a-ee57-a5cd-e06e770e839b/full/843,/0/default.jpg</v>
      </c>
      <c r="N307" s="3">
        <v>0.82499999999999996</v>
      </c>
      <c r="O307" s="3">
        <v>2.5000000000000001E-2</v>
      </c>
      <c r="P307" s="3">
        <v>0.79999999999999993</v>
      </c>
      <c r="Q307" s="3">
        <v>0.81893849372863703</v>
      </c>
    </row>
    <row r="308" spans="1:17" x14ac:dyDescent="0.45">
      <c r="A308" s="3">
        <v>229353</v>
      </c>
      <c r="B308" t="b">
        <v>0</v>
      </c>
      <c r="C308" t="b">
        <v>0</v>
      </c>
      <c r="D308" s="3">
        <v>1959</v>
      </c>
      <c r="E308" s="3">
        <v>1959</v>
      </c>
      <c r="F308" t="s">
        <v>6066</v>
      </c>
      <c r="G308" t="s">
        <v>6067</v>
      </c>
      <c r="H308" s="3">
        <v>65.4452</v>
      </c>
      <c r="I308" t="s">
        <v>126</v>
      </c>
      <c r="J308" t="s">
        <v>12238</v>
      </c>
      <c r="L308" t="s">
        <v>6068</v>
      </c>
      <c r="M308" t="str">
        <f>"https://www.artic.edu/iiif/2/"&amp;Table9[[#This Row],[Image ID]]&amp;"/full/843,/0/default.jpg"</f>
        <v>https://www.artic.edu/iiif/2/565827a7-d635-59fb-f10b-7158a99733c5/full/843,/0/default.jpg</v>
      </c>
      <c r="N308" s="3">
        <v>0.82499999999999996</v>
      </c>
      <c r="O308" s="3">
        <v>2.5000000000000001E-2</v>
      </c>
      <c r="P308" s="3">
        <v>0.79999999999999993</v>
      </c>
      <c r="Q308" s="3">
        <v>0.75819039344787598</v>
      </c>
    </row>
    <row r="309" spans="1:17" x14ac:dyDescent="0.45">
      <c r="A309" s="3">
        <v>184730</v>
      </c>
      <c r="B309" t="b">
        <v>0</v>
      </c>
      <c r="C309" t="b">
        <v>0</v>
      </c>
      <c r="D309" s="3">
        <v>2003</v>
      </c>
      <c r="E309" s="3">
        <v>2003</v>
      </c>
      <c r="F309" t="s">
        <v>4837</v>
      </c>
      <c r="G309" t="s">
        <v>4823</v>
      </c>
      <c r="H309" s="3">
        <v>7.3240999999999996</v>
      </c>
      <c r="I309" t="s">
        <v>293</v>
      </c>
      <c r="J309" t="s">
        <v>10977</v>
      </c>
      <c r="K309" s="5" t="s">
        <v>15</v>
      </c>
      <c r="L309" t="s">
        <v>4838</v>
      </c>
      <c r="M309" t="str">
        <f>"https://www.artic.edu/iiif/2/"&amp;Table9[[#This Row],[Image ID]]&amp;"/full/843,/0/default.jpg"</f>
        <v>https://www.artic.edu/iiif/2/5819afb4-4f96-46ee-9191-a4f74c85b293/full/843,/0/default.jpg</v>
      </c>
      <c r="N309" s="3">
        <v>0.85</v>
      </c>
      <c r="O309" s="3">
        <v>0.05</v>
      </c>
      <c r="P309" s="3">
        <v>0.79999999999999993</v>
      </c>
      <c r="Q309" s="3">
        <v>0.84988844394683805</v>
      </c>
    </row>
    <row r="310" spans="1:17" x14ac:dyDescent="0.45">
      <c r="A310" s="3">
        <v>86448</v>
      </c>
      <c r="B310" t="b">
        <v>0</v>
      </c>
      <c r="C310" t="b">
        <v>0</v>
      </c>
      <c r="D310" s="3">
        <v>1924</v>
      </c>
      <c r="E310" s="3">
        <v>1924</v>
      </c>
      <c r="F310" t="s">
        <v>10337</v>
      </c>
      <c r="G310" t="s">
        <v>10338</v>
      </c>
      <c r="H310" s="3">
        <v>17.021899999999999</v>
      </c>
      <c r="I310" t="s">
        <v>9048</v>
      </c>
      <c r="J310" t="s">
        <v>12277</v>
      </c>
      <c r="L310" t="s">
        <v>10339</v>
      </c>
      <c r="M310" t="str">
        <f>"https://www.artic.edu/iiif/2/"&amp;Table9[[#This Row],[Image ID]]&amp;"/full/843,/0/default.jpg"</f>
        <v>https://www.artic.edu/iiif/2/59338344-fdf2-a6b9-0748-6cf10370a10e/full/843,/0/default.jpg</v>
      </c>
      <c r="N310" s="3">
        <v>0.82499999999999996</v>
      </c>
      <c r="O310" s="3">
        <v>2.5000000000000001E-2</v>
      </c>
      <c r="P310" s="3">
        <v>0.79999999999999993</v>
      </c>
      <c r="Q310" s="3">
        <v>0.741868555545806</v>
      </c>
    </row>
    <row r="311" spans="1:17" x14ac:dyDescent="0.45">
      <c r="A311" s="3">
        <v>59826</v>
      </c>
      <c r="B311" t="b">
        <v>0</v>
      </c>
      <c r="C311" t="b">
        <v>0</v>
      </c>
      <c r="D311" s="3">
        <v>1882</v>
      </c>
      <c r="E311" s="3">
        <v>1882</v>
      </c>
      <c r="F311" t="s">
        <v>8592</v>
      </c>
      <c r="G311" t="s">
        <v>24</v>
      </c>
      <c r="H311" s="3">
        <v>45.542900000000003</v>
      </c>
      <c r="I311" t="s">
        <v>3247</v>
      </c>
      <c r="J311" t="s">
        <v>8594</v>
      </c>
      <c r="L311" t="s">
        <v>8593</v>
      </c>
      <c r="M311" t="str">
        <f>"https://www.artic.edu/iiif/2/"&amp;Table9[[#This Row],[Image ID]]&amp;"/full/843,/0/default.jpg"</f>
        <v>https://www.artic.edu/iiif/2/684c0725-97f5-1c12-6877-111d1b15f65f/full/843,/0/default.jpg</v>
      </c>
      <c r="N311" s="3">
        <v>0.85</v>
      </c>
      <c r="O311" s="3">
        <v>0.05</v>
      </c>
      <c r="P311" s="3">
        <v>0.79999999999999993</v>
      </c>
      <c r="Q311" s="3">
        <v>0.56256210803985596</v>
      </c>
    </row>
    <row r="312" spans="1:17" x14ac:dyDescent="0.45">
      <c r="A312" s="3">
        <v>72363</v>
      </c>
      <c r="B312" t="b">
        <v>0</v>
      </c>
      <c r="C312" t="b">
        <v>0</v>
      </c>
      <c r="D312" s="3">
        <v>1876</v>
      </c>
      <c r="E312" s="3">
        <v>1950</v>
      </c>
      <c r="F312" t="s">
        <v>9565</v>
      </c>
      <c r="G312" t="s">
        <v>7</v>
      </c>
      <c r="H312" s="3">
        <v>35.316200000000002</v>
      </c>
      <c r="I312" t="s">
        <v>21</v>
      </c>
      <c r="J312" t="s">
        <v>11233</v>
      </c>
      <c r="K312" s="5" t="s">
        <v>125</v>
      </c>
      <c r="L312" t="s">
        <v>9566</v>
      </c>
      <c r="M312" t="str">
        <f>"https://www.artic.edu/iiif/2/"&amp;Table9[[#This Row],[Image ID]]&amp;"/full/843,/0/default.jpg"</f>
        <v>https://www.artic.edu/iiif/2/69df3ee9-1a63-8595-2078-b89e323c77db/full/843,/0/default.jpg</v>
      </c>
      <c r="N312" s="3">
        <v>0.82499999999999996</v>
      </c>
      <c r="O312" s="3">
        <v>2.5000000000000001E-2</v>
      </c>
      <c r="P312" s="3">
        <v>0.79999999999999993</v>
      </c>
      <c r="Q312" s="3">
        <v>0.69555550813674905</v>
      </c>
    </row>
    <row r="313" spans="1:17" x14ac:dyDescent="0.45">
      <c r="A313" s="3">
        <v>11294</v>
      </c>
      <c r="B313" t="b">
        <v>0</v>
      </c>
      <c r="C313" t="b">
        <v>0</v>
      </c>
      <c r="D313" s="3">
        <v>1906</v>
      </c>
      <c r="E313" s="3">
        <v>1906</v>
      </c>
      <c r="F313" t="s">
        <v>1323</v>
      </c>
      <c r="G313" t="s">
        <v>7</v>
      </c>
      <c r="I313" t="s">
        <v>133</v>
      </c>
      <c r="J313" t="s">
        <v>12711</v>
      </c>
      <c r="K313" s="5" t="s">
        <v>1324</v>
      </c>
      <c r="L313" t="s">
        <v>1325</v>
      </c>
      <c r="M313" t="str">
        <f>"https://www.artic.edu/iiif/2/"&amp;Table9[[#This Row],[Image ID]]&amp;"/full/843,/0/default.jpg"</f>
        <v>https://www.artic.edu/iiif/2/77ecb291-d716-f898-b491-3192a96307c8/full/843,/0/default.jpg</v>
      </c>
      <c r="N313" s="3">
        <v>0.85</v>
      </c>
      <c r="O313" s="3">
        <v>0.05</v>
      </c>
      <c r="P313" s="3">
        <v>0.79999999999999993</v>
      </c>
      <c r="Q313" s="3">
        <v>0.900229752063751</v>
      </c>
    </row>
    <row r="314" spans="1:17" x14ac:dyDescent="0.45">
      <c r="A314" s="3">
        <v>93857</v>
      </c>
      <c r="B314" t="b">
        <v>0</v>
      </c>
      <c r="C314" t="b">
        <v>0</v>
      </c>
      <c r="D314" s="3">
        <v>1975</v>
      </c>
      <c r="E314" s="3">
        <v>1975</v>
      </c>
      <c r="F314" t="s">
        <v>10660</v>
      </c>
      <c r="G314" t="s">
        <v>10661</v>
      </c>
      <c r="H314" s="3">
        <v>35.069499999999998</v>
      </c>
      <c r="I314" t="s">
        <v>5908</v>
      </c>
      <c r="J314" t="s">
        <v>12716</v>
      </c>
      <c r="L314" t="s">
        <v>10662</v>
      </c>
      <c r="M314" t="str">
        <f>"https://www.artic.edu/iiif/2/"&amp;Table9[[#This Row],[Image ID]]&amp;"/full/843,/0/default.jpg"</f>
        <v>https://www.artic.edu/iiif/2/7876c750-f606-093d-276b-60b057372a05/full/843,/0/default.jpg</v>
      </c>
      <c r="N314" s="3">
        <v>0.82499999999999996</v>
      </c>
      <c r="O314" s="3">
        <v>2.5000000000000001E-2</v>
      </c>
      <c r="P314" s="3">
        <v>0.79999999999999993</v>
      </c>
      <c r="Q314" s="3">
        <v>0.88426983356475797</v>
      </c>
    </row>
    <row r="315" spans="1:17" x14ac:dyDescent="0.45">
      <c r="A315" s="3">
        <v>158454</v>
      </c>
      <c r="B315" t="b">
        <v>0</v>
      </c>
      <c r="C315" t="b">
        <v>0</v>
      </c>
      <c r="D315" s="3">
        <v>1965</v>
      </c>
      <c r="E315" s="3">
        <v>1965</v>
      </c>
      <c r="F315" t="s">
        <v>4140</v>
      </c>
      <c r="G315" t="s">
        <v>7</v>
      </c>
      <c r="H315" s="3">
        <v>28.579899999999999</v>
      </c>
      <c r="I315" t="s">
        <v>1281</v>
      </c>
      <c r="J315" t="s">
        <v>12755</v>
      </c>
      <c r="L315" t="s">
        <v>4141</v>
      </c>
      <c r="M315" t="str">
        <f>"https://www.artic.edu/iiif/2/"&amp;Table9[[#This Row],[Image ID]]&amp;"/full/843,/0/default.jpg"</f>
        <v>https://www.artic.edu/iiif/2/7b169b8e-14c7-580d-69d0-bd5932e788fd/full/843,/0/default.jpg</v>
      </c>
      <c r="N315" s="3">
        <v>0.85</v>
      </c>
      <c r="O315" s="3">
        <v>0.05</v>
      </c>
      <c r="P315" s="3">
        <v>0.79999999999999993</v>
      </c>
      <c r="Q315" s="3">
        <v>0.87870711088180498</v>
      </c>
    </row>
    <row r="316" spans="1:17" x14ac:dyDescent="0.45">
      <c r="A316" s="3">
        <v>72177</v>
      </c>
      <c r="B316" t="b">
        <v>0</v>
      </c>
      <c r="C316" t="b">
        <v>0</v>
      </c>
      <c r="D316" s="3">
        <v>1982</v>
      </c>
      <c r="E316" s="3">
        <v>1982</v>
      </c>
      <c r="F316" t="s">
        <v>9533</v>
      </c>
      <c r="G316" t="s">
        <v>9534</v>
      </c>
      <c r="H316" s="3">
        <v>74.739500000000007</v>
      </c>
      <c r="I316" t="s">
        <v>5505</v>
      </c>
      <c r="J316" t="s">
        <v>12760</v>
      </c>
      <c r="L316" t="s">
        <v>9535</v>
      </c>
      <c r="M316" t="str">
        <f>"https://www.artic.edu/iiif/2/"&amp;Table9[[#This Row],[Image ID]]&amp;"/full/843,/0/default.jpg"</f>
        <v>https://www.artic.edu/iiif/2/7bc2549a-7c93-cffd-49ad-f93df587102c/full/843,/0/default.jpg</v>
      </c>
      <c r="N316" s="3">
        <v>0.82499999999999996</v>
      </c>
      <c r="O316" s="3">
        <v>2.5000000000000001E-2</v>
      </c>
      <c r="P316" s="3">
        <v>0.79999999999999993</v>
      </c>
      <c r="Q316" s="3">
        <v>0.83802998065948398</v>
      </c>
    </row>
    <row r="317" spans="1:17" x14ac:dyDescent="0.45">
      <c r="A317" s="3">
        <v>45291</v>
      </c>
      <c r="B317" t="b">
        <v>0</v>
      </c>
      <c r="C317" t="b">
        <v>0</v>
      </c>
      <c r="D317" s="3">
        <v>1965</v>
      </c>
      <c r="E317" s="3">
        <v>1965</v>
      </c>
      <c r="F317" t="s">
        <v>1653</v>
      </c>
      <c r="G317" t="s">
        <v>7844</v>
      </c>
      <c r="H317" s="3">
        <v>12.836</v>
      </c>
      <c r="I317" t="s">
        <v>7845</v>
      </c>
      <c r="J317" t="s">
        <v>12903</v>
      </c>
      <c r="L317" t="s">
        <v>7846</v>
      </c>
      <c r="M317" t="str">
        <f>"https://www.artic.edu/iiif/2/"&amp;Table9[[#This Row],[Image ID]]&amp;"/full/843,/0/default.jpg"</f>
        <v>https://www.artic.edu/iiif/2/85e142e7-d28f-5412-9b4e-8fe9e7521f2d/full/843,/0/default.jpg</v>
      </c>
      <c r="N317" s="3">
        <v>0.82499999999999996</v>
      </c>
      <c r="O317" s="3">
        <v>2.5000000000000001E-2</v>
      </c>
      <c r="P317" s="3">
        <v>0.79999999999999993</v>
      </c>
      <c r="Q317" s="3">
        <v>0.86223024129867498</v>
      </c>
    </row>
    <row r="318" spans="1:17" x14ac:dyDescent="0.45">
      <c r="A318" s="3">
        <v>44075</v>
      </c>
      <c r="B318" t="b">
        <v>0</v>
      </c>
      <c r="C318" t="b">
        <v>0</v>
      </c>
      <c r="D318" s="3">
        <v>1615</v>
      </c>
      <c r="E318" s="3">
        <v>1625</v>
      </c>
      <c r="F318" t="s">
        <v>7768</v>
      </c>
      <c r="G318" t="s">
        <v>7</v>
      </c>
      <c r="H318" s="3">
        <v>0</v>
      </c>
      <c r="I318" t="s">
        <v>7769</v>
      </c>
      <c r="J318" t="s">
        <v>13055</v>
      </c>
      <c r="L318" t="s">
        <v>7770</v>
      </c>
      <c r="M318" t="str">
        <f>"https://www.artic.edu/iiif/2/"&amp;Table9[[#This Row],[Image ID]]&amp;"/full/843,/0/default.jpg"</f>
        <v>https://www.artic.edu/iiif/2/92671023-95bc-70c5-45e5-428b188085cd/full/843,/0/default.jpg</v>
      </c>
      <c r="N318" s="3">
        <v>0.85</v>
      </c>
      <c r="O318" s="3">
        <v>0.05</v>
      </c>
      <c r="P318" s="3">
        <v>0.79999999999999993</v>
      </c>
      <c r="Q318" s="3">
        <v>0.81510442495346003</v>
      </c>
    </row>
    <row r="319" spans="1:17" x14ac:dyDescent="0.45">
      <c r="A319" s="3">
        <v>104278</v>
      </c>
      <c r="B319" t="b">
        <v>0</v>
      </c>
      <c r="C319" t="b">
        <v>0</v>
      </c>
      <c r="D319" s="3">
        <v>1983</v>
      </c>
      <c r="E319" s="3">
        <v>1983</v>
      </c>
      <c r="F319" t="s">
        <v>423</v>
      </c>
      <c r="G319" t="s">
        <v>424</v>
      </c>
      <c r="H319" s="3">
        <v>55.102699999999999</v>
      </c>
      <c r="I319" t="s">
        <v>378</v>
      </c>
      <c r="J319" t="s">
        <v>12099</v>
      </c>
      <c r="K319" s="5" t="s">
        <v>45</v>
      </c>
      <c r="L319" t="s">
        <v>425</v>
      </c>
      <c r="M319" t="str">
        <f>"https://www.artic.edu/iiif/2/"&amp;Table9[[#This Row],[Image ID]]&amp;"/full/843,/0/default.jpg"</f>
        <v>https://www.artic.edu/iiif/2/976104ad-bdb4-52fa-1e26-ef2c9e9a4605/full/843,/0/default.jpg</v>
      </c>
      <c r="N319" s="3">
        <v>0.85</v>
      </c>
      <c r="O319" s="3">
        <v>0.05</v>
      </c>
      <c r="P319" s="3">
        <v>0.79999999999999993</v>
      </c>
      <c r="Q319" s="3">
        <v>0.90950810909271196</v>
      </c>
    </row>
    <row r="320" spans="1:17" x14ac:dyDescent="0.45">
      <c r="A320" s="3">
        <v>66198</v>
      </c>
      <c r="B320" t="b">
        <v>0</v>
      </c>
      <c r="C320" t="b">
        <v>0</v>
      </c>
      <c r="D320" s="3">
        <v>1973</v>
      </c>
      <c r="E320" s="3">
        <v>1973</v>
      </c>
      <c r="F320" t="s">
        <v>9220</v>
      </c>
      <c r="G320" t="s">
        <v>7</v>
      </c>
      <c r="H320" s="3">
        <v>32.762599999999999</v>
      </c>
      <c r="I320" t="s">
        <v>7773</v>
      </c>
      <c r="J320" t="s">
        <v>12987</v>
      </c>
      <c r="L320" t="s">
        <v>9221</v>
      </c>
      <c r="M320" t="str">
        <f>"https://www.artic.edu/iiif/2/"&amp;Table9[[#This Row],[Image ID]]&amp;"/full/843,/0/default.jpg"</f>
        <v>https://www.artic.edu/iiif/2/9b808165-427d-3ac4-bec2-ca6b904d33e0/full/843,/0/default.jpg</v>
      </c>
      <c r="N320" s="3">
        <v>0.85</v>
      </c>
      <c r="O320" s="3">
        <v>0.05</v>
      </c>
      <c r="P320" s="3">
        <v>0.79999999999999993</v>
      </c>
      <c r="Q320" s="3">
        <v>0.81951791048049905</v>
      </c>
    </row>
    <row r="321" spans="1:17" x14ac:dyDescent="0.45">
      <c r="A321" s="3">
        <v>184929</v>
      </c>
      <c r="B321" t="b">
        <v>0</v>
      </c>
      <c r="C321" t="b">
        <v>0</v>
      </c>
      <c r="D321" s="3">
        <v>2003</v>
      </c>
      <c r="E321" s="3">
        <v>2003</v>
      </c>
      <c r="F321" t="s">
        <v>4916</v>
      </c>
      <c r="G321" t="s">
        <v>4823</v>
      </c>
      <c r="H321" s="3">
        <v>7.3414999999999999</v>
      </c>
      <c r="I321" t="s">
        <v>293</v>
      </c>
      <c r="J321" t="s">
        <v>10977</v>
      </c>
      <c r="K321" s="5" t="s">
        <v>15</v>
      </c>
      <c r="L321" t="s">
        <v>4917</v>
      </c>
      <c r="M321" t="str">
        <f>"https://www.artic.edu/iiif/2/"&amp;Table9[[#This Row],[Image ID]]&amp;"/full/843,/0/default.jpg"</f>
        <v>https://www.artic.edu/iiif/2/ad25088f-c180-e706-5693-47dc1be3300c/full/843,/0/default.jpg</v>
      </c>
      <c r="N321" s="3">
        <v>0.85</v>
      </c>
      <c r="O321" s="3">
        <v>0.05</v>
      </c>
      <c r="P321" s="3">
        <v>0.79999999999999993</v>
      </c>
      <c r="Q321" s="3">
        <v>0.91884297132491999</v>
      </c>
    </row>
    <row r="322" spans="1:17" x14ac:dyDescent="0.45">
      <c r="A322" s="3">
        <v>75284</v>
      </c>
      <c r="B322" t="b">
        <v>0</v>
      </c>
      <c r="C322" t="b">
        <v>0</v>
      </c>
      <c r="D322" s="3">
        <v>1916</v>
      </c>
      <c r="E322" s="3">
        <v>1916</v>
      </c>
      <c r="F322" t="s">
        <v>9726</v>
      </c>
      <c r="G322" t="s">
        <v>7</v>
      </c>
      <c r="H322" s="3">
        <v>25.251999999999999</v>
      </c>
      <c r="I322" t="s">
        <v>4516</v>
      </c>
      <c r="J322" t="s">
        <v>13868</v>
      </c>
      <c r="K322" s="5" t="s">
        <v>9</v>
      </c>
      <c r="L322" t="s">
        <v>9727</v>
      </c>
      <c r="M322" t="str">
        <f>"https://www.artic.edu/iiif/2/"&amp;Table9[[#This Row],[Image ID]]&amp;"/full/843,/0/default.jpg"</f>
        <v>https://www.artic.edu/iiif/2/d25dc05e-07ce-09eb-d957-4f1f621a1418/full/843,/0/default.jpg</v>
      </c>
      <c r="N322" s="3">
        <v>0.82499999999999996</v>
      </c>
      <c r="O322" s="3">
        <v>2.5000000000000001E-2</v>
      </c>
      <c r="P322" s="3">
        <v>0.79999999999999993</v>
      </c>
      <c r="Q322" s="3">
        <v>0.66747367382049505</v>
      </c>
    </row>
    <row r="323" spans="1:17" x14ac:dyDescent="0.45">
      <c r="A323" s="3">
        <v>49657</v>
      </c>
      <c r="B323" t="b">
        <v>0</v>
      </c>
      <c r="C323" t="b">
        <v>0</v>
      </c>
      <c r="D323" s="3">
        <v>1913</v>
      </c>
      <c r="E323" s="3">
        <v>1913</v>
      </c>
      <c r="F323" t="s">
        <v>8066</v>
      </c>
      <c r="G323" t="s">
        <v>7</v>
      </c>
      <c r="H323" s="3">
        <v>33.0032</v>
      </c>
      <c r="I323" t="s">
        <v>8067</v>
      </c>
      <c r="J323" t="s">
        <v>13970</v>
      </c>
      <c r="L323" t="s">
        <v>8068</v>
      </c>
      <c r="M323" t="str">
        <f>"https://www.artic.edu/iiif/2/"&amp;Table9[[#This Row],[Image ID]]&amp;"/full/843,/0/default.jpg"</f>
        <v>https://www.artic.edu/iiif/2/d9996508-fe3a-d390-debb-2fdefce0cf81/full/843,/0/default.jpg</v>
      </c>
      <c r="N323" s="3">
        <v>0.85</v>
      </c>
      <c r="O323" s="3">
        <v>0.05</v>
      </c>
      <c r="P323" s="3">
        <v>0.79999999999999993</v>
      </c>
      <c r="Q323" s="3">
        <v>0.74441367387771595</v>
      </c>
    </row>
    <row r="324" spans="1:17" x14ac:dyDescent="0.45">
      <c r="A324" s="3">
        <v>49597</v>
      </c>
      <c r="B324" t="b">
        <v>0</v>
      </c>
      <c r="C324" t="b">
        <v>0</v>
      </c>
      <c r="D324" s="3">
        <v>1949</v>
      </c>
      <c r="E324" s="3">
        <v>1949</v>
      </c>
      <c r="F324" t="s">
        <v>2755</v>
      </c>
      <c r="G324" t="s">
        <v>7</v>
      </c>
      <c r="H324" s="3">
        <v>35.938299999999998</v>
      </c>
      <c r="I324" t="s">
        <v>133</v>
      </c>
      <c r="J324" t="s">
        <v>8063</v>
      </c>
      <c r="L324" t="s">
        <v>8062</v>
      </c>
      <c r="M324" t="str">
        <f>"https://www.artic.edu/iiif/2/"&amp;Table9[[#This Row],[Image ID]]&amp;"/full/843,/0/default.jpg"</f>
        <v>https://www.artic.edu/iiif/2/f0591862-bb4e-a9d9-054b-33fc56d15e38/full/843,/0/default.jpg</v>
      </c>
      <c r="N324" s="3">
        <v>0.82499999999999996</v>
      </c>
      <c r="O324" s="3">
        <v>2.5000000000000001E-2</v>
      </c>
      <c r="P324" s="3">
        <v>0.79999999999999993</v>
      </c>
      <c r="Q324" s="3">
        <v>0.73804914951324396</v>
      </c>
    </row>
    <row r="325" spans="1:17" x14ac:dyDescent="0.45">
      <c r="A325" s="3">
        <v>110965</v>
      </c>
      <c r="B325" t="b">
        <v>0</v>
      </c>
      <c r="C325" t="b">
        <v>0</v>
      </c>
      <c r="D325" s="3">
        <v>1974</v>
      </c>
      <c r="E325" s="3">
        <v>1974</v>
      </c>
      <c r="F325" t="s">
        <v>974</v>
      </c>
      <c r="G325" t="s">
        <v>7</v>
      </c>
      <c r="H325" s="3">
        <v>63.906399999999998</v>
      </c>
      <c r="I325" t="s">
        <v>975</v>
      </c>
      <c r="J325" t="s">
        <v>14343</v>
      </c>
      <c r="L325" t="s">
        <v>976</v>
      </c>
      <c r="M325" t="str">
        <f>"https://www.artic.edu/iiif/2/"&amp;Table9[[#This Row],[Image ID]]&amp;"/full/843,/0/default.jpg"</f>
        <v>https://www.artic.edu/iiif/2/f204abea-ce74-40a1-f070-c44ce4c61311/full/843,/0/default.jpg</v>
      </c>
      <c r="N325" s="3">
        <v>0.85</v>
      </c>
      <c r="O325" s="3">
        <v>0.05</v>
      </c>
      <c r="P325" s="3">
        <v>0.79999999999999993</v>
      </c>
      <c r="Q325" s="3">
        <v>0.87956404685974099</v>
      </c>
    </row>
    <row r="326" spans="1:17" x14ac:dyDescent="0.45">
      <c r="A326" s="3">
        <v>20397</v>
      </c>
      <c r="B326" t="b">
        <v>0</v>
      </c>
      <c r="C326" t="b">
        <v>0</v>
      </c>
      <c r="D326" s="3">
        <v>1962</v>
      </c>
      <c r="E326" s="3">
        <v>1962</v>
      </c>
      <c r="F326" t="s">
        <v>5391</v>
      </c>
      <c r="G326" t="s">
        <v>7</v>
      </c>
      <c r="H326" s="3">
        <v>74.261899999999997</v>
      </c>
      <c r="I326" t="s">
        <v>5263</v>
      </c>
      <c r="J326" t="s">
        <v>14425</v>
      </c>
      <c r="L326" t="s">
        <v>5392</v>
      </c>
      <c r="M326" t="str">
        <f>"https://www.artic.edu/iiif/2/"&amp;Table9[[#This Row],[Image ID]]&amp;"/full/843,/0/default.jpg"</f>
        <v>https://www.artic.edu/iiif/2/f82f0ffe-ad42-2743-be0b-fb871ac5bfa2/full/843,/0/default.jpg</v>
      </c>
      <c r="N326" s="3">
        <v>0.85</v>
      </c>
      <c r="O326" s="3">
        <v>0.05</v>
      </c>
      <c r="P326" s="3">
        <v>0.79999999999999993</v>
      </c>
      <c r="Q326" s="3">
        <v>0.88188356161117498</v>
      </c>
    </row>
    <row r="327" spans="1:17" x14ac:dyDescent="0.45">
      <c r="A327" s="3">
        <v>99603</v>
      </c>
      <c r="B327" t="b">
        <v>0</v>
      </c>
      <c r="C327" t="b">
        <v>1</v>
      </c>
      <c r="D327" s="3">
        <v>1885</v>
      </c>
      <c r="E327" s="3">
        <v>1885</v>
      </c>
      <c r="F327" t="s">
        <v>10927</v>
      </c>
      <c r="G327" t="s">
        <v>10928</v>
      </c>
      <c r="H327" s="3">
        <v>31.168800000000001</v>
      </c>
      <c r="I327" t="s">
        <v>1337</v>
      </c>
      <c r="J327" t="s">
        <v>10999</v>
      </c>
      <c r="L327" t="s">
        <v>10929</v>
      </c>
      <c r="M327" t="str">
        <f>"https://www.artic.edu/iiif/2/"&amp;Table9[[#This Row],[Image ID]]&amp;"/full/843,/0/default.jpg"</f>
        <v>https://www.artic.edu/iiif/2/02512586-e9ae-5300-eb9d-82350fd358a4/full/843,/0/default.jpg</v>
      </c>
      <c r="N327" s="3">
        <v>0.82499999999999996</v>
      </c>
      <c r="O327" s="3">
        <v>2.5000000000000001E-2</v>
      </c>
      <c r="P327" s="3">
        <v>0.79999999999999993</v>
      </c>
      <c r="Q327" s="3">
        <v>0.75256007909774703</v>
      </c>
    </row>
    <row r="328" spans="1:17" x14ac:dyDescent="0.45">
      <c r="A328" s="3">
        <v>97912</v>
      </c>
      <c r="B328" t="b">
        <v>0</v>
      </c>
      <c r="C328" t="b">
        <v>1</v>
      </c>
      <c r="D328" s="3">
        <v>1889</v>
      </c>
      <c r="E328" s="3">
        <v>1889</v>
      </c>
      <c r="F328" t="s">
        <v>10901</v>
      </c>
      <c r="G328" t="s">
        <v>7</v>
      </c>
      <c r="H328" s="3">
        <v>35.8277</v>
      </c>
      <c r="I328" t="s">
        <v>192</v>
      </c>
      <c r="J328" t="s">
        <v>11039</v>
      </c>
      <c r="L328" t="s">
        <v>10902</v>
      </c>
      <c r="M328" t="str">
        <f>"https://www.artic.edu/iiif/2/"&amp;Table9[[#This Row],[Image ID]]&amp;"/full/843,/0/default.jpg"</f>
        <v>https://www.artic.edu/iiif/2/04a1a67f-d08b-35ea-bb90-770281b92abf/full/843,/0/default.jpg</v>
      </c>
      <c r="N328" s="3">
        <v>0.82499999999999996</v>
      </c>
      <c r="O328" s="3">
        <v>2.5000000000000001E-2</v>
      </c>
      <c r="P328" s="3">
        <v>0.79999999999999993</v>
      </c>
      <c r="Q328" s="3">
        <v>0.65177375078201205</v>
      </c>
    </row>
    <row r="329" spans="1:17" x14ac:dyDescent="0.45">
      <c r="A329" s="3">
        <v>39078</v>
      </c>
      <c r="B329" t="b">
        <v>0</v>
      </c>
      <c r="C329" t="b">
        <v>1</v>
      </c>
      <c r="D329" s="3">
        <v>1840</v>
      </c>
      <c r="E329" s="3">
        <v>1850</v>
      </c>
      <c r="F329" t="s">
        <v>7417</v>
      </c>
      <c r="G329" t="s">
        <v>1374</v>
      </c>
      <c r="H329" s="3">
        <v>33.616199999999999</v>
      </c>
      <c r="I329" t="s">
        <v>1295</v>
      </c>
      <c r="J329" t="s">
        <v>11127</v>
      </c>
      <c r="L329" t="s">
        <v>7418</v>
      </c>
      <c r="M329" t="str">
        <f>"https://www.artic.edu/iiif/2/"&amp;Table9[[#This Row],[Image ID]]&amp;"/full/843,/0/default.jpg"</f>
        <v>https://www.artic.edu/iiif/2/0b246c60-b590-7143-1952-337694137fc5/full/843,/0/default.jpg</v>
      </c>
      <c r="N329" s="3">
        <v>0.85</v>
      </c>
      <c r="O329" s="3">
        <v>0.05</v>
      </c>
      <c r="P329" s="3">
        <v>0.79999999999999993</v>
      </c>
      <c r="Q329" s="3">
        <v>0.65374249219894398</v>
      </c>
    </row>
    <row r="330" spans="1:17" x14ac:dyDescent="0.45">
      <c r="A330" s="3">
        <v>39851</v>
      </c>
      <c r="B330" t="b">
        <v>0</v>
      </c>
      <c r="C330" t="b">
        <v>1</v>
      </c>
      <c r="D330" s="3">
        <v>1500</v>
      </c>
      <c r="E330" s="3">
        <v>1550</v>
      </c>
      <c r="F330" t="s">
        <v>7618</v>
      </c>
      <c r="G330" t="s">
        <v>75</v>
      </c>
      <c r="H330" s="3">
        <v>41.463000000000001</v>
      </c>
      <c r="J330" t="s">
        <v>11140</v>
      </c>
      <c r="L330" t="s">
        <v>7619</v>
      </c>
      <c r="M330" t="str">
        <f>"https://www.artic.edu/iiif/2/"&amp;Table9[[#This Row],[Image ID]]&amp;"/full/843,/0/default.jpg"</f>
        <v>https://www.artic.edu/iiif/2/0c840df0-6d98-46d2-9828-b23ddcd34081/full/843,/0/default.jpg</v>
      </c>
      <c r="N330" s="3">
        <v>0.85</v>
      </c>
      <c r="O330" s="3">
        <v>0.05</v>
      </c>
      <c r="P330" s="3">
        <v>0.79999999999999993</v>
      </c>
      <c r="Q330" s="3">
        <v>0.81404459476470903</v>
      </c>
    </row>
    <row r="331" spans="1:17" x14ac:dyDescent="0.45">
      <c r="A331" s="3">
        <v>6835</v>
      </c>
      <c r="B331" t="b">
        <v>0</v>
      </c>
      <c r="C331" t="b">
        <v>1</v>
      </c>
      <c r="D331" s="3">
        <v>1770</v>
      </c>
      <c r="E331" s="3">
        <v>1770</v>
      </c>
      <c r="F331" t="s">
        <v>9339</v>
      </c>
      <c r="G331" t="s">
        <v>7</v>
      </c>
      <c r="H331" s="3">
        <v>14.9816</v>
      </c>
      <c r="I331" t="s">
        <v>879</v>
      </c>
      <c r="J331" t="s">
        <v>11375</v>
      </c>
      <c r="L331" t="s">
        <v>9340</v>
      </c>
      <c r="M331" t="str">
        <f>"https://www.artic.edu/iiif/2/"&amp;Table9[[#This Row],[Image ID]]&amp;"/full/843,/0/default.jpg"</f>
        <v>https://www.artic.edu/iiif/2/1d0775a8-a9d7-ca36-16cb-6a32e14c3b68/full/843,/0/default.jpg</v>
      </c>
      <c r="N331" s="3">
        <v>0.85</v>
      </c>
      <c r="O331" s="3">
        <v>0.05</v>
      </c>
      <c r="P331" s="3">
        <v>0.79999999999999993</v>
      </c>
      <c r="Q331" s="3">
        <v>0.82815474271774203</v>
      </c>
    </row>
    <row r="332" spans="1:17" x14ac:dyDescent="0.45">
      <c r="A332" s="3">
        <v>39921</v>
      </c>
      <c r="B332" t="b">
        <v>0</v>
      </c>
      <c r="C332" t="b">
        <v>1</v>
      </c>
      <c r="D332" s="3">
        <v>1887</v>
      </c>
      <c r="E332" s="3">
        <v>1887</v>
      </c>
      <c r="F332" t="s">
        <v>7620</v>
      </c>
      <c r="G332" t="s">
        <v>7621</v>
      </c>
      <c r="H332" s="3">
        <v>17.401800000000001</v>
      </c>
      <c r="I332" t="s">
        <v>1287</v>
      </c>
      <c r="J332" t="s">
        <v>11429</v>
      </c>
      <c r="L332" t="s">
        <v>7622</v>
      </c>
      <c r="M332" t="str">
        <f>"https://www.artic.edu/iiif/2/"&amp;Table9[[#This Row],[Image ID]]&amp;"/full/843,/0/default.jpg"</f>
        <v>https://www.artic.edu/iiif/2/1ffca75c-1fb2-cdce-d01b-8a832586abc0/full/843,/0/default.jpg</v>
      </c>
      <c r="N332" s="3">
        <v>0.82499999999999996</v>
      </c>
      <c r="O332" s="3">
        <v>2.5000000000000001E-2</v>
      </c>
      <c r="P332" s="3">
        <v>0.79999999999999993</v>
      </c>
      <c r="Q332" s="3">
        <v>0.88775873184204102</v>
      </c>
    </row>
    <row r="333" spans="1:17" x14ac:dyDescent="0.45">
      <c r="A333" s="3">
        <v>85690</v>
      </c>
      <c r="B333" t="b">
        <v>0</v>
      </c>
      <c r="C333" t="b">
        <v>1</v>
      </c>
      <c r="D333" s="3">
        <v>1800</v>
      </c>
      <c r="E333" s="3">
        <v>1899</v>
      </c>
      <c r="F333" t="s">
        <v>10304</v>
      </c>
      <c r="G333" t="s">
        <v>10305</v>
      </c>
      <c r="H333" s="3">
        <v>7.9949000000000003</v>
      </c>
      <c r="I333" t="s">
        <v>16</v>
      </c>
      <c r="J333" t="s">
        <v>11466</v>
      </c>
      <c r="L333" t="s">
        <v>10306</v>
      </c>
      <c r="M333" t="str">
        <f>"https://www.artic.edu/iiif/2/"&amp;Table9[[#This Row],[Image ID]]&amp;"/full/843,/0/default.jpg"</f>
        <v>https://www.artic.edu/iiif/2/227f20ab-e1c0-4269-03ac-e23f49b92392/full/843,/0/default.jpg</v>
      </c>
      <c r="N333" s="3">
        <v>0.82499999999999996</v>
      </c>
      <c r="O333" s="3">
        <v>2.5000000000000001E-2</v>
      </c>
      <c r="P333" s="3">
        <v>0.79999999999999993</v>
      </c>
      <c r="Q333" s="3">
        <v>0.80525678396224898</v>
      </c>
    </row>
    <row r="334" spans="1:17" x14ac:dyDescent="0.45">
      <c r="A334" s="3">
        <v>93554</v>
      </c>
      <c r="B334" t="b">
        <v>0</v>
      </c>
      <c r="C334" t="b">
        <v>1</v>
      </c>
      <c r="D334" s="3">
        <v>1563</v>
      </c>
      <c r="E334" s="3">
        <v>1563</v>
      </c>
      <c r="F334" t="s">
        <v>10593</v>
      </c>
      <c r="G334" t="s">
        <v>75</v>
      </c>
      <c r="H334" s="3">
        <v>34.643300000000004</v>
      </c>
      <c r="I334" t="s">
        <v>8612</v>
      </c>
      <c r="J334" t="s">
        <v>11690</v>
      </c>
      <c r="L334" t="s">
        <v>10594</v>
      </c>
      <c r="M334" t="str">
        <f>"https://www.artic.edu/iiif/2/"&amp;Table9[[#This Row],[Image ID]]&amp;"/full/843,/0/default.jpg"</f>
        <v>https://www.artic.edu/iiif/2/30df0db9-ad8a-7671-87a9-4bdd1bee9563/full/843,/0/default.jpg</v>
      </c>
      <c r="N334" s="3">
        <v>0.82499999999999996</v>
      </c>
      <c r="O334" s="3">
        <v>2.5000000000000001E-2</v>
      </c>
      <c r="P334" s="3">
        <v>0.79999999999999993</v>
      </c>
      <c r="Q334" s="3">
        <v>0.73330104351043701</v>
      </c>
    </row>
    <row r="335" spans="1:17" x14ac:dyDescent="0.45">
      <c r="A335" s="3">
        <v>131896</v>
      </c>
      <c r="B335" t="b">
        <v>0</v>
      </c>
      <c r="C335" t="b">
        <v>1</v>
      </c>
      <c r="D335" s="3">
        <v>1545</v>
      </c>
      <c r="E335" s="3">
        <v>1555</v>
      </c>
      <c r="F335" t="s">
        <v>2998</v>
      </c>
      <c r="G335" t="s">
        <v>723</v>
      </c>
      <c r="H335" s="3">
        <v>47.604999999999997</v>
      </c>
      <c r="I335" t="s">
        <v>117</v>
      </c>
      <c r="J335" t="s">
        <v>11901</v>
      </c>
      <c r="L335" t="s">
        <v>2999</v>
      </c>
      <c r="M335" t="str">
        <f>"https://www.artic.edu/iiif/2/"&amp;Table9[[#This Row],[Image ID]]&amp;"/full/843,/0/default.jpg"</f>
        <v>https://www.artic.edu/iiif/2/3efc0a83-1f6d-7ee2-4338-22e348424756/full/843,/0/default.jpg</v>
      </c>
      <c r="N335" s="3">
        <v>0.82499999999999996</v>
      </c>
      <c r="O335" s="3">
        <v>2.5000000000000001E-2</v>
      </c>
      <c r="P335" s="3">
        <v>0.79999999999999993</v>
      </c>
      <c r="Q335" s="3">
        <v>0.91853380203247004</v>
      </c>
    </row>
    <row r="336" spans="1:17" x14ac:dyDescent="0.45">
      <c r="A336" s="3">
        <v>183006</v>
      </c>
      <c r="B336" t="b">
        <v>0</v>
      </c>
      <c r="C336" t="b">
        <v>1</v>
      </c>
      <c r="D336" s="3">
        <v>1500</v>
      </c>
      <c r="E336" s="3">
        <v>1505</v>
      </c>
      <c r="F336" t="s">
        <v>4772</v>
      </c>
      <c r="G336" t="s">
        <v>75</v>
      </c>
      <c r="H336" s="3">
        <v>19.731100000000001</v>
      </c>
      <c r="I336" t="s">
        <v>4364</v>
      </c>
      <c r="J336" t="s">
        <v>12307</v>
      </c>
      <c r="L336" t="s">
        <v>4773</v>
      </c>
      <c r="M336" t="str">
        <f>"https://www.artic.edu/iiif/2/"&amp;Table9[[#This Row],[Image ID]]&amp;"/full/843,/0/default.jpg"</f>
        <v>https://www.artic.edu/iiif/2/5b05140d-7b91-ef9c-68fc-9ee13db64b21/full/843,/0/default.jpg</v>
      </c>
      <c r="N336" s="3">
        <v>0.82499999999999996</v>
      </c>
      <c r="O336" s="3">
        <v>2.5000000000000001E-2</v>
      </c>
      <c r="P336" s="3">
        <v>0.79999999999999993</v>
      </c>
      <c r="Q336" s="3">
        <v>0.88343465328216497</v>
      </c>
    </row>
    <row r="337" spans="1:17" x14ac:dyDescent="0.45">
      <c r="A337" s="3">
        <v>159722</v>
      </c>
      <c r="B337" t="b">
        <v>0</v>
      </c>
      <c r="C337" t="b">
        <v>1</v>
      </c>
      <c r="D337" s="3">
        <v>1888</v>
      </c>
      <c r="E337" s="3">
        <v>1888</v>
      </c>
      <c r="F337" t="s">
        <v>4209</v>
      </c>
      <c r="G337" t="s">
        <v>7</v>
      </c>
      <c r="H337" s="3">
        <v>20.8108</v>
      </c>
      <c r="I337" t="s">
        <v>934</v>
      </c>
      <c r="J337" t="s">
        <v>12392</v>
      </c>
      <c r="K337" s="5" t="s">
        <v>9</v>
      </c>
      <c r="L337" t="s">
        <v>4210</v>
      </c>
      <c r="M337" t="str">
        <f>"https://www.artic.edu/iiif/2/"&amp;Table9[[#This Row],[Image ID]]&amp;"/full/843,/0/default.jpg"</f>
        <v>https://www.artic.edu/iiif/2/60d5826b-aaa0-68ba-9d6c-fc0bc55c2227/full/843,/0/default.jpg</v>
      </c>
      <c r="N337" s="3">
        <v>0.95</v>
      </c>
      <c r="O337" s="3">
        <v>0.15</v>
      </c>
      <c r="P337" s="3">
        <v>0.79999999999999993</v>
      </c>
      <c r="Q337" s="3">
        <v>0.77054256200790405</v>
      </c>
    </row>
    <row r="338" spans="1:17" x14ac:dyDescent="0.45">
      <c r="A338" s="3">
        <v>256797</v>
      </c>
      <c r="B338" t="b">
        <v>0</v>
      </c>
      <c r="C338" t="b">
        <v>1</v>
      </c>
      <c r="D338" s="3">
        <v>1895</v>
      </c>
      <c r="E338" s="3">
        <v>1895</v>
      </c>
      <c r="F338" t="s">
        <v>6533</v>
      </c>
      <c r="G338" t="s">
        <v>7</v>
      </c>
      <c r="H338" s="3">
        <v>18.306100000000001</v>
      </c>
      <c r="I338" t="s">
        <v>6534</v>
      </c>
      <c r="J338" t="s">
        <v>12604</v>
      </c>
      <c r="K338" s="5" t="s">
        <v>9</v>
      </c>
      <c r="L338" t="s">
        <v>6535</v>
      </c>
      <c r="M338" t="str">
        <f>"https://www.artic.edu/iiif/2/"&amp;Table9[[#This Row],[Image ID]]&amp;"/full/843,/0/default.jpg"</f>
        <v>https://www.artic.edu/iiif/2/6fdfe01f-c348-e668-d203-b8330ac49b2d/full/843,/0/default.jpg</v>
      </c>
      <c r="N338" s="3">
        <v>0.82499999999999996</v>
      </c>
      <c r="O338" s="3">
        <v>2.5000000000000001E-2</v>
      </c>
      <c r="P338" s="3">
        <v>0.79999999999999993</v>
      </c>
      <c r="Q338" s="3">
        <v>0.88043004274368197</v>
      </c>
    </row>
    <row r="339" spans="1:17" x14ac:dyDescent="0.45">
      <c r="A339" s="3">
        <v>124654</v>
      </c>
      <c r="B339" t="b">
        <v>0</v>
      </c>
      <c r="C339" t="b">
        <v>1</v>
      </c>
      <c r="D339" s="3">
        <v>1847</v>
      </c>
      <c r="E339" s="3">
        <v>1847</v>
      </c>
      <c r="F339" t="s">
        <v>2733</v>
      </c>
      <c r="G339" t="s">
        <v>2734</v>
      </c>
      <c r="H339" s="3">
        <v>27.559200000000001</v>
      </c>
      <c r="I339" t="s">
        <v>2735</v>
      </c>
      <c r="J339" t="s">
        <v>12744</v>
      </c>
      <c r="L339" t="s">
        <v>2736</v>
      </c>
      <c r="M339" t="str">
        <f>"https://www.artic.edu/iiif/2/"&amp;Table9[[#This Row],[Image ID]]&amp;"/full/843,/0/default.jpg"</f>
        <v>https://www.artic.edu/iiif/2/7a1da150-3432-77ab-4d5e-590b98166509/full/843,/0/default.jpg</v>
      </c>
      <c r="N339" s="3">
        <v>0.82499999999999996</v>
      </c>
      <c r="O339" s="3">
        <v>2.5000000000000001E-2</v>
      </c>
      <c r="P339" s="3">
        <v>0.79999999999999993</v>
      </c>
      <c r="Q339" s="3">
        <v>0.75292778015136697</v>
      </c>
    </row>
    <row r="340" spans="1:17" x14ac:dyDescent="0.45">
      <c r="A340" s="3">
        <v>28102</v>
      </c>
      <c r="B340" t="b">
        <v>0</v>
      </c>
      <c r="C340" t="b">
        <v>1</v>
      </c>
      <c r="D340" s="3">
        <v>1730</v>
      </c>
      <c r="E340" s="3">
        <v>1740</v>
      </c>
      <c r="F340" t="s">
        <v>6783</v>
      </c>
      <c r="G340" t="s">
        <v>7</v>
      </c>
      <c r="H340" s="3">
        <v>22.904900000000001</v>
      </c>
      <c r="I340" t="s">
        <v>6784</v>
      </c>
      <c r="J340" t="s">
        <v>12797</v>
      </c>
      <c r="L340" t="s">
        <v>6785</v>
      </c>
      <c r="M340" t="str">
        <f>"https://www.artic.edu/iiif/2/"&amp;Table9[[#This Row],[Image ID]]&amp;"/full/843,/0/default.jpg"</f>
        <v>https://www.artic.edu/iiif/2/7f13cc17-67d7-fdec-329a-dc7d431213f5/full/843,/0/default.jpg</v>
      </c>
      <c r="N340" s="3">
        <v>0.85</v>
      </c>
      <c r="O340" s="3">
        <v>0.05</v>
      </c>
      <c r="P340" s="3">
        <v>0.79999999999999993</v>
      </c>
      <c r="Q340" s="3">
        <v>0.68723714351653997</v>
      </c>
    </row>
    <row r="341" spans="1:17" x14ac:dyDescent="0.45">
      <c r="A341" s="3">
        <v>136190</v>
      </c>
      <c r="B341" t="b">
        <v>0</v>
      </c>
      <c r="C341" t="b">
        <v>1</v>
      </c>
      <c r="D341" s="3">
        <v>1873</v>
      </c>
      <c r="E341" s="3">
        <v>1873</v>
      </c>
      <c r="F341" t="s">
        <v>14</v>
      </c>
      <c r="G341" t="s">
        <v>7</v>
      </c>
      <c r="H341" s="3">
        <v>24.742899999999999</v>
      </c>
      <c r="I341" t="s">
        <v>3162</v>
      </c>
      <c r="J341" t="s">
        <v>12942</v>
      </c>
      <c r="K341" s="5" t="s">
        <v>284</v>
      </c>
      <c r="L341" t="s">
        <v>3163</v>
      </c>
      <c r="M341" t="str">
        <f>"https://www.artic.edu/iiif/2/"&amp;Table9[[#This Row],[Image ID]]&amp;"/full/843,/0/default.jpg"</f>
        <v>https://www.artic.edu/iiif/2/89fda02c-4a5d-1c23-b358-827cc99cea4e/full/843,/0/default.jpg</v>
      </c>
      <c r="N341" s="3">
        <v>0.85</v>
      </c>
      <c r="O341" s="3">
        <v>0.05</v>
      </c>
      <c r="P341" s="3">
        <v>0.79999999999999993</v>
      </c>
      <c r="Q341" s="3">
        <v>0.82131350040435702</v>
      </c>
    </row>
    <row r="342" spans="1:17" x14ac:dyDescent="0.45">
      <c r="A342" s="3">
        <v>31809</v>
      </c>
      <c r="B342" t="b">
        <v>0</v>
      </c>
      <c r="C342" t="b">
        <v>1</v>
      </c>
      <c r="D342" s="3">
        <v>1805</v>
      </c>
      <c r="E342" s="3">
        <v>1815</v>
      </c>
      <c r="F342" t="s">
        <v>438</v>
      </c>
      <c r="G342" t="s">
        <v>7</v>
      </c>
      <c r="H342" s="3">
        <v>38.024799999999999</v>
      </c>
      <c r="J342" t="s">
        <v>13308</v>
      </c>
      <c r="L342" t="s">
        <v>7023</v>
      </c>
      <c r="M342" t="str">
        <f>"https://www.artic.edu/iiif/2/"&amp;Table9[[#This Row],[Image ID]]&amp;"/full/843,/0/default.jpg"</f>
        <v>https://www.artic.edu/iiif/2/a5b07250-68d3-5c93-d818-5fcefbd35308/full/843,/0/default.jpg</v>
      </c>
      <c r="N342" s="3">
        <v>0.82499999999999996</v>
      </c>
      <c r="O342" s="3">
        <v>2.5000000000000001E-2</v>
      </c>
      <c r="P342" s="3">
        <v>0.79999999999999993</v>
      </c>
      <c r="Q342" s="3">
        <v>0.86748045682907104</v>
      </c>
    </row>
    <row r="343" spans="1:17" x14ac:dyDescent="0.45">
      <c r="A343" s="3">
        <v>35149</v>
      </c>
      <c r="B343" t="b">
        <v>0</v>
      </c>
      <c r="C343" t="b">
        <v>1</v>
      </c>
      <c r="D343" s="3">
        <v>1843</v>
      </c>
      <c r="E343" s="3">
        <v>1843</v>
      </c>
      <c r="F343" t="s">
        <v>7149</v>
      </c>
      <c r="G343" t="s">
        <v>7</v>
      </c>
      <c r="H343" s="3">
        <v>0</v>
      </c>
      <c r="I343" t="s">
        <v>1274</v>
      </c>
      <c r="J343" t="s">
        <v>13401</v>
      </c>
      <c r="L343" t="s">
        <v>7150</v>
      </c>
      <c r="M343" t="str">
        <f>"https://www.artic.edu/iiif/2/"&amp;Table9[[#This Row],[Image ID]]&amp;"/full/843,/0/default.jpg"</f>
        <v>https://www.artic.edu/iiif/2/acad549c-db73-4b1f-8cbd-2f5b99e000ab/full/843,/0/default.jpg</v>
      </c>
      <c r="N343" s="3">
        <v>0.85</v>
      </c>
      <c r="O343" s="3">
        <v>0.05</v>
      </c>
      <c r="P343" s="3">
        <v>0.79999999999999993</v>
      </c>
      <c r="Q343" s="3">
        <v>0.79566794633865301</v>
      </c>
    </row>
    <row r="344" spans="1:17" x14ac:dyDescent="0.45">
      <c r="A344" s="3">
        <v>77022</v>
      </c>
      <c r="B344" t="b">
        <v>0</v>
      </c>
      <c r="C344" t="b">
        <v>1</v>
      </c>
      <c r="D344" s="3">
        <v>1401</v>
      </c>
      <c r="E344" s="3">
        <v>1530</v>
      </c>
      <c r="F344" t="s">
        <v>9820</v>
      </c>
      <c r="G344" t="s">
        <v>9821</v>
      </c>
      <c r="H344" s="3">
        <v>38.038600000000002</v>
      </c>
      <c r="J344" t="s">
        <v>13453</v>
      </c>
      <c r="K344" s="5" t="s">
        <v>278</v>
      </c>
      <c r="L344" t="s">
        <v>9822</v>
      </c>
      <c r="M344" t="str">
        <f>"https://www.artic.edu/iiif/2/"&amp;Table9[[#This Row],[Image ID]]&amp;"/full/843,/0/default.jpg"</f>
        <v>https://www.artic.edu/iiif/2/b015f022-b1d9-c934-3a14-e6e9a75a51a0/full/843,/0/default.jpg</v>
      </c>
      <c r="N344" s="3">
        <v>0.82499999999999996</v>
      </c>
      <c r="O344" s="3">
        <v>2.5000000000000001E-2</v>
      </c>
      <c r="P344" s="3">
        <v>0.79999999999999993</v>
      </c>
      <c r="Q344" s="3">
        <v>0.74044042825698797</v>
      </c>
    </row>
    <row r="345" spans="1:17" x14ac:dyDescent="0.45">
      <c r="A345" s="3">
        <v>39174</v>
      </c>
      <c r="B345" t="b">
        <v>0</v>
      </c>
      <c r="C345" t="b">
        <v>1</v>
      </c>
      <c r="D345" s="3">
        <v>1840</v>
      </c>
      <c r="E345" s="3">
        <v>1850</v>
      </c>
      <c r="F345" t="s">
        <v>7484</v>
      </c>
      <c r="G345" t="s">
        <v>7485</v>
      </c>
      <c r="H345" s="3">
        <v>33.565300000000001</v>
      </c>
      <c r="I345" t="s">
        <v>1295</v>
      </c>
      <c r="J345" t="s">
        <v>13455</v>
      </c>
      <c r="L345" t="s">
        <v>7486</v>
      </c>
      <c r="M345" t="str">
        <f>"https://www.artic.edu/iiif/2/"&amp;Table9[[#This Row],[Image ID]]&amp;"/full/843,/0/default.jpg"</f>
        <v>https://www.artic.edu/iiif/2/b02629be-1490-6ec1-ed82-74f52125a61e/full/843,/0/default.jpg</v>
      </c>
      <c r="N345" s="3">
        <v>0.85</v>
      </c>
      <c r="O345" s="3">
        <v>0.05</v>
      </c>
      <c r="P345" s="3">
        <v>0.79999999999999993</v>
      </c>
      <c r="Q345" s="3">
        <v>0.790835261344909</v>
      </c>
    </row>
    <row r="346" spans="1:17" x14ac:dyDescent="0.45">
      <c r="A346" s="3">
        <v>76212</v>
      </c>
      <c r="B346" t="b">
        <v>0</v>
      </c>
      <c r="C346" t="b">
        <v>1</v>
      </c>
      <c r="D346" s="3">
        <v>1796</v>
      </c>
      <c r="E346" s="3">
        <v>1796</v>
      </c>
      <c r="F346" t="s">
        <v>9779</v>
      </c>
      <c r="G346" t="s">
        <v>7</v>
      </c>
      <c r="H346" s="3">
        <v>33.269599999999997</v>
      </c>
      <c r="I346" t="s">
        <v>9780</v>
      </c>
      <c r="J346" t="s">
        <v>13493</v>
      </c>
      <c r="L346" t="s">
        <v>9781</v>
      </c>
      <c r="M346" t="str">
        <f>"https://www.artic.edu/iiif/2/"&amp;Table9[[#This Row],[Image ID]]&amp;"/full/843,/0/default.jpg"</f>
        <v>https://www.artic.edu/iiif/2/b325af1e-bfb6-7125-ba57-cf32e1838d29/full/843,/0/default.jpg</v>
      </c>
      <c r="N346" s="3">
        <v>0.85</v>
      </c>
      <c r="O346" s="3">
        <v>0.05</v>
      </c>
      <c r="P346" s="3">
        <v>0.79999999999999993</v>
      </c>
      <c r="Q346" s="3">
        <v>0.83602648973464899</v>
      </c>
    </row>
    <row r="347" spans="1:17" x14ac:dyDescent="0.45">
      <c r="A347" s="3">
        <v>16218</v>
      </c>
      <c r="B347" t="b">
        <v>0</v>
      </c>
      <c r="C347" t="b">
        <v>1</v>
      </c>
      <c r="D347" s="3">
        <v>1495</v>
      </c>
      <c r="E347" s="3">
        <v>1505</v>
      </c>
      <c r="F347" t="s">
        <v>4312</v>
      </c>
      <c r="G347" t="s">
        <v>103</v>
      </c>
      <c r="H347" s="3">
        <v>49.847499999999997</v>
      </c>
      <c r="I347" t="s">
        <v>4313</v>
      </c>
      <c r="J347" t="s">
        <v>13684</v>
      </c>
      <c r="L347" t="s">
        <v>4314</v>
      </c>
      <c r="M347" t="str">
        <f>"https://www.artic.edu/iiif/2/"&amp;Table9[[#This Row],[Image ID]]&amp;"/full/843,/0/default.jpg"</f>
        <v>https://www.artic.edu/iiif/2/c2b1c74c-a0fb-c184-734f-159a092fbb3f/full/843,/0/default.jpg</v>
      </c>
      <c r="N347" s="3">
        <v>0.82499999999999996</v>
      </c>
      <c r="O347" s="3">
        <v>2.5000000000000001E-2</v>
      </c>
      <c r="P347" s="3">
        <v>0.79999999999999993</v>
      </c>
      <c r="Q347" s="3">
        <v>0.68298184871673495</v>
      </c>
    </row>
    <row r="348" spans="1:17" x14ac:dyDescent="0.45">
      <c r="A348" s="3">
        <v>100348</v>
      </c>
      <c r="B348" t="b">
        <v>0</v>
      </c>
      <c r="C348" t="b">
        <v>1</v>
      </c>
      <c r="D348" s="3">
        <v>1801</v>
      </c>
      <c r="E348" s="3">
        <v>1900</v>
      </c>
      <c r="F348" t="s">
        <v>89</v>
      </c>
      <c r="G348" t="s">
        <v>75</v>
      </c>
      <c r="H348" s="3">
        <v>0</v>
      </c>
      <c r="I348" t="s">
        <v>90</v>
      </c>
      <c r="J348" t="s">
        <v>13937</v>
      </c>
      <c r="L348" t="s">
        <v>91</v>
      </c>
      <c r="M348" t="str">
        <f>"https://www.artic.edu/iiif/2/"&amp;Table9[[#This Row],[Image ID]]&amp;"/full/843,/0/default.jpg"</f>
        <v>https://www.artic.edu/iiif/2/d6f23c25-7075-ac62-6a35-84ca0b06ce6e/full/843,/0/default.jpg</v>
      </c>
      <c r="N348" s="3">
        <v>0.85</v>
      </c>
      <c r="O348" s="3">
        <v>0.05</v>
      </c>
      <c r="P348" s="3">
        <v>0.79999999999999993</v>
      </c>
      <c r="Q348" s="3">
        <v>0.71034693717956499</v>
      </c>
    </row>
    <row r="349" spans="1:17" x14ac:dyDescent="0.45">
      <c r="A349" s="3">
        <v>38907</v>
      </c>
      <c r="B349" t="b">
        <v>0</v>
      </c>
      <c r="C349" t="b">
        <v>1</v>
      </c>
      <c r="D349" s="3">
        <v>1820</v>
      </c>
      <c r="E349" s="3">
        <v>1820</v>
      </c>
      <c r="F349" t="s">
        <v>7315</v>
      </c>
      <c r="G349" t="s">
        <v>7316</v>
      </c>
      <c r="H349" s="3">
        <v>37.757199999999997</v>
      </c>
      <c r="I349" t="s">
        <v>1266</v>
      </c>
      <c r="J349" t="s">
        <v>14400</v>
      </c>
      <c r="L349" t="s">
        <v>7317</v>
      </c>
      <c r="M349" t="str">
        <f>"https://www.artic.edu/iiif/2/"&amp;Table9[[#This Row],[Image ID]]&amp;"/full/843,/0/default.jpg"</f>
        <v>https://www.artic.edu/iiif/2/f6708fae-c387-9fc3-2be1-3337189e913c/full/843,/0/default.jpg</v>
      </c>
      <c r="N349" s="3">
        <v>0.85</v>
      </c>
      <c r="O349" s="3">
        <v>0.05</v>
      </c>
      <c r="P349" s="3">
        <v>0.79999999999999993</v>
      </c>
      <c r="Q349" s="3">
        <v>0.65163701772689797</v>
      </c>
    </row>
    <row r="350" spans="1:17" x14ac:dyDescent="0.45">
      <c r="A350" s="3">
        <v>39207</v>
      </c>
      <c r="B350" t="b">
        <v>0</v>
      </c>
      <c r="C350" t="b">
        <v>1</v>
      </c>
      <c r="D350" s="3">
        <v>1835</v>
      </c>
      <c r="E350" s="3">
        <v>1882</v>
      </c>
      <c r="F350" t="s">
        <v>7503</v>
      </c>
      <c r="G350" t="s">
        <v>7504</v>
      </c>
      <c r="H350" s="3">
        <v>43.604900000000001</v>
      </c>
      <c r="I350" t="s">
        <v>5317</v>
      </c>
      <c r="J350" t="s">
        <v>14539</v>
      </c>
      <c r="L350" t="s">
        <v>7505</v>
      </c>
      <c r="M350" t="str">
        <f>"https://www.artic.edu/iiif/2/"&amp;Table9[[#This Row],[Image ID]]&amp;"/full/843,/0/default.jpg"</f>
        <v>https://www.artic.edu/iiif/2/ff7db5da-789d-a4eb-734c-b889f5074d01/full/843,/0/default.jpg</v>
      </c>
      <c r="N350" s="3">
        <v>0.81799999999999995</v>
      </c>
      <c r="O350" s="3">
        <v>2.3E-2</v>
      </c>
      <c r="P350" s="3">
        <v>0.79499999999999993</v>
      </c>
      <c r="Q350" s="3">
        <v>0.70416855812072698</v>
      </c>
    </row>
    <row r="351" spans="1:17" x14ac:dyDescent="0.45">
      <c r="A351" s="3">
        <v>38157</v>
      </c>
      <c r="B351" t="b">
        <v>0</v>
      </c>
      <c r="C351" t="b">
        <v>0</v>
      </c>
      <c r="D351" s="3">
        <v>1970</v>
      </c>
      <c r="E351" s="3">
        <v>1970</v>
      </c>
      <c r="F351" t="s">
        <v>7278</v>
      </c>
      <c r="G351" t="s">
        <v>7279</v>
      </c>
      <c r="H351" s="3">
        <v>58.217799999999997</v>
      </c>
      <c r="I351" t="s">
        <v>7280</v>
      </c>
      <c r="J351" t="s">
        <v>11960</v>
      </c>
      <c r="L351" t="s">
        <v>7281</v>
      </c>
      <c r="M351" t="str">
        <f>"https://www.artic.edu/iiif/2/"&amp;Table9[[#This Row],[Image ID]]&amp;"/full/843,/0/default.jpg"</f>
        <v>https://www.artic.edu/iiif/2/42c9a4b9-2cbf-0f6f-11e5-2a9b26ea0bcb/full/843,/0/default.jpg</v>
      </c>
      <c r="N351" s="3">
        <v>0.81399999999999995</v>
      </c>
      <c r="O351" s="3">
        <v>2.3E-2</v>
      </c>
      <c r="P351" s="3">
        <v>0.79099999999999993</v>
      </c>
      <c r="Q351" s="3">
        <v>0.75757908821105902</v>
      </c>
    </row>
    <row r="352" spans="1:17" x14ac:dyDescent="0.45">
      <c r="A352" s="3">
        <v>115487</v>
      </c>
      <c r="B352" t="b">
        <v>0</v>
      </c>
      <c r="C352" t="b">
        <v>1</v>
      </c>
      <c r="D352" s="3">
        <v>1719</v>
      </c>
      <c r="E352" s="3">
        <v>1769</v>
      </c>
      <c r="F352" t="s">
        <v>1936</v>
      </c>
      <c r="G352" t="s">
        <v>1937</v>
      </c>
      <c r="H352" s="3">
        <v>50.118400000000001</v>
      </c>
      <c r="I352" t="s">
        <v>1922</v>
      </c>
      <c r="J352" t="s">
        <v>11521</v>
      </c>
      <c r="L352" t="s">
        <v>1938</v>
      </c>
      <c r="M352" t="str">
        <f>"https://www.artic.edu/iiif/2/"&amp;Table9[[#This Row],[Image ID]]&amp;"/full/843,/0/default.jpg"</f>
        <v>https://www.artic.edu/iiif/2/264ff5ac-1005-283c-d24e-359c92e03f64/full/843,/0/default.jpg</v>
      </c>
      <c r="N352" s="3">
        <v>0.86</v>
      </c>
      <c r="O352" s="3">
        <v>7.0000000000000007E-2</v>
      </c>
      <c r="P352" s="3">
        <v>0.79</v>
      </c>
      <c r="Q352" s="3">
        <v>0.91475957632064797</v>
      </c>
    </row>
    <row r="353" spans="1:17" x14ac:dyDescent="0.45">
      <c r="A353" s="3">
        <v>229122</v>
      </c>
      <c r="B353" t="b">
        <v>0</v>
      </c>
      <c r="C353" t="b">
        <v>0</v>
      </c>
      <c r="D353" s="3">
        <v>1974</v>
      </c>
      <c r="E353" s="3">
        <v>1974</v>
      </c>
      <c r="F353" t="s">
        <v>5840</v>
      </c>
      <c r="G353" t="s">
        <v>238</v>
      </c>
      <c r="H353" s="3">
        <v>13.878399999999999</v>
      </c>
      <c r="I353" t="s">
        <v>5841</v>
      </c>
      <c r="J353" t="s">
        <v>11563</v>
      </c>
      <c r="L353" t="s">
        <v>6056</v>
      </c>
      <c r="M353" t="str">
        <f>"https://www.artic.edu/iiif/2/"&amp;Table9[[#This Row],[Image ID]]&amp;"/full/843,/0/default.jpg"</f>
        <v>https://www.artic.edu/iiif/2/a7e05376-deef-d188-f04f-3806dd04cded/full/843,/0/default.jpg</v>
      </c>
      <c r="N353" s="3">
        <v>0.83699999999999997</v>
      </c>
      <c r="O353" s="3">
        <v>4.7E-2</v>
      </c>
      <c r="P353" s="3">
        <v>0.78999999999999992</v>
      </c>
      <c r="Q353" s="3">
        <v>0.79345476627349798</v>
      </c>
    </row>
    <row r="354" spans="1:17" x14ac:dyDescent="0.45">
      <c r="A354" s="3">
        <v>184921</v>
      </c>
      <c r="B354" t="b">
        <v>0</v>
      </c>
      <c r="C354" t="b">
        <v>0</v>
      </c>
      <c r="D354" s="3">
        <v>2003</v>
      </c>
      <c r="E354" s="3">
        <v>2003</v>
      </c>
      <c r="F354" t="s">
        <v>4900</v>
      </c>
      <c r="G354" t="s">
        <v>4823</v>
      </c>
      <c r="H354" s="3">
        <v>11.0219</v>
      </c>
      <c r="I354" t="s">
        <v>293</v>
      </c>
      <c r="J354" t="s">
        <v>10977</v>
      </c>
      <c r="K354" s="5" t="s">
        <v>15</v>
      </c>
      <c r="L354" t="s">
        <v>4901</v>
      </c>
      <c r="M354" t="str">
        <f>"https://www.artic.edu/iiif/2/"&amp;Table9[[#This Row],[Image ID]]&amp;"/full/843,/0/default.jpg"</f>
        <v>https://www.artic.edu/iiif/2/0036aff3-4e44-456b-6e7f-639a5c4433d2/full/843,/0/default.jpg</v>
      </c>
      <c r="N354" s="3">
        <v>0.85699999999999998</v>
      </c>
      <c r="O354" s="3">
        <v>7.0999999999999994E-2</v>
      </c>
      <c r="P354" s="3">
        <v>0.78600000000000003</v>
      </c>
      <c r="Q354" s="3">
        <v>0.85852462053298895</v>
      </c>
    </row>
    <row r="355" spans="1:17" x14ac:dyDescent="0.45">
      <c r="A355" s="3">
        <v>154124</v>
      </c>
      <c r="B355" t="b">
        <v>0</v>
      </c>
      <c r="C355" t="b">
        <v>0</v>
      </c>
      <c r="D355" s="3">
        <v>1966</v>
      </c>
      <c r="E355" s="3">
        <v>1966</v>
      </c>
      <c r="F355" t="s">
        <v>3979</v>
      </c>
      <c r="G355" t="s">
        <v>7</v>
      </c>
      <c r="H355" s="3">
        <v>40.878700000000002</v>
      </c>
      <c r="I355" t="s">
        <v>3980</v>
      </c>
      <c r="J355" t="s">
        <v>11670</v>
      </c>
      <c r="L355" t="s">
        <v>3981</v>
      </c>
      <c r="M355" t="str">
        <f>"https://www.artic.edu/iiif/2/"&amp;Table9[[#This Row],[Image ID]]&amp;"/full/843,/0/default.jpg"</f>
        <v>https://www.artic.edu/iiif/2/2faf98dd-b158-35f6-babe-bd9ffa3b2b11/full/843,/0/default.jpg</v>
      </c>
      <c r="N355" s="3">
        <v>0.81</v>
      </c>
      <c r="O355" s="3">
        <v>2.4E-2</v>
      </c>
      <c r="P355" s="3">
        <v>0.78600000000000003</v>
      </c>
      <c r="Q355" s="3">
        <v>0.93748813867568903</v>
      </c>
    </row>
    <row r="356" spans="1:17" x14ac:dyDescent="0.45">
      <c r="A356" s="3">
        <v>64027</v>
      </c>
      <c r="B356" t="b">
        <v>0</v>
      </c>
      <c r="C356" t="b">
        <v>0</v>
      </c>
      <c r="D356" s="3">
        <v>1787</v>
      </c>
      <c r="E356" s="3">
        <v>1787</v>
      </c>
      <c r="F356" t="s">
        <v>8958</v>
      </c>
      <c r="G356" t="s">
        <v>75</v>
      </c>
      <c r="H356" s="3">
        <v>41.685000000000002</v>
      </c>
      <c r="I356" t="s">
        <v>8959</v>
      </c>
      <c r="J356" t="s">
        <v>12796</v>
      </c>
      <c r="L356" t="s">
        <v>8960</v>
      </c>
      <c r="M356" t="str">
        <f>"https://www.artic.edu/iiif/2/"&amp;Table9[[#This Row],[Image ID]]&amp;"/full/843,/0/default.jpg"</f>
        <v>https://www.artic.edu/iiif/2/7f0fbb4b-82ff-2f51-f8b0-3dc169fa8144/full/843,/0/default.jpg</v>
      </c>
      <c r="N356" s="3">
        <v>0.81</v>
      </c>
      <c r="O356" s="3">
        <v>2.4E-2</v>
      </c>
      <c r="P356" s="3">
        <v>0.78600000000000003</v>
      </c>
      <c r="Q356" s="3">
        <v>0.60249334573745705</v>
      </c>
    </row>
    <row r="357" spans="1:17" x14ac:dyDescent="0.45">
      <c r="A357" s="3">
        <v>193297</v>
      </c>
      <c r="B357" t="b">
        <v>0</v>
      </c>
      <c r="C357" t="b">
        <v>0</v>
      </c>
      <c r="D357" s="3">
        <v>2007</v>
      </c>
      <c r="E357" s="3">
        <v>2007</v>
      </c>
      <c r="F357" t="s">
        <v>5226</v>
      </c>
      <c r="G357" t="s">
        <v>141</v>
      </c>
      <c r="H357" s="3">
        <v>17.166899999999998</v>
      </c>
      <c r="I357" t="s">
        <v>4767</v>
      </c>
      <c r="J357" t="s">
        <v>14305</v>
      </c>
      <c r="K357" s="5" t="s">
        <v>15</v>
      </c>
      <c r="L357" t="s">
        <v>5227</v>
      </c>
      <c r="M357" t="str">
        <f>"https://www.artic.edu/iiif/2/"&amp;Table9[[#This Row],[Image ID]]&amp;"/full/843,/0/default.jpg"</f>
        <v>https://www.artic.edu/iiif/2/efb1f231-6318-b4e1-c054-a2322e92d1ed/full/843,/0/default.jpg</v>
      </c>
      <c r="N357" s="3">
        <v>0.81</v>
      </c>
      <c r="O357" s="3">
        <v>2.4E-2</v>
      </c>
      <c r="P357" s="3">
        <v>0.78600000000000003</v>
      </c>
      <c r="Q357" s="3">
        <v>0.71501207351684504</v>
      </c>
    </row>
    <row r="358" spans="1:17" x14ac:dyDescent="0.45">
      <c r="A358" s="3">
        <v>36519</v>
      </c>
      <c r="B358" t="b">
        <v>0</v>
      </c>
      <c r="C358" t="b">
        <v>1</v>
      </c>
      <c r="D358" s="3">
        <v>1745</v>
      </c>
      <c r="E358" s="3">
        <v>1755</v>
      </c>
      <c r="F358" t="s">
        <v>7233</v>
      </c>
      <c r="G358" t="s">
        <v>7</v>
      </c>
      <c r="H358" s="3">
        <v>0</v>
      </c>
      <c r="J358" t="s">
        <v>12799</v>
      </c>
      <c r="L358" t="s">
        <v>7234</v>
      </c>
      <c r="M358" t="str">
        <f>"https://www.artic.edu/iiif/2/"&amp;Table9[[#This Row],[Image ID]]&amp;"/full/843,/0/default.jpg"</f>
        <v>https://www.artic.edu/iiif/2/7f1e29c0-b320-cf0c-57f6-379131e8ec0c/full/843,/0/default.jpg</v>
      </c>
      <c r="N358" s="3">
        <v>0.78600000000000003</v>
      </c>
      <c r="O358" s="3">
        <v>0</v>
      </c>
      <c r="P358" s="3">
        <v>0.78600000000000003</v>
      </c>
      <c r="Q358" s="3">
        <v>0.763899445533752</v>
      </c>
    </row>
    <row r="359" spans="1:17" x14ac:dyDescent="0.45">
      <c r="A359" s="3">
        <v>6198</v>
      </c>
      <c r="B359" t="b">
        <v>0</v>
      </c>
      <c r="C359" t="b">
        <v>1</v>
      </c>
      <c r="D359" s="3">
        <v>1830</v>
      </c>
      <c r="E359" s="3">
        <v>1850</v>
      </c>
      <c r="F359" t="s">
        <v>8855</v>
      </c>
      <c r="G359" t="s">
        <v>8856</v>
      </c>
      <c r="H359" s="3">
        <v>24.423200000000001</v>
      </c>
      <c r="I359" t="s">
        <v>230</v>
      </c>
      <c r="J359" t="s">
        <v>13639</v>
      </c>
      <c r="L359" t="s">
        <v>8857</v>
      </c>
      <c r="M359" t="str">
        <f>"https://www.artic.edu/iiif/2/"&amp;Table9[[#This Row],[Image ID]]&amp;"/full/843,/0/default.jpg"</f>
        <v>https://www.artic.edu/iiif/2/becf3af6-3520-f77e-2b2e-e9853031af4d/full/843,/0/default.jpg</v>
      </c>
      <c r="N359" s="3">
        <v>0.81</v>
      </c>
      <c r="O359" s="3">
        <v>2.4E-2</v>
      </c>
      <c r="P359" s="3">
        <v>0.78600000000000003</v>
      </c>
      <c r="Q359" s="3">
        <v>0.81439936161041204</v>
      </c>
    </row>
    <row r="360" spans="1:17" x14ac:dyDescent="0.45">
      <c r="A360" s="3">
        <v>70227</v>
      </c>
      <c r="B360" t="b">
        <v>0</v>
      </c>
      <c r="C360" t="b">
        <v>0</v>
      </c>
      <c r="D360" s="3">
        <v>1987</v>
      </c>
      <c r="E360" s="3">
        <v>1987</v>
      </c>
      <c r="F360" t="s">
        <v>9449</v>
      </c>
      <c r="G360" t="s">
        <v>9450</v>
      </c>
      <c r="H360" s="3">
        <v>56.478900000000003</v>
      </c>
      <c r="I360" t="s">
        <v>5882</v>
      </c>
      <c r="J360" t="s">
        <v>13211</v>
      </c>
      <c r="L360" t="s">
        <v>9451</v>
      </c>
      <c r="M360" t="str">
        <f>"https://www.artic.edu/iiif/2/"&amp;Table9[[#This Row],[Image ID]]&amp;"/full/843,/0/default.jpg"</f>
        <v>https://www.artic.edu/iiif/2/9e2fa9d1-a5ff-0ce2-dec4-219642be6a07/full/843,/0/default.jpg</v>
      </c>
      <c r="N360" s="3">
        <v>0.83299999999999996</v>
      </c>
      <c r="O360" s="3">
        <v>4.7E-2</v>
      </c>
      <c r="P360" s="3">
        <v>0.78599999999999992</v>
      </c>
      <c r="Q360" s="3">
        <v>0.76837754249572698</v>
      </c>
    </row>
    <row r="361" spans="1:17" x14ac:dyDescent="0.45">
      <c r="A361" s="3">
        <v>225739</v>
      </c>
      <c r="B361" t="b">
        <v>0</v>
      </c>
      <c r="C361" t="b">
        <v>0</v>
      </c>
      <c r="D361" s="3">
        <v>1959</v>
      </c>
      <c r="E361" s="3">
        <v>1959</v>
      </c>
      <c r="F361" t="s">
        <v>5938</v>
      </c>
      <c r="G361" t="s">
        <v>5917</v>
      </c>
      <c r="H361" s="3">
        <v>42.821800000000003</v>
      </c>
      <c r="I361" t="s">
        <v>5918</v>
      </c>
      <c r="J361" t="s">
        <v>11203</v>
      </c>
      <c r="L361" t="s">
        <v>5939</v>
      </c>
      <c r="M361" t="str">
        <f>"https://www.artic.edu/iiif/2/"&amp;Table9[[#This Row],[Image ID]]&amp;"/full/843,/0/default.jpg"</f>
        <v>https://www.artic.edu/iiif/2/c3c05428-cbf8-96e4-9cbb-f1f1ebeb0c2f/full/843,/0/default.jpg</v>
      </c>
      <c r="N361" s="3">
        <v>0.83299999999999996</v>
      </c>
      <c r="O361" s="3">
        <v>4.8000000000000001E-2</v>
      </c>
      <c r="P361" s="3">
        <v>0.78499999999999992</v>
      </c>
      <c r="Q361" s="3">
        <v>0.78306752443313599</v>
      </c>
    </row>
    <row r="362" spans="1:17" x14ac:dyDescent="0.45">
      <c r="A362" s="3">
        <v>5051</v>
      </c>
      <c r="B362" t="b">
        <v>0</v>
      </c>
      <c r="C362" t="b">
        <v>0</v>
      </c>
      <c r="D362" s="3">
        <v>1929</v>
      </c>
      <c r="E362" s="3">
        <v>1929</v>
      </c>
      <c r="F362" t="s">
        <v>8107</v>
      </c>
      <c r="G362" t="s">
        <v>8108</v>
      </c>
      <c r="H362" s="3">
        <v>41.201000000000001</v>
      </c>
      <c r="I362" t="s">
        <v>8109</v>
      </c>
      <c r="J362" t="s">
        <v>11061</v>
      </c>
      <c r="L362" t="s">
        <v>8110</v>
      </c>
      <c r="M362" t="str">
        <f>"https://www.artic.edu/iiif/2/"&amp;Table9[[#This Row],[Image ID]]&amp;"/full/843,/0/default.jpg"</f>
        <v>https://www.artic.edu/iiif/2/05f3fe93-38af-24eb-f094-0416e1d1a0c1/full/843,/0/default.jpg</v>
      </c>
      <c r="N362" s="3">
        <v>0.80500000000000005</v>
      </c>
      <c r="O362" s="3">
        <v>2.4E-2</v>
      </c>
      <c r="P362" s="3">
        <v>0.78100000000000003</v>
      </c>
      <c r="Q362" s="3">
        <v>0.80138570070266701</v>
      </c>
    </row>
    <row r="363" spans="1:17" x14ac:dyDescent="0.45">
      <c r="A363" s="3">
        <v>155877</v>
      </c>
      <c r="B363" t="b">
        <v>0</v>
      </c>
      <c r="C363" t="b">
        <v>0</v>
      </c>
      <c r="D363" s="3">
        <v>1976</v>
      </c>
      <c r="E363" s="3">
        <v>1976</v>
      </c>
      <c r="F363" t="s">
        <v>4037</v>
      </c>
      <c r="G363" t="s">
        <v>4038</v>
      </c>
      <c r="H363" s="3">
        <v>7.5419</v>
      </c>
      <c r="I363" t="s">
        <v>4039</v>
      </c>
      <c r="J363" t="s">
        <v>11115</v>
      </c>
      <c r="L363" t="s">
        <v>4040</v>
      </c>
      <c r="M363" t="str">
        <f>"https://www.artic.edu/iiif/2/"&amp;Table9[[#This Row],[Image ID]]&amp;"/full/843,/0/default.jpg"</f>
        <v>https://www.artic.edu/iiif/2/0a337ba2-fa57-176e-3cd6-a8ea27d41ac8/full/843,/0/default.jpg</v>
      </c>
      <c r="N363" s="3">
        <v>0.85399999999999998</v>
      </c>
      <c r="O363" s="3">
        <v>7.2999999999999995E-2</v>
      </c>
      <c r="P363" s="3">
        <v>0.78100000000000003</v>
      </c>
      <c r="Q363" s="3">
        <v>0.83078145980834905</v>
      </c>
    </row>
    <row r="364" spans="1:17" x14ac:dyDescent="0.45">
      <c r="A364" s="3">
        <v>70036</v>
      </c>
      <c r="B364" t="b">
        <v>0</v>
      </c>
      <c r="C364" t="b">
        <v>0</v>
      </c>
      <c r="D364" s="3">
        <v>1960</v>
      </c>
      <c r="E364" s="3">
        <v>1960</v>
      </c>
      <c r="F364" t="s">
        <v>9423</v>
      </c>
      <c r="G364" t="s">
        <v>7</v>
      </c>
      <c r="H364" s="3">
        <v>72.071299999999994</v>
      </c>
      <c r="I364" t="s">
        <v>144</v>
      </c>
      <c r="J364" t="s">
        <v>11342</v>
      </c>
      <c r="K364" s="5" t="s">
        <v>45</v>
      </c>
      <c r="L364" t="s">
        <v>9424</v>
      </c>
      <c r="M364" t="str">
        <f>"https://www.artic.edu/iiif/2/"&amp;Table9[[#This Row],[Image ID]]&amp;"/full/843,/0/default.jpg"</f>
        <v>https://www.artic.edu/iiif/2/2933251d-c4a9-d961-a702-af5d1e10ea3d/full/843,/0/default.jpg</v>
      </c>
      <c r="N364" s="3">
        <v>0.85399999999999998</v>
      </c>
      <c r="O364" s="3">
        <v>7.2999999999999995E-2</v>
      </c>
      <c r="P364" s="3">
        <v>0.78100000000000003</v>
      </c>
      <c r="Q364" s="3">
        <v>0.89639145135879505</v>
      </c>
    </row>
    <row r="365" spans="1:17" x14ac:dyDescent="0.45">
      <c r="A365" s="3">
        <v>14730</v>
      </c>
      <c r="B365" t="b">
        <v>0</v>
      </c>
      <c r="C365" t="b">
        <v>0</v>
      </c>
      <c r="D365" s="3">
        <v>1911</v>
      </c>
      <c r="E365" s="3">
        <v>1926</v>
      </c>
      <c r="F365" t="s">
        <v>3600</v>
      </c>
      <c r="G365" t="s">
        <v>3601</v>
      </c>
      <c r="H365" s="3">
        <v>20.721699999999998</v>
      </c>
      <c r="I365" t="s">
        <v>3598</v>
      </c>
      <c r="J365" t="s">
        <v>11750</v>
      </c>
      <c r="L365" t="s">
        <v>3602</v>
      </c>
      <c r="M365" t="str">
        <f>"https://www.artic.edu/iiif/2/"&amp;Table9[[#This Row],[Image ID]]&amp;"/full/843,/0/default.jpg"</f>
        <v>https://www.artic.edu/iiif/2/357e5ffd-1c2c-e5cd-91df-6f7dd21e6f74/full/843,/0/default.jpg</v>
      </c>
      <c r="N365" s="3">
        <v>0.80500000000000005</v>
      </c>
      <c r="O365" s="3">
        <v>2.4E-2</v>
      </c>
      <c r="P365" s="3">
        <v>0.78100000000000003</v>
      </c>
      <c r="Q365" s="3">
        <v>0.67911708354949896</v>
      </c>
    </row>
    <row r="366" spans="1:17" x14ac:dyDescent="0.45">
      <c r="A366" s="3">
        <v>66201</v>
      </c>
      <c r="B366" t="b">
        <v>0</v>
      </c>
      <c r="C366" t="b">
        <v>0</v>
      </c>
      <c r="D366" s="3">
        <v>1962</v>
      </c>
      <c r="E366" s="3">
        <v>1962</v>
      </c>
      <c r="F366" t="s">
        <v>9222</v>
      </c>
      <c r="G366" t="s">
        <v>7</v>
      </c>
      <c r="H366" s="3">
        <v>8.2226999999999997</v>
      </c>
      <c r="I366" t="s">
        <v>491</v>
      </c>
      <c r="J366" t="s">
        <v>11847</v>
      </c>
      <c r="L366" t="s">
        <v>9223</v>
      </c>
      <c r="M366" t="str">
        <f>"https://www.artic.edu/iiif/2/"&amp;Table9[[#This Row],[Image ID]]&amp;"/full/843,/0/default.jpg"</f>
        <v>https://www.artic.edu/iiif/2/3b85e5ce-e2f9-2eae-43d9-b5f25ef6983e/full/843,/0/default.jpg</v>
      </c>
      <c r="N366" s="3">
        <v>0.85399999999999998</v>
      </c>
      <c r="O366" s="3">
        <v>7.2999999999999995E-2</v>
      </c>
      <c r="P366" s="3">
        <v>0.78100000000000003</v>
      </c>
      <c r="Q366" s="3">
        <v>0.78591156005859297</v>
      </c>
    </row>
    <row r="367" spans="1:17" x14ac:dyDescent="0.45">
      <c r="A367" s="3">
        <v>23494</v>
      </c>
      <c r="B367" t="b">
        <v>0</v>
      </c>
      <c r="C367" t="b">
        <v>0</v>
      </c>
      <c r="D367" s="3">
        <v>1936</v>
      </c>
      <c r="E367" s="3">
        <v>1936</v>
      </c>
      <c r="F367" t="s">
        <v>6217</v>
      </c>
      <c r="G367" t="s">
        <v>5633</v>
      </c>
      <c r="H367" s="3">
        <v>28.866900000000001</v>
      </c>
      <c r="I367" t="s">
        <v>1512</v>
      </c>
      <c r="J367" t="s">
        <v>12690</v>
      </c>
      <c r="L367" t="s">
        <v>6218</v>
      </c>
      <c r="M367" t="str">
        <f>"https://www.artic.edu/iiif/2/"&amp;Table9[[#This Row],[Image ID]]&amp;"/full/843,/0/default.jpg"</f>
        <v>https://www.artic.edu/iiif/2/b4858956-caaa-28d0-f674-eb4f329fa345/full/843,/0/default.jpg</v>
      </c>
      <c r="N367" s="3">
        <v>0.80500000000000005</v>
      </c>
      <c r="O367" s="3">
        <v>2.4E-2</v>
      </c>
      <c r="P367" s="3">
        <v>0.78100000000000003</v>
      </c>
      <c r="Q367" s="3">
        <v>0.56587302684783902</v>
      </c>
    </row>
    <row r="368" spans="1:17" x14ac:dyDescent="0.45">
      <c r="A368" s="3">
        <v>185186</v>
      </c>
      <c r="B368" t="b">
        <v>0</v>
      </c>
      <c r="C368" t="b">
        <v>0</v>
      </c>
      <c r="D368" s="3">
        <v>1950</v>
      </c>
      <c r="E368" s="3">
        <v>1950</v>
      </c>
      <c r="F368" t="s">
        <v>4973</v>
      </c>
      <c r="G368" t="s">
        <v>7</v>
      </c>
      <c r="H368" s="3">
        <v>37.136600000000001</v>
      </c>
      <c r="I368" t="s">
        <v>2302</v>
      </c>
      <c r="J368" t="s">
        <v>13974</v>
      </c>
      <c r="K368" s="5" t="s">
        <v>3755</v>
      </c>
      <c r="L368" t="s">
        <v>4974</v>
      </c>
      <c r="M368" t="str">
        <f>"https://www.artic.edu/iiif/2/"&amp;Table9[[#This Row],[Image ID]]&amp;"/full/843,/0/default.jpg"</f>
        <v>https://www.artic.edu/iiif/2/d9bbaa6a-3c52-20d8-5b42-64dcb940fde8/full/843,/0/default.jpg</v>
      </c>
      <c r="N368" s="3">
        <v>0.80500000000000005</v>
      </c>
      <c r="O368" s="3">
        <v>2.4E-2</v>
      </c>
      <c r="P368" s="3">
        <v>0.78100000000000003</v>
      </c>
      <c r="Q368" s="3">
        <v>0.90268599987029996</v>
      </c>
    </row>
    <row r="369" spans="1:17" x14ac:dyDescent="0.45">
      <c r="A369" s="3">
        <v>13525</v>
      </c>
      <c r="B369" t="b">
        <v>0</v>
      </c>
      <c r="C369" t="b">
        <v>0</v>
      </c>
      <c r="D369" s="3">
        <v>1923</v>
      </c>
      <c r="E369" s="3">
        <v>1923</v>
      </c>
      <c r="F369" t="s">
        <v>3105</v>
      </c>
      <c r="G369" t="s">
        <v>3106</v>
      </c>
      <c r="H369" s="3">
        <v>42.767299999999999</v>
      </c>
      <c r="I369" t="s">
        <v>3107</v>
      </c>
      <c r="J369" t="s">
        <v>14321</v>
      </c>
      <c r="L369" t="s">
        <v>3108</v>
      </c>
      <c r="M369" t="str">
        <f>"https://www.artic.edu/iiif/2/"&amp;Table9[[#This Row],[Image ID]]&amp;"/full/843,/0/default.jpg"</f>
        <v>https://www.artic.edu/iiif/2/f074f008-2f52-a948-3393-4e0a566c0990/full/843,/0/default.jpg</v>
      </c>
      <c r="N369" s="3">
        <v>0.80500000000000005</v>
      </c>
      <c r="O369" s="3">
        <v>2.4E-2</v>
      </c>
      <c r="P369" s="3">
        <v>0.78100000000000003</v>
      </c>
      <c r="Q369" s="3">
        <v>0.87019956111907903</v>
      </c>
    </row>
    <row r="370" spans="1:17" x14ac:dyDescent="0.45">
      <c r="A370" s="3">
        <v>97893</v>
      </c>
      <c r="B370" t="b">
        <v>0</v>
      </c>
      <c r="C370" t="b">
        <v>1</v>
      </c>
      <c r="D370" s="3">
        <v>1898</v>
      </c>
      <c r="E370" s="3">
        <v>1898</v>
      </c>
      <c r="F370" t="s">
        <v>10872</v>
      </c>
      <c r="G370" t="s">
        <v>7</v>
      </c>
      <c r="H370" s="3">
        <v>15.4084</v>
      </c>
      <c r="I370" t="s">
        <v>192</v>
      </c>
      <c r="J370" t="s">
        <v>11067</v>
      </c>
      <c r="L370" t="s">
        <v>10873</v>
      </c>
      <c r="M370" t="str">
        <f>"https://www.artic.edu/iiif/2/"&amp;Table9[[#This Row],[Image ID]]&amp;"/full/843,/0/default.jpg"</f>
        <v>https://www.artic.edu/iiif/2/14060224-d2c8-a442-d410-58043d6bc861/full/843,/0/default.jpg</v>
      </c>
      <c r="N370" s="3">
        <v>0.85399999999999998</v>
      </c>
      <c r="O370" s="3">
        <v>7.2999999999999995E-2</v>
      </c>
      <c r="P370" s="3">
        <v>0.78100000000000003</v>
      </c>
      <c r="Q370" s="3">
        <v>0.69585019350051802</v>
      </c>
    </row>
    <row r="371" spans="1:17" x14ac:dyDescent="0.45">
      <c r="A371" s="3">
        <v>16636</v>
      </c>
      <c r="B371" t="b">
        <v>0</v>
      </c>
      <c r="C371" t="b">
        <v>1</v>
      </c>
      <c r="D371" s="3">
        <v>1862</v>
      </c>
      <c r="E371" s="3">
        <v>1872</v>
      </c>
      <c r="F371" t="s">
        <v>4511</v>
      </c>
      <c r="G371" t="s">
        <v>75</v>
      </c>
      <c r="H371" s="3">
        <v>56.1843</v>
      </c>
      <c r="I371" t="s">
        <v>4512</v>
      </c>
      <c r="J371" t="s">
        <v>12017</v>
      </c>
      <c r="K371" s="5" t="s">
        <v>284</v>
      </c>
      <c r="L371" t="s">
        <v>4513</v>
      </c>
      <c r="M371" t="str">
        <f>"https://www.artic.edu/iiif/2/"&amp;Table9[[#This Row],[Image ID]]&amp;"/full/843,/0/default.jpg"</f>
        <v>https://www.artic.edu/iiif/2/46c9a3b9-b95e-5b99-005b-0fd3a2e93d88/full/843,/0/default.jpg</v>
      </c>
      <c r="N371" s="3">
        <v>0.85399999999999998</v>
      </c>
      <c r="O371" s="3">
        <v>7.2999999999999995E-2</v>
      </c>
      <c r="P371" s="3">
        <v>0.78100000000000003</v>
      </c>
      <c r="Q371" s="3">
        <v>0.79589384794235196</v>
      </c>
    </row>
    <row r="372" spans="1:17" x14ac:dyDescent="0.45">
      <c r="A372" s="3">
        <v>75507</v>
      </c>
      <c r="B372" t="b">
        <v>0</v>
      </c>
      <c r="C372" t="b">
        <v>1</v>
      </c>
      <c r="D372" s="3">
        <v>1873</v>
      </c>
      <c r="E372" s="3">
        <v>1873</v>
      </c>
      <c r="F372" t="s">
        <v>9744</v>
      </c>
      <c r="G372" t="s">
        <v>7</v>
      </c>
      <c r="H372" s="3">
        <v>14.156000000000001</v>
      </c>
      <c r="I372" t="s">
        <v>1269</v>
      </c>
      <c r="J372" t="s">
        <v>12900</v>
      </c>
      <c r="K372" s="5" t="s">
        <v>9</v>
      </c>
      <c r="L372" t="s">
        <v>9745</v>
      </c>
      <c r="M372" t="str">
        <f>"https://www.artic.edu/iiif/2/"&amp;Table9[[#This Row],[Image ID]]&amp;"/full/843,/0/default.jpg"</f>
        <v>https://www.artic.edu/iiif/2/85d05bad-1205-6de5-e75c-ec9113a626ab/full/843,/0/default.jpg</v>
      </c>
      <c r="N372" s="3">
        <v>0.80500000000000005</v>
      </c>
      <c r="O372" s="3">
        <v>2.4E-2</v>
      </c>
      <c r="P372" s="3">
        <v>0.78100000000000003</v>
      </c>
      <c r="Q372" s="3">
        <v>0.59452641010284402</v>
      </c>
    </row>
    <row r="373" spans="1:17" x14ac:dyDescent="0.45">
      <c r="A373" s="3">
        <v>36492</v>
      </c>
      <c r="B373" t="b">
        <v>0</v>
      </c>
      <c r="C373" t="b">
        <v>1</v>
      </c>
      <c r="D373" s="3">
        <v>1743</v>
      </c>
      <c r="E373" s="3">
        <v>1744</v>
      </c>
      <c r="F373" t="s">
        <v>7226</v>
      </c>
      <c r="G373" t="s">
        <v>7</v>
      </c>
      <c r="H373" s="3">
        <v>31.781600000000001</v>
      </c>
      <c r="I373" t="s">
        <v>7227</v>
      </c>
      <c r="J373" t="s">
        <v>13709</v>
      </c>
      <c r="L373" t="s">
        <v>7228</v>
      </c>
      <c r="M373" t="str">
        <f>"https://www.artic.edu/iiif/2/"&amp;Table9[[#This Row],[Image ID]]&amp;"/full/843,/0/default.jpg"</f>
        <v>https://www.artic.edu/iiif/2/c5333dc5-c2a8-489a-70fc-2371ec6c68be/full/843,/0/default.jpg</v>
      </c>
      <c r="N373" s="3">
        <v>0.80500000000000005</v>
      </c>
      <c r="O373" s="3">
        <v>2.4E-2</v>
      </c>
      <c r="P373" s="3">
        <v>0.78100000000000003</v>
      </c>
      <c r="Q373" s="3">
        <v>0.72620129585266102</v>
      </c>
    </row>
    <row r="374" spans="1:17" x14ac:dyDescent="0.45">
      <c r="A374" s="3">
        <v>111872</v>
      </c>
      <c r="B374" t="b">
        <v>0</v>
      </c>
      <c r="C374" t="b">
        <v>1</v>
      </c>
      <c r="D374" s="3">
        <v>1500</v>
      </c>
      <c r="E374" s="3">
        <v>1600</v>
      </c>
      <c r="F374" t="s">
        <v>1270</v>
      </c>
      <c r="G374" t="s">
        <v>7</v>
      </c>
      <c r="H374" s="3">
        <v>25.0641</v>
      </c>
      <c r="I374" t="s">
        <v>957</v>
      </c>
      <c r="J374" t="s">
        <v>13932</v>
      </c>
      <c r="L374" t="s">
        <v>1271</v>
      </c>
      <c r="M374" t="str">
        <f>"https://www.artic.edu/iiif/2/"&amp;Table9[[#This Row],[Image ID]]&amp;"/full/843,/0/default.jpg"</f>
        <v>https://www.artic.edu/iiif/2/d6b0923d-18cf-b9e3-4d94-09aef122b9ba/full/843,/0/default.jpg</v>
      </c>
      <c r="N374" s="3">
        <v>0.80500000000000005</v>
      </c>
      <c r="O374" s="3">
        <v>2.4E-2</v>
      </c>
      <c r="P374" s="3">
        <v>0.78100000000000003</v>
      </c>
      <c r="Q374" s="3">
        <v>0.84088516235351496</v>
      </c>
    </row>
    <row r="375" spans="1:17" x14ac:dyDescent="0.45">
      <c r="A375" s="3">
        <v>154037</v>
      </c>
      <c r="B375" t="b">
        <v>0</v>
      </c>
      <c r="C375" t="b">
        <v>1</v>
      </c>
      <c r="D375" s="3">
        <v>1525</v>
      </c>
      <c r="E375" s="3">
        <v>1530</v>
      </c>
      <c r="F375" t="s">
        <v>3973</v>
      </c>
      <c r="G375" t="s">
        <v>75</v>
      </c>
      <c r="H375" s="3">
        <v>29.022300000000001</v>
      </c>
      <c r="I375" t="s">
        <v>919</v>
      </c>
      <c r="J375" t="s">
        <v>12345</v>
      </c>
      <c r="L375" t="s">
        <v>3974</v>
      </c>
      <c r="M375" t="str">
        <f>"https://www.artic.edu/iiif/2/"&amp;Table9[[#This Row],[Image ID]]&amp;"/full/843,/0/default.jpg"</f>
        <v>https://www.artic.edu/iiif/2/d8c733d2-5132-d0e6-c7ba-2f9f35f1a191/full/843,/0/default.jpg</v>
      </c>
      <c r="N375" s="3">
        <v>0.80500000000000005</v>
      </c>
      <c r="O375" s="3">
        <v>2.4E-2</v>
      </c>
      <c r="P375" s="3">
        <v>0.78100000000000003</v>
      </c>
      <c r="Q375" s="3">
        <v>0.776192486286163</v>
      </c>
    </row>
    <row r="376" spans="1:17" x14ac:dyDescent="0.45">
      <c r="A376" s="3">
        <v>111250</v>
      </c>
      <c r="B376" t="b">
        <v>0</v>
      </c>
      <c r="C376" t="b">
        <v>1</v>
      </c>
      <c r="D376" s="3">
        <v>1505</v>
      </c>
      <c r="E376" s="3">
        <v>1515</v>
      </c>
      <c r="F376" t="s">
        <v>1046</v>
      </c>
      <c r="G376" t="s">
        <v>75</v>
      </c>
      <c r="H376" s="3">
        <v>46.543100000000003</v>
      </c>
      <c r="I376" t="s">
        <v>1047</v>
      </c>
      <c r="J376" t="s">
        <v>14267</v>
      </c>
      <c r="L376" t="s">
        <v>1048</v>
      </c>
      <c r="M376" t="str">
        <f>"https://www.artic.edu/iiif/2/"&amp;Table9[[#This Row],[Image ID]]&amp;"/full/843,/0/default.jpg"</f>
        <v>https://www.artic.edu/iiif/2/ed291bcf-adaa-4acb-aafb-c092b0fd8351/full/843,/0/default.jpg</v>
      </c>
      <c r="N376" s="3">
        <v>0.92700000000000005</v>
      </c>
      <c r="O376" s="3">
        <v>0.14599999999999999</v>
      </c>
      <c r="P376" s="3">
        <v>0.78100000000000003</v>
      </c>
      <c r="Q376" s="3">
        <v>0.73508995771408003</v>
      </c>
    </row>
    <row r="377" spans="1:17" x14ac:dyDescent="0.45">
      <c r="A377" s="3">
        <v>94840</v>
      </c>
      <c r="B377" t="b">
        <v>0</v>
      </c>
      <c r="C377" t="b">
        <v>1</v>
      </c>
      <c r="D377" s="3">
        <v>1645</v>
      </c>
      <c r="E377" s="3">
        <v>1645</v>
      </c>
      <c r="F377" t="s">
        <v>10741</v>
      </c>
      <c r="G377" t="s">
        <v>7</v>
      </c>
      <c r="H377" s="3">
        <v>15.553900000000001</v>
      </c>
      <c r="I377" t="s">
        <v>10742</v>
      </c>
      <c r="J377" t="s">
        <v>14442</v>
      </c>
      <c r="L377" t="s">
        <v>10743</v>
      </c>
      <c r="M377" t="str">
        <f>"https://www.artic.edu/iiif/2/"&amp;Table9[[#This Row],[Image ID]]&amp;"/full/843,/0/default.jpg"</f>
        <v>https://www.artic.edu/iiif/2/f95f32f7-6e79-5fbf-b438-a3fcb11197ee/full/843,/0/default.jpg</v>
      </c>
      <c r="N377" s="3">
        <v>0.85399999999999998</v>
      </c>
      <c r="O377" s="3">
        <v>7.2999999999999995E-2</v>
      </c>
      <c r="P377" s="3">
        <v>0.78100000000000003</v>
      </c>
      <c r="Q377" s="3">
        <v>0.81414371728897095</v>
      </c>
    </row>
    <row r="378" spans="1:17" x14ac:dyDescent="0.45">
      <c r="A378" s="3">
        <v>125663</v>
      </c>
      <c r="B378" t="b">
        <v>0</v>
      </c>
      <c r="C378" t="b">
        <v>0</v>
      </c>
      <c r="D378" s="3">
        <v>1932</v>
      </c>
      <c r="E378" s="3">
        <v>1932</v>
      </c>
      <c r="F378" t="s">
        <v>2768</v>
      </c>
      <c r="G378" t="s">
        <v>7</v>
      </c>
      <c r="H378" s="3">
        <v>46.2134</v>
      </c>
      <c r="I378" t="s">
        <v>2769</v>
      </c>
      <c r="J378" t="s">
        <v>14034</v>
      </c>
      <c r="L378" t="s">
        <v>2770</v>
      </c>
      <c r="M378" t="str">
        <f>"https://www.artic.edu/iiif/2/"&amp;Table9[[#This Row],[Image ID]]&amp;"/full/843,/0/default.jpg"</f>
        <v>https://www.artic.edu/iiif/2/ddf1a4f4-e390-c23a-68b2-37e1a1561a6f/full/843,/0/default.jpg</v>
      </c>
      <c r="N378" s="3">
        <v>0.82899999999999996</v>
      </c>
      <c r="O378" s="3">
        <v>4.8000000000000001E-2</v>
      </c>
      <c r="P378" s="3">
        <v>0.78099999999999992</v>
      </c>
      <c r="Q378" s="3">
        <v>0.84074437618255604</v>
      </c>
    </row>
    <row r="379" spans="1:17" x14ac:dyDescent="0.45">
      <c r="A379" s="3">
        <v>210902</v>
      </c>
      <c r="B379" t="b">
        <v>0</v>
      </c>
      <c r="C379" t="b">
        <v>0</v>
      </c>
      <c r="D379" s="3">
        <v>1991</v>
      </c>
      <c r="E379" s="3">
        <v>1991</v>
      </c>
      <c r="F379" t="s">
        <v>5576</v>
      </c>
      <c r="G379" t="s">
        <v>7</v>
      </c>
      <c r="H379" s="3">
        <v>40.053400000000003</v>
      </c>
      <c r="I379" t="s">
        <v>2941</v>
      </c>
      <c r="J379" t="s">
        <v>11736</v>
      </c>
      <c r="L379" t="s">
        <v>5577</v>
      </c>
      <c r="M379" t="str">
        <f>"https://www.artic.edu/iiif/2/"&amp;Table9[[#This Row],[Image ID]]&amp;"/full/843,/0/default.jpg"</f>
        <v>https://www.artic.edu/iiif/2/34526d2b-f602-091f-8dff-03b215396c0b/full/843,/0/default.jpg</v>
      </c>
      <c r="N379" s="3">
        <v>0.78</v>
      </c>
      <c r="O379" s="3">
        <v>0</v>
      </c>
      <c r="P379" s="3">
        <v>0.78</v>
      </c>
      <c r="Q379" s="3">
        <v>0.81913882493972701</v>
      </c>
    </row>
    <row r="380" spans="1:17" x14ac:dyDescent="0.45">
      <c r="A380" s="3">
        <v>104276</v>
      </c>
      <c r="B380" t="b">
        <v>0</v>
      </c>
      <c r="C380" t="b">
        <v>0</v>
      </c>
      <c r="D380" s="3">
        <v>1983</v>
      </c>
      <c r="E380" s="3">
        <v>1983</v>
      </c>
      <c r="F380" t="s">
        <v>417</v>
      </c>
      <c r="G380" t="s">
        <v>418</v>
      </c>
      <c r="H380" s="3">
        <v>16.831600000000002</v>
      </c>
      <c r="I380" t="s">
        <v>378</v>
      </c>
      <c r="J380" t="s">
        <v>10996</v>
      </c>
      <c r="K380" s="5" t="s">
        <v>45</v>
      </c>
      <c r="L380" t="s">
        <v>419</v>
      </c>
      <c r="M380" t="str">
        <f>"https://www.artic.edu/iiif/2/"&amp;Table9[[#This Row],[Image ID]]&amp;"/full/843,/0/default.jpg"</f>
        <v>https://www.artic.edu/iiif/2/3ff63396-f67a-15c8-8e0e-c0c68f2eb65d/full/843,/0/default.jpg</v>
      </c>
      <c r="N380" s="3">
        <v>0.90200000000000002</v>
      </c>
      <c r="O380" s="3">
        <v>0.122</v>
      </c>
      <c r="P380" s="3">
        <v>0.78</v>
      </c>
      <c r="Q380" s="3">
        <v>0.858495533466339</v>
      </c>
    </row>
    <row r="381" spans="1:17" x14ac:dyDescent="0.45">
      <c r="A381" s="3">
        <v>135470</v>
      </c>
      <c r="B381" t="b">
        <v>0</v>
      </c>
      <c r="C381" t="b">
        <v>0</v>
      </c>
      <c r="D381" s="3">
        <v>1983</v>
      </c>
      <c r="E381" s="3">
        <v>1983</v>
      </c>
      <c r="F381" t="s">
        <v>3114</v>
      </c>
      <c r="G381" t="s">
        <v>3115</v>
      </c>
      <c r="H381" s="3">
        <v>14.9711</v>
      </c>
      <c r="I381" t="s">
        <v>3116</v>
      </c>
      <c r="J381" t="s">
        <v>12014</v>
      </c>
      <c r="L381" t="s">
        <v>3117</v>
      </c>
      <c r="M381" t="str">
        <f>"https://www.artic.edu/iiif/2/"&amp;Table9[[#This Row],[Image ID]]&amp;"/full/843,/0/default.jpg"</f>
        <v>https://www.artic.edu/iiif/2/46908fdb-a2da-cab4-dac5-c7d5c933647a/full/843,/0/default.jpg</v>
      </c>
      <c r="N381" s="3">
        <v>0.878</v>
      </c>
      <c r="O381" s="3">
        <v>9.8000000000000004E-2</v>
      </c>
      <c r="P381" s="3">
        <v>0.78</v>
      </c>
      <c r="Q381" s="3">
        <v>0.85062503814697199</v>
      </c>
    </row>
    <row r="382" spans="1:17" x14ac:dyDescent="0.45">
      <c r="A382" s="3">
        <v>221814</v>
      </c>
      <c r="B382" t="b">
        <v>0</v>
      </c>
      <c r="C382" t="b">
        <v>0</v>
      </c>
      <c r="D382" s="3">
        <v>2000</v>
      </c>
      <c r="E382" s="3">
        <v>2000</v>
      </c>
      <c r="F382" t="s">
        <v>5814</v>
      </c>
      <c r="G382" t="s">
        <v>141</v>
      </c>
      <c r="H382" s="3">
        <v>41.107300000000002</v>
      </c>
      <c r="I382" t="s">
        <v>3964</v>
      </c>
      <c r="J382" t="s">
        <v>12015</v>
      </c>
      <c r="K382" s="5" t="s">
        <v>15</v>
      </c>
      <c r="L382" t="s">
        <v>5815</v>
      </c>
      <c r="M382" t="str">
        <f>"https://www.artic.edu/iiif/2/"&amp;Table9[[#This Row],[Image ID]]&amp;"/full/843,/0/default.jpg"</f>
        <v>https://www.artic.edu/iiif/2/4690a926-8782-d904-27ee-e38b400f7c87/full/843,/0/default.jpg</v>
      </c>
      <c r="N382" s="3">
        <v>0.78</v>
      </c>
      <c r="O382" s="3">
        <v>0</v>
      </c>
      <c r="P382" s="3">
        <v>0.78</v>
      </c>
      <c r="Q382" s="3">
        <v>0.61362826824188199</v>
      </c>
    </row>
    <row r="383" spans="1:17" x14ac:dyDescent="0.45">
      <c r="A383" s="3">
        <v>210010</v>
      </c>
      <c r="B383" t="b">
        <v>0</v>
      </c>
      <c r="C383" t="b">
        <v>0</v>
      </c>
      <c r="D383" s="3">
        <v>1980</v>
      </c>
      <c r="E383" s="3">
        <v>1980</v>
      </c>
      <c r="F383" t="s">
        <v>5557</v>
      </c>
      <c r="G383" t="s">
        <v>5558</v>
      </c>
      <c r="H383" s="3">
        <v>19.874400000000001</v>
      </c>
      <c r="I383" t="s">
        <v>151</v>
      </c>
      <c r="J383" t="s">
        <v>13710</v>
      </c>
      <c r="L383" t="s">
        <v>5559</v>
      </c>
      <c r="M383" t="str">
        <f>"https://www.artic.edu/iiif/2/"&amp;Table9[[#This Row],[Image ID]]&amp;"/full/843,/0/default.jpg"</f>
        <v>https://www.artic.edu/iiif/2/c5388802-b60a-13d5-931c-797fbcab1c9e/full/843,/0/default.jpg</v>
      </c>
      <c r="N383" s="3">
        <v>0.878</v>
      </c>
      <c r="O383" s="3">
        <v>9.8000000000000004E-2</v>
      </c>
      <c r="P383" s="3">
        <v>0.78</v>
      </c>
      <c r="Q383" s="3">
        <v>0.81445926427841098</v>
      </c>
    </row>
    <row r="384" spans="1:17" x14ac:dyDescent="0.45">
      <c r="A384" s="3">
        <v>111078</v>
      </c>
      <c r="B384" t="b">
        <v>0</v>
      </c>
      <c r="C384" t="b">
        <v>1</v>
      </c>
      <c r="D384" s="3">
        <v>1570</v>
      </c>
      <c r="E384" s="3">
        <v>1580</v>
      </c>
      <c r="F384" t="s">
        <v>297</v>
      </c>
      <c r="G384" t="s">
        <v>75</v>
      </c>
      <c r="H384" s="3">
        <v>19.935300000000002</v>
      </c>
      <c r="J384" t="s">
        <v>12364</v>
      </c>
      <c r="L384" t="s">
        <v>1028</v>
      </c>
      <c r="M384" t="str">
        <f>"https://www.artic.edu/iiif/2/"&amp;Table9[[#This Row],[Image ID]]&amp;"/full/843,/0/default.jpg"</f>
        <v>https://www.artic.edu/iiif/2/5efa3af7-3e68-29c9-f63b-f4ca41951e22/full/843,/0/default.jpg</v>
      </c>
      <c r="N384" s="3">
        <v>0.78</v>
      </c>
      <c r="O384" s="3">
        <v>0</v>
      </c>
      <c r="P384" s="3">
        <v>0.78</v>
      </c>
      <c r="Q384" s="3">
        <v>0.87631034851074197</v>
      </c>
    </row>
    <row r="385" spans="1:17" x14ac:dyDescent="0.45">
      <c r="A385" s="3">
        <v>66494</v>
      </c>
      <c r="B385" t="b">
        <v>0</v>
      </c>
      <c r="C385" t="b">
        <v>1</v>
      </c>
      <c r="D385" s="3">
        <v>1792</v>
      </c>
      <c r="E385" s="3">
        <v>1878</v>
      </c>
      <c r="F385" t="s">
        <v>4776</v>
      </c>
      <c r="G385" t="s">
        <v>9282</v>
      </c>
      <c r="H385" s="3">
        <v>13.202999999999999</v>
      </c>
      <c r="I385" t="s">
        <v>923</v>
      </c>
      <c r="J385" t="s">
        <v>13498</v>
      </c>
      <c r="L385" t="s">
        <v>9283</v>
      </c>
      <c r="M385" t="str">
        <f>"https://www.artic.edu/iiif/2/"&amp;Table9[[#This Row],[Image ID]]&amp;"/full/843,/0/default.jpg"</f>
        <v>https://www.artic.edu/iiif/2/b3f73c5c-73f5-2567-2892-8d52f424873e/full/843,/0/default.jpg</v>
      </c>
      <c r="N385" s="3">
        <v>0.878</v>
      </c>
      <c r="O385" s="3">
        <v>9.8000000000000004E-2</v>
      </c>
      <c r="P385" s="3">
        <v>0.78</v>
      </c>
      <c r="Q385" s="3">
        <v>0.82539427280426003</v>
      </c>
    </row>
    <row r="386" spans="1:17" x14ac:dyDescent="0.45">
      <c r="A386" s="3">
        <v>115496</v>
      </c>
      <c r="B386" t="b">
        <v>0</v>
      </c>
      <c r="C386" t="b">
        <v>1</v>
      </c>
      <c r="D386" s="3">
        <v>1719</v>
      </c>
      <c r="E386" s="3">
        <v>1769</v>
      </c>
      <c r="F386" t="s">
        <v>1959</v>
      </c>
      <c r="G386" t="s">
        <v>1960</v>
      </c>
      <c r="H386" s="3">
        <v>24.342600000000001</v>
      </c>
      <c r="I386" t="s">
        <v>1922</v>
      </c>
      <c r="J386" t="s">
        <v>13706</v>
      </c>
      <c r="L386" t="s">
        <v>1961</v>
      </c>
      <c r="M386" t="str">
        <f>"https://www.artic.edu/iiif/2/"&amp;Table9[[#This Row],[Image ID]]&amp;"/full/843,/0/default.jpg"</f>
        <v>https://www.artic.edu/iiif/2/c4fd1f6c-2a39-c806-23bd-e92d88d05815/full/843,/0/default.jpg</v>
      </c>
      <c r="N386" s="3">
        <v>0.78</v>
      </c>
      <c r="O386" s="3">
        <v>0</v>
      </c>
      <c r="P386" s="3">
        <v>0.78</v>
      </c>
      <c r="Q386" s="3">
        <v>0.84870547056198098</v>
      </c>
    </row>
    <row r="387" spans="1:17" x14ac:dyDescent="0.45">
      <c r="A387" s="3">
        <v>39049</v>
      </c>
      <c r="B387" t="b">
        <v>0</v>
      </c>
      <c r="C387" t="b">
        <v>1</v>
      </c>
      <c r="D387" s="3">
        <v>1802</v>
      </c>
      <c r="E387" s="3">
        <v>1827</v>
      </c>
      <c r="F387" t="s">
        <v>7395</v>
      </c>
      <c r="G387" t="s">
        <v>7396</v>
      </c>
      <c r="H387" s="3">
        <v>28.577999999999999</v>
      </c>
      <c r="I387" t="s">
        <v>1266</v>
      </c>
      <c r="J387" t="s">
        <v>14013</v>
      </c>
      <c r="L387" t="s">
        <v>7397</v>
      </c>
      <c r="M387" t="str">
        <f>"https://www.artic.edu/iiif/2/"&amp;Table9[[#This Row],[Image ID]]&amp;"/full/843,/0/default.jpg"</f>
        <v>https://www.artic.edu/iiif/2/dc563a6c-7453-54e1-b63b-19919436c328/full/843,/0/default.jpg</v>
      </c>
      <c r="N387" s="3">
        <v>0.878</v>
      </c>
      <c r="O387" s="3">
        <v>9.8000000000000004E-2</v>
      </c>
      <c r="P387" s="3">
        <v>0.78</v>
      </c>
      <c r="Q387" s="3">
        <v>0.82005017995834295</v>
      </c>
    </row>
    <row r="388" spans="1:17" x14ac:dyDescent="0.45">
      <c r="A388" s="3">
        <v>185779</v>
      </c>
      <c r="B388" t="b">
        <v>0</v>
      </c>
      <c r="C388" t="b">
        <v>0</v>
      </c>
      <c r="D388" s="3">
        <v>1953</v>
      </c>
      <c r="E388" s="3">
        <v>1953</v>
      </c>
      <c r="F388" t="s">
        <v>5023</v>
      </c>
      <c r="G388" t="s">
        <v>5024</v>
      </c>
      <c r="H388" s="3">
        <v>75.804400000000001</v>
      </c>
      <c r="I388" t="s">
        <v>62</v>
      </c>
      <c r="J388" t="s">
        <v>11160</v>
      </c>
      <c r="L388" t="s">
        <v>5025</v>
      </c>
      <c r="M388" t="str">
        <f>"https://www.artic.edu/iiif/2/"&amp;Table9[[#This Row],[Image ID]]&amp;"/full/843,/0/default.jpg"</f>
        <v>https://www.artic.edu/iiif/2/0e4128b8-7ec7-11e7-5eed-4e9ebc9aa0a4/full/843,/0/default.jpg</v>
      </c>
      <c r="N388" s="3">
        <v>0.82899999999999996</v>
      </c>
      <c r="O388" s="3">
        <v>4.9000000000000002E-2</v>
      </c>
      <c r="P388" s="3">
        <v>0.77999999999999992</v>
      </c>
      <c r="Q388" s="3">
        <v>0.91747993230819702</v>
      </c>
    </row>
    <row r="389" spans="1:17" x14ac:dyDescent="0.45">
      <c r="A389" s="3">
        <v>111402</v>
      </c>
      <c r="B389" t="b">
        <v>0</v>
      </c>
      <c r="C389" t="b">
        <v>0</v>
      </c>
      <c r="D389" s="3">
        <v>1900</v>
      </c>
      <c r="E389" s="3">
        <v>1922</v>
      </c>
      <c r="F389" t="s">
        <v>1092</v>
      </c>
      <c r="G389" t="s">
        <v>1093</v>
      </c>
      <c r="H389" s="3">
        <v>31.270399999999999</v>
      </c>
      <c r="I389" t="s">
        <v>1094</v>
      </c>
      <c r="J389" t="s">
        <v>12598</v>
      </c>
      <c r="L389" t="s">
        <v>1095</v>
      </c>
      <c r="M389" t="str">
        <f>"https://www.artic.edu/iiif/2/"&amp;Table9[[#This Row],[Image ID]]&amp;"/full/843,/0/default.jpg"</f>
        <v>https://www.artic.edu/iiif/2/6fb2caf4-626e-d72a-11fa-add7a1c7b35a/full/843,/0/default.jpg</v>
      </c>
      <c r="N389" s="3">
        <v>0.82899999999999996</v>
      </c>
      <c r="O389" s="3">
        <v>4.9000000000000002E-2</v>
      </c>
      <c r="P389" s="3">
        <v>0.77999999999999992</v>
      </c>
      <c r="Q389" s="3">
        <v>0.70857232809066695</v>
      </c>
    </row>
    <row r="390" spans="1:17" x14ac:dyDescent="0.45">
      <c r="A390" s="3">
        <v>234459</v>
      </c>
      <c r="B390" t="b">
        <v>0</v>
      </c>
      <c r="C390" t="b">
        <v>0</v>
      </c>
      <c r="D390" s="3">
        <v>1999</v>
      </c>
      <c r="E390" s="3">
        <v>1999</v>
      </c>
      <c r="F390" t="s">
        <v>6202</v>
      </c>
      <c r="G390" t="s">
        <v>59</v>
      </c>
      <c r="H390" s="3">
        <v>37.575499999999998</v>
      </c>
      <c r="I390" t="s">
        <v>6203</v>
      </c>
      <c r="J390" t="s">
        <v>13719</v>
      </c>
      <c r="L390" t="s">
        <v>6204</v>
      </c>
      <c r="M390" t="str">
        <f>"https://www.artic.edu/iiif/2/"&amp;Table9[[#This Row],[Image ID]]&amp;"/full/843,/0/default.jpg"</f>
        <v>https://www.artic.edu/iiif/2/c614238e-c705-08b5-9281-4e1657c7f621/full/843,/0/default.jpg</v>
      </c>
      <c r="N390" s="3">
        <v>0.82899999999999996</v>
      </c>
      <c r="O390" s="3">
        <v>4.9000000000000002E-2</v>
      </c>
      <c r="P390" s="3">
        <v>0.77999999999999992</v>
      </c>
      <c r="Q390" s="3">
        <v>0.908397436141967</v>
      </c>
    </row>
    <row r="391" spans="1:17" x14ac:dyDescent="0.45">
      <c r="A391" s="3">
        <v>185187</v>
      </c>
      <c r="B391" t="b">
        <v>0</v>
      </c>
      <c r="C391" t="b">
        <v>0</v>
      </c>
      <c r="D391" s="3">
        <v>1938</v>
      </c>
      <c r="E391" s="3">
        <v>1938</v>
      </c>
      <c r="F391" t="s">
        <v>14707</v>
      </c>
      <c r="G391" t="s">
        <v>7</v>
      </c>
      <c r="H391" s="3">
        <v>49.2637</v>
      </c>
      <c r="I391" t="s">
        <v>2302</v>
      </c>
      <c r="J391" t="s">
        <v>14369</v>
      </c>
      <c r="K391" s="5" t="s">
        <v>3755</v>
      </c>
      <c r="L391" t="s">
        <v>4975</v>
      </c>
      <c r="M391" t="str">
        <f>"https://www.artic.edu/iiif/2/"&amp;Table9[[#This Row],[Image ID]]&amp;"/full/843,/0/default.jpg"</f>
        <v>https://www.artic.edu/iiif/2/f45b79b8-5edc-9bef-3100-baea71002604/full/843,/0/default.jpg</v>
      </c>
      <c r="N391" s="3">
        <v>0.82899999999999996</v>
      </c>
      <c r="O391" s="3">
        <v>4.9000000000000002E-2</v>
      </c>
      <c r="P391" s="3">
        <v>0.77999999999999992</v>
      </c>
      <c r="Q391" s="3">
        <v>0.87109363079071001</v>
      </c>
    </row>
    <row r="392" spans="1:17" x14ac:dyDescent="0.45">
      <c r="A392" s="3">
        <v>31651</v>
      </c>
      <c r="B392" t="b">
        <v>0</v>
      </c>
      <c r="C392" t="b">
        <v>1</v>
      </c>
      <c r="D392" s="3">
        <v>1895</v>
      </c>
      <c r="E392" s="3">
        <v>1901</v>
      </c>
      <c r="F392" t="s">
        <v>7008</v>
      </c>
      <c r="G392" t="s">
        <v>7009</v>
      </c>
      <c r="H392" s="3">
        <v>19.664200000000001</v>
      </c>
      <c r="I392" t="s">
        <v>7010</v>
      </c>
      <c r="J392" t="s">
        <v>11398</v>
      </c>
      <c r="L392" t="s">
        <v>7011</v>
      </c>
      <c r="M392" t="str">
        <f>"https://www.artic.edu/iiif/2/"&amp;Table9[[#This Row],[Image ID]]&amp;"/full/843,/0/default.jpg"</f>
        <v>https://www.artic.edu/iiif/2/1e6a7fbf-ec88-2a0c-1764-fa6a4ff5de56/full/843,/0/default.jpg</v>
      </c>
      <c r="N392" s="3">
        <v>0.82899999999999996</v>
      </c>
      <c r="O392" s="3">
        <v>4.9000000000000002E-2</v>
      </c>
      <c r="P392" s="3">
        <v>0.77999999999999992</v>
      </c>
      <c r="Q392" s="3">
        <v>0.81014877557754505</v>
      </c>
    </row>
    <row r="393" spans="1:17" x14ac:dyDescent="0.45">
      <c r="A393" s="3">
        <v>114324</v>
      </c>
      <c r="B393" t="b">
        <v>0</v>
      </c>
      <c r="C393" t="b">
        <v>1</v>
      </c>
      <c r="D393" s="3">
        <v>1800</v>
      </c>
      <c r="E393" s="3">
        <v>1899</v>
      </c>
      <c r="F393" t="s">
        <v>1601</v>
      </c>
      <c r="G393" t="s">
        <v>1602</v>
      </c>
      <c r="H393" s="3">
        <v>17.171399999999998</v>
      </c>
      <c r="I393" t="s">
        <v>16</v>
      </c>
      <c r="J393" t="s">
        <v>12523</v>
      </c>
      <c r="L393" t="s">
        <v>1603</v>
      </c>
      <c r="M393" t="str">
        <f>"https://www.artic.edu/iiif/2/"&amp;Table9[[#This Row],[Image ID]]&amp;"/full/843,/0/default.jpg"</f>
        <v>https://www.artic.edu/iiif/2/6a5ee387-d17e-9031-2c6d-18c2a6b7e068/full/843,/0/default.jpg</v>
      </c>
      <c r="N393" s="3">
        <v>0.95099999999999996</v>
      </c>
      <c r="O393" s="3">
        <v>0.17100000000000001</v>
      </c>
      <c r="P393" s="3">
        <v>0.77999999999999992</v>
      </c>
      <c r="Q393" s="3">
        <v>0.62753403186798096</v>
      </c>
    </row>
    <row r="394" spans="1:17" x14ac:dyDescent="0.45">
      <c r="A394" s="3">
        <v>115224</v>
      </c>
      <c r="B394" t="b">
        <v>0</v>
      </c>
      <c r="C394" t="b">
        <v>1</v>
      </c>
      <c r="D394" s="3">
        <v>1835</v>
      </c>
      <c r="E394" s="3">
        <v>1882</v>
      </c>
      <c r="F394" t="s">
        <v>1889</v>
      </c>
      <c r="G394" t="s">
        <v>1890</v>
      </c>
      <c r="H394" s="3">
        <v>16.218</v>
      </c>
      <c r="I394" t="s">
        <v>1555</v>
      </c>
      <c r="J394" t="s">
        <v>14213</v>
      </c>
      <c r="L394" t="s">
        <v>1891</v>
      </c>
      <c r="M394" t="str">
        <f>"https://www.artic.edu/iiif/2/"&amp;Table9[[#This Row],[Image ID]]&amp;"/full/843,/0/default.jpg"</f>
        <v>https://www.artic.edu/iiif/2/e967af72-adbc-056a-f6d9-787d60e2b771/full/843,/0/default.jpg</v>
      </c>
      <c r="N394" s="3">
        <v>0.82899999999999996</v>
      </c>
      <c r="O394" s="3">
        <v>4.9000000000000002E-2</v>
      </c>
      <c r="P394" s="3">
        <v>0.77999999999999992</v>
      </c>
      <c r="Q394" s="3">
        <v>0.78394466638564997</v>
      </c>
    </row>
    <row r="395" spans="1:17" x14ac:dyDescent="0.45">
      <c r="A395" s="3">
        <v>39493</v>
      </c>
      <c r="B395" t="b">
        <v>0</v>
      </c>
      <c r="C395" t="b">
        <v>1</v>
      </c>
      <c r="D395" s="3">
        <v>1875</v>
      </c>
      <c r="E395" s="3">
        <v>1875</v>
      </c>
      <c r="F395" t="s">
        <v>7572</v>
      </c>
      <c r="G395" t="s">
        <v>75</v>
      </c>
      <c r="H395" s="3">
        <v>0</v>
      </c>
      <c r="I395" t="s">
        <v>14659</v>
      </c>
      <c r="J395" t="s">
        <v>14310</v>
      </c>
      <c r="L395" t="s">
        <v>7573</v>
      </c>
      <c r="M395" t="str">
        <f>"https://www.artic.edu/iiif/2/"&amp;Table9[[#This Row],[Image ID]]&amp;"/full/843,/0/default.jpg"</f>
        <v>https://www.artic.edu/iiif/2/efe1099f-d131-b964-b1f4-7eec47b9af0f/full/843,/0/default.jpg</v>
      </c>
      <c r="N395" s="3">
        <v>0.82899999999999996</v>
      </c>
      <c r="O395" s="3">
        <v>4.9000000000000002E-2</v>
      </c>
      <c r="P395" s="3">
        <v>0.77999999999999992</v>
      </c>
      <c r="Q395" s="3">
        <v>0.72751981019973699</v>
      </c>
    </row>
    <row r="396" spans="1:17" ht="71.25" x14ac:dyDescent="0.45">
      <c r="A396" s="3">
        <v>16253</v>
      </c>
      <c r="B396" t="b">
        <v>0</v>
      </c>
      <c r="C396" t="b">
        <v>1</v>
      </c>
      <c r="D396" s="3">
        <v>1515</v>
      </c>
      <c r="E396" s="3">
        <v>1535</v>
      </c>
      <c r="F396" t="s">
        <v>715</v>
      </c>
      <c r="G396" t="s">
        <v>4328</v>
      </c>
      <c r="H396" s="3">
        <v>41.584000000000003</v>
      </c>
      <c r="I396" t="s">
        <v>4329</v>
      </c>
      <c r="J396" s="1" t="s">
        <v>14515</v>
      </c>
      <c r="L396" t="s">
        <v>4330</v>
      </c>
      <c r="M396" t="str">
        <f>"https://www.artic.edu/iiif/2/"&amp;Table9[[#This Row],[Image ID]]&amp;"/full/843,/0/default.jpg"</f>
        <v>https://www.artic.edu/iiif/2/fe9b9d07-5f4e-c9ea-95a7-816f2b85d20e/full/843,/0/default.jpg</v>
      </c>
      <c r="N396" s="3">
        <v>0.9</v>
      </c>
      <c r="O396" s="3">
        <v>0.122</v>
      </c>
      <c r="P396" s="3">
        <v>0.77800000000000002</v>
      </c>
      <c r="Q396" s="3">
        <v>0.74288171529769897</v>
      </c>
    </row>
    <row r="397" spans="1:17" x14ac:dyDescent="0.45">
      <c r="A397" s="3">
        <v>238266</v>
      </c>
      <c r="B397" t="b">
        <v>0</v>
      </c>
      <c r="C397" t="b">
        <v>0</v>
      </c>
      <c r="D397" s="3">
        <v>1992</v>
      </c>
      <c r="E397" s="3">
        <v>1992</v>
      </c>
      <c r="F397" t="s">
        <v>6318</v>
      </c>
      <c r="G397" t="s">
        <v>7</v>
      </c>
      <c r="H397" s="3">
        <v>33.377800000000001</v>
      </c>
      <c r="I397" t="s">
        <v>3921</v>
      </c>
      <c r="J397" t="s">
        <v>12820</v>
      </c>
      <c r="L397" t="s">
        <v>6319</v>
      </c>
      <c r="M397" t="str">
        <f>"https://www.artic.edu/iiif/2/"&amp;Table9[[#This Row],[Image ID]]&amp;"/full/843,/0/default.jpg"</f>
        <v>https://www.artic.edu/iiif/2/80419e39-51ee-b123-b504-436fc38ce13e/full/843,/0/default.jpg</v>
      </c>
      <c r="N397" s="3">
        <v>0.85</v>
      </c>
      <c r="O397" s="3">
        <v>7.2999999999999995E-2</v>
      </c>
      <c r="P397" s="3">
        <v>0.77700000000000002</v>
      </c>
      <c r="Q397" s="3">
        <v>0.90613603591918901</v>
      </c>
    </row>
    <row r="398" spans="1:17" x14ac:dyDescent="0.45">
      <c r="A398" s="3">
        <v>39229</v>
      </c>
      <c r="B398" t="b">
        <v>0</v>
      </c>
      <c r="C398" t="b">
        <v>0</v>
      </c>
      <c r="D398" s="3">
        <v>1971</v>
      </c>
      <c r="E398" s="3">
        <v>1971</v>
      </c>
      <c r="F398" t="s">
        <v>7529</v>
      </c>
      <c r="G398" t="s">
        <v>7</v>
      </c>
      <c r="H398" s="3">
        <v>56.6282</v>
      </c>
      <c r="I398" t="s">
        <v>2439</v>
      </c>
      <c r="J398" t="s">
        <v>12937</v>
      </c>
      <c r="L398" t="s">
        <v>7530</v>
      </c>
      <c r="M398" t="str">
        <f>"https://www.artic.edu/iiif/2/"&amp;Table9[[#This Row],[Image ID]]&amp;"/full/843,/0/default.jpg"</f>
        <v>https://www.artic.edu/iiif/2/8991bc76-a1f2-f5bd-f033-98fb0039f603/full/843,/0/default.jpg</v>
      </c>
      <c r="N398" s="3">
        <v>0.85</v>
      </c>
      <c r="O398" s="3">
        <v>7.2999999999999995E-2</v>
      </c>
      <c r="P398" s="3">
        <v>0.77700000000000002</v>
      </c>
      <c r="Q398" s="3">
        <v>0.80737197399139404</v>
      </c>
    </row>
    <row r="399" spans="1:17" x14ac:dyDescent="0.45">
      <c r="A399" s="3">
        <v>146648</v>
      </c>
      <c r="B399" t="b">
        <v>0</v>
      </c>
      <c r="C399" t="b">
        <v>1</v>
      </c>
      <c r="D399" s="3">
        <v>1810</v>
      </c>
      <c r="E399" s="3">
        <v>1820</v>
      </c>
      <c r="F399" t="s">
        <v>3460</v>
      </c>
      <c r="G399" t="s">
        <v>7</v>
      </c>
      <c r="H399" s="3">
        <v>37.621400000000001</v>
      </c>
      <c r="I399" t="s">
        <v>3461</v>
      </c>
      <c r="J399" t="s">
        <v>11800</v>
      </c>
      <c r="L399" t="s">
        <v>3462</v>
      </c>
      <c r="M399" t="str">
        <f>"https://www.artic.edu/iiif/2/"&amp;Table9[[#This Row],[Image ID]]&amp;"/full/843,/0/default.jpg"</f>
        <v>https://www.artic.edu/iiif/2/38e5c6cf-daf2-ea36-b29a-e00216d1ddcf/full/843,/0/default.jpg</v>
      </c>
      <c r="N399" s="3">
        <v>0.85</v>
      </c>
      <c r="O399" s="3">
        <v>7.2999999999999995E-2</v>
      </c>
      <c r="P399" s="3">
        <v>0.77700000000000002</v>
      </c>
      <c r="Q399" s="3">
        <v>0.81987380981445301</v>
      </c>
    </row>
    <row r="400" spans="1:17" x14ac:dyDescent="0.45">
      <c r="A400" s="3">
        <v>14788</v>
      </c>
      <c r="B400" t="b">
        <v>0</v>
      </c>
      <c r="C400" t="b">
        <v>1</v>
      </c>
      <c r="D400" s="3">
        <v>1776</v>
      </c>
      <c r="E400" s="3">
        <v>1827</v>
      </c>
      <c r="F400" t="s">
        <v>3677</v>
      </c>
      <c r="G400" t="s">
        <v>2713</v>
      </c>
      <c r="H400" s="3">
        <v>35.141800000000003</v>
      </c>
      <c r="I400" t="s">
        <v>1266</v>
      </c>
      <c r="J400" t="s">
        <v>12773</v>
      </c>
      <c r="L400" t="s">
        <v>3678</v>
      </c>
      <c r="M400" t="str">
        <f>"https://www.artic.edu/iiif/2/"&amp;Table9[[#This Row],[Image ID]]&amp;"/full/843,/0/default.jpg"</f>
        <v>https://www.artic.edu/iiif/2/7ce27844-88ea-0ab1-aed9-6f233823d0c9/full/843,/0/default.jpg</v>
      </c>
      <c r="N400" s="3">
        <v>0.8</v>
      </c>
      <c r="O400" s="3">
        <v>2.4E-2</v>
      </c>
      <c r="P400" s="3">
        <v>0.77600000000000002</v>
      </c>
      <c r="Q400" s="3">
        <v>0.767350554466247</v>
      </c>
    </row>
    <row r="401" spans="1:17" x14ac:dyDescent="0.45">
      <c r="A401" s="3">
        <v>53652</v>
      </c>
      <c r="B401" t="b">
        <v>0</v>
      </c>
      <c r="C401" t="b">
        <v>0</v>
      </c>
      <c r="D401" s="3">
        <v>1928</v>
      </c>
      <c r="E401" s="3">
        <v>1978</v>
      </c>
      <c r="F401" t="s">
        <v>11</v>
      </c>
      <c r="G401" t="s">
        <v>642</v>
      </c>
      <c r="H401" s="3">
        <v>11.3123</v>
      </c>
      <c r="I401" t="s">
        <v>2707</v>
      </c>
      <c r="J401" t="s">
        <v>11260</v>
      </c>
      <c r="L401" t="s">
        <v>8288</v>
      </c>
      <c r="M401" t="str">
        <f>"https://www.artic.edu/iiif/2/"&amp;Table9[[#This Row],[Image ID]]&amp;"/full/843,/0/default.jpg"</f>
        <v>https://www.artic.edu/iiif/2/151ca624-38e8-7d2a-985a-f006c422d53a/full/843,/0/default.jpg</v>
      </c>
      <c r="N401" s="3">
        <v>0.82499999999999996</v>
      </c>
      <c r="O401" s="3">
        <v>4.9000000000000002E-2</v>
      </c>
      <c r="P401" s="3">
        <v>0.77599999999999991</v>
      </c>
      <c r="Q401" s="3">
        <v>0.64106082916259699</v>
      </c>
    </row>
    <row r="402" spans="1:17" x14ac:dyDescent="0.45">
      <c r="A402" s="3">
        <v>238753</v>
      </c>
      <c r="B402" t="b">
        <v>0</v>
      </c>
      <c r="C402" t="b">
        <v>0</v>
      </c>
      <c r="D402" s="3">
        <v>1955</v>
      </c>
      <c r="E402" s="3">
        <v>1955</v>
      </c>
      <c r="F402" t="s">
        <v>6331</v>
      </c>
      <c r="G402" t="s">
        <v>6332</v>
      </c>
      <c r="H402" s="3">
        <v>54.5822</v>
      </c>
      <c r="I402" t="s">
        <v>14581</v>
      </c>
      <c r="J402" t="s">
        <v>12395</v>
      </c>
      <c r="L402" t="s">
        <v>6333</v>
      </c>
      <c r="M402" t="str">
        <f>"https://www.artic.edu/iiif/2/"&amp;Table9[[#This Row],[Image ID]]&amp;"/full/843,/0/default.jpg"</f>
        <v>https://www.artic.edu/iiif/2/60f6d98b-adf1-b548-55c4-e6879e0380ce/full/843,/0/default.jpg</v>
      </c>
      <c r="N402" s="3">
        <v>0.82499999999999996</v>
      </c>
      <c r="O402" s="3">
        <v>4.9000000000000002E-2</v>
      </c>
      <c r="P402" s="3">
        <v>0.77599999999999991</v>
      </c>
      <c r="Q402" s="3">
        <v>0.91364204883575395</v>
      </c>
    </row>
    <row r="403" spans="1:17" x14ac:dyDescent="0.45">
      <c r="A403" s="3">
        <v>17400</v>
      </c>
      <c r="B403" t="b">
        <v>0</v>
      </c>
      <c r="C403" t="b">
        <v>0</v>
      </c>
      <c r="D403" s="3">
        <v>1911</v>
      </c>
      <c r="E403" s="3">
        <v>1963</v>
      </c>
      <c r="F403" t="s">
        <v>11</v>
      </c>
      <c r="G403" t="s">
        <v>4644</v>
      </c>
      <c r="H403" s="3">
        <v>14.722300000000001</v>
      </c>
      <c r="I403" t="s">
        <v>180</v>
      </c>
      <c r="J403" t="s">
        <v>10984</v>
      </c>
      <c r="L403" t="s">
        <v>4645</v>
      </c>
      <c r="M403" t="str">
        <f>"https://www.artic.edu/iiif/2/"&amp;Table9[[#This Row],[Image ID]]&amp;"/full/843,/0/default.jpg"</f>
        <v>https://www.artic.edu/iiif/2/00ee9f25-fcea-ab4a-4402-d158380d77bb/full/843,/0/default.jpg</v>
      </c>
      <c r="N403" s="3">
        <v>0.77500000000000002</v>
      </c>
      <c r="O403" s="3">
        <v>0</v>
      </c>
      <c r="P403" s="3">
        <v>0.77500000000000002</v>
      </c>
      <c r="Q403" s="3">
        <v>0.78058326244354204</v>
      </c>
    </row>
    <row r="404" spans="1:17" x14ac:dyDescent="0.45">
      <c r="A404" s="3">
        <v>180739</v>
      </c>
      <c r="B404" t="b">
        <v>0</v>
      </c>
      <c r="C404" t="b">
        <v>0</v>
      </c>
      <c r="D404" s="3">
        <v>1998</v>
      </c>
      <c r="E404" s="3">
        <v>1998</v>
      </c>
      <c r="F404" t="s">
        <v>4704</v>
      </c>
      <c r="G404" t="s">
        <v>4705</v>
      </c>
      <c r="H404" s="3">
        <v>33.387700000000002</v>
      </c>
      <c r="I404" t="s">
        <v>4706</v>
      </c>
      <c r="J404" t="s">
        <v>11003</v>
      </c>
      <c r="L404" t="s">
        <v>4707</v>
      </c>
      <c r="M404" t="str">
        <f>"https://www.artic.edu/iiif/2/"&amp;Table9[[#This Row],[Image ID]]&amp;"/full/843,/0/default.jpg"</f>
        <v>https://www.artic.edu/iiif/2/028047d7-2aba-9719-62fa-0411788527c8/full/843,/0/default.jpg</v>
      </c>
      <c r="N404" s="3">
        <v>0.85</v>
      </c>
      <c r="O404" s="3">
        <v>7.4999999999999997E-2</v>
      </c>
      <c r="P404" s="3">
        <v>0.77500000000000002</v>
      </c>
      <c r="Q404" s="3">
        <v>0.85591238737106301</v>
      </c>
    </row>
    <row r="405" spans="1:17" x14ac:dyDescent="0.45">
      <c r="A405" s="3">
        <v>124768</v>
      </c>
      <c r="B405" t="b">
        <v>0</v>
      </c>
      <c r="C405" t="b">
        <v>0</v>
      </c>
      <c r="D405" s="3">
        <v>1941</v>
      </c>
      <c r="E405" s="3">
        <v>1942</v>
      </c>
      <c r="F405" t="s">
        <v>11</v>
      </c>
      <c r="G405" t="s">
        <v>2746</v>
      </c>
      <c r="H405" s="3">
        <v>48.324199999999998</v>
      </c>
      <c r="I405" t="s">
        <v>14662</v>
      </c>
      <c r="J405" t="s">
        <v>11062</v>
      </c>
      <c r="K405" s="5" t="s">
        <v>56</v>
      </c>
      <c r="L405" t="s">
        <v>2747</v>
      </c>
      <c r="M405" t="str">
        <f>"https://www.artic.edu/iiif/2/"&amp;Table9[[#This Row],[Image ID]]&amp;"/full/843,/0/default.jpg"</f>
        <v>https://www.artic.edu/iiif/2/06735f67-8e84-c642-19be-c37399e1dc1f/full/843,/0/default.jpg</v>
      </c>
      <c r="N405" s="3">
        <v>0.77500000000000002</v>
      </c>
      <c r="O405" s="3">
        <v>0</v>
      </c>
      <c r="P405" s="3">
        <v>0.77500000000000002</v>
      </c>
      <c r="Q405" s="3">
        <v>0.78726834058761597</v>
      </c>
    </row>
    <row r="406" spans="1:17" x14ac:dyDescent="0.45">
      <c r="A406" s="3">
        <v>22685</v>
      </c>
      <c r="B406" t="b">
        <v>0</v>
      </c>
      <c r="C406" t="b">
        <v>0</v>
      </c>
      <c r="D406" s="3">
        <v>1941</v>
      </c>
      <c r="E406" s="3">
        <v>1941</v>
      </c>
      <c r="F406" t="s">
        <v>3876</v>
      </c>
      <c r="G406" t="s">
        <v>2892</v>
      </c>
      <c r="H406" s="3">
        <v>32.2301</v>
      </c>
      <c r="I406" t="s">
        <v>14549</v>
      </c>
      <c r="J406" t="s">
        <v>10990</v>
      </c>
      <c r="L406" t="s">
        <v>5978</v>
      </c>
      <c r="M406" t="str">
        <f>"https://www.artic.edu/iiif/2/"&amp;Table9[[#This Row],[Image ID]]&amp;"/full/843,/0/default.jpg"</f>
        <v>https://www.artic.edu/iiif/2/0ab74aa3-e09a-6571-d531-6fbaa327cbd4/full/843,/0/default.jpg</v>
      </c>
      <c r="N406" s="3">
        <v>0.85</v>
      </c>
      <c r="O406" s="3">
        <v>7.4999999999999997E-2</v>
      </c>
      <c r="P406" s="3">
        <v>0.77500000000000002</v>
      </c>
      <c r="Q406" s="3">
        <v>0.78083360195159901</v>
      </c>
    </row>
    <row r="407" spans="1:17" x14ac:dyDescent="0.45">
      <c r="A407" s="3">
        <v>204437</v>
      </c>
      <c r="B407" t="b">
        <v>0</v>
      </c>
      <c r="C407" t="b">
        <v>0</v>
      </c>
      <c r="D407" s="3">
        <v>1965</v>
      </c>
      <c r="E407" s="3">
        <v>1975</v>
      </c>
      <c r="F407" t="s">
        <v>5421</v>
      </c>
      <c r="G407" t="s">
        <v>5422</v>
      </c>
      <c r="H407" s="3">
        <v>34.1706</v>
      </c>
      <c r="I407" t="s">
        <v>430</v>
      </c>
      <c r="J407" t="s">
        <v>11158</v>
      </c>
      <c r="L407" t="s">
        <v>5423</v>
      </c>
      <c r="M407" t="str">
        <f>"https://www.artic.edu/iiif/2/"&amp;Table9[[#This Row],[Image ID]]&amp;"/full/843,/0/default.jpg"</f>
        <v>https://www.artic.edu/iiif/2/0e1ae496-bf7e-4700-3795-692e84b5534f/full/843,/0/default.jpg</v>
      </c>
      <c r="N407" s="3">
        <v>0.8</v>
      </c>
      <c r="O407" s="3">
        <v>2.5000000000000001E-2</v>
      </c>
      <c r="P407" s="3">
        <v>0.77500000000000002</v>
      </c>
      <c r="Q407" s="3">
        <v>0.74963986873626698</v>
      </c>
    </row>
    <row r="408" spans="1:17" x14ac:dyDescent="0.45">
      <c r="A408" s="3">
        <v>160178</v>
      </c>
      <c r="B408" t="b">
        <v>0</v>
      </c>
      <c r="C408" t="b">
        <v>0</v>
      </c>
      <c r="D408" s="3">
        <v>2000</v>
      </c>
      <c r="E408" s="3">
        <v>2000</v>
      </c>
      <c r="F408" t="s">
        <v>4246</v>
      </c>
      <c r="G408" t="s">
        <v>4247</v>
      </c>
      <c r="H408" s="3">
        <v>21.4849</v>
      </c>
      <c r="I408" t="s">
        <v>4248</v>
      </c>
      <c r="J408" t="s">
        <v>11266</v>
      </c>
      <c r="K408" s="5" t="s">
        <v>15</v>
      </c>
      <c r="L408" t="s">
        <v>4249</v>
      </c>
      <c r="M408" t="str">
        <f>"https://www.artic.edu/iiif/2/"&amp;Table9[[#This Row],[Image ID]]&amp;"/full/843,/0/default.jpg"</f>
        <v>https://www.artic.edu/iiif/2/15925834-db50-1be3-ce44-703ffc654ac1/full/843,/0/default.jpg</v>
      </c>
      <c r="N408" s="3">
        <v>0.8</v>
      </c>
      <c r="O408" s="3">
        <v>2.5000000000000001E-2</v>
      </c>
      <c r="P408" s="3">
        <v>0.77500000000000002</v>
      </c>
      <c r="Q408" s="3">
        <v>0.755343377590179</v>
      </c>
    </row>
    <row r="409" spans="1:17" x14ac:dyDescent="0.45">
      <c r="A409" s="3">
        <v>155497</v>
      </c>
      <c r="B409" t="b">
        <v>0</v>
      </c>
      <c r="C409" t="b">
        <v>0</v>
      </c>
      <c r="D409" s="3">
        <v>1969</v>
      </c>
      <c r="E409" s="3">
        <v>1969</v>
      </c>
      <c r="F409" t="s">
        <v>4012</v>
      </c>
      <c r="G409" t="s">
        <v>4013</v>
      </c>
      <c r="H409" s="3">
        <v>16.5046</v>
      </c>
      <c r="I409" t="s">
        <v>3773</v>
      </c>
      <c r="J409" t="s">
        <v>11367</v>
      </c>
      <c r="L409" t="s">
        <v>4014</v>
      </c>
      <c r="M409" t="str">
        <f>"https://www.artic.edu/iiif/2/"&amp;Table9[[#This Row],[Image ID]]&amp;"/full/843,/0/default.jpg"</f>
        <v>https://www.artic.edu/iiif/2/1cc04878-680f-079e-5c79-9a22e2b5b084/full/843,/0/default.jpg</v>
      </c>
      <c r="N409" s="3">
        <v>0.9</v>
      </c>
      <c r="O409" s="3">
        <v>0.125</v>
      </c>
      <c r="P409" s="3">
        <v>0.77500000000000002</v>
      </c>
      <c r="Q409" s="3">
        <v>0.90699094533920199</v>
      </c>
    </row>
    <row r="410" spans="1:17" x14ac:dyDescent="0.45">
      <c r="A410" s="3">
        <v>59923</v>
      </c>
      <c r="B410" t="b">
        <v>0</v>
      </c>
      <c r="C410" t="b">
        <v>0</v>
      </c>
      <c r="D410" s="3">
        <v>1917</v>
      </c>
      <c r="E410" s="3">
        <v>1917</v>
      </c>
      <c r="F410" t="s">
        <v>8638</v>
      </c>
      <c r="G410" t="s">
        <v>7</v>
      </c>
      <c r="H410" s="3">
        <v>32.482100000000003</v>
      </c>
      <c r="I410" t="s">
        <v>910</v>
      </c>
      <c r="J410" t="s">
        <v>11397</v>
      </c>
      <c r="L410" t="s">
        <v>8639</v>
      </c>
      <c r="M410" t="str">
        <f>"https://www.artic.edu/iiif/2/"&amp;Table9[[#This Row],[Image ID]]&amp;"/full/843,/0/default.jpg"</f>
        <v>https://www.artic.edu/iiif/2/1e528894-545f-9fe0-c1a5-288a52cab0df/full/843,/0/default.jpg</v>
      </c>
      <c r="N410" s="3">
        <v>0.85</v>
      </c>
      <c r="O410" s="3">
        <v>7.4999999999999997E-2</v>
      </c>
      <c r="P410" s="3">
        <v>0.77500000000000002</v>
      </c>
      <c r="Q410" s="3">
        <v>0.88603919744491499</v>
      </c>
    </row>
    <row r="411" spans="1:17" x14ac:dyDescent="0.45">
      <c r="A411" s="3">
        <v>159814</v>
      </c>
      <c r="B411" t="b">
        <v>0</v>
      </c>
      <c r="C411" t="b">
        <v>0</v>
      </c>
      <c r="D411" s="3">
        <v>1937</v>
      </c>
      <c r="E411" s="3">
        <v>1937</v>
      </c>
      <c r="F411" t="s">
        <v>4216</v>
      </c>
      <c r="G411" t="s">
        <v>7</v>
      </c>
      <c r="H411" s="3">
        <v>51.333100000000002</v>
      </c>
      <c r="I411" t="s">
        <v>6932</v>
      </c>
      <c r="J411" t="s">
        <v>11474</v>
      </c>
      <c r="K411" s="5" t="s">
        <v>2</v>
      </c>
      <c r="L411" t="s">
        <v>4217</v>
      </c>
      <c r="M411" t="str">
        <f>"https://www.artic.edu/iiif/2/"&amp;Table9[[#This Row],[Image ID]]&amp;"/full/843,/0/default.jpg"</f>
        <v>https://www.artic.edu/iiif/2/230e8e8e-7726-b793-2a4a-05223efb221a/full/843,/0/default.jpg</v>
      </c>
      <c r="N411" s="3">
        <v>0.85</v>
      </c>
      <c r="O411" s="3">
        <v>7.4999999999999997E-2</v>
      </c>
      <c r="P411" s="3">
        <v>0.77500000000000002</v>
      </c>
      <c r="Q411" s="3">
        <v>0.95929104089736905</v>
      </c>
    </row>
    <row r="412" spans="1:17" x14ac:dyDescent="0.45">
      <c r="A412" s="3">
        <v>66426</v>
      </c>
      <c r="B412" t="b">
        <v>0</v>
      </c>
      <c r="C412" t="b">
        <v>0</v>
      </c>
      <c r="D412" s="3">
        <v>1956</v>
      </c>
      <c r="E412" s="3">
        <v>1957</v>
      </c>
      <c r="F412" t="s">
        <v>9270</v>
      </c>
      <c r="G412" t="s">
        <v>9271</v>
      </c>
      <c r="H412" s="3">
        <v>11.924799999999999</v>
      </c>
      <c r="I412" t="s">
        <v>1091</v>
      </c>
      <c r="J412" t="s">
        <v>11537</v>
      </c>
      <c r="L412" t="s">
        <v>9272</v>
      </c>
      <c r="M412" t="str">
        <f>"https://www.artic.edu/iiif/2/"&amp;Table9[[#This Row],[Image ID]]&amp;"/full/843,/0/default.jpg"</f>
        <v>https://www.artic.edu/iiif/2/26e57930-42f6-1422-9f11-b7a067e138ed/full/843,/0/default.jpg</v>
      </c>
      <c r="N412" s="3">
        <v>0.875</v>
      </c>
      <c r="O412" s="3">
        <v>0.1</v>
      </c>
      <c r="P412" s="3">
        <v>0.77500000000000002</v>
      </c>
      <c r="Q412" s="3">
        <v>0.80986481904983498</v>
      </c>
    </row>
    <row r="413" spans="1:17" x14ac:dyDescent="0.45">
      <c r="A413" s="3">
        <v>145904</v>
      </c>
      <c r="B413" t="b">
        <v>0</v>
      </c>
      <c r="C413" t="b">
        <v>0</v>
      </c>
      <c r="D413" s="3">
        <v>1917</v>
      </c>
      <c r="E413" s="3">
        <v>1917</v>
      </c>
      <c r="F413" t="s">
        <v>3419</v>
      </c>
      <c r="G413" t="s">
        <v>3420</v>
      </c>
      <c r="H413" s="3">
        <v>28.7864</v>
      </c>
      <c r="I413" t="s">
        <v>934</v>
      </c>
      <c r="J413" t="s">
        <v>11591</v>
      </c>
      <c r="L413" t="s">
        <v>3421</v>
      </c>
      <c r="M413" t="str">
        <f>"https://www.artic.edu/iiif/2/"&amp;Table9[[#This Row],[Image ID]]&amp;"/full/843,/0/default.jpg"</f>
        <v>https://www.artic.edu/iiif/2/2a506cb7-862a-7e8f-1c51-6babd6a380a0/full/843,/0/default.jpg</v>
      </c>
      <c r="N413" s="3">
        <v>0.85</v>
      </c>
      <c r="O413" s="3">
        <v>7.4999999999999997E-2</v>
      </c>
      <c r="P413" s="3">
        <v>0.77500000000000002</v>
      </c>
      <c r="Q413" s="3">
        <v>0.55198669433593694</v>
      </c>
    </row>
    <row r="414" spans="1:17" x14ac:dyDescent="0.45">
      <c r="A414" s="3">
        <v>2820</v>
      </c>
      <c r="B414" t="b">
        <v>0</v>
      </c>
      <c r="C414" t="b">
        <v>0</v>
      </c>
      <c r="D414" s="3">
        <v>1934</v>
      </c>
      <c r="E414" s="3">
        <v>1934</v>
      </c>
      <c r="F414" t="s">
        <v>6793</v>
      </c>
      <c r="G414" t="s">
        <v>7</v>
      </c>
      <c r="H414" s="3">
        <v>0</v>
      </c>
      <c r="I414" t="s">
        <v>920</v>
      </c>
      <c r="J414" t="s">
        <v>11637</v>
      </c>
      <c r="L414" t="s">
        <v>6794</v>
      </c>
      <c r="M414" t="str">
        <f>"https://www.artic.edu/iiif/2/"&amp;Table9[[#This Row],[Image ID]]&amp;"/full/843,/0/default.jpg"</f>
        <v>https://www.artic.edu/iiif/2/2dc3f568-78ec-8475-7c96-9d9a104e308f/full/843,/0/default.jpg</v>
      </c>
      <c r="N414" s="3">
        <v>0.875</v>
      </c>
      <c r="O414" s="3">
        <v>0.1</v>
      </c>
      <c r="P414" s="3">
        <v>0.77500000000000002</v>
      </c>
      <c r="Q414" s="3">
        <v>0.85469323396682695</v>
      </c>
    </row>
    <row r="415" spans="1:17" x14ac:dyDescent="0.45">
      <c r="A415" s="3">
        <v>117754</v>
      </c>
      <c r="B415" t="b">
        <v>0</v>
      </c>
      <c r="C415" t="b">
        <v>0</v>
      </c>
      <c r="D415" s="3">
        <v>1977</v>
      </c>
      <c r="E415" s="3">
        <v>1977</v>
      </c>
      <c r="F415" t="s">
        <v>2423</v>
      </c>
      <c r="G415" t="s">
        <v>1536</v>
      </c>
      <c r="H415" s="3">
        <v>57.295499999999997</v>
      </c>
      <c r="I415" t="s">
        <v>2424</v>
      </c>
      <c r="J415" t="s">
        <v>11657</v>
      </c>
      <c r="L415" t="s">
        <v>2425</v>
      </c>
      <c r="M415" t="str">
        <f>"https://www.artic.edu/iiif/2/"&amp;Table9[[#This Row],[Image ID]]&amp;"/full/843,/0/default.jpg"</f>
        <v>https://www.artic.edu/iiif/2/2ed29b0e-52f7-1b51-d8f1-bb77a42d0097/full/843,/0/default.jpg</v>
      </c>
      <c r="N415" s="3">
        <v>0.85</v>
      </c>
      <c r="O415" s="3">
        <v>7.4999999999999997E-2</v>
      </c>
      <c r="P415" s="3">
        <v>0.77500000000000002</v>
      </c>
      <c r="Q415" s="3">
        <v>0.84304493665695102</v>
      </c>
    </row>
    <row r="416" spans="1:17" x14ac:dyDescent="0.45">
      <c r="A416" s="3">
        <v>13540</v>
      </c>
      <c r="B416" t="b">
        <v>0</v>
      </c>
      <c r="C416" t="b">
        <v>0</v>
      </c>
      <c r="D416" s="3">
        <v>1922</v>
      </c>
      <c r="E416" s="3">
        <v>1925</v>
      </c>
      <c r="F416" t="s">
        <v>3109</v>
      </c>
      <c r="G416" t="s">
        <v>3110</v>
      </c>
      <c r="H416" s="3">
        <v>28.7499</v>
      </c>
      <c r="I416" t="s">
        <v>127</v>
      </c>
      <c r="J416" t="s">
        <v>11706</v>
      </c>
      <c r="L416" t="s">
        <v>3111</v>
      </c>
      <c r="M416" t="str">
        <f>"https://www.artic.edu/iiif/2/"&amp;Table9[[#This Row],[Image ID]]&amp;"/full/843,/0/default.jpg"</f>
        <v>https://www.artic.edu/iiif/2/3229553b-0f85-8e28-6d5d-b10b36cf045b/full/843,/0/default.jpg</v>
      </c>
      <c r="N416" s="3">
        <v>0.77500000000000002</v>
      </c>
      <c r="O416" s="3">
        <v>0</v>
      </c>
      <c r="P416" s="3">
        <v>0.77500000000000002</v>
      </c>
      <c r="Q416" s="3">
        <v>0.77851742506027199</v>
      </c>
    </row>
    <row r="417" spans="1:17" x14ac:dyDescent="0.45">
      <c r="A417" s="3">
        <v>152755</v>
      </c>
      <c r="B417" t="b">
        <v>0</v>
      </c>
      <c r="C417" t="b">
        <v>0</v>
      </c>
      <c r="D417" s="3">
        <v>1998</v>
      </c>
      <c r="E417" s="3">
        <v>1998</v>
      </c>
      <c r="F417" t="s">
        <v>3920</v>
      </c>
      <c r="G417" t="s">
        <v>7</v>
      </c>
      <c r="H417" s="3">
        <v>6.0399000000000003</v>
      </c>
      <c r="I417" t="s">
        <v>3921</v>
      </c>
      <c r="J417" t="s">
        <v>11714</v>
      </c>
      <c r="L417" t="s">
        <v>3922</v>
      </c>
      <c r="M417" t="str">
        <f>"https://www.artic.edu/iiif/2/"&amp;Table9[[#This Row],[Image ID]]&amp;"/full/843,/0/default.jpg"</f>
        <v>https://www.artic.edu/iiif/2/329057ac-40ca-791b-1da2-55d2c915a056/full/843,/0/default.jpg</v>
      </c>
      <c r="N417" s="3">
        <v>0.8</v>
      </c>
      <c r="O417" s="3">
        <v>2.5000000000000001E-2</v>
      </c>
      <c r="P417" s="3">
        <v>0.77500000000000002</v>
      </c>
      <c r="Q417" s="3">
        <v>0.83487892150878895</v>
      </c>
    </row>
    <row r="418" spans="1:17" x14ac:dyDescent="0.45">
      <c r="A418" s="3">
        <v>56028</v>
      </c>
      <c r="B418" t="b">
        <v>0</v>
      </c>
      <c r="C418" t="b">
        <v>0</v>
      </c>
      <c r="D418" s="3">
        <v>1906</v>
      </c>
      <c r="E418" s="3">
        <v>1972</v>
      </c>
      <c r="F418" t="s">
        <v>8433</v>
      </c>
      <c r="G418" t="s">
        <v>8434</v>
      </c>
      <c r="H418" s="3">
        <v>36.517899999999997</v>
      </c>
      <c r="I418" t="s">
        <v>599</v>
      </c>
      <c r="J418" t="s">
        <v>11769</v>
      </c>
      <c r="L418" t="s">
        <v>8435</v>
      </c>
      <c r="M418" t="str">
        <f>"https://www.artic.edu/iiif/2/"&amp;Table9[[#This Row],[Image ID]]&amp;"/full/843,/0/default.jpg"</f>
        <v>https://www.artic.edu/iiif/2/37169817-c34b-9f33-2ddd-66321b30a8f4/full/843,/0/default.jpg</v>
      </c>
      <c r="N418" s="3">
        <v>0.8</v>
      </c>
      <c r="O418" s="3">
        <v>2.5000000000000001E-2</v>
      </c>
      <c r="P418" s="3">
        <v>0.77500000000000002</v>
      </c>
      <c r="Q418" s="3">
        <v>0.77286422252654996</v>
      </c>
    </row>
    <row r="419" spans="1:17" x14ac:dyDescent="0.45">
      <c r="A419" s="3">
        <v>16651</v>
      </c>
      <c r="B419" t="b">
        <v>0</v>
      </c>
      <c r="C419" t="b">
        <v>0</v>
      </c>
      <c r="D419" s="3">
        <v>1913</v>
      </c>
      <c r="E419" s="3">
        <v>1913</v>
      </c>
      <c r="F419" t="s">
        <v>4520</v>
      </c>
      <c r="G419" t="s">
        <v>7</v>
      </c>
      <c r="H419" s="3">
        <v>33.677700000000002</v>
      </c>
      <c r="I419" t="s">
        <v>4521</v>
      </c>
      <c r="J419" t="s">
        <v>11780</v>
      </c>
      <c r="L419" t="s">
        <v>4522</v>
      </c>
      <c r="M419" t="str">
        <f>"https://www.artic.edu/iiif/2/"&amp;Table9[[#This Row],[Image ID]]&amp;"/full/843,/0/default.jpg"</f>
        <v>https://www.artic.edu/iiif/2/37b13357-3b22-69f5-c26a-4e81a97f8bc7/full/843,/0/default.jpg</v>
      </c>
      <c r="N419" s="3">
        <v>0.9</v>
      </c>
      <c r="O419" s="3">
        <v>0.125</v>
      </c>
      <c r="P419" s="3">
        <v>0.77500000000000002</v>
      </c>
      <c r="Q419" s="3">
        <v>0.89018636941909701</v>
      </c>
    </row>
    <row r="420" spans="1:17" x14ac:dyDescent="0.45">
      <c r="A420" s="3">
        <v>185069</v>
      </c>
      <c r="B420" t="b">
        <v>0</v>
      </c>
      <c r="C420" t="b">
        <v>0</v>
      </c>
      <c r="D420" s="3">
        <v>2003</v>
      </c>
      <c r="E420" s="3">
        <v>2005</v>
      </c>
      <c r="F420" t="s">
        <v>4960</v>
      </c>
      <c r="G420" t="s">
        <v>7</v>
      </c>
      <c r="H420" s="3">
        <v>24.031600000000001</v>
      </c>
      <c r="I420" t="s">
        <v>2941</v>
      </c>
      <c r="J420" t="s">
        <v>11790</v>
      </c>
      <c r="K420" s="5" t="s">
        <v>15</v>
      </c>
      <c r="L420" t="s">
        <v>4961</v>
      </c>
      <c r="M420" t="str">
        <f>"https://www.artic.edu/iiif/2/"&amp;Table9[[#This Row],[Image ID]]&amp;"/full/843,/0/default.jpg"</f>
        <v>https://www.artic.edu/iiif/2/3834a88c-1b26-5eec-e9c0-87adec0c94ba/full/843,/0/default.jpg</v>
      </c>
      <c r="N420" s="3">
        <v>0.77500000000000002</v>
      </c>
      <c r="O420" s="3">
        <v>0</v>
      </c>
      <c r="P420" s="3">
        <v>0.77500000000000002</v>
      </c>
      <c r="Q420" s="3">
        <v>0.87496894598007202</v>
      </c>
    </row>
    <row r="421" spans="1:17" x14ac:dyDescent="0.45">
      <c r="A421" s="3">
        <v>185081</v>
      </c>
      <c r="B421" t="b">
        <v>0</v>
      </c>
      <c r="C421" t="b">
        <v>0</v>
      </c>
      <c r="D421" s="3">
        <v>1976</v>
      </c>
      <c r="E421" s="3">
        <v>1976</v>
      </c>
      <c r="F421" t="s">
        <v>4965</v>
      </c>
      <c r="G421" t="s">
        <v>7</v>
      </c>
      <c r="H421" s="3">
        <v>57.944899999999997</v>
      </c>
      <c r="I421" t="s">
        <v>2342</v>
      </c>
      <c r="J421" t="s">
        <v>12018</v>
      </c>
      <c r="L421" t="s">
        <v>4966</v>
      </c>
      <c r="M421" t="str">
        <f>"https://www.artic.edu/iiif/2/"&amp;Table9[[#This Row],[Image ID]]&amp;"/full/843,/0/default.jpg"</f>
        <v>https://www.artic.edu/iiif/2/46eeda1e-2a4f-ab33-2639-1dffef1584f4/full/843,/0/default.jpg</v>
      </c>
      <c r="N421" s="3">
        <v>0.85</v>
      </c>
      <c r="O421" s="3">
        <v>7.4999999999999997E-2</v>
      </c>
      <c r="P421" s="3">
        <v>0.77500000000000002</v>
      </c>
      <c r="Q421" s="3">
        <v>0.83549565076828003</v>
      </c>
    </row>
    <row r="422" spans="1:17" x14ac:dyDescent="0.45">
      <c r="A422" s="3">
        <v>25671</v>
      </c>
      <c r="B422" t="b">
        <v>0</v>
      </c>
      <c r="C422" t="b">
        <v>0</v>
      </c>
      <c r="D422" s="3">
        <v>1965</v>
      </c>
      <c r="E422" s="3">
        <v>1965</v>
      </c>
      <c r="F422" t="s">
        <v>6527</v>
      </c>
      <c r="G422" t="s">
        <v>6528</v>
      </c>
      <c r="H422" s="3">
        <v>46.204599999999999</v>
      </c>
      <c r="I422" t="s">
        <v>491</v>
      </c>
      <c r="J422" t="s">
        <v>12116</v>
      </c>
      <c r="L422" t="s">
        <v>6529</v>
      </c>
      <c r="M422" t="str">
        <f>"https://www.artic.edu/iiif/2/"&amp;Table9[[#This Row],[Image ID]]&amp;"/full/843,/0/default.jpg"</f>
        <v>https://www.artic.edu/iiif/2/4e80023a-aff6-9b82-b1cd-0d8325e3f783/full/843,/0/default.jpg</v>
      </c>
      <c r="N422" s="3">
        <v>0.8</v>
      </c>
      <c r="O422" s="3">
        <v>2.5000000000000001E-2</v>
      </c>
      <c r="P422" s="3">
        <v>0.77500000000000002</v>
      </c>
      <c r="Q422" s="3">
        <v>0.95383989810943604</v>
      </c>
    </row>
    <row r="423" spans="1:17" x14ac:dyDescent="0.45">
      <c r="A423" s="3">
        <v>228837</v>
      </c>
      <c r="B423" t="b">
        <v>0</v>
      </c>
      <c r="C423" t="b">
        <v>0</v>
      </c>
      <c r="D423" s="3">
        <v>2000</v>
      </c>
      <c r="E423" s="3">
        <v>2000</v>
      </c>
      <c r="F423" t="s">
        <v>6020</v>
      </c>
      <c r="G423" t="s">
        <v>141</v>
      </c>
      <c r="H423" s="3">
        <v>3.1421999999999999</v>
      </c>
      <c r="I423" t="s">
        <v>6016</v>
      </c>
      <c r="J423" t="s">
        <v>11455</v>
      </c>
      <c r="K423" s="5" t="s">
        <v>15</v>
      </c>
      <c r="L423" t="s">
        <v>6021</v>
      </c>
      <c r="M423" t="str">
        <f>"https://www.artic.edu/iiif/2/"&amp;Table9[[#This Row],[Image ID]]&amp;"/full/843,/0/default.jpg"</f>
        <v>https://www.artic.edu/iiif/2/52993585-9c1f-0504-fce6-27b3e7efb789/full/843,/0/default.jpg</v>
      </c>
      <c r="N423" s="3">
        <v>0.92500000000000004</v>
      </c>
      <c r="O423" s="3">
        <v>0.15</v>
      </c>
      <c r="P423" s="3">
        <v>0.77500000000000002</v>
      </c>
      <c r="Q423" s="3">
        <v>0.85731476545333796</v>
      </c>
    </row>
    <row r="424" spans="1:17" x14ac:dyDescent="0.45">
      <c r="A424" s="3">
        <v>204433</v>
      </c>
      <c r="B424" t="b">
        <v>0</v>
      </c>
      <c r="C424" t="b">
        <v>0</v>
      </c>
      <c r="D424" s="3">
        <v>1965</v>
      </c>
      <c r="E424" s="3">
        <v>1975</v>
      </c>
      <c r="F424" t="s">
        <v>5416</v>
      </c>
      <c r="G424" t="s">
        <v>5417</v>
      </c>
      <c r="H424" s="3">
        <v>23.160599999999999</v>
      </c>
      <c r="I424" t="s">
        <v>430</v>
      </c>
      <c r="J424" t="s">
        <v>11158</v>
      </c>
      <c r="L424" t="s">
        <v>5418</v>
      </c>
      <c r="M424" t="str">
        <f>"https://www.artic.edu/iiif/2/"&amp;Table9[[#This Row],[Image ID]]&amp;"/full/843,/0/default.jpg"</f>
        <v>https://www.artic.edu/iiif/2/531a2e85-b8d8-d93b-52e0-7295970cdc79/full/843,/0/default.jpg</v>
      </c>
      <c r="N424" s="3">
        <v>0.875</v>
      </c>
      <c r="O424" s="3">
        <v>0.1</v>
      </c>
      <c r="P424" s="3">
        <v>0.77500000000000002</v>
      </c>
      <c r="Q424" s="3">
        <v>0.76993203163146895</v>
      </c>
    </row>
    <row r="425" spans="1:17" x14ac:dyDescent="0.45">
      <c r="A425" s="3">
        <v>184945</v>
      </c>
      <c r="B425" t="b">
        <v>0</v>
      </c>
      <c r="C425" t="b">
        <v>0</v>
      </c>
      <c r="D425" s="3">
        <v>2003</v>
      </c>
      <c r="E425" s="3">
        <v>2003</v>
      </c>
      <c r="F425" t="s">
        <v>4936</v>
      </c>
      <c r="G425" t="s">
        <v>4823</v>
      </c>
      <c r="H425" s="3">
        <v>8.3817000000000004</v>
      </c>
      <c r="I425" t="s">
        <v>293</v>
      </c>
      <c r="J425" t="s">
        <v>10977</v>
      </c>
      <c r="K425" s="5" t="s">
        <v>15</v>
      </c>
      <c r="L425" t="s">
        <v>4937</v>
      </c>
      <c r="M425" t="str">
        <f>"https://www.artic.edu/iiif/2/"&amp;Table9[[#This Row],[Image ID]]&amp;"/full/843,/0/default.jpg"</f>
        <v>https://www.artic.edu/iiif/2/6308058c-434b-9fd8-2dbf-210a7af5d3a2/full/843,/0/default.jpg</v>
      </c>
      <c r="N425" s="3">
        <v>0.92500000000000004</v>
      </c>
      <c r="O425" s="3">
        <v>0.15</v>
      </c>
      <c r="P425" s="3">
        <v>0.77500000000000002</v>
      </c>
      <c r="Q425" s="3">
        <v>0.87543720006942705</v>
      </c>
    </row>
    <row r="426" spans="1:17" x14ac:dyDescent="0.45">
      <c r="A426" s="3">
        <v>157924</v>
      </c>
      <c r="B426" t="b">
        <v>0</v>
      </c>
      <c r="C426" t="b">
        <v>0</v>
      </c>
      <c r="D426" s="3">
        <v>1895</v>
      </c>
      <c r="E426" s="3">
        <v>1895</v>
      </c>
      <c r="F426" t="s">
        <v>4115</v>
      </c>
      <c r="G426" t="s">
        <v>7</v>
      </c>
      <c r="H426" s="3">
        <v>21.421800000000001</v>
      </c>
      <c r="I426" t="s">
        <v>4116</v>
      </c>
      <c r="J426" t="s">
        <v>12433</v>
      </c>
      <c r="K426" s="5" t="s">
        <v>284</v>
      </c>
      <c r="L426" t="s">
        <v>4117</v>
      </c>
      <c r="M426" t="str">
        <f>"https://www.artic.edu/iiif/2/"&amp;Table9[[#This Row],[Image ID]]&amp;"/full/843,/0/default.jpg"</f>
        <v>https://www.artic.edu/iiif/2/64106540-36d7-23eb-0556-c07306075745/full/843,/0/default.jpg</v>
      </c>
      <c r="N426" s="3">
        <v>0.8</v>
      </c>
      <c r="O426" s="3">
        <v>2.5000000000000001E-2</v>
      </c>
      <c r="P426" s="3">
        <v>0.77500000000000002</v>
      </c>
      <c r="Q426" s="3">
        <v>0.82645285129547097</v>
      </c>
    </row>
    <row r="427" spans="1:17" x14ac:dyDescent="0.45">
      <c r="A427" s="3">
        <v>13742</v>
      </c>
      <c r="B427" t="b">
        <v>0</v>
      </c>
      <c r="C427" t="b">
        <v>0</v>
      </c>
      <c r="D427" s="3">
        <v>1913</v>
      </c>
      <c r="E427" s="3">
        <v>1913</v>
      </c>
      <c r="F427" t="s">
        <v>3195</v>
      </c>
      <c r="G427" t="s">
        <v>7</v>
      </c>
      <c r="H427" s="3">
        <v>27.752600000000001</v>
      </c>
      <c r="I427" t="s">
        <v>3196</v>
      </c>
      <c r="J427" t="s">
        <v>12434</v>
      </c>
      <c r="K427" s="5" t="s">
        <v>284</v>
      </c>
      <c r="L427" t="s">
        <v>3197</v>
      </c>
      <c r="M427" t="str">
        <f>"https://www.artic.edu/iiif/2/"&amp;Table9[[#This Row],[Image ID]]&amp;"/full/843,/0/default.jpg"</f>
        <v>https://www.artic.edu/iiif/2/641c5259-1a92-4a3a-714b-62e09efa3b23/full/843,/0/default.jpg</v>
      </c>
      <c r="N427" s="3">
        <v>0.92500000000000004</v>
      </c>
      <c r="O427" s="3">
        <v>0.15</v>
      </c>
      <c r="P427" s="3">
        <v>0.77500000000000002</v>
      </c>
      <c r="Q427" s="3">
        <v>0.80160063505172696</v>
      </c>
    </row>
    <row r="428" spans="1:17" x14ac:dyDescent="0.45">
      <c r="A428" s="3">
        <v>114637</v>
      </c>
      <c r="B428" t="b">
        <v>0</v>
      </c>
      <c r="C428" t="b">
        <v>0</v>
      </c>
      <c r="D428" s="3">
        <v>1905</v>
      </c>
      <c r="E428" s="3">
        <v>1910</v>
      </c>
      <c r="F428" t="s">
        <v>1680</v>
      </c>
      <c r="G428" t="s">
        <v>1681</v>
      </c>
      <c r="H428" s="3">
        <v>26.573499999999999</v>
      </c>
      <c r="I428" t="s">
        <v>1682</v>
      </c>
      <c r="J428" t="s">
        <v>12411</v>
      </c>
      <c r="L428" t="s">
        <v>1683</v>
      </c>
      <c r="M428" t="str">
        <f>"https://www.artic.edu/iiif/2/"&amp;Table9[[#This Row],[Image ID]]&amp;"/full/843,/0/default.jpg"</f>
        <v>https://www.artic.edu/iiif/2/68d25c0b-c781-25f8-7860-992b8e4479df/full/843,/0/default.jpg</v>
      </c>
      <c r="N428" s="3">
        <v>0.9</v>
      </c>
      <c r="O428" s="3">
        <v>0.125</v>
      </c>
      <c r="P428" s="3">
        <v>0.77500000000000002</v>
      </c>
      <c r="Q428" s="3">
        <v>0.56357479095458896</v>
      </c>
    </row>
    <row r="429" spans="1:17" x14ac:dyDescent="0.45">
      <c r="A429" s="3">
        <v>158410</v>
      </c>
      <c r="B429" t="b">
        <v>0</v>
      </c>
      <c r="C429" t="b">
        <v>0</v>
      </c>
      <c r="D429" s="3">
        <v>1967</v>
      </c>
      <c r="E429" s="3">
        <v>1967</v>
      </c>
      <c r="F429" t="s">
        <v>4129</v>
      </c>
      <c r="G429" t="s">
        <v>4130</v>
      </c>
      <c r="H429" s="3">
        <v>37.592500000000001</v>
      </c>
      <c r="I429" t="s">
        <v>4131</v>
      </c>
      <c r="J429" t="s">
        <v>12581</v>
      </c>
      <c r="L429" t="s">
        <v>4132</v>
      </c>
      <c r="M429" t="str">
        <f>"https://www.artic.edu/iiif/2/"&amp;Table9[[#This Row],[Image ID]]&amp;"/full/843,/0/default.jpg"</f>
        <v>https://www.artic.edu/iiif/2/6ec2b0a9-6299-e808-1792-c0b994727088/full/843,/0/default.jpg</v>
      </c>
      <c r="N429" s="3">
        <v>0.875</v>
      </c>
      <c r="O429" s="3">
        <v>0.1</v>
      </c>
      <c r="P429" s="3">
        <v>0.77500000000000002</v>
      </c>
      <c r="Q429" s="3">
        <v>0.97540342807769698</v>
      </c>
    </row>
    <row r="430" spans="1:17" x14ac:dyDescent="0.45">
      <c r="A430" s="3">
        <v>129678</v>
      </c>
      <c r="B430" t="b">
        <v>0</v>
      </c>
      <c r="C430" t="b">
        <v>0</v>
      </c>
      <c r="D430" s="3">
        <v>1941</v>
      </c>
      <c r="E430" s="3">
        <v>1941</v>
      </c>
      <c r="F430" t="s">
        <v>2898</v>
      </c>
      <c r="G430" t="s">
        <v>2892</v>
      </c>
      <c r="H430" s="3">
        <v>21.835899999999999</v>
      </c>
      <c r="I430" t="s">
        <v>14549</v>
      </c>
      <c r="J430" t="s">
        <v>10990</v>
      </c>
      <c r="L430" t="s">
        <v>2899</v>
      </c>
      <c r="M430" t="str">
        <f>"https://www.artic.edu/iiif/2/"&amp;Table9[[#This Row],[Image ID]]&amp;"/full/843,/0/default.jpg"</f>
        <v>https://www.artic.edu/iiif/2/738831f4-f9c4-ef6b-025c-84eaaa026b37/full/843,/0/default.jpg</v>
      </c>
      <c r="N430" s="3">
        <v>0.85</v>
      </c>
      <c r="O430" s="3">
        <v>7.4999999999999997E-2</v>
      </c>
      <c r="P430" s="3">
        <v>0.77500000000000002</v>
      </c>
      <c r="Q430" s="3">
        <v>0.82547092437744096</v>
      </c>
    </row>
    <row r="431" spans="1:17" x14ac:dyDescent="0.45">
      <c r="A431" s="3">
        <v>14783</v>
      </c>
      <c r="B431" t="b">
        <v>0</v>
      </c>
      <c r="C431" t="b">
        <v>0</v>
      </c>
      <c r="D431" s="3">
        <v>1920</v>
      </c>
      <c r="E431" s="3">
        <v>1923</v>
      </c>
      <c r="F431" t="s">
        <v>3670</v>
      </c>
      <c r="G431" t="s">
        <v>3671</v>
      </c>
      <c r="H431" s="3">
        <v>36.186799999999998</v>
      </c>
      <c r="I431" t="s">
        <v>786</v>
      </c>
      <c r="J431" t="s">
        <v>12926</v>
      </c>
      <c r="L431" t="s">
        <v>3672</v>
      </c>
      <c r="M431" t="str">
        <f>"https://www.artic.edu/iiif/2/"&amp;Table9[[#This Row],[Image ID]]&amp;"/full/843,/0/default.jpg"</f>
        <v>https://www.artic.edu/iiif/2/88601bb2-f6a3-fb42-f047-1f154d2dd888/full/843,/0/default.jpg</v>
      </c>
      <c r="N431" s="3">
        <v>0.85</v>
      </c>
      <c r="O431" s="3">
        <v>7.4999999999999997E-2</v>
      </c>
      <c r="P431" s="3">
        <v>0.77500000000000002</v>
      </c>
      <c r="Q431" s="3">
        <v>0.73118609189987105</v>
      </c>
    </row>
    <row r="432" spans="1:17" x14ac:dyDescent="0.45">
      <c r="A432" s="3">
        <v>66164</v>
      </c>
      <c r="B432" t="b">
        <v>0</v>
      </c>
      <c r="C432" t="b">
        <v>0</v>
      </c>
      <c r="D432" s="3">
        <v>1967</v>
      </c>
      <c r="E432" s="3">
        <v>1967</v>
      </c>
      <c r="F432" t="s">
        <v>9204</v>
      </c>
      <c r="G432" t="s">
        <v>4693</v>
      </c>
      <c r="H432" s="3">
        <v>32.837000000000003</v>
      </c>
      <c r="I432" t="s">
        <v>791</v>
      </c>
      <c r="J432" t="s">
        <v>12935</v>
      </c>
      <c r="L432" t="s">
        <v>9205</v>
      </c>
      <c r="M432" t="str">
        <f>"https://www.artic.edu/iiif/2/"&amp;Table9[[#This Row],[Image ID]]&amp;"/full/843,/0/default.jpg"</f>
        <v>https://www.artic.edu/iiif/2/896b2529-fd62-2a2c-80d9-3702d916f90a/full/843,/0/default.jpg</v>
      </c>
      <c r="N432" s="3">
        <v>0.875</v>
      </c>
      <c r="O432" s="3">
        <v>0.1</v>
      </c>
      <c r="P432" s="3">
        <v>0.77500000000000002</v>
      </c>
      <c r="Q432" s="3">
        <v>0.86335754394531194</v>
      </c>
    </row>
    <row r="433" spans="1:17" x14ac:dyDescent="0.45">
      <c r="A433" s="3">
        <v>66419</v>
      </c>
      <c r="B433" t="b">
        <v>0</v>
      </c>
      <c r="C433" t="b">
        <v>0</v>
      </c>
      <c r="D433" s="3">
        <v>1956</v>
      </c>
      <c r="E433" s="3">
        <v>1957</v>
      </c>
      <c r="F433" t="s">
        <v>9268</v>
      </c>
      <c r="G433" t="s">
        <v>9241</v>
      </c>
      <c r="H433" s="3">
        <v>9.9809999999999999</v>
      </c>
      <c r="I433" t="s">
        <v>1091</v>
      </c>
      <c r="J433" t="s">
        <v>12989</v>
      </c>
      <c r="L433" t="s">
        <v>9269</v>
      </c>
      <c r="M433" t="str">
        <f>"https://www.artic.edu/iiif/2/"&amp;Table9[[#This Row],[Image ID]]&amp;"/full/843,/0/default.jpg"</f>
        <v>https://www.artic.edu/iiif/2/8cb91b78-24ae-fb3d-fb63-5e8e5e6e09aa/full/843,/0/default.jpg</v>
      </c>
      <c r="N433" s="3">
        <v>0.85</v>
      </c>
      <c r="O433" s="3">
        <v>7.4999999999999997E-2</v>
      </c>
      <c r="P433" s="3">
        <v>0.77500000000000002</v>
      </c>
      <c r="Q433" s="3">
        <v>0.85104662179946899</v>
      </c>
    </row>
    <row r="434" spans="1:17" x14ac:dyDescent="0.45">
      <c r="A434" s="3">
        <v>229863</v>
      </c>
      <c r="B434" t="b">
        <v>0</v>
      </c>
      <c r="C434" t="b">
        <v>0</v>
      </c>
      <c r="D434" s="3">
        <v>2007</v>
      </c>
      <c r="E434" s="3">
        <v>2007</v>
      </c>
      <c r="F434" t="s">
        <v>6116</v>
      </c>
      <c r="G434" t="s">
        <v>59</v>
      </c>
      <c r="H434" s="3">
        <v>74.357699999999994</v>
      </c>
      <c r="I434" t="s">
        <v>6117</v>
      </c>
      <c r="J434" t="s">
        <v>13157</v>
      </c>
      <c r="K434" s="5" t="s">
        <v>15</v>
      </c>
      <c r="L434" t="s">
        <v>6118</v>
      </c>
      <c r="M434" t="str">
        <f>"https://www.artic.edu/iiif/2/"&amp;Table9[[#This Row],[Image ID]]&amp;"/full/843,/0/default.jpg"</f>
        <v>https://www.artic.edu/iiif/2/9a663de0-99fe-d411-61be-c9c72a48b6d7/full/843,/0/default.jpg</v>
      </c>
      <c r="N434" s="3">
        <v>0.9</v>
      </c>
      <c r="O434" s="3">
        <v>0.125</v>
      </c>
      <c r="P434" s="3">
        <v>0.77500000000000002</v>
      </c>
      <c r="Q434" s="3">
        <v>0.88823670148849398</v>
      </c>
    </row>
    <row r="435" spans="1:17" x14ac:dyDescent="0.45">
      <c r="A435" s="3">
        <v>184928</v>
      </c>
      <c r="B435" t="b">
        <v>0</v>
      </c>
      <c r="C435" t="b">
        <v>0</v>
      </c>
      <c r="D435" s="3">
        <v>2003</v>
      </c>
      <c r="E435" s="3">
        <v>2003</v>
      </c>
      <c r="F435" t="s">
        <v>4914</v>
      </c>
      <c r="G435" t="s">
        <v>4823</v>
      </c>
      <c r="H435" s="3">
        <v>9.3765000000000001</v>
      </c>
      <c r="I435" t="s">
        <v>293</v>
      </c>
      <c r="J435" t="s">
        <v>10977</v>
      </c>
      <c r="K435" s="5" t="s">
        <v>15</v>
      </c>
      <c r="L435" t="s">
        <v>4915</v>
      </c>
      <c r="M435" t="str">
        <f>"https://www.artic.edu/iiif/2/"&amp;Table9[[#This Row],[Image ID]]&amp;"/full/843,/0/default.jpg"</f>
        <v>https://www.artic.edu/iiif/2/9b3066cb-187c-1d7b-d0f1-3494961a6b8f/full/843,/0/default.jpg</v>
      </c>
      <c r="N435" s="3">
        <v>0.9</v>
      </c>
      <c r="O435" s="3">
        <v>0.125</v>
      </c>
      <c r="P435" s="3">
        <v>0.77500000000000002</v>
      </c>
      <c r="Q435" s="3">
        <v>0.89716041088104204</v>
      </c>
    </row>
    <row r="436" spans="1:17" x14ac:dyDescent="0.45">
      <c r="A436" s="3">
        <v>249230</v>
      </c>
      <c r="B436" t="b">
        <v>0</v>
      </c>
      <c r="C436" t="b">
        <v>0</v>
      </c>
      <c r="D436" s="3">
        <v>2018</v>
      </c>
      <c r="E436" s="3">
        <v>2018</v>
      </c>
      <c r="F436" t="s">
        <v>6442</v>
      </c>
      <c r="G436" t="s">
        <v>6443</v>
      </c>
      <c r="H436" s="3">
        <v>41.503700000000002</v>
      </c>
      <c r="I436" t="s">
        <v>6444</v>
      </c>
      <c r="J436" t="s">
        <v>13506</v>
      </c>
      <c r="L436" t="s">
        <v>6445</v>
      </c>
      <c r="M436" t="str">
        <f>"https://www.artic.edu/iiif/2/"&amp;Table9[[#This Row],[Image ID]]&amp;"/full/843,/0/default.jpg"</f>
        <v>https://www.artic.edu/iiif/2/b47a7a0a-8e59-7ea5-098f-0cb85d8a96e1/full/843,/0/default.jpg</v>
      </c>
      <c r="N436" s="3">
        <v>0.8</v>
      </c>
      <c r="O436" s="3">
        <v>2.5000000000000001E-2</v>
      </c>
      <c r="P436" s="3">
        <v>0.77500000000000002</v>
      </c>
      <c r="Q436" s="3">
        <v>0.72992032766342096</v>
      </c>
    </row>
    <row r="437" spans="1:17" x14ac:dyDescent="0.45">
      <c r="A437" s="3">
        <v>59950</v>
      </c>
      <c r="B437" t="b">
        <v>0</v>
      </c>
      <c r="C437" t="b">
        <v>0</v>
      </c>
      <c r="D437" s="3">
        <v>1920</v>
      </c>
      <c r="E437" s="3">
        <v>1930</v>
      </c>
      <c r="F437" t="s">
        <v>8651</v>
      </c>
      <c r="G437" t="s">
        <v>7</v>
      </c>
      <c r="H437" s="3">
        <v>0</v>
      </c>
      <c r="I437" t="s">
        <v>8652</v>
      </c>
      <c r="J437" t="s">
        <v>13530</v>
      </c>
      <c r="L437" t="s">
        <v>8653</v>
      </c>
      <c r="M437" t="str">
        <f>"https://www.artic.edu/iiif/2/"&amp;Table9[[#This Row],[Image ID]]&amp;"/full/843,/0/default.jpg"</f>
        <v>https://www.artic.edu/iiif/2/b6904d79-4916-6bad-8302-ceaa789cb541/full/843,/0/default.jpg</v>
      </c>
      <c r="N437" s="3">
        <v>0.85</v>
      </c>
      <c r="O437" s="3">
        <v>7.4999999999999997E-2</v>
      </c>
      <c r="P437" s="3">
        <v>0.77500000000000002</v>
      </c>
      <c r="Q437" s="3">
        <v>0.66786485910415605</v>
      </c>
    </row>
    <row r="438" spans="1:17" x14ac:dyDescent="0.45">
      <c r="A438" s="3">
        <v>28406</v>
      </c>
      <c r="B438" t="b">
        <v>0</v>
      </c>
      <c r="C438" t="b">
        <v>0</v>
      </c>
      <c r="D438" s="3">
        <v>1964</v>
      </c>
      <c r="E438" s="3">
        <v>1964</v>
      </c>
      <c r="F438" t="s">
        <v>5339</v>
      </c>
      <c r="G438" t="s">
        <v>6110</v>
      </c>
      <c r="H438" s="3">
        <v>17.5245</v>
      </c>
      <c r="I438" t="s">
        <v>2274</v>
      </c>
      <c r="J438" t="s">
        <v>13540</v>
      </c>
      <c r="L438" t="s">
        <v>6803</v>
      </c>
      <c r="M438" t="str">
        <f>"https://www.artic.edu/iiif/2/"&amp;Table9[[#This Row],[Image ID]]&amp;"/full/843,/0/default.jpg"</f>
        <v>https://www.artic.edu/iiif/2/b7366293-7fcc-bbdc-b577-bc70c3ab69e2/full/843,/0/default.jpg</v>
      </c>
      <c r="N438" s="3">
        <v>0.875</v>
      </c>
      <c r="O438" s="3">
        <v>0.1</v>
      </c>
      <c r="P438" s="3">
        <v>0.77500000000000002</v>
      </c>
      <c r="Q438" s="3">
        <v>0.81573528051376298</v>
      </c>
    </row>
    <row r="439" spans="1:17" x14ac:dyDescent="0.45">
      <c r="A439" s="3">
        <v>158751</v>
      </c>
      <c r="B439" t="b">
        <v>0</v>
      </c>
      <c r="C439" t="b">
        <v>0</v>
      </c>
      <c r="D439" s="3">
        <v>1923</v>
      </c>
      <c r="E439" s="3">
        <v>1924</v>
      </c>
      <c r="F439" t="s">
        <v>305</v>
      </c>
      <c r="G439" t="s">
        <v>7</v>
      </c>
      <c r="H439" s="3">
        <v>45.164900000000003</v>
      </c>
      <c r="I439" t="s">
        <v>144</v>
      </c>
      <c r="J439" t="s">
        <v>13577</v>
      </c>
      <c r="K439" s="5" t="s">
        <v>45</v>
      </c>
      <c r="L439" t="s">
        <v>4161</v>
      </c>
      <c r="M439" t="str">
        <f>"https://www.artic.edu/iiif/2/"&amp;Table9[[#This Row],[Image ID]]&amp;"/full/843,/0/default.jpg"</f>
        <v>https://www.artic.edu/iiif/2/ba74b990-fc26-64fd-4704-328e99e1eef8/full/843,/0/default.jpg</v>
      </c>
      <c r="N439" s="3">
        <v>0.85</v>
      </c>
      <c r="O439" s="3">
        <v>7.4999999999999997E-2</v>
      </c>
      <c r="P439" s="3">
        <v>0.77500000000000002</v>
      </c>
      <c r="Q439" s="3">
        <v>0.78351354598999001</v>
      </c>
    </row>
    <row r="440" spans="1:17" x14ac:dyDescent="0.45">
      <c r="A440" s="3">
        <v>88739</v>
      </c>
      <c r="B440" t="b">
        <v>0</v>
      </c>
      <c r="C440" t="b">
        <v>0</v>
      </c>
      <c r="D440" s="3">
        <v>1923</v>
      </c>
      <c r="E440" s="3">
        <v>1928</v>
      </c>
      <c r="F440" t="s">
        <v>780</v>
      </c>
      <c r="G440" t="s">
        <v>608</v>
      </c>
      <c r="H440" s="3">
        <v>43.594200000000001</v>
      </c>
      <c r="I440" t="s">
        <v>3711</v>
      </c>
      <c r="J440" t="s">
        <v>13601</v>
      </c>
      <c r="L440" t="s">
        <v>10438</v>
      </c>
      <c r="M440" t="str">
        <f>"https://www.artic.edu/iiif/2/"&amp;Table9[[#This Row],[Image ID]]&amp;"/full/843,/0/default.jpg"</f>
        <v>https://www.artic.edu/iiif/2/bca79c06-b1f7-b53d-ccae-0d550bb57923/full/843,/0/default.jpg</v>
      </c>
      <c r="N440" s="3">
        <v>0.77500000000000002</v>
      </c>
      <c r="O440" s="3">
        <v>0</v>
      </c>
      <c r="P440" s="3">
        <v>0.77500000000000002</v>
      </c>
      <c r="Q440" s="3">
        <v>0.74180895090103105</v>
      </c>
    </row>
    <row r="441" spans="1:17" x14ac:dyDescent="0.45">
      <c r="A441" s="3">
        <v>9516</v>
      </c>
      <c r="B441" t="b">
        <v>0</v>
      </c>
      <c r="C441" t="b">
        <v>0</v>
      </c>
      <c r="D441" s="3">
        <v>1955</v>
      </c>
      <c r="E441" s="3">
        <v>1957</v>
      </c>
      <c r="F441" t="s">
        <v>10755</v>
      </c>
      <c r="G441" t="s">
        <v>7</v>
      </c>
      <c r="H441" s="3">
        <v>15.104699999999999</v>
      </c>
      <c r="I441" t="s">
        <v>378</v>
      </c>
      <c r="J441" t="s">
        <v>13622</v>
      </c>
      <c r="K441" s="5" t="s">
        <v>45</v>
      </c>
      <c r="L441" t="s">
        <v>10756</v>
      </c>
      <c r="M441" t="str">
        <f>"https://www.artic.edu/iiif/2/"&amp;Table9[[#This Row],[Image ID]]&amp;"/full/843,/0/default.jpg"</f>
        <v>https://www.artic.edu/iiif/2/be112b4c-4249-4391-8445-a7d871cf6514/full/843,/0/default.jpg</v>
      </c>
      <c r="N441" s="3">
        <v>0.875</v>
      </c>
      <c r="O441" s="3">
        <v>0.1</v>
      </c>
      <c r="P441" s="3">
        <v>0.77500000000000002</v>
      </c>
      <c r="Q441" s="3">
        <v>0.85468667745590199</v>
      </c>
    </row>
    <row r="442" spans="1:17" x14ac:dyDescent="0.45">
      <c r="A442" s="3">
        <v>211097</v>
      </c>
      <c r="B442" t="b">
        <v>0</v>
      </c>
      <c r="C442" t="b">
        <v>0</v>
      </c>
      <c r="D442" s="3">
        <v>1915</v>
      </c>
      <c r="E442" s="3">
        <v>1925</v>
      </c>
      <c r="F442" t="s">
        <v>5583</v>
      </c>
      <c r="G442" t="s">
        <v>5584</v>
      </c>
      <c r="H442" s="3">
        <v>22.160599999999999</v>
      </c>
      <c r="I442" t="s">
        <v>5585</v>
      </c>
      <c r="J442" t="s">
        <v>13625</v>
      </c>
      <c r="L442" t="s">
        <v>5586</v>
      </c>
      <c r="M442" t="str">
        <f>"https://www.artic.edu/iiif/2/"&amp;Table9[[#This Row],[Image ID]]&amp;"/full/843,/0/default.jpg"</f>
        <v>https://www.artic.edu/iiif/2/be3a0712-fed2-c29f-f03d-87c08d2cfe79/full/843,/0/default.jpg</v>
      </c>
      <c r="N442" s="3">
        <v>0.85</v>
      </c>
      <c r="O442" s="3">
        <v>7.4999999999999997E-2</v>
      </c>
      <c r="P442" s="3">
        <v>0.77500000000000002</v>
      </c>
      <c r="Q442" s="3">
        <v>0.889398634433746</v>
      </c>
    </row>
    <row r="443" spans="1:17" x14ac:dyDescent="0.45">
      <c r="A443" s="3">
        <v>156599</v>
      </c>
      <c r="B443" t="b">
        <v>0</v>
      </c>
      <c r="C443" t="b">
        <v>0</v>
      </c>
      <c r="D443" s="3">
        <v>1990</v>
      </c>
      <c r="E443" s="3">
        <v>1990</v>
      </c>
      <c r="F443" t="s">
        <v>4072</v>
      </c>
      <c r="G443" t="s">
        <v>4073</v>
      </c>
      <c r="H443" s="3">
        <v>35.943300000000001</v>
      </c>
      <c r="I443" t="s">
        <v>4074</v>
      </c>
      <c r="J443" t="s">
        <v>13630</v>
      </c>
      <c r="L443" t="s">
        <v>4075</v>
      </c>
      <c r="M443" t="str">
        <f>"https://www.artic.edu/iiif/2/"&amp;Table9[[#This Row],[Image ID]]&amp;"/full/843,/0/default.jpg"</f>
        <v>https://www.artic.edu/iiif/2/be63083c-b217-71c7-5e52-ff8674ddea65/full/843,/0/default.jpg</v>
      </c>
      <c r="N443" s="3">
        <v>0.9</v>
      </c>
      <c r="O443" s="3">
        <v>0.125</v>
      </c>
      <c r="P443" s="3">
        <v>0.77500000000000002</v>
      </c>
      <c r="Q443" s="3">
        <v>0.95350068807601895</v>
      </c>
    </row>
    <row r="444" spans="1:17" x14ac:dyDescent="0.45">
      <c r="A444" s="3">
        <v>23294</v>
      </c>
      <c r="B444" t="b">
        <v>0</v>
      </c>
      <c r="C444" t="b">
        <v>0</v>
      </c>
      <c r="D444" s="3">
        <v>1936</v>
      </c>
      <c r="E444" s="3">
        <v>1936</v>
      </c>
      <c r="F444" t="s">
        <v>6160</v>
      </c>
      <c r="G444" t="s">
        <v>6161</v>
      </c>
      <c r="H444" s="3">
        <v>25.5214</v>
      </c>
      <c r="I444" t="s">
        <v>4987</v>
      </c>
      <c r="J444" t="s">
        <v>11134</v>
      </c>
      <c r="L444" t="s">
        <v>6162</v>
      </c>
      <c r="M444" t="str">
        <f>"https://www.artic.edu/iiif/2/"&amp;Table9[[#This Row],[Image ID]]&amp;"/full/843,/0/default.jpg"</f>
        <v>https://www.artic.edu/iiif/2/c98f9ff6-ee78-edb0-f0bd-9da011c4200b/full/843,/0/default.jpg</v>
      </c>
      <c r="N444" s="3">
        <v>0.875</v>
      </c>
      <c r="O444" s="3">
        <v>0.1</v>
      </c>
      <c r="P444" s="3">
        <v>0.77500000000000002</v>
      </c>
      <c r="Q444" s="3">
        <v>0.78297239542007402</v>
      </c>
    </row>
    <row r="445" spans="1:17" x14ac:dyDescent="0.45">
      <c r="A445" s="3">
        <v>229119</v>
      </c>
      <c r="B445" t="b">
        <v>0</v>
      </c>
      <c r="C445" t="b">
        <v>0</v>
      </c>
      <c r="D445" s="3">
        <v>1974</v>
      </c>
      <c r="E445" s="3">
        <v>1974</v>
      </c>
      <c r="F445" t="s">
        <v>5840</v>
      </c>
      <c r="G445" t="s">
        <v>238</v>
      </c>
      <c r="H445" s="3">
        <v>107.33499999999999</v>
      </c>
      <c r="I445" t="s">
        <v>5841</v>
      </c>
      <c r="J445" t="s">
        <v>11563</v>
      </c>
      <c r="L445" t="s">
        <v>6053</v>
      </c>
      <c r="M445" t="str">
        <f>"https://www.artic.edu/iiif/2/"&amp;Table9[[#This Row],[Image ID]]&amp;"/full/843,/0/default.jpg"</f>
        <v>https://www.artic.edu/iiif/2/cdbf82ed-7456-2584-349a-f4ac607a8563/full/843,/0/default.jpg</v>
      </c>
      <c r="N445" s="3">
        <v>0.8</v>
      </c>
      <c r="O445" s="3">
        <v>2.5000000000000001E-2</v>
      </c>
      <c r="P445" s="3">
        <v>0.77500000000000002</v>
      </c>
      <c r="Q445" s="3">
        <v>0.88493174314498901</v>
      </c>
    </row>
    <row r="446" spans="1:17" x14ac:dyDescent="0.45">
      <c r="A446" s="3">
        <v>97906</v>
      </c>
      <c r="B446" t="b">
        <v>0</v>
      </c>
      <c r="C446" t="b">
        <v>0</v>
      </c>
      <c r="D446" s="3">
        <v>1889</v>
      </c>
      <c r="E446" s="3">
        <v>1889</v>
      </c>
      <c r="F446" t="s">
        <v>10893</v>
      </c>
      <c r="G446" t="s">
        <v>7</v>
      </c>
      <c r="H446" s="3">
        <v>41.76</v>
      </c>
      <c r="I446" t="s">
        <v>192</v>
      </c>
      <c r="J446" t="s">
        <v>13844</v>
      </c>
      <c r="L446" t="s">
        <v>10894</v>
      </c>
      <c r="M446" t="str">
        <f>"https://www.artic.edu/iiif/2/"&amp;Table9[[#This Row],[Image ID]]&amp;"/full/843,/0/default.jpg"</f>
        <v>https://www.artic.edu/iiif/2/cfe0279e-8071-3bc8-77ef-217ae826e4b3/full/843,/0/default.jpg</v>
      </c>
      <c r="N446" s="3">
        <v>0.85</v>
      </c>
      <c r="O446" s="3">
        <v>7.4999999999999997E-2</v>
      </c>
      <c r="P446" s="3">
        <v>0.77500000000000002</v>
      </c>
      <c r="Q446" s="3">
        <v>0.81218606233596802</v>
      </c>
    </row>
    <row r="447" spans="1:17" x14ac:dyDescent="0.45">
      <c r="A447" s="3">
        <v>118718</v>
      </c>
      <c r="B447" t="b">
        <v>0</v>
      </c>
      <c r="C447" t="b">
        <v>0</v>
      </c>
      <c r="D447" s="3">
        <v>1958</v>
      </c>
      <c r="E447" s="3">
        <v>1958</v>
      </c>
      <c r="F447" t="s">
        <v>2545</v>
      </c>
      <c r="G447" t="s">
        <v>7</v>
      </c>
      <c r="H447" s="3">
        <v>73.5214</v>
      </c>
      <c r="I447" t="s">
        <v>6932</v>
      </c>
      <c r="J447" t="s">
        <v>13870</v>
      </c>
      <c r="K447" s="5" t="s">
        <v>2</v>
      </c>
      <c r="L447" t="s">
        <v>2546</v>
      </c>
      <c r="M447" t="str">
        <f>"https://www.artic.edu/iiif/2/"&amp;Table9[[#This Row],[Image ID]]&amp;"/full/843,/0/default.jpg"</f>
        <v>https://www.artic.edu/iiif/2/d2c459c3-c6cf-551b-fd27-5a2854b9fa81/full/843,/0/default.jpg</v>
      </c>
      <c r="N447" s="3">
        <v>0.85</v>
      </c>
      <c r="O447" s="3">
        <v>7.4999999999999997E-2</v>
      </c>
      <c r="P447" s="3">
        <v>0.77500000000000002</v>
      </c>
      <c r="Q447" s="3">
        <v>0.78364938497543302</v>
      </c>
    </row>
    <row r="448" spans="1:17" x14ac:dyDescent="0.45">
      <c r="A448" s="3">
        <v>190438</v>
      </c>
      <c r="B448" t="b">
        <v>0</v>
      </c>
      <c r="C448" t="b">
        <v>0</v>
      </c>
      <c r="D448" s="3">
        <v>1965</v>
      </c>
      <c r="E448" s="3">
        <v>1975</v>
      </c>
      <c r="F448" t="s">
        <v>11</v>
      </c>
      <c r="G448" t="s">
        <v>5165</v>
      </c>
      <c r="H448" s="3">
        <v>29.869599999999998</v>
      </c>
      <c r="I448" t="s">
        <v>5166</v>
      </c>
      <c r="J448" t="s">
        <v>12781</v>
      </c>
      <c r="K448" s="5" t="s">
        <v>130</v>
      </c>
      <c r="L448" t="s">
        <v>5167</v>
      </c>
      <c r="M448" t="str">
        <f>"https://www.artic.edu/iiif/2/"&amp;Table9[[#This Row],[Image ID]]&amp;"/full/843,/0/default.jpg"</f>
        <v>https://www.artic.edu/iiif/2/d50300cc-8835-ad93-611e-0415096bf5ac/full/843,/0/default.jpg</v>
      </c>
      <c r="N448" s="3">
        <v>0.77500000000000002</v>
      </c>
      <c r="O448" s="3">
        <v>0</v>
      </c>
      <c r="P448" s="3">
        <v>0.77500000000000002</v>
      </c>
      <c r="Q448" s="3">
        <v>0.73825365304946899</v>
      </c>
    </row>
    <row r="449" spans="1:17" x14ac:dyDescent="0.45">
      <c r="A449" s="3">
        <v>14749</v>
      </c>
      <c r="B449" t="b">
        <v>0</v>
      </c>
      <c r="C449" t="b">
        <v>0</v>
      </c>
      <c r="D449" s="3">
        <v>1923</v>
      </c>
      <c r="E449" s="3">
        <v>1923</v>
      </c>
      <c r="F449" t="s">
        <v>3623</v>
      </c>
      <c r="G449" t="s">
        <v>785</v>
      </c>
      <c r="H449" s="3">
        <v>21.3019</v>
      </c>
      <c r="I449" t="s">
        <v>1164</v>
      </c>
      <c r="J449" t="s">
        <v>13944</v>
      </c>
      <c r="L449" t="s">
        <v>3624</v>
      </c>
      <c r="M449" t="str">
        <f>"https://www.artic.edu/iiif/2/"&amp;Table9[[#This Row],[Image ID]]&amp;"/full/843,/0/default.jpg"</f>
        <v>https://www.artic.edu/iiif/2/d74e6f47-50f0-6671-3e57-07a3dcffd8fd/full/843,/0/default.jpg</v>
      </c>
      <c r="N449" s="3">
        <v>0.77500000000000002</v>
      </c>
      <c r="O449" s="3">
        <v>0</v>
      </c>
      <c r="P449" s="3">
        <v>0.77500000000000002</v>
      </c>
      <c r="Q449" s="3">
        <v>0.49308148026466297</v>
      </c>
    </row>
    <row r="450" spans="1:17" x14ac:dyDescent="0.45">
      <c r="A450" s="3">
        <v>104272</v>
      </c>
      <c r="B450" t="b">
        <v>0</v>
      </c>
      <c r="C450" t="b">
        <v>0</v>
      </c>
      <c r="D450" s="3">
        <v>1982</v>
      </c>
      <c r="E450" s="3">
        <v>1982</v>
      </c>
      <c r="F450" t="s">
        <v>406</v>
      </c>
      <c r="G450" t="s">
        <v>407</v>
      </c>
      <c r="H450" s="3">
        <v>7.0124000000000004</v>
      </c>
      <c r="I450" t="s">
        <v>378</v>
      </c>
      <c r="J450" t="s">
        <v>10996</v>
      </c>
      <c r="K450" s="5" t="s">
        <v>45</v>
      </c>
      <c r="L450" t="s">
        <v>408</v>
      </c>
      <c r="M450" t="str">
        <f>"https://www.artic.edu/iiif/2/"&amp;Table9[[#This Row],[Image ID]]&amp;"/full/843,/0/default.jpg"</f>
        <v>https://www.artic.edu/iiif/2/da983b4b-3b34-4007-2488-93a59191d435/full/843,/0/default.jpg</v>
      </c>
      <c r="N450" s="3">
        <v>0.9</v>
      </c>
      <c r="O450" s="3">
        <v>0.125</v>
      </c>
      <c r="P450" s="3">
        <v>0.77500000000000002</v>
      </c>
      <c r="Q450" s="3">
        <v>0.85874027013778598</v>
      </c>
    </row>
    <row r="451" spans="1:17" x14ac:dyDescent="0.45">
      <c r="A451" s="3">
        <v>7646</v>
      </c>
      <c r="B451" t="b">
        <v>0</v>
      </c>
      <c r="C451" t="b">
        <v>0</v>
      </c>
      <c r="D451" s="3">
        <v>1905</v>
      </c>
      <c r="E451" s="3">
        <v>1915</v>
      </c>
      <c r="F451" t="s">
        <v>9786</v>
      </c>
      <c r="G451" t="s">
        <v>7</v>
      </c>
      <c r="H451" s="3">
        <v>28.916899999999998</v>
      </c>
      <c r="I451" t="s">
        <v>592</v>
      </c>
      <c r="J451" t="s">
        <v>9788</v>
      </c>
      <c r="L451" t="s">
        <v>9787</v>
      </c>
      <c r="M451" t="str">
        <f>"https://www.artic.edu/iiif/2/"&amp;Table9[[#This Row],[Image ID]]&amp;"/full/843,/0/default.jpg"</f>
        <v>https://www.artic.edu/iiif/2/e423a89e-5d9a-ed75-a6b7-595d75f06b43/full/843,/0/default.jpg</v>
      </c>
      <c r="N451" s="3">
        <v>0.8</v>
      </c>
      <c r="O451" s="3">
        <v>2.5000000000000001E-2</v>
      </c>
      <c r="P451" s="3">
        <v>0.77500000000000002</v>
      </c>
      <c r="Q451" s="3">
        <v>0.60382771492004395</v>
      </c>
    </row>
    <row r="452" spans="1:17" x14ac:dyDescent="0.45">
      <c r="A452" s="3">
        <v>63078</v>
      </c>
      <c r="B452" t="b">
        <v>0</v>
      </c>
      <c r="C452" t="b">
        <v>0</v>
      </c>
      <c r="D452" s="3">
        <v>1907</v>
      </c>
      <c r="E452" s="3">
        <v>1907</v>
      </c>
      <c r="F452" t="s">
        <v>2597</v>
      </c>
      <c r="G452" t="s">
        <v>7</v>
      </c>
      <c r="H452" s="3">
        <v>27.1858</v>
      </c>
      <c r="I452" t="s">
        <v>8921</v>
      </c>
      <c r="J452" t="s">
        <v>14138</v>
      </c>
      <c r="L452" t="s">
        <v>8922</v>
      </c>
      <c r="M452" t="str">
        <f>"https://www.artic.edu/iiif/2/"&amp;Table9[[#This Row],[Image ID]]&amp;"/full/843,/0/default.jpg"</f>
        <v>https://www.artic.edu/iiif/2/e4577497-99cc-0fe7-d910-18c158f282d1/full/843,/0/default.jpg</v>
      </c>
      <c r="N452" s="3">
        <v>0.85</v>
      </c>
      <c r="O452" s="3">
        <v>7.4999999999999997E-2</v>
      </c>
      <c r="P452" s="3">
        <v>0.77500000000000002</v>
      </c>
      <c r="Q452" s="3">
        <v>0.81722968816757202</v>
      </c>
    </row>
    <row r="453" spans="1:17" x14ac:dyDescent="0.45">
      <c r="A453" s="3">
        <v>16353</v>
      </c>
      <c r="B453" t="b">
        <v>0</v>
      </c>
      <c r="C453" t="b">
        <v>0</v>
      </c>
      <c r="D453" s="3">
        <v>1941</v>
      </c>
      <c r="E453" s="3">
        <v>1941</v>
      </c>
      <c r="F453" t="s">
        <v>2871</v>
      </c>
      <c r="G453" t="s">
        <v>4383</v>
      </c>
      <c r="H453" s="3">
        <v>21.9773</v>
      </c>
      <c r="I453" t="s">
        <v>2385</v>
      </c>
      <c r="J453" t="s">
        <v>14165</v>
      </c>
      <c r="L453" t="s">
        <v>4384</v>
      </c>
      <c r="M453" t="str">
        <f>"https://www.artic.edu/iiif/2/"&amp;Table9[[#This Row],[Image ID]]&amp;"/full/843,/0/default.jpg"</f>
        <v>https://www.artic.edu/iiif/2/e62aa424-54c1-cd76-ffe8-62d89603127d/full/843,/0/default.jpg</v>
      </c>
      <c r="N453" s="3">
        <v>0.875</v>
      </c>
      <c r="O453" s="3">
        <v>0.1</v>
      </c>
      <c r="P453" s="3">
        <v>0.77500000000000002</v>
      </c>
      <c r="Q453" s="3">
        <v>0.96849524974822998</v>
      </c>
    </row>
    <row r="454" spans="1:17" x14ac:dyDescent="0.45">
      <c r="A454" s="3">
        <v>111629</v>
      </c>
      <c r="B454" t="b">
        <v>0</v>
      </c>
      <c r="C454" t="b">
        <v>0</v>
      </c>
      <c r="D454" s="3">
        <v>1944</v>
      </c>
      <c r="E454" s="3">
        <v>1944</v>
      </c>
      <c r="F454" t="s">
        <v>14</v>
      </c>
      <c r="G454" t="s">
        <v>7</v>
      </c>
      <c r="H454" s="3">
        <v>88.847099999999998</v>
      </c>
      <c r="I454" t="s">
        <v>1165</v>
      </c>
      <c r="J454" t="s">
        <v>14173</v>
      </c>
      <c r="K454" s="5" t="s">
        <v>45</v>
      </c>
      <c r="L454" t="s">
        <v>1166</v>
      </c>
      <c r="M454" t="str">
        <f>"https://www.artic.edu/iiif/2/"&amp;Table9[[#This Row],[Image ID]]&amp;"/full/843,/0/default.jpg"</f>
        <v>https://www.artic.edu/iiif/2/e707e79a-b668-91a3-e580-40b3e4d17317/full/843,/0/default.jpg</v>
      </c>
      <c r="N454" s="3">
        <v>0.85</v>
      </c>
      <c r="O454" s="3">
        <v>7.4999999999999997E-2</v>
      </c>
      <c r="P454" s="3">
        <v>0.77500000000000002</v>
      </c>
      <c r="Q454" s="3">
        <v>0.83596736192703203</v>
      </c>
    </row>
    <row r="455" spans="1:17" x14ac:dyDescent="0.45">
      <c r="A455" s="3">
        <v>210640</v>
      </c>
      <c r="B455" t="b">
        <v>0</v>
      </c>
      <c r="C455" t="b">
        <v>0</v>
      </c>
      <c r="D455" s="3">
        <v>2000</v>
      </c>
      <c r="E455" s="3">
        <v>2000</v>
      </c>
      <c r="F455" t="s">
        <v>5567</v>
      </c>
      <c r="G455" t="s">
        <v>2069</v>
      </c>
      <c r="H455" s="3">
        <v>1.6415999999999999</v>
      </c>
      <c r="I455" t="s">
        <v>5568</v>
      </c>
      <c r="J455" t="s">
        <v>14244</v>
      </c>
      <c r="K455" s="5" t="s">
        <v>15</v>
      </c>
      <c r="L455" t="s">
        <v>5569</v>
      </c>
      <c r="M455" t="str">
        <f>"https://www.artic.edu/iiif/2/"&amp;Table9[[#This Row],[Image ID]]&amp;"/full/843,/0/default.jpg"</f>
        <v>https://www.artic.edu/iiif/2/eb5ec52a-d6ac-7d7c-9a40-388f177e4e7f/full/843,/0/default.jpg</v>
      </c>
      <c r="N455" s="3">
        <v>0.77500000000000002</v>
      </c>
      <c r="O455" s="3">
        <v>0</v>
      </c>
      <c r="P455" s="3">
        <v>0.77500000000000002</v>
      </c>
      <c r="Q455" s="3">
        <v>0.78618973493576005</v>
      </c>
    </row>
    <row r="456" spans="1:17" x14ac:dyDescent="0.45">
      <c r="A456" s="3">
        <v>120081</v>
      </c>
      <c r="B456" t="b">
        <v>0</v>
      </c>
      <c r="C456" t="b">
        <v>1</v>
      </c>
      <c r="D456" s="3">
        <v>1832</v>
      </c>
      <c r="E456" s="3">
        <v>1832</v>
      </c>
      <c r="F456" t="s">
        <v>2610</v>
      </c>
      <c r="G456" t="s">
        <v>2611</v>
      </c>
      <c r="H456" s="3">
        <v>29.5929</v>
      </c>
      <c r="I456" t="s">
        <v>2612</v>
      </c>
      <c r="J456" t="s">
        <v>11095</v>
      </c>
      <c r="L456" t="s">
        <v>2613</v>
      </c>
      <c r="M456" t="str">
        <f>"https://www.artic.edu/iiif/2/"&amp;Table9[[#This Row],[Image ID]]&amp;"/full/843,/0/default.jpg"</f>
        <v>https://www.artic.edu/iiif/2/08b38ff2-2659-2c0b-dba8-221e173f4fc3/full/843,/0/default.jpg</v>
      </c>
      <c r="N456" s="3">
        <v>0.8</v>
      </c>
      <c r="O456" s="3">
        <v>2.5000000000000001E-2</v>
      </c>
      <c r="P456" s="3">
        <v>0.77500000000000002</v>
      </c>
      <c r="Q456" s="3">
        <v>0.65709990262985196</v>
      </c>
    </row>
    <row r="457" spans="1:17" x14ac:dyDescent="0.45">
      <c r="A457" s="3">
        <v>39090</v>
      </c>
      <c r="B457" t="b">
        <v>0</v>
      </c>
      <c r="C457" t="b">
        <v>1</v>
      </c>
      <c r="D457" s="3">
        <v>1835</v>
      </c>
      <c r="E457" s="3">
        <v>1882</v>
      </c>
      <c r="F457" t="s">
        <v>7429</v>
      </c>
      <c r="G457" t="s">
        <v>7430</v>
      </c>
      <c r="H457" s="3">
        <v>29.172599999999999</v>
      </c>
      <c r="I457" t="s">
        <v>5317</v>
      </c>
      <c r="J457" t="s">
        <v>11099</v>
      </c>
      <c r="L457" t="s">
        <v>7431</v>
      </c>
      <c r="M457" t="str">
        <f>"https://www.artic.edu/iiif/2/"&amp;Table9[[#This Row],[Image ID]]&amp;"/full/843,/0/default.jpg"</f>
        <v>https://www.artic.edu/iiif/2/08ed18f5-0f9c-99d3-ccc1-54442bdeb9d9/full/843,/0/default.jpg</v>
      </c>
      <c r="N457" s="3">
        <v>0.875</v>
      </c>
      <c r="O457" s="3">
        <v>0.1</v>
      </c>
      <c r="P457" s="3">
        <v>0.77500000000000002</v>
      </c>
      <c r="Q457" s="3">
        <v>0.69274944067001298</v>
      </c>
    </row>
    <row r="458" spans="1:17" x14ac:dyDescent="0.45">
      <c r="A458" s="3">
        <v>114048</v>
      </c>
      <c r="B458" t="b">
        <v>0</v>
      </c>
      <c r="C458" t="b">
        <v>1</v>
      </c>
      <c r="D458" s="3">
        <v>1850</v>
      </c>
      <c r="E458" s="3">
        <v>1899</v>
      </c>
      <c r="F458" t="s">
        <v>1548</v>
      </c>
      <c r="G458" t="s">
        <v>1549</v>
      </c>
      <c r="H458" s="3">
        <v>30.9268</v>
      </c>
      <c r="J458" t="s">
        <v>11107</v>
      </c>
      <c r="L458" t="s">
        <v>1550</v>
      </c>
      <c r="M458" t="str">
        <f>"https://www.artic.edu/iiif/2/"&amp;Table9[[#This Row],[Image ID]]&amp;"/full/843,/0/default.jpg"</f>
        <v>https://www.artic.edu/iiif/2/097a0c95-74a9-260e-601d-6cb4918449ac/full/843,/0/default.jpg</v>
      </c>
      <c r="N458" s="3">
        <v>0.8</v>
      </c>
      <c r="O458" s="3">
        <v>2.5000000000000001E-2</v>
      </c>
      <c r="P458" s="3">
        <v>0.77500000000000002</v>
      </c>
      <c r="Q458" s="3">
        <v>0.87206363677978505</v>
      </c>
    </row>
    <row r="459" spans="1:17" x14ac:dyDescent="0.45">
      <c r="A459" s="3">
        <v>119264</v>
      </c>
      <c r="B459" t="b">
        <v>0</v>
      </c>
      <c r="C459" t="b">
        <v>1</v>
      </c>
      <c r="D459" s="3">
        <v>1818</v>
      </c>
      <c r="E459" s="3">
        <v>1818</v>
      </c>
      <c r="F459" t="s">
        <v>2592</v>
      </c>
      <c r="G459" t="s">
        <v>75</v>
      </c>
      <c r="H459" s="3">
        <v>20.5517</v>
      </c>
      <c r="I459" t="s">
        <v>14568</v>
      </c>
      <c r="J459" t="s">
        <v>11604</v>
      </c>
      <c r="L459" t="s">
        <v>2593</v>
      </c>
      <c r="M459" t="str">
        <f>"https://www.artic.edu/iiif/2/"&amp;Table9[[#This Row],[Image ID]]&amp;"/full/843,/0/default.jpg"</f>
        <v>https://www.artic.edu/iiif/2/2b1cba5a-f194-266b-5357-b437fada0b3b/full/843,/0/default.jpg</v>
      </c>
      <c r="N459" s="3">
        <v>0.85</v>
      </c>
      <c r="O459" s="3">
        <v>7.4999999999999997E-2</v>
      </c>
      <c r="P459" s="3">
        <v>0.77500000000000002</v>
      </c>
      <c r="Q459" s="3">
        <v>0.820811867713928</v>
      </c>
    </row>
    <row r="460" spans="1:17" x14ac:dyDescent="0.45">
      <c r="A460" s="3">
        <v>48680</v>
      </c>
      <c r="B460" t="b">
        <v>0</v>
      </c>
      <c r="C460" t="b">
        <v>1</v>
      </c>
      <c r="D460" s="3">
        <v>1824</v>
      </c>
      <c r="E460" s="3">
        <v>1860</v>
      </c>
      <c r="F460" t="s">
        <v>8013</v>
      </c>
      <c r="G460" t="s">
        <v>8014</v>
      </c>
      <c r="H460" s="3">
        <v>39.6051</v>
      </c>
      <c r="I460" t="s">
        <v>922</v>
      </c>
      <c r="J460" t="s">
        <v>11748</v>
      </c>
      <c r="L460" t="s">
        <v>8015</v>
      </c>
      <c r="M460" t="str">
        <f>"https://www.artic.edu/iiif/2/"&amp;Table9[[#This Row],[Image ID]]&amp;"/full/843,/0/default.jpg"</f>
        <v>https://www.artic.edu/iiif/2/355d17af-8b9e-a545-00a7-903806972e88/full/843,/0/default.jpg</v>
      </c>
      <c r="N460" s="3">
        <v>0.85</v>
      </c>
      <c r="O460" s="3">
        <v>7.4999999999999997E-2</v>
      </c>
      <c r="P460" s="3">
        <v>0.77500000000000002</v>
      </c>
      <c r="Q460" s="3">
        <v>0.72017025947570801</v>
      </c>
    </row>
    <row r="461" spans="1:17" x14ac:dyDescent="0.45">
      <c r="A461" s="3">
        <v>2179</v>
      </c>
      <c r="B461" t="b">
        <v>0</v>
      </c>
      <c r="C461" t="b">
        <v>1</v>
      </c>
      <c r="D461" s="3">
        <v>1843</v>
      </c>
      <c r="E461" s="3">
        <v>1843</v>
      </c>
      <c r="F461" t="s">
        <v>297</v>
      </c>
      <c r="G461" t="s">
        <v>7</v>
      </c>
      <c r="H461" s="3">
        <v>0</v>
      </c>
      <c r="I461" t="s">
        <v>5756</v>
      </c>
      <c r="J461" t="s">
        <v>11771</v>
      </c>
      <c r="L461" t="s">
        <v>5757</v>
      </c>
      <c r="M461" t="str">
        <f>"https://www.artic.edu/iiif/2/"&amp;Table9[[#This Row],[Image ID]]&amp;"/full/843,/0/default.jpg"</f>
        <v>https://www.artic.edu/iiif/2/371ba960-c86a-ec5b-d5aa-40b510917c4c/full/843,/0/default.jpg</v>
      </c>
      <c r="N461" s="3">
        <v>0.875</v>
      </c>
      <c r="O461" s="3">
        <v>0.1</v>
      </c>
      <c r="P461" s="3">
        <v>0.77500000000000002</v>
      </c>
      <c r="Q461" s="3">
        <v>0.81977087259292603</v>
      </c>
    </row>
    <row r="462" spans="1:17" x14ac:dyDescent="0.45">
      <c r="A462" s="3">
        <v>140603</v>
      </c>
      <c r="B462" t="b">
        <v>0</v>
      </c>
      <c r="C462" t="b">
        <v>1</v>
      </c>
      <c r="D462" s="3">
        <v>1299</v>
      </c>
      <c r="E462" s="3">
        <v>1499</v>
      </c>
      <c r="F462" t="s">
        <v>3254</v>
      </c>
      <c r="G462" t="s">
        <v>160</v>
      </c>
      <c r="H462" s="3">
        <v>51.099899999999998</v>
      </c>
      <c r="J462" t="s">
        <v>11772</v>
      </c>
      <c r="K462" s="5" t="s">
        <v>5</v>
      </c>
      <c r="L462" t="s">
        <v>3255</v>
      </c>
      <c r="M462" t="str">
        <f>"https://www.artic.edu/iiif/2/"&amp;Table9[[#This Row],[Image ID]]&amp;"/full/843,/0/default.jpg"</f>
        <v>https://www.artic.edu/iiif/2/3735b7f0-dc7b-16dd-b208-d48cd4fe815f/full/843,/0/default.jpg</v>
      </c>
      <c r="N462" s="3">
        <v>0.8</v>
      </c>
      <c r="O462" s="3">
        <v>2.5000000000000001E-2</v>
      </c>
      <c r="P462" s="3">
        <v>0.77500000000000002</v>
      </c>
      <c r="Q462" s="3">
        <v>0.67586261034011796</v>
      </c>
    </row>
    <row r="463" spans="1:17" x14ac:dyDescent="0.45">
      <c r="A463" s="3">
        <v>48532</v>
      </c>
      <c r="B463" t="b">
        <v>0</v>
      </c>
      <c r="C463" t="b">
        <v>1</v>
      </c>
      <c r="D463" s="3">
        <v>1520</v>
      </c>
      <c r="E463" s="3">
        <v>1535</v>
      </c>
      <c r="F463" t="s">
        <v>7999</v>
      </c>
      <c r="G463" t="s">
        <v>75</v>
      </c>
      <c r="H463" s="3">
        <v>28.315300000000001</v>
      </c>
      <c r="I463" t="s">
        <v>4329</v>
      </c>
      <c r="J463" t="s">
        <v>11941</v>
      </c>
      <c r="L463" t="s">
        <v>8000</v>
      </c>
      <c r="M463" t="str">
        <f>"https://www.artic.edu/iiif/2/"&amp;Table9[[#This Row],[Image ID]]&amp;"/full/843,/0/default.jpg"</f>
        <v>https://www.artic.edu/iiif/2/4188f4df-ca48-3e3a-ecdf-aa79771093c4/full/843,/0/default.jpg</v>
      </c>
      <c r="N463" s="3">
        <v>0.875</v>
      </c>
      <c r="O463" s="3">
        <v>0.1</v>
      </c>
      <c r="P463" s="3">
        <v>0.77500000000000002</v>
      </c>
      <c r="Q463" s="3">
        <v>0.86601722240447998</v>
      </c>
    </row>
    <row r="464" spans="1:17" x14ac:dyDescent="0.45">
      <c r="A464" s="3">
        <v>227534</v>
      </c>
      <c r="B464" t="b">
        <v>0</v>
      </c>
      <c r="C464" t="b">
        <v>1</v>
      </c>
      <c r="D464" s="3">
        <v>1785</v>
      </c>
      <c r="E464" s="3">
        <v>1795</v>
      </c>
      <c r="F464" t="s">
        <v>5780</v>
      </c>
      <c r="G464" t="s">
        <v>7</v>
      </c>
      <c r="H464" s="3">
        <v>26.542100000000001</v>
      </c>
      <c r="I464" t="s">
        <v>5059</v>
      </c>
      <c r="J464" t="s">
        <v>11970</v>
      </c>
      <c r="L464" t="s">
        <v>5982</v>
      </c>
      <c r="M464" t="str">
        <f>"https://www.artic.edu/iiif/2/"&amp;Table9[[#This Row],[Image ID]]&amp;"/full/843,/0/default.jpg"</f>
        <v>https://www.artic.edu/iiif/2/4356f98f-475d-e00c-cb40-8f401c402511/full/843,/0/default.jpg</v>
      </c>
      <c r="N464" s="3">
        <v>0.8</v>
      </c>
      <c r="O464" s="3">
        <v>2.5000000000000001E-2</v>
      </c>
      <c r="P464" s="3">
        <v>0.77500000000000002</v>
      </c>
      <c r="Q464" s="3">
        <v>0.84946382045745805</v>
      </c>
    </row>
    <row r="465" spans="1:17" x14ac:dyDescent="0.45">
      <c r="A465" s="3">
        <v>115682</v>
      </c>
      <c r="B465" t="b">
        <v>0</v>
      </c>
      <c r="C465" t="b">
        <v>1</v>
      </c>
      <c r="D465" s="3">
        <v>1841</v>
      </c>
      <c r="E465" s="3">
        <v>1846</v>
      </c>
      <c r="F465" t="s">
        <v>2064</v>
      </c>
      <c r="G465" t="s">
        <v>2065</v>
      </c>
      <c r="H465" s="3">
        <v>44.043700000000001</v>
      </c>
      <c r="I465" t="s">
        <v>2066</v>
      </c>
      <c r="J465" t="s">
        <v>12121</v>
      </c>
      <c r="L465" t="s">
        <v>2067</v>
      </c>
      <c r="M465" t="str">
        <f>"https://www.artic.edu/iiif/2/"&amp;Table9[[#This Row],[Image ID]]&amp;"/full/843,/0/default.jpg"</f>
        <v>https://www.artic.edu/iiif/2/4f24d24a-960d-313c-f548-1fa62208ebfe/full/843,/0/default.jpg</v>
      </c>
      <c r="N465" s="3">
        <v>0.85</v>
      </c>
      <c r="O465" s="3">
        <v>7.4999999999999997E-2</v>
      </c>
      <c r="P465" s="3">
        <v>0.77500000000000002</v>
      </c>
      <c r="Q465" s="3">
        <v>0.83210480213165205</v>
      </c>
    </row>
    <row r="466" spans="1:17" x14ac:dyDescent="0.45">
      <c r="A466" s="3">
        <v>110871</v>
      </c>
      <c r="B466" t="b">
        <v>0</v>
      </c>
      <c r="C466" t="b">
        <v>1</v>
      </c>
      <c r="D466" s="3">
        <v>1480</v>
      </c>
      <c r="E466" s="3">
        <v>1556</v>
      </c>
      <c r="F466" t="s">
        <v>955</v>
      </c>
      <c r="G466" t="s">
        <v>7</v>
      </c>
      <c r="H466" s="3">
        <v>15.3263</v>
      </c>
      <c r="J466" t="s">
        <v>12130</v>
      </c>
      <c r="L466" t="s">
        <v>956</v>
      </c>
      <c r="M466" t="str">
        <f>"https://www.artic.edu/iiif/2/"&amp;Table9[[#This Row],[Image ID]]&amp;"/full/843,/0/default.jpg"</f>
        <v>https://www.artic.edu/iiif/2/4fad87cf-c7e8-ee73-8a06-17eaf6a99d23/full/843,/0/default.jpg</v>
      </c>
      <c r="N466" s="3">
        <v>0.85</v>
      </c>
      <c r="O466" s="3">
        <v>7.4999999999999997E-2</v>
      </c>
      <c r="P466" s="3">
        <v>0.77500000000000002</v>
      </c>
      <c r="Q466" s="3">
        <v>0.71786695718765203</v>
      </c>
    </row>
    <row r="467" spans="1:17" x14ac:dyDescent="0.45">
      <c r="A467" s="3">
        <v>16579</v>
      </c>
      <c r="B467" t="b">
        <v>0</v>
      </c>
      <c r="C467" t="b">
        <v>1</v>
      </c>
      <c r="D467" s="3">
        <v>1901</v>
      </c>
      <c r="E467" s="3">
        <v>1901</v>
      </c>
      <c r="F467" t="s">
        <v>14590</v>
      </c>
      <c r="G467" t="s">
        <v>7</v>
      </c>
      <c r="H467" s="3">
        <v>24.476700000000001</v>
      </c>
      <c r="I467" t="s">
        <v>43</v>
      </c>
      <c r="J467" t="s">
        <v>12294</v>
      </c>
      <c r="K467" s="5" t="s">
        <v>9</v>
      </c>
      <c r="L467" t="s">
        <v>4497</v>
      </c>
      <c r="M467" t="str">
        <f>"https://www.artic.edu/iiif/2/"&amp;Table9[[#This Row],[Image ID]]&amp;"/full/843,/0/default.jpg"</f>
        <v>https://www.artic.edu/iiif/2/5a487230-6002-45a7-08c4-b2198a2a2c60/full/843,/0/default.jpg</v>
      </c>
      <c r="N467" s="3">
        <v>0.875</v>
      </c>
      <c r="O467" s="3">
        <v>0.1</v>
      </c>
      <c r="P467" s="3">
        <v>0.77500000000000002</v>
      </c>
      <c r="Q467" s="3">
        <v>0.64243471622466997</v>
      </c>
    </row>
    <row r="468" spans="1:17" x14ac:dyDescent="0.45">
      <c r="A468" s="3">
        <v>80460</v>
      </c>
      <c r="B468" t="b">
        <v>0</v>
      </c>
      <c r="C468" t="b">
        <v>1</v>
      </c>
      <c r="D468" s="3">
        <v>1793</v>
      </c>
      <c r="E468" s="3">
        <v>1793</v>
      </c>
      <c r="F468" t="s">
        <v>571</v>
      </c>
      <c r="G468" t="s">
        <v>456</v>
      </c>
      <c r="H468" s="3">
        <v>26.975999999999999</v>
      </c>
      <c r="I468" t="s">
        <v>2884</v>
      </c>
      <c r="J468" t="s">
        <v>12445</v>
      </c>
      <c r="L468" t="s">
        <v>9973</v>
      </c>
      <c r="M468" t="str">
        <f>"https://www.artic.edu/iiif/2/"&amp;Table9[[#This Row],[Image ID]]&amp;"/full/843,/0/default.jpg"</f>
        <v>https://www.artic.edu/iiif/2/65070e6a-e55b-01dc-1e99-a649fd7fd8b1/full/843,/0/default.jpg</v>
      </c>
      <c r="N468" s="3">
        <v>0.85</v>
      </c>
      <c r="O468" s="3">
        <v>7.4999999999999997E-2</v>
      </c>
      <c r="P468" s="3">
        <v>0.77500000000000002</v>
      </c>
      <c r="Q468" s="3">
        <v>0.81001377105712802</v>
      </c>
    </row>
    <row r="469" spans="1:17" x14ac:dyDescent="0.45">
      <c r="A469" s="3">
        <v>88632</v>
      </c>
      <c r="B469" t="b">
        <v>0</v>
      </c>
      <c r="C469" t="b">
        <v>1</v>
      </c>
      <c r="D469" s="3">
        <v>1769</v>
      </c>
      <c r="E469" s="3">
        <v>1769</v>
      </c>
      <c r="F469" t="s">
        <v>14673</v>
      </c>
      <c r="G469" t="s">
        <v>7</v>
      </c>
      <c r="H469" s="3">
        <v>28.290199999999999</v>
      </c>
      <c r="I469" t="s">
        <v>1469</v>
      </c>
      <c r="J469" t="s">
        <v>12712</v>
      </c>
      <c r="L469" t="s">
        <v>10436</v>
      </c>
      <c r="M469" t="str">
        <f>"https://www.artic.edu/iiif/2/"&amp;Table9[[#This Row],[Image ID]]&amp;"/full/843,/0/default.jpg"</f>
        <v>https://www.artic.edu/iiif/2/77f1c8e3-16c6-1147-f4aa-4cfc8bd3eb8b/full/843,/0/default.jpg</v>
      </c>
      <c r="N469" s="3">
        <v>0.77500000000000002</v>
      </c>
      <c r="O469" s="3">
        <v>0</v>
      </c>
      <c r="P469" s="3">
        <v>0.77500000000000002</v>
      </c>
      <c r="Q469" s="3">
        <v>0.88192123174667303</v>
      </c>
    </row>
    <row r="470" spans="1:17" x14ac:dyDescent="0.45">
      <c r="A470" s="3">
        <v>25753</v>
      </c>
      <c r="B470" t="b">
        <v>0</v>
      </c>
      <c r="C470" t="b">
        <v>1</v>
      </c>
      <c r="D470" s="3">
        <v>1490</v>
      </c>
      <c r="E470" s="3">
        <v>1510</v>
      </c>
      <c r="F470" t="s">
        <v>6575</v>
      </c>
      <c r="G470" t="s">
        <v>3734</v>
      </c>
      <c r="H470" s="3">
        <v>36.3446</v>
      </c>
      <c r="I470" t="s">
        <v>4294</v>
      </c>
      <c r="J470" t="s">
        <v>12733</v>
      </c>
      <c r="L470" t="s">
        <v>6576</v>
      </c>
      <c r="M470" t="str">
        <f>"https://www.artic.edu/iiif/2/"&amp;Table9[[#This Row],[Image ID]]&amp;"/full/843,/0/default.jpg"</f>
        <v>https://www.artic.edu/iiif/2/79a40120-87bf-ff0f-4a97-fdda3a26743c/full/843,/0/default.jpg</v>
      </c>
      <c r="N470" s="3">
        <v>0.85</v>
      </c>
      <c r="O470" s="3">
        <v>7.4999999999999997E-2</v>
      </c>
      <c r="P470" s="3">
        <v>0.77500000000000002</v>
      </c>
      <c r="Q470" s="3">
        <v>0.74667501449584905</v>
      </c>
    </row>
    <row r="471" spans="1:17" x14ac:dyDescent="0.45">
      <c r="A471" s="3">
        <v>80480</v>
      </c>
      <c r="B471" t="b">
        <v>0</v>
      </c>
      <c r="C471" t="b">
        <v>1</v>
      </c>
      <c r="D471" s="3">
        <v>1830</v>
      </c>
      <c r="E471" s="3">
        <v>1840</v>
      </c>
      <c r="F471" t="s">
        <v>9977</v>
      </c>
      <c r="G471" t="s">
        <v>7</v>
      </c>
      <c r="H471" s="3">
        <v>14.6867</v>
      </c>
      <c r="I471" t="s">
        <v>6657</v>
      </c>
      <c r="J471" t="s">
        <v>12741</v>
      </c>
      <c r="L471" t="s">
        <v>9978</v>
      </c>
      <c r="M471" t="str">
        <f>"https://www.artic.edu/iiif/2/"&amp;Table9[[#This Row],[Image ID]]&amp;"/full/843,/0/default.jpg"</f>
        <v>https://www.artic.edu/iiif/2/79ee6e54-8500-e26c-fb2a-04eb7f207653/full/843,/0/default.jpg</v>
      </c>
      <c r="N471" s="3">
        <v>0.85</v>
      </c>
      <c r="O471" s="3">
        <v>7.4999999999999997E-2</v>
      </c>
      <c r="P471" s="3">
        <v>0.77500000000000002</v>
      </c>
      <c r="Q471" s="3">
        <v>0.83379399776458696</v>
      </c>
    </row>
    <row r="472" spans="1:17" x14ac:dyDescent="0.45">
      <c r="A472" s="3">
        <v>145805</v>
      </c>
      <c r="B472" t="b">
        <v>0</v>
      </c>
      <c r="C472" t="b">
        <v>1</v>
      </c>
      <c r="D472" s="3">
        <v>1860</v>
      </c>
      <c r="E472" s="3">
        <v>1860</v>
      </c>
      <c r="F472" t="s">
        <v>3369</v>
      </c>
      <c r="G472" t="s">
        <v>7</v>
      </c>
      <c r="H472" s="3">
        <v>29.321999999999999</v>
      </c>
      <c r="I472" t="s">
        <v>745</v>
      </c>
      <c r="J472" t="s">
        <v>12805</v>
      </c>
      <c r="L472" t="s">
        <v>3370</v>
      </c>
      <c r="M472" t="str">
        <f>"https://www.artic.edu/iiif/2/"&amp;Table9[[#This Row],[Image ID]]&amp;"/full/843,/0/default.jpg"</f>
        <v>https://www.artic.edu/iiif/2/7f6504bc-5eee-3200-6c94-181e2995837c/full/843,/0/default.jpg</v>
      </c>
      <c r="N472" s="3">
        <v>0.85</v>
      </c>
      <c r="O472" s="3">
        <v>7.4999999999999997E-2</v>
      </c>
      <c r="P472" s="3">
        <v>0.77500000000000002</v>
      </c>
      <c r="Q472" s="3">
        <v>0.47014170885085999</v>
      </c>
    </row>
    <row r="473" spans="1:17" x14ac:dyDescent="0.45">
      <c r="A473" s="3">
        <v>64920</v>
      </c>
      <c r="B473" t="b">
        <v>0</v>
      </c>
      <c r="C473" t="b">
        <v>1</v>
      </c>
      <c r="D473" s="3">
        <v>1570</v>
      </c>
      <c r="E473" s="3">
        <v>1590</v>
      </c>
      <c r="F473" t="s">
        <v>731</v>
      </c>
      <c r="G473" t="s">
        <v>7</v>
      </c>
      <c r="H473" s="3">
        <v>32.282800000000002</v>
      </c>
      <c r="I473" t="s">
        <v>479</v>
      </c>
      <c r="J473" t="s">
        <v>12888</v>
      </c>
      <c r="L473" t="s">
        <v>9007</v>
      </c>
      <c r="M473" t="str">
        <f>"https://www.artic.edu/iiif/2/"&amp;Table9[[#This Row],[Image ID]]&amp;"/full/843,/0/default.jpg"</f>
        <v>https://www.artic.edu/iiif/2/84bc6762-6a64-dde5-5dc3-ec31c75aa32b/full/843,/0/default.jpg</v>
      </c>
      <c r="N473" s="3">
        <v>0.875</v>
      </c>
      <c r="O473" s="3">
        <v>0.1</v>
      </c>
      <c r="P473" s="3">
        <v>0.77500000000000002</v>
      </c>
      <c r="Q473" s="3">
        <v>0.85112249851226796</v>
      </c>
    </row>
    <row r="474" spans="1:17" x14ac:dyDescent="0.45">
      <c r="A474" s="3">
        <v>133532</v>
      </c>
      <c r="B474" t="b">
        <v>0</v>
      </c>
      <c r="C474" t="b">
        <v>1</v>
      </c>
      <c r="D474" s="3">
        <v>1827</v>
      </c>
      <c r="E474" s="3">
        <v>1827</v>
      </c>
      <c r="F474" t="s">
        <v>3053</v>
      </c>
      <c r="G474" t="s">
        <v>2826</v>
      </c>
      <c r="H474" s="3">
        <v>25.720400000000001</v>
      </c>
      <c r="I474" t="s">
        <v>1086</v>
      </c>
      <c r="J474" t="s">
        <v>12251</v>
      </c>
      <c r="L474" t="s">
        <v>3054</v>
      </c>
      <c r="M474" t="str">
        <f>"https://www.artic.edu/iiif/2/"&amp;Table9[[#This Row],[Image ID]]&amp;"/full/843,/0/default.jpg"</f>
        <v>https://www.artic.edu/iiif/2/8ba2df27-c178-63c2-d925-d31e32524394/full/843,/0/default.jpg</v>
      </c>
      <c r="N474" s="3">
        <v>0.9</v>
      </c>
      <c r="O474" s="3">
        <v>0.125</v>
      </c>
      <c r="P474" s="3">
        <v>0.77500000000000002</v>
      </c>
      <c r="Q474" s="3">
        <v>0.79928010702133101</v>
      </c>
    </row>
    <row r="475" spans="1:17" x14ac:dyDescent="0.45">
      <c r="A475" s="3">
        <v>25825</v>
      </c>
      <c r="B475" t="b">
        <v>0</v>
      </c>
      <c r="C475" t="b">
        <v>1</v>
      </c>
      <c r="D475" s="3">
        <v>1875</v>
      </c>
      <c r="E475" s="3">
        <v>1876</v>
      </c>
      <c r="F475" t="s">
        <v>6624</v>
      </c>
      <c r="G475" t="s">
        <v>7</v>
      </c>
      <c r="I475" t="s">
        <v>8</v>
      </c>
      <c r="J475" t="s">
        <v>13015</v>
      </c>
      <c r="K475" s="5" t="s">
        <v>9</v>
      </c>
      <c r="L475" t="s">
        <v>6625</v>
      </c>
      <c r="M475" t="str">
        <f>"https://www.artic.edu/iiif/2/"&amp;Table9[[#This Row],[Image ID]]&amp;"/full/843,/0/default.jpg"</f>
        <v>https://www.artic.edu/iiif/2/8f06717c-9ede-f22b-d13b-327a50c22f9c/full/843,/0/default.jpg</v>
      </c>
      <c r="N475" s="3">
        <v>0.85</v>
      </c>
      <c r="O475" s="3">
        <v>7.4999999999999997E-2</v>
      </c>
      <c r="P475" s="3">
        <v>0.77500000000000002</v>
      </c>
      <c r="Q475" s="3">
        <v>0.87803280353546098</v>
      </c>
    </row>
    <row r="476" spans="1:17" x14ac:dyDescent="0.45">
      <c r="A476" s="3">
        <v>149778</v>
      </c>
      <c r="B476" t="b">
        <v>0</v>
      </c>
      <c r="C476" t="b">
        <v>1</v>
      </c>
      <c r="D476" s="3">
        <v>1776</v>
      </c>
      <c r="E476" s="3">
        <v>1776</v>
      </c>
      <c r="F476" t="s">
        <v>3764</v>
      </c>
      <c r="G476" t="s">
        <v>7</v>
      </c>
      <c r="H476" s="3">
        <v>35.472000000000001</v>
      </c>
      <c r="I476" t="s">
        <v>2085</v>
      </c>
      <c r="J476" t="s">
        <v>13059</v>
      </c>
      <c r="L476" t="s">
        <v>3765</v>
      </c>
      <c r="M476" t="str">
        <f>"https://www.artic.edu/iiif/2/"&amp;Table9[[#This Row],[Image ID]]&amp;"/full/843,/0/default.jpg"</f>
        <v>https://www.artic.edu/iiif/2/92ad2a28-eac9-e358-6e3c-1c1cf39efd91/full/843,/0/default.jpg</v>
      </c>
      <c r="N476" s="3">
        <v>0.875</v>
      </c>
      <c r="O476" s="3">
        <v>0.1</v>
      </c>
      <c r="P476" s="3">
        <v>0.77500000000000002</v>
      </c>
      <c r="Q476" s="3">
        <v>0.874583899974823</v>
      </c>
    </row>
    <row r="477" spans="1:17" x14ac:dyDescent="0.45">
      <c r="A477" s="3">
        <v>61112</v>
      </c>
      <c r="B477" t="b">
        <v>0</v>
      </c>
      <c r="C477" t="b">
        <v>1</v>
      </c>
      <c r="D477" s="3">
        <v>1848</v>
      </c>
      <c r="E477" s="3">
        <v>1848</v>
      </c>
      <c r="F477" t="s">
        <v>8760</v>
      </c>
      <c r="G477" t="s">
        <v>75</v>
      </c>
      <c r="H477" s="3">
        <v>52.409100000000002</v>
      </c>
      <c r="I477" t="s">
        <v>8758</v>
      </c>
      <c r="J477" t="s">
        <v>13072</v>
      </c>
      <c r="K477" s="5" t="s">
        <v>125</v>
      </c>
      <c r="L477" t="s">
        <v>8761</v>
      </c>
      <c r="M477" t="str">
        <f>"https://www.artic.edu/iiif/2/"&amp;Table9[[#This Row],[Image ID]]&amp;"/full/843,/0/default.jpg"</f>
        <v>https://www.artic.edu/iiif/2/942257ef-6f95-3c91-d62f-a17841912b26/full/843,/0/default.jpg</v>
      </c>
      <c r="N477" s="3">
        <v>0.8</v>
      </c>
      <c r="O477" s="3">
        <v>2.5000000000000001E-2</v>
      </c>
      <c r="P477" s="3">
        <v>0.77500000000000002</v>
      </c>
      <c r="Q477" s="3">
        <v>0.81220835447311401</v>
      </c>
    </row>
    <row r="478" spans="1:17" x14ac:dyDescent="0.45">
      <c r="A478" s="3">
        <v>59914</v>
      </c>
      <c r="B478" t="b">
        <v>0</v>
      </c>
      <c r="C478" t="b">
        <v>1</v>
      </c>
      <c r="D478" s="3">
        <v>1525</v>
      </c>
      <c r="E478" s="3">
        <v>1525</v>
      </c>
      <c r="F478" t="s">
        <v>8633</v>
      </c>
      <c r="G478" t="s">
        <v>75</v>
      </c>
      <c r="H478" s="3">
        <v>53.076599999999999</v>
      </c>
      <c r="I478" t="s">
        <v>8634</v>
      </c>
      <c r="J478" t="s">
        <v>13074</v>
      </c>
      <c r="L478" t="s">
        <v>8635</v>
      </c>
      <c r="M478" t="str">
        <f>"https://www.artic.edu/iiif/2/"&amp;Table9[[#This Row],[Image ID]]&amp;"/full/843,/0/default.jpg"</f>
        <v>https://www.artic.edu/iiif/2/944214ae-3994-9db1-591b-1b0e77f07ff9/full/843,/0/default.jpg</v>
      </c>
      <c r="N478" s="3">
        <v>0.8</v>
      </c>
      <c r="O478" s="3">
        <v>2.5000000000000001E-2</v>
      </c>
      <c r="P478" s="3">
        <v>0.77500000000000002</v>
      </c>
      <c r="Q478" s="3">
        <v>0.845952868461608</v>
      </c>
    </row>
    <row r="479" spans="1:17" x14ac:dyDescent="0.45">
      <c r="A479" s="3">
        <v>114486</v>
      </c>
      <c r="B479" t="b">
        <v>0</v>
      </c>
      <c r="C479" t="b">
        <v>1</v>
      </c>
      <c r="D479" s="3">
        <v>1810</v>
      </c>
      <c r="E479" s="3">
        <v>1864</v>
      </c>
      <c r="F479" t="s">
        <v>1655</v>
      </c>
      <c r="G479" t="s">
        <v>1656</v>
      </c>
      <c r="H479" s="3">
        <v>32.744999999999997</v>
      </c>
      <c r="I479" t="s">
        <v>1657</v>
      </c>
      <c r="J479" t="s">
        <v>13097</v>
      </c>
      <c r="L479" t="s">
        <v>1658</v>
      </c>
      <c r="M479" t="str">
        <f>"https://www.artic.edu/iiif/2/"&amp;Table9[[#This Row],[Image ID]]&amp;"/full/843,/0/default.jpg"</f>
        <v>https://www.artic.edu/iiif/2/96312af6-781b-f9ad-324d-238899954ba3/full/843,/0/default.jpg</v>
      </c>
      <c r="N479" s="3">
        <v>0.85</v>
      </c>
      <c r="O479" s="3">
        <v>7.4999999999999997E-2</v>
      </c>
      <c r="P479" s="3">
        <v>0.77500000000000002</v>
      </c>
      <c r="Q479" s="3">
        <v>0.774802386760711</v>
      </c>
    </row>
    <row r="480" spans="1:17" x14ac:dyDescent="0.45">
      <c r="A480" s="3">
        <v>16305</v>
      </c>
      <c r="B480" t="b">
        <v>0</v>
      </c>
      <c r="C480" t="b">
        <v>1</v>
      </c>
      <c r="D480" s="3">
        <v>1485</v>
      </c>
      <c r="E480" s="3">
        <v>1551</v>
      </c>
      <c r="F480" t="s">
        <v>201</v>
      </c>
      <c r="G480" t="s">
        <v>75</v>
      </c>
      <c r="H480" s="3">
        <v>28.024100000000001</v>
      </c>
      <c r="I480" t="s">
        <v>4351</v>
      </c>
      <c r="J480" t="s">
        <v>13142</v>
      </c>
      <c r="L480" t="s">
        <v>4352</v>
      </c>
      <c r="M480" t="str">
        <f>"https://www.artic.edu/iiif/2/"&amp;Table9[[#This Row],[Image ID]]&amp;"/full/843,/0/default.jpg"</f>
        <v>https://www.artic.edu/iiif/2/997c1a08-c922-ddd6-2b51-58ac4ddf7ec3/full/843,/0/default.jpg</v>
      </c>
      <c r="N480" s="3">
        <v>0.92500000000000004</v>
      </c>
      <c r="O480" s="3">
        <v>0.15</v>
      </c>
      <c r="P480" s="3">
        <v>0.77500000000000002</v>
      </c>
      <c r="Q480" s="3">
        <v>0.82159286737442005</v>
      </c>
    </row>
    <row r="481" spans="1:17" x14ac:dyDescent="0.45">
      <c r="A481" s="3">
        <v>84076</v>
      </c>
      <c r="B481" t="b">
        <v>0</v>
      </c>
      <c r="C481" t="b">
        <v>1</v>
      </c>
      <c r="D481" s="3">
        <v>1879</v>
      </c>
      <c r="E481" s="3">
        <v>1879</v>
      </c>
      <c r="F481" t="s">
        <v>14610</v>
      </c>
      <c r="G481" t="s">
        <v>7</v>
      </c>
      <c r="H481" s="3">
        <v>26.215699999999998</v>
      </c>
      <c r="I481" t="s">
        <v>66</v>
      </c>
      <c r="J481" t="s">
        <v>13353</v>
      </c>
      <c r="K481" s="5" t="s">
        <v>9</v>
      </c>
      <c r="L481" t="s">
        <v>10244</v>
      </c>
      <c r="M481" t="str">
        <f>"https://www.artic.edu/iiif/2/"&amp;Table9[[#This Row],[Image ID]]&amp;"/full/843,/0/default.jpg"</f>
        <v>https://www.artic.edu/iiif/2/a867af78-9a29-c75b-33ab-2f21a2d92b3f/full/843,/0/default.jpg</v>
      </c>
      <c r="N481" s="3">
        <v>0.77500000000000002</v>
      </c>
      <c r="O481" s="3">
        <v>0</v>
      </c>
      <c r="P481" s="3">
        <v>0.77500000000000002</v>
      </c>
      <c r="Q481" s="3">
        <v>0.83363902568817105</v>
      </c>
    </row>
    <row r="482" spans="1:17" x14ac:dyDescent="0.45">
      <c r="A482" s="3">
        <v>15305</v>
      </c>
      <c r="B482" t="b">
        <v>0</v>
      </c>
      <c r="C482" t="b">
        <v>1</v>
      </c>
      <c r="D482" s="3">
        <v>1600</v>
      </c>
      <c r="E482" s="3">
        <v>1620</v>
      </c>
      <c r="F482" t="s">
        <v>3940</v>
      </c>
      <c r="G482" t="s">
        <v>512</v>
      </c>
      <c r="H482" s="3">
        <v>54.3977</v>
      </c>
      <c r="I482" t="s">
        <v>3941</v>
      </c>
      <c r="J482" t="s">
        <v>13394</v>
      </c>
      <c r="L482" t="s">
        <v>3942</v>
      </c>
      <c r="M482" t="str">
        <f>"https://www.artic.edu/iiif/2/"&amp;Table9[[#This Row],[Image ID]]&amp;"/full/843,/0/default.jpg"</f>
        <v>https://www.artic.edu/iiif/2/ac23f590-c2b3-0560-5058-ae4cc59b890d/full/843,/0/default.jpg</v>
      </c>
      <c r="N482" s="3">
        <v>0.77500000000000002</v>
      </c>
      <c r="O482" s="3">
        <v>0</v>
      </c>
      <c r="P482" s="3">
        <v>0.77500000000000002</v>
      </c>
      <c r="Q482" s="3">
        <v>0.72528588771820002</v>
      </c>
    </row>
    <row r="483" spans="1:17" x14ac:dyDescent="0.45">
      <c r="A483" s="3">
        <v>120104</v>
      </c>
      <c r="B483" t="b">
        <v>0</v>
      </c>
      <c r="C483" t="b">
        <v>1</v>
      </c>
      <c r="D483" s="3">
        <v>1766</v>
      </c>
      <c r="E483" s="3">
        <v>1776</v>
      </c>
      <c r="F483" t="s">
        <v>2623</v>
      </c>
      <c r="G483" t="s">
        <v>7</v>
      </c>
      <c r="H483" s="3">
        <v>19.458500000000001</v>
      </c>
      <c r="I483" t="s">
        <v>21</v>
      </c>
      <c r="J483" t="s">
        <v>13421</v>
      </c>
      <c r="L483" t="s">
        <v>2624</v>
      </c>
      <c r="M483" t="str">
        <f>"https://www.artic.edu/iiif/2/"&amp;Table9[[#This Row],[Image ID]]&amp;"/full/843,/0/default.jpg"</f>
        <v>https://www.artic.edu/iiif/2/ade9c4c4-93e9-3635-5604-841d571aa8b8/full/843,/0/default.jpg</v>
      </c>
      <c r="N483" s="3">
        <v>0.85</v>
      </c>
      <c r="O483" s="3">
        <v>7.4999999999999997E-2</v>
      </c>
      <c r="P483" s="3">
        <v>0.77500000000000002</v>
      </c>
      <c r="Q483" s="3">
        <v>0.81958651542663497</v>
      </c>
    </row>
    <row r="484" spans="1:17" x14ac:dyDescent="0.45">
      <c r="A484" s="3">
        <v>40388</v>
      </c>
      <c r="B484" t="b">
        <v>0</v>
      </c>
      <c r="C484" t="b">
        <v>1</v>
      </c>
      <c r="D484" s="3">
        <v>1814</v>
      </c>
      <c r="E484" s="3">
        <v>1814</v>
      </c>
      <c r="F484" t="s">
        <v>7640</v>
      </c>
      <c r="G484" t="s">
        <v>7</v>
      </c>
      <c r="H484" s="3">
        <v>29.479500000000002</v>
      </c>
      <c r="I484" t="s">
        <v>7641</v>
      </c>
      <c r="J484" t="s">
        <v>13480</v>
      </c>
      <c r="L484" t="s">
        <v>7642</v>
      </c>
      <c r="M484" t="str">
        <f>"https://www.artic.edu/iiif/2/"&amp;Table9[[#This Row],[Image ID]]&amp;"/full/843,/0/default.jpg"</f>
        <v>https://www.artic.edu/iiif/2/b247c76d-5ab2-8d14-9ac6-65bd5b5df90e/full/843,/0/default.jpg</v>
      </c>
      <c r="N484" s="3">
        <v>0.8</v>
      </c>
      <c r="O484" s="3">
        <v>2.5000000000000001E-2</v>
      </c>
      <c r="P484" s="3">
        <v>0.77500000000000002</v>
      </c>
      <c r="Q484" s="3">
        <v>0.87772607803344704</v>
      </c>
    </row>
    <row r="485" spans="1:17" x14ac:dyDescent="0.45">
      <c r="A485" s="3">
        <v>115498</v>
      </c>
      <c r="B485" t="b">
        <v>0</v>
      </c>
      <c r="C485" t="b">
        <v>1</v>
      </c>
      <c r="D485" s="3">
        <v>1719</v>
      </c>
      <c r="E485" s="3">
        <v>1769</v>
      </c>
      <c r="F485" t="s">
        <v>1964</v>
      </c>
      <c r="G485" t="s">
        <v>1921</v>
      </c>
      <c r="H485" s="3">
        <v>24.343900000000001</v>
      </c>
      <c r="I485" t="s">
        <v>1922</v>
      </c>
      <c r="J485" t="s">
        <v>13567</v>
      </c>
      <c r="L485" t="s">
        <v>1965</v>
      </c>
      <c r="M485" t="str">
        <f>"https://www.artic.edu/iiif/2/"&amp;Table9[[#This Row],[Image ID]]&amp;"/full/843,/0/default.jpg"</f>
        <v>https://www.artic.edu/iiif/2/ba0d1802-373c-ed06-1080-c798f00ad02f/full/843,/0/default.jpg</v>
      </c>
      <c r="N485" s="3">
        <v>0.8</v>
      </c>
      <c r="O485" s="3">
        <v>2.5000000000000001E-2</v>
      </c>
      <c r="P485" s="3">
        <v>0.77500000000000002</v>
      </c>
      <c r="Q485" s="3">
        <v>0.84679913520812899</v>
      </c>
    </row>
    <row r="486" spans="1:17" x14ac:dyDescent="0.45">
      <c r="A486" s="3">
        <v>115521</v>
      </c>
      <c r="B486" t="b">
        <v>0</v>
      </c>
      <c r="C486" t="b">
        <v>1</v>
      </c>
      <c r="D486" s="3">
        <v>1719</v>
      </c>
      <c r="E486" s="3">
        <v>1769</v>
      </c>
      <c r="F486" t="s">
        <v>2006</v>
      </c>
      <c r="G486" t="s">
        <v>1952</v>
      </c>
      <c r="H486" s="3">
        <v>18.117599999999999</v>
      </c>
      <c r="I486" t="s">
        <v>1922</v>
      </c>
      <c r="J486" t="s">
        <v>13631</v>
      </c>
      <c r="L486" t="s">
        <v>2007</v>
      </c>
      <c r="M486" t="str">
        <f>"https://www.artic.edu/iiif/2/"&amp;Table9[[#This Row],[Image ID]]&amp;"/full/843,/0/default.jpg"</f>
        <v>https://www.artic.edu/iiif/2/be775c30-78c2-df8b-e837-825083ccaf3c/full/843,/0/default.jpg</v>
      </c>
      <c r="N486" s="3">
        <v>0.92500000000000004</v>
      </c>
      <c r="O486" s="3">
        <v>0.15</v>
      </c>
      <c r="P486" s="3">
        <v>0.77500000000000002</v>
      </c>
      <c r="Q486" s="3">
        <v>0.83934503793716397</v>
      </c>
    </row>
    <row r="487" spans="1:17" x14ac:dyDescent="0.45">
      <c r="A487" s="3">
        <v>4791</v>
      </c>
      <c r="B487" t="b">
        <v>0</v>
      </c>
      <c r="C487" t="b">
        <v>1</v>
      </c>
      <c r="D487" s="3">
        <v>1785</v>
      </c>
      <c r="E487" s="3">
        <v>1787</v>
      </c>
      <c r="F487" t="s">
        <v>7976</v>
      </c>
      <c r="G487" t="s">
        <v>7</v>
      </c>
      <c r="H487" s="3">
        <v>22.464300000000001</v>
      </c>
      <c r="I487" t="s">
        <v>1292</v>
      </c>
      <c r="J487" t="s">
        <v>13669</v>
      </c>
      <c r="L487" t="s">
        <v>7977</v>
      </c>
      <c r="M487" t="str">
        <f>"https://www.artic.edu/iiif/2/"&amp;Table9[[#This Row],[Image ID]]&amp;"/full/843,/0/default.jpg"</f>
        <v>https://www.artic.edu/iiif/2/c15f9720-702d-10ee-85f8-80008d2bc8ca/full/843,/0/default.jpg</v>
      </c>
      <c r="N487" s="3">
        <v>0.85</v>
      </c>
      <c r="O487" s="3">
        <v>7.4999999999999997E-2</v>
      </c>
      <c r="P487" s="3">
        <v>0.77500000000000002</v>
      </c>
      <c r="Q487" s="3">
        <v>0.80568015575408902</v>
      </c>
    </row>
    <row r="488" spans="1:17" x14ac:dyDescent="0.45">
      <c r="A488" s="3">
        <v>13487</v>
      </c>
      <c r="B488" t="b">
        <v>0</v>
      </c>
      <c r="C488" t="b">
        <v>1</v>
      </c>
      <c r="D488" s="3">
        <v>1855</v>
      </c>
      <c r="E488" s="3">
        <v>1865</v>
      </c>
      <c r="F488" t="s">
        <v>3102</v>
      </c>
      <c r="G488" t="s">
        <v>7</v>
      </c>
      <c r="H488" s="3">
        <v>29.306000000000001</v>
      </c>
      <c r="I488" t="s">
        <v>66</v>
      </c>
      <c r="J488" t="s">
        <v>13781</v>
      </c>
      <c r="L488" t="s">
        <v>3103</v>
      </c>
      <c r="M488" t="str">
        <f>"https://www.artic.edu/iiif/2/"&amp;Table9[[#This Row],[Image ID]]&amp;"/full/843,/0/default.jpg"</f>
        <v>https://www.artic.edu/iiif/2/ca2932b4-6c0c-5482-2ae5-8b74926d7b73/full/843,/0/default.jpg</v>
      </c>
      <c r="N488" s="3">
        <v>0.85</v>
      </c>
      <c r="O488" s="3">
        <v>7.4999999999999997E-2</v>
      </c>
      <c r="P488" s="3">
        <v>0.77500000000000002</v>
      </c>
      <c r="Q488" s="3">
        <v>0.70342075824737504</v>
      </c>
    </row>
    <row r="489" spans="1:17" x14ac:dyDescent="0.45">
      <c r="A489" s="3">
        <v>159770</v>
      </c>
      <c r="B489" t="b">
        <v>0</v>
      </c>
      <c r="C489" t="b">
        <v>1</v>
      </c>
      <c r="D489" s="3">
        <v>1899</v>
      </c>
      <c r="E489" s="3">
        <v>1899</v>
      </c>
      <c r="F489" t="s">
        <v>4211</v>
      </c>
      <c r="G489" t="s">
        <v>7</v>
      </c>
      <c r="H489" s="3">
        <v>25.276599999999998</v>
      </c>
      <c r="I489" t="s">
        <v>592</v>
      </c>
      <c r="J489" t="s">
        <v>13792</v>
      </c>
      <c r="L489" t="s">
        <v>4212</v>
      </c>
      <c r="M489" t="str">
        <f>"https://www.artic.edu/iiif/2/"&amp;Table9[[#This Row],[Image ID]]&amp;"/full/843,/0/default.jpg"</f>
        <v>https://www.artic.edu/iiif/2/cb47a74b-4048-0636-d3cc-8e6be7e4c3f2/full/843,/0/default.jpg</v>
      </c>
      <c r="N489" s="3">
        <v>0.8</v>
      </c>
      <c r="O489" s="3">
        <v>2.5000000000000001E-2</v>
      </c>
      <c r="P489" s="3">
        <v>0.77500000000000002</v>
      </c>
      <c r="Q489" s="3">
        <v>0.77134490013122503</v>
      </c>
    </row>
    <row r="490" spans="1:17" x14ac:dyDescent="0.45">
      <c r="A490" s="3">
        <v>133525</v>
      </c>
      <c r="B490" t="b">
        <v>0</v>
      </c>
      <c r="C490" t="b">
        <v>1</v>
      </c>
      <c r="D490" s="3">
        <v>1827</v>
      </c>
      <c r="E490" s="3">
        <v>1827</v>
      </c>
      <c r="F490" t="s">
        <v>3049</v>
      </c>
      <c r="G490" t="s">
        <v>2826</v>
      </c>
      <c r="H490" s="3">
        <v>22.0261</v>
      </c>
      <c r="I490" t="s">
        <v>1086</v>
      </c>
      <c r="J490" t="s">
        <v>12251</v>
      </c>
      <c r="L490" t="s">
        <v>3050</v>
      </c>
      <c r="M490" t="str">
        <f>"https://www.artic.edu/iiif/2/"&amp;Table9[[#This Row],[Image ID]]&amp;"/full/843,/0/default.jpg"</f>
        <v>https://www.artic.edu/iiif/2/cd879f7b-7308-f887-8f96-5b04e487ff69/full/843,/0/default.jpg</v>
      </c>
      <c r="N490" s="3">
        <v>0.92500000000000004</v>
      </c>
      <c r="O490" s="3">
        <v>0.15</v>
      </c>
      <c r="P490" s="3">
        <v>0.77500000000000002</v>
      </c>
      <c r="Q490" s="3">
        <v>0.71509438753127996</v>
      </c>
    </row>
    <row r="491" spans="1:17" x14ac:dyDescent="0.45">
      <c r="A491" s="3">
        <v>29392</v>
      </c>
      <c r="B491" t="b">
        <v>0</v>
      </c>
      <c r="C491" t="b">
        <v>1</v>
      </c>
      <c r="D491" s="3">
        <v>1858</v>
      </c>
      <c r="E491" s="3">
        <v>1877</v>
      </c>
      <c r="F491" t="s">
        <v>14622</v>
      </c>
      <c r="G491" t="s">
        <v>7</v>
      </c>
      <c r="H491" s="3">
        <v>24.132300000000001</v>
      </c>
      <c r="I491" t="s">
        <v>14636</v>
      </c>
      <c r="J491" t="s">
        <v>13995</v>
      </c>
      <c r="K491" s="5" t="s">
        <v>9</v>
      </c>
      <c r="L491" t="s">
        <v>6913</v>
      </c>
      <c r="M491" t="str">
        <f>"https://www.artic.edu/iiif/2/"&amp;Table9[[#This Row],[Image ID]]&amp;"/full/843,/0/default.jpg"</f>
        <v>https://www.artic.edu/iiif/2/db370ca6-29bc-af9e-bc57-1d3126076d0e/full/843,/0/default.jpg</v>
      </c>
      <c r="N491" s="3">
        <v>0.875</v>
      </c>
      <c r="O491" s="3">
        <v>0.1</v>
      </c>
      <c r="P491" s="3">
        <v>0.77500000000000002</v>
      </c>
      <c r="Q491" s="3">
        <v>0.75036215782165505</v>
      </c>
    </row>
    <row r="492" spans="1:17" x14ac:dyDescent="0.45">
      <c r="A492" s="3">
        <v>115510</v>
      </c>
      <c r="B492" t="b">
        <v>0</v>
      </c>
      <c r="C492" t="b">
        <v>1</v>
      </c>
      <c r="D492" s="3">
        <v>1719</v>
      </c>
      <c r="E492" s="3">
        <v>1769</v>
      </c>
      <c r="F492" t="s">
        <v>1992</v>
      </c>
      <c r="G492" t="s">
        <v>1921</v>
      </c>
      <c r="H492" s="3">
        <v>30.076799999999999</v>
      </c>
      <c r="I492" t="s">
        <v>1922</v>
      </c>
      <c r="J492" t="s">
        <v>14214</v>
      </c>
      <c r="L492" t="s">
        <v>1993</v>
      </c>
      <c r="M492" t="str">
        <f>"https://www.artic.edu/iiif/2/"&amp;Table9[[#This Row],[Image ID]]&amp;"/full/843,/0/default.jpg"</f>
        <v>https://www.artic.edu/iiif/2/e969519d-f1d6-4905-d9a6-48dca3bab87e/full/843,/0/default.jpg</v>
      </c>
      <c r="N492" s="3">
        <v>0.875</v>
      </c>
      <c r="O492" s="3">
        <v>0.1</v>
      </c>
      <c r="P492" s="3">
        <v>0.77500000000000002</v>
      </c>
      <c r="Q492" s="3">
        <v>0.79546117782592696</v>
      </c>
    </row>
    <row r="493" spans="1:17" x14ac:dyDescent="0.45">
      <c r="A493" s="3">
        <v>6002</v>
      </c>
      <c r="B493" t="b">
        <v>0</v>
      </c>
      <c r="C493" t="b">
        <v>1</v>
      </c>
      <c r="D493" s="3">
        <v>1852</v>
      </c>
      <c r="E493" s="3">
        <v>1868</v>
      </c>
      <c r="F493" t="s">
        <v>8679</v>
      </c>
      <c r="G493" t="s">
        <v>93</v>
      </c>
      <c r="H493" s="3">
        <v>27.96</v>
      </c>
      <c r="I493" t="s">
        <v>14551</v>
      </c>
      <c r="J493" t="s">
        <v>14340</v>
      </c>
      <c r="L493" t="s">
        <v>8680</v>
      </c>
      <c r="M493" t="str">
        <f>"https://www.artic.edu/iiif/2/"&amp;Table9[[#This Row],[Image ID]]&amp;"/full/843,/0/default.jpg"</f>
        <v>https://www.artic.edu/iiif/2/f1dce916-58a3-db57-d5cd-be0994dc98c7/full/843,/0/default.jpg</v>
      </c>
      <c r="N493" s="3">
        <v>0.8</v>
      </c>
      <c r="O493" s="3">
        <v>2.5000000000000001E-2</v>
      </c>
      <c r="P493" s="3">
        <v>0.77500000000000002</v>
      </c>
      <c r="Q493" s="3">
        <v>0.77627485990524203</v>
      </c>
    </row>
    <row r="494" spans="1:17" x14ac:dyDescent="0.45">
      <c r="A494" s="3">
        <v>115219</v>
      </c>
      <c r="B494" t="b">
        <v>0</v>
      </c>
      <c r="C494" t="b">
        <v>1</v>
      </c>
      <c r="D494" s="3">
        <v>1835</v>
      </c>
      <c r="E494" s="3">
        <v>1882</v>
      </c>
      <c r="F494" t="s">
        <v>1882</v>
      </c>
      <c r="G494" t="s">
        <v>164</v>
      </c>
      <c r="H494" s="3">
        <v>26.2455</v>
      </c>
      <c r="I494" t="s">
        <v>1555</v>
      </c>
      <c r="J494" t="s">
        <v>14379</v>
      </c>
      <c r="L494" t="s">
        <v>1883</v>
      </c>
      <c r="M494" t="str">
        <f>"https://www.artic.edu/iiif/2/"&amp;Table9[[#This Row],[Image ID]]&amp;"/full/843,/0/default.jpg"</f>
        <v>https://www.artic.edu/iiif/2/f4e1d40e-7a26-cfa1-f79a-f23eb396c0f5/full/843,/0/default.jpg</v>
      </c>
      <c r="N494" s="3">
        <v>0.8</v>
      </c>
      <c r="O494" s="3">
        <v>2.5000000000000001E-2</v>
      </c>
      <c r="P494" s="3">
        <v>0.77500000000000002</v>
      </c>
      <c r="Q494" s="3">
        <v>0.896337330341339</v>
      </c>
    </row>
    <row r="495" spans="1:17" x14ac:dyDescent="0.45">
      <c r="A495" s="3">
        <v>81903</v>
      </c>
      <c r="B495" t="b">
        <v>0</v>
      </c>
      <c r="C495" t="b">
        <v>1</v>
      </c>
      <c r="D495" s="3">
        <v>1519</v>
      </c>
      <c r="E495" s="3">
        <v>1543</v>
      </c>
      <c r="F495" t="s">
        <v>10153</v>
      </c>
      <c r="G495" t="s">
        <v>10151</v>
      </c>
      <c r="H495" s="3">
        <v>46.875</v>
      </c>
      <c r="I495" t="s">
        <v>881</v>
      </c>
      <c r="J495" t="s">
        <v>14526</v>
      </c>
      <c r="L495" t="s">
        <v>10154</v>
      </c>
      <c r="M495" t="str">
        <f>"https://www.artic.edu/iiif/2/"&amp;Table9[[#This Row],[Image ID]]&amp;"/full/843,/0/default.jpg"</f>
        <v>https://www.artic.edu/iiif/2/ff0713bf-fb22-2fd2-5bf9-92e1094f2049/full/843,/0/default.jpg</v>
      </c>
      <c r="N495" s="3">
        <v>0.8</v>
      </c>
      <c r="O495" s="3">
        <v>2.5000000000000001E-2</v>
      </c>
      <c r="P495" s="3">
        <v>0.77500000000000002</v>
      </c>
      <c r="Q495" s="3">
        <v>0.89095538854598999</v>
      </c>
    </row>
    <row r="496" spans="1:17" x14ac:dyDescent="0.45">
      <c r="A496" s="3">
        <v>11025</v>
      </c>
      <c r="B496" t="b">
        <v>0</v>
      </c>
      <c r="C496" t="b">
        <v>1</v>
      </c>
      <c r="D496" s="3">
        <v>1737</v>
      </c>
      <c r="E496" s="3">
        <v>1737</v>
      </c>
      <c r="F496" t="s">
        <v>891</v>
      </c>
      <c r="G496" t="s">
        <v>7</v>
      </c>
      <c r="H496" s="3">
        <v>23.1113</v>
      </c>
      <c r="I496" t="s">
        <v>892</v>
      </c>
      <c r="J496" t="s">
        <v>14542</v>
      </c>
      <c r="L496" t="s">
        <v>893</v>
      </c>
      <c r="M496" t="str">
        <f>"https://www.artic.edu/iiif/2/"&amp;Table9[[#This Row],[Image ID]]&amp;"/full/843,/0/default.jpg"</f>
        <v>https://www.artic.edu/iiif/2/ff9aca7d-dd52-0e40-22d0-53bcc058a73c/full/843,/0/default.jpg</v>
      </c>
      <c r="N496" s="3">
        <v>0.9</v>
      </c>
      <c r="O496" s="3">
        <v>0.125</v>
      </c>
      <c r="P496" s="3">
        <v>0.77500000000000002</v>
      </c>
      <c r="Q496" s="3">
        <v>0.80267548561096103</v>
      </c>
    </row>
    <row r="497" spans="1:17" x14ac:dyDescent="0.45">
      <c r="A497" s="3">
        <v>184856</v>
      </c>
      <c r="B497" t="b">
        <v>0</v>
      </c>
      <c r="C497" t="b">
        <v>0</v>
      </c>
      <c r="D497" s="3">
        <v>2003</v>
      </c>
      <c r="E497" s="3">
        <v>2003</v>
      </c>
      <c r="F497" t="s">
        <v>4861</v>
      </c>
      <c r="G497" t="s">
        <v>4823</v>
      </c>
      <c r="H497" s="3">
        <v>5.8338999999999999</v>
      </c>
      <c r="I497" t="s">
        <v>293</v>
      </c>
      <c r="J497" t="s">
        <v>10977</v>
      </c>
      <c r="K497" s="5" t="s">
        <v>15</v>
      </c>
      <c r="L497" t="s">
        <v>4862</v>
      </c>
      <c r="M497" t="str">
        <f>"https://www.artic.edu/iiif/2/"&amp;Table9[[#This Row],[Image ID]]&amp;"/full/843,/0/default.jpg"</f>
        <v>https://www.artic.edu/iiif/2/3d3bef1d-a3e8-bf9c-35a7-c9226838a79c/full/843,/0/default.jpg</v>
      </c>
      <c r="N497" s="3">
        <v>0.82499999999999996</v>
      </c>
      <c r="O497" s="3">
        <v>0.05</v>
      </c>
      <c r="P497" s="3">
        <v>0.77499999999999991</v>
      </c>
      <c r="Q497" s="3">
        <v>0.87152016162872303</v>
      </c>
    </row>
    <row r="498" spans="1:17" x14ac:dyDescent="0.45">
      <c r="A498" s="3">
        <v>185043</v>
      </c>
      <c r="B498" t="b">
        <v>0</v>
      </c>
      <c r="C498" t="b">
        <v>0</v>
      </c>
      <c r="D498" s="3">
        <v>1986</v>
      </c>
      <c r="E498" s="3">
        <v>1987</v>
      </c>
      <c r="F498" t="s">
        <v>4954</v>
      </c>
      <c r="G498" t="s">
        <v>59</v>
      </c>
      <c r="H498" s="3">
        <v>18.6585</v>
      </c>
      <c r="I498" t="s">
        <v>14552</v>
      </c>
      <c r="J498" t="s">
        <v>12013</v>
      </c>
      <c r="L498" t="s">
        <v>4955</v>
      </c>
      <c r="M498" t="str">
        <f>"https://www.artic.edu/iiif/2/"&amp;Table9[[#This Row],[Image ID]]&amp;"/full/843,/0/default.jpg"</f>
        <v>https://www.artic.edu/iiif/2/46822508-7f10-9900-3a35-867e670da8dc/full/843,/0/default.jpg</v>
      </c>
      <c r="N498" s="3">
        <v>0.82499999999999996</v>
      </c>
      <c r="O498" s="3">
        <v>0.05</v>
      </c>
      <c r="P498" s="3">
        <v>0.77499999999999991</v>
      </c>
      <c r="Q498" s="3">
        <v>0.90476632118225098</v>
      </c>
    </row>
    <row r="499" spans="1:17" x14ac:dyDescent="0.45">
      <c r="A499" s="3">
        <v>94036</v>
      </c>
      <c r="B499" t="b">
        <v>0</v>
      </c>
      <c r="C499" t="b">
        <v>0</v>
      </c>
      <c r="D499" s="3">
        <v>1964</v>
      </c>
      <c r="E499" s="3">
        <v>1964</v>
      </c>
      <c r="F499" t="s">
        <v>10706</v>
      </c>
      <c r="G499" t="s">
        <v>10707</v>
      </c>
      <c r="H499" s="3">
        <v>30.294699999999999</v>
      </c>
      <c r="I499" t="s">
        <v>378</v>
      </c>
      <c r="J499" t="s">
        <v>11995</v>
      </c>
      <c r="L499" t="s">
        <v>10708</v>
      </c>
      <c r="M499" t="str">
        <f>"https://www.artic.edu/iiif/2/"&amp;Table9[[#This Row],[Image ID]]&amp;"/full/843,/0/default.jpg"</f>
        <v>https://www.artic.edu/iiif/2/504432f5-358b-bb3e-d2b2-b329eb0d48c3/full/843,/0/default.jpg</v>
      </c>
      <c r="N499" s="3">
        <v>0.82499999999999996</v>
      </c>
      <c r="O499" s="3">
        <v>0.05</v>
      </c>
      <c r="P499" s="3">
        <v>0.77499999999999991</v>
      </c>
      <c r="Q499" s="3">
        <v>0.79990237951278598</v>
      </c>
    </row>
    <row r="500" spans="1:17" x14ac:dyDescent="0.45">
      <c r="A500" s="3">
        <v>66092</v>
      </c>
      <c r="B500" t="b">
        <v>0</v>
      </c>
      <c r="C500" t="b">
        <v>0</v>
      </c>
      <c r="D500" s="3">
        <v>1899</v>
      </c>
      <c r="E500" s="3">
        <v>1949</v>
      </c>
      <c r="F500" t="s">
        <v>9184</v>
      </c>
      <c r="G500" t="s">
        <v>9182</v>
      </c>
      <c r="H500" s="3">
        <v>38.058599999999998</v>
      </c>
      <c r="I500" t="s">
        <v>3468</v>
      </c>
      <c r="J500" t="s">
        <v>12336</v>
      </c>
      <c r="L500" t="s">
        <v>9185</v>
      </c>
      <c r="M500" t="str">
        <f>"https://www.artic.edu/iiif/2/"&amp;Table9[[#This Row],[Image ID]]&amp;"/full/843,/0/default.jpg"</f>
        <v>https://www.artic.edu/iiif/2/5ce12339-c77f-d569-e444-f562a93b49c3/full/843,/0/default.jpg</v>
      </c>
      <c r="N500" s="3">
        <v>0.82499999999999996</v>
      </c>
      <c r="O500" s="3">
        <v>0.05</v>
      </c>
      <c r="P500" s="3">
        <v>0.77499999999999991</v>
      </c>
      <c r="Q500" s="3">
        <v>0.77050703763961703</v>
      </c>
    </row>
    <row r="501" spans="1:17" x14ac:dyDescent="0.45">
      <c r="A501" s="3">
        <v>98054</v>
      </c>
      <c r="B501" t="b">
        <v>0</v>
      </c>
      <c r="C501" t="b">
        <v>0</v>
      </c>
      <c r="D501" s="3">
        <v>1968</v>
      </c>
      <c r="E501" s="3">
        <v>1972</v>
      </c>
      <c r="F501" t="s">
        <v>620</v>
      </c>
      <c r="G501" t="s">
        <v>10908</v>
      </c>
      <c r="H501" s="3">
        <v>100.89279999999999</v>
      </c>
      <c r="I501" t="s">
        <v>612</v>
      </c>
      <c r="J501" t="s">
        <v>13293</v>
      </c>
      <c r="L501" t="s">
        <v>10909</v>
      </c>
      <c r="M501" t="str">
        <f>"https://www.artic.edu/iiif/2/"&amp;Table9[[#This Row],[Image ID]]&amp;"/full/843,/0/default.jpg"</f>
        <v>https://www.artic.edu/iiif/2/a48155e8-fe6a-4562-c363-22919dafe13d/full/843,/0/default.jpg</v>
      </c>
      <c r="N501" s="3">
        <v>0.82499999999999996</v>
      </c>
      <c r="O501" s="3">
        <v>0.05</v>
      </c>
      <c r="P501" s="3">
        <v>0.77499999999999991</v>
      </c>
      <c r="Q501" s="3">
        <v>0.66398739814758301</v>
      </c>
    </row>
    <row r="502" spans="1:17" x14ac:dyDescent="0.45">
      <c r="A502" s="3">
        <v>66404</v>
      </c>
      <c r="B502" t="b">
        <v>0</v>
      </c>
      <c r="C502" t="b">
        <v>0</v>
      </c>
      <c r="D502" s="3">
        <v>1956</v>
      </c>
      <c r="E502" s="3">
        <v>1957</v>
      </c>
      <c r="F502" t="s">
        <v>9261</v>
      </c>
      <c r="G502" t="s">
        <v>9241</v>
      </c>
      <c r="H502" s="3">
        <v>22.005099999999999</v>
      </c>
      <c r="I502" t="s">
        <v>1091</v>
      </c>
      <c r="J502" t="s">
        <v>13317</v>
      </c>
      <c r="L502" t="s">
        <v>9262</v>
      </c>
      <c r="M502" t="str">
        <f>"https://www.artic.edu/iiif/2/"&amp;Table9[[#This Row],[Image ID]]&amp;"/full/843,/0/default.jpg"</f>
        <v>https://www.artic.edu/iiif/2/a6246b3f-1713-41d7-ff14-92e2d4d85a74/full/843,/0/default.jpg</v>
      </c>
      <c r="N502" s="3">
        <v>0.82499999999999996</v>
      </c>
      <c r="O502" s="3">
        <v>0.05</v>
      </c>
      <c r="P502" s="3">
        <v>0.77499999999999991</v>
      </c>
      <c r="Q502" s="3">
        <v>0.85040020942687899</v>
      </c>
    </row>
    <row r="503" spans="1:17" x14ac:dyDescent="0.45">
      <c r="A503" s="3">
        <v>146634</v>
      </c>
      <c r="B503" t="b">
        <v>0</v>
      </c>
      <c r="C503" t="b">
        <v>0</v>
      </c>
      <c r="D503" s="3">
        <v>1978</v>
      </c>
      <c r="E503" s="3">
        <v>1978</v>
      </c>
      <c r="F503" t="s">
        <v>3455</v>
      </c>
      <c r="G503" t="s">
        <v>2072</v>
      </c>
      <c r="H503" s="3">
        <v>12.994199999999999</v>
      </c>
      <c r="I503" t="s">
        <v>3456</v>
      </c>
      <c r="J503" t="s">
        <v>13426</v>
      </c>
      <c r="L503" t="s">
        <v>3457</v>
      </c>
      <c r="M503" t="str">
        <f>"https://www.artic.edu/iiif/2/"&amp;Table9[[#This Row],[Image ID]]&amp;"/full/843,/0/default.jpg"</f>
        <v>https://www.artic.edu/iiif/2/ae565504-5fc0-d799-f4cc-5fe7f48e97a2/full/843,/0/default.jpg</v>
      </c>
      <c r="N503" s="3">
        <v>0.82499999999999996</v>
      </c>
      <c r="O503" s="3">
        <v>0.05</v>
      </c>
      <c r="P503" s="3">
        <v>0.77499999999999991</v>
      </c>
      <c r="Q503" s="3">
        <v>0.76283216476440396</v>
      </c>
    </row>
    <row r="504" spans="1:17" x14ac:dyDescent="0.45">
      <c r="A504" s="3">
        <v>117436</v>
      </c>
      <c r="B504" t="b">
        <v>0</v>
      </c>
      <c r="C504" t="b">
        <v>0</v>
      </c>
      <c r="D504" s="3">
        <v>1920</v>
      </c>
      <c r="E504" s="3">
        <v>1920</v>
      </c>
      <c r="F504" t="s">
        <v>2319</v>
      </c>
      <c r="G504" t="s">
        <v>2320</v>
      </c>
      <c r="H504" s="3">
        <v>43.9069</v>
      </c>
      <c r="I504" t="s">
        <v>40</v>
      </c>
      <c r="J504" t="s">
        <v>13481</v>
      </c>
      <c r="L504" t="s">
        <v>2321</v>
      </c>
      <c r="M504" t="str">
        <f>"https://www.artic.edu/iiif/2/"&amp;Table9[[#This Row],[Image ID]]&amp;"/full/843,/0/default.jpg"</f>
        <v>https://www.artic.edu/iiif/2/b255641f-763e-2018-ccd6-97d02e2218d6/full/843,/0/default.jpg</v>
      </c>
      <c r="N504" s="3">
        <v>0.82499999999999996</v>
      </c>
      <c r="O504" s="3">
        <v>0.05</v>
      </c>
      <c r="P504" s="3">
        <v>0.77499999999999991</v>
      </c>
      <c r="Q504" s="3">
        <v>0.74487262964248602</v>
      </c>
    </row>
    <row r="505" spans="1:17" x14ac:dyDescent="0.45">
      <c r="A505" s="3">
        <v>152057</v>
      </c>
      <c r="B505" t="b">
        <v>0</v>
      </c>
      <c r="C505" t="b">
        <v>0</v>
      </c>
      <c r="D505" s="3">
        <v>1942</v>
      </c>
      <c r="E505" s="3">
        <v>1942</v>
      </c>
      <c r="F505" t="s">
        <v>3879</v>
      </c>
      <c r="G505" t="s">
        <v>7</v>
      </c>
      <c r="H505" s="3">
        <v>17.918199999999999</v>
      </c>
      <c r="I505" t="s">
        <v>1257</v>
      </c>
      <c r="J505" t="s">
        <v>13319</v>
      </c>
      <c r="K505" s="5" t="s">
        <v>45</v>
      </c>
      <c r="L505" t="s">
        <v>3880</v>
      </c>
      <c r="M505" t="str">
        <f>"https://www.artic.edu/iiif/2/"&amp;Table9[[#This Row],[Image ID]]&amp;"/full/843,/0/default.jpg"</f>
        <v>https://www.artic.edu/iiif/2/b29b7f71-2098-9fc7-16cf-05ff99f0afdc/full/843,/0/default.jpg</v>
      </c>
      <c r="N505" s="3">
        <v>0.82499999999999996</v>
      </c>
      <c r="O505" s="3">
        <v>0.05</v>
      </c>
      <c r="P505" s="3">
        <v>0.77499999999999991</v>
      </c>
      <c r="Q505" s="3">
        <v>0.69706523418426503</v>
      </c>
    </row>
    <row r="506" spans="1:17" x14ac:dyDescent="0.45">
      <c r="A506" s="3">
        <v>190835</v>
      </c>
      <c r="B506" t="b">
        <v>0</v>
      </c>
      <c r="C506" t="b">
        <v>0</v>
      </c>
      <c r="D506" s="3">
        <v>1989</v>
      </c>
      <c r="E506" s="3">
        <v>1989</v>
      </c>
      <c r="F506" t="s">
        <v>5184</v>
      </c>
      <c r="G506" t="s">
        <v>5174</v>
      </c>
      <c r="H506" s="3">
        <v>4.3342000000000001</v>
      </c>
      <c r="I506" t="s">
        <v>2254</v>
      </c>
      <c r="J506" t="s">
        <v>11202</v>
      </c>
      <c r="L506" t="s">
        <v>5185</v>
      </c>
      <c r="M506" t="str">
        <f>"https://www.artic.edu/iiif/2/"&amp;Table9[[#This Row],[Image ID]]&amp;"/full/843,/0/default.jpg"</f>
        <v>https://www.artic.edu/iiif/2/bcc7412c-78aa-394e-6c22-588b187cc88c/full/843,/0/default.jpg</v>
      </c>
      <c r="N506" s="3">
        <v>0.82499999999999996</v>
      </c>
      <c r="O506" s="3">
        <v>0.05</v>
      </c>
      <c r="P506" s="3">
        <v>0.77499999999999991</v>
      </c>
      <c r="Q506" s="3">
        <v>0.91933608055114702</v>
      </c>
    </row>
    <row r="507" spans="1:17" x14ac:dyDescent="0.45">
      <c r="A507" s="3">
        <v>155870</v>
      </c>
      <c r="B507" t="b">
        <v>0</v>
      </c>
      <c r="C507" t="b">
        <v>0</v>
      </c>
      <c r="D507" s="3">
        <v>1994</v>
      </c>
      <c r="E507" s="3">
        <v>1994</v>
      </c>
      <c r="F507" t="s">
        <v>14</v>
      </c>
      <c r="G507" t="s">
        <v>4035</v>
      </c>
      <c r="H507" s="3">
        <v>18.956</v>
      </c>
      <c r="I507" t="s">
        <v>3324</v>
      </c>
      <c r="J507" t="s">
        <v>13745</v>
      </c>
      <c r="L507" t="s">
        <v>4036</v>
      </c>
      <c r="M507" t="str">
        <f>"https://www.artic.edu/iiif/2/"&amp;Table9[[#This Row],[Image ID]]&amp;"/full/843,/0/default.jpg"</f>
        <v>https://www.artic.edu/iiif/2/c7ba2a23-bd04-bbdb-aab7-52c288700381/full/843,/0/default.jpg</v>
      </c>
      <c r="N507" s="3">
        <v>0.82499999999999996</v>
      </c>
      <c r="O507" s="3">
        <v>0.05</v>
      </c>
      <c r="P507" s="3">
        <v>0.77499999999999991</v>
      </c>
      <c r="Q507" s="3">
        <v>0.86564266681671098</v>
      </c>
    </row>
    <row r="508" spans="1:17" x14ac:dyDescent="0.45">
      <c r="A508" s="3">
        <v>104277</v>
      </c>
      <c r="B508" t="b">
        <v>0</v>
      </c>
      <c r="C508" t="b">
        <v>0</v>
      </c>
      <c r="D508" s="3">
        <v>1983</v>
      </c>
      <c r="E508" s="3">
        <v>1983</v>
      </c>
      <c r="F508" t="s">
        <v>420</v>
      </c>
      <c r="G508" t="s">
        <v>421</v>
      </c>
      <c r="H508" s="3">
        <v>10.544700000000001</v>
      </c>
      <c r="I508" t="s">
        <v>378</v>
      </c>
      <c r="J508" t="s">
        <v>12215</v>
      </c>
      <c r="K508" s="5" t="s">
        <v>45</v>
      </c>
      <c r="L508" t="s">
        <v>422</v>
      </c>
      <c r="M508" t="str">
        <f>"https://www.artic.edu/iiif/2/"&amp;Table9[[#This Row],[Image ID]]&amp;"/full/843,/0/default.jpg"</f>
        <v>https://www.artic.edu/iiif/2/cd1c6936-b2b0-3d8f-5622-59d0f2d0d62e/full/843,/0/default.jpg</v>
      </c>
      <c r="N508" s="3">
        <v>0.82499999999999996</v>
      </c>
      <c r="O508" s="3">
        <v>0.05</v>
      </c>
      <c r="P508" s="3">
        <v>0.77499999999999991</v>
      </c>
      <c r="Q508" s="3">
        <v>0.85644638538360596</v>
      </c>
    </row>
    <row r="509" spans="1:17" x14ac:dyDescent="0.45">
      <c r="A509" s="3">
        <v>89626</v>
      </c>
      <c r="B509" t="b">
        <v>0</v>
      </c>
      <c r="C509" t="b">
        <v>1</v>
      </c>
      <c r="D509" s="3">
        <v>1874</v>
      </c>
      <c r="E509" s="3">
        <v>1874</v>
      </c>
      <c r="F509" t="s">
        <v>10462</v>
      </c>
      <c r="G509" t="s">
        <v>7</v>
      </c>
      <c r="H509" s="3">
        <v>19.3202</v>
      </c>
      <c r="I509" t="s">
        <v>876</v>
      </c>
      <c r="J509" t="s">
        <v>11342</v>
      </c>
      <c r="K509" s="5" t="s">
        <v>284</v>
      </c>
      <c r="L509" t="s">
        <v>10463</v>
      </c>
      <c r="M509" t="str">
        <f>"https://www.artic.edu/iiif/2/"&amp;Table9[[#This Row],[Image ID]]&amp;"/full/843,/0/default.jpg"</f>
        <v>https://www.artic.edu/iiif/2/1aa11ac3-944e-93b7-da42-79af1fce71c1/full/843,/0/default.jpg</v>
      </c>
      <c r="N509" s="3">
        <v>0.82499999999999996</v>
      </c>
      <c r="O509" s="3">
        <v>0.05</v>
      </c>
      <c r="P509" s="3">
        <v>0.77499999999999991</v>
      </c>
      <c r="Q509" s="3">
        <v>0.72715538740158003</v>
      </c>
    </row>
    <row r="510" spans="1:17" x14ac:dyDescent="0.45">
      <c r="A510" s="3">
        <v>235544</v>
      </c>
      <c r="B510" t="b">
        <v>0</v>
      </c>
      <c r="C510" t="b">
        <v>1</v>
      </c>
      <c r="D510" s="3">
        <v>1320</v>
      </c>
      <c r="E510" s="3">
        <v>1330</v>
      </c>
      <c r="F510" t="s">
        <v>6229</v>
      </c>
      <c r="G510" t="s">
        <v>6230</v>
      </c>
      <c r="H510" s="3">
        <v>63.605899999999998</v>
      </c>
      <c r="I510" t="s">
        <v>6231</v>
      </c>
      <c r="J510" t="s">
        <v>11393</v>
      </c>
      <c r="K510" s="5" t="s">
        <v>278</v>
      </c>
      <c r="L510" t="s">
        <v>6232</v>
      </c>
      <c r="M510" t="str">
        <f>"https://www.artic.edu/iiif/2/"&amp;Table9[[#This Row],[Image ID]]&amp;"/full/843,/0/default.jpg"</f>
        <v>https://www.artic.edu/iiif/2/1e0e9213-dc57-f351-a6d1-922645e40f4c/full/843,/0/default.jpg</v>
      </c>
      <c r="N510" s="3">
        <v>0.82499999999999996</v>
      </c>
      <c r="O510" s="3">
        <v>0.05</v>
      </c>
      <c r="P510" s="3">
        <v>0.77499999999999991</v>
      </c>
      <c r="Q510" s="3">
        <v>0.74572455883026101</v>
      </c>
    </row>
    <row r="511" spans="1:17" ht="99.75" x14ac:dyDescent="0.45">
      <c r="A511" s="3">
        <v>110759</v>
      </c>
      <c r="B511" t="b">
        <v>0</v>
      </c>
      <c r="C511" t="b">
        <v>1</v>
      </c>
      <c r="D511" s="3">
        <v>1534</v>
      </c>
      <c r="E511" s="3">
        <v>1535</v>
      </c>
      <c r="F511" t="s">
        <v>928</v>
      </c>
      <c r="G511" t="s">
        <v>75</v>
      </c>
      <c r="H511" s="3">
        <v>30.898299999999999</v>
      </c>
      <c r="I511" t="s">
        <v>819</v>
      </c>
      <c r="J511" s="1" t="s">
        <v>11612</v>
      </c>
      <c r="L511" t="s">
        <v>929</v>
      </c>
      <c r="M511" t="str">
        <f>"https://www.artic.edu/iiif/2/"&amp;Table9[[#This Row],[Image ID]]&amp;"/full/843,/0/default.jpg"</f>
        <v>https://www.artic.edu/iiif/2/2b751a0e-a492-7fa9-749c-6667cdd1c928/full/843,/0/default.jpg</v>
      </c>
      <c r="N511" s="3">
        <v>0.82499999999999996</v>
      </c>
      <c r="O511" s="3">
        <v>0.05</v>
      </c>
      <c r="P511" s="3">
        <v>0.77499999999999991</v>
      </c>
      <c r="Q511" s="3">
        <v>0.85147118568420399</v>
      </c>
    </row>
    <row r="512" spans="1:17" x14ac:dyDescent="0.45">
      <c r="A512" s="3">
        <v>20887</v>
      </c>
      <c r="B512" t="b">
        <v>0</v>
      </c>
      <c r="C512" t="b">
        <v>1</v>
      </c>
      <c r="D512" s="3">
        <v>1633</v>
      </c>
      <c r="E512" s="3">
        <v>1635</v>
      </c>
      <c r="F512" t="s">
        <v>1853</v>
      </c>
      <c r="G512" t="s">
        <v>75</v>
      </c>
      <c r="H512" s="3">
        <v>17.471699999999998</v>
      </c>
      <c r="I512" t="s">
        <v>5529</v>
      </c>
      <c r="J512" t="s">
        <v>12188</v>
      </c>
      <c r="L512" t="s">
        <v>5530</v>
      </c>
      <c r="M512" t="str">
        <f>"https://www.artic.edu/iiif/2/"&amp;Table9[[#This Row],[Image ID]]&amp;"/full/843,/0/default.jpg"</f>
        <v>https://www.artic.edu/iiif/2/5372920d-7536-64ec-bf48-264e084635f8/full/843,/0/default.jpg</v>
      </c>
      <c r="N512" s="3">
        <v>0.95</v>
      </c>
      <c r="O512" s="3">
        <v>0.17499999999999999</v>
      </c>
      <c r="P512" s="3">
        <v>0.77499999999999991</v>
      </c>
      <c r="Q512" s="3">
        <v>0.87714481353759699</v>
      </c>
    </row>
    <row r="513" spans="1:17" x14ac:dyDescent="0.45">
      <c r="A513" s="3">
        <v>218072</v>
      </c>
      <c r="B513" t="b">
        <v>0</v>
      </c>
      <c r="C513" t="b">
        <v>1</v>
      </c>
      <c r="D513" s="3">
        <v>1475</v>
      </c>
      <c r="E513" s="3">
        <v>1485</v>
      </c>
      <c r="F513" t="s">
        <v>5758</v>
      </c>
      <c r="G513" t="s">
        <v>75</v>
      </c>
      <c r="H513" s="3">
        <v>41.373800000000003</v>
      </c>
      <c r="J513" t="s">
        <v>12410</v>
      </c>
      <c r="L513" t="s">
        <v>5759</v>
      </c>
      <c r="M513" t="str">
        <f>"https://www.artic.edu/iiif/2/"&amp;Table9[[#This Row],[Image ID]]&amp;"/full/843,/0/default.jpg"</f>
        <v>https://www.artic.edu/iiif/2/629e6e88-5776-8ba5-e49f-fda92cdbac93/full/843,/0/default.jpg</v>
      </c>
      <c r="N513" s="3">
        <v>0.82499999999999996</v>
      </c>
      <c r="O513" s="3">
        <v>0.05</v>
      </c>
      <c r="P513" s="3">
        <v>0.77499999999999991</v>
      </c>
      <c r="Q513" s="3">
        <v>0.82828491926193204</v>
      </c>
    </row>
    <row r="514" spans="1:17" x14ac:dyDescent="0.45">
      <c r="A514" s="3">
        <v>152019</v>
      </c>
      <c r="B514" t="b">
        <v>0</v>
      </c>
      <c r="C514" t="b">
        <v>1</v>
      </c>
      <c r="D514" s="3">
        <v>1600</v>
      </c>
      <c r="E514" s="3">
        <v>1619</v>
      </c>
      <c r="F514" t="s">
        <v>3877</v>
      </c>
      <c r="G514" t="s">
        <v>512</v>
      </c>
      <c r="H514" s="3">
        <v>18.960599999999999</v>
      </c>
      <c r="I514" t="s">
        <v>3742</v>
      </c>
      <c r="J514" t="s">
        <v>12428</v>
      </c>
      <c r="L514" t="s">
        <v>3878</v>
      </c>
      <c r="M514" t="str">
        <f>"https://www.artic.edu/iiif/2/"&amp;Table9[[#This Row],[Image ID]]&amp;"/full/843,/0/default.jpg"</f>
        <v>https://www.artic.edu/iiif/2/63a98f96-93d4-a6a7-4309-c24818135b9f/full/843,/0/default.jpg</v>
      </c>
      <c r="N514" s="3">
        <v>0.82499999999999996</v>
      </c>
      <c r="O514" s="3">
        <v>0.05</v>
      </c>
      <c r="P514" s="3">
        <v>0.77499999999999991</v>
      </c>
      <c r="Q514" s="3">
        <v>0.82599222660064697</v>
      </c>
    </row>
    <row r="515" spans="1:17" x14ac:dyDescent="0.45">
      <c r="A515" s="3">
        <v>110673</v>
      </c>
      <c r="B515" t="b">
        <v>0</v>
      </c>
      <c r="C515" t="b">
        <v>1</v>
      </c>
      <c r="D515" s="3">
        <v>1480</v>
      </c>
      <c r="E515" s="3">
        <v>1500</v>
      </c>
      <c r="F515" t="s">
        <v>916</v>
      </c>
      <c r="G515" t="s">
        <v>75</v>
      </c>
      <c r="H515" s="3">
        <v>56.652099999999997</v>
      </c>
      <c r="I515" t="s">
        <v>917</v>
      </c>
      <c r="J515" t="s">
        <v>12476</v>
      </c>
      <c r="L515" t="s">
        <v>918</v>
      </c>
      <c r="M515" t="str">
        <f>"https://www.artic.edu/iiif/2/"&amp;Table9[[#This Row],[Image ID]]&amp;"/full/843,/0/default.jpg"</f>
        <v>https://www.artic.edu/iiif/2/66c1797f-b87e-8736-cdf6-c490bd34863b/full/843,/0/default.jpg</v>
      </c>
      <c r="N515" s="3">
        <v>0.82499999999999996</v>
      </c>
      <c r="O515" s="3">
        <v>0.05</v>
      </c>
      <c r="P515" s="3">
        <v>0.77499999999999991</v>
      </c>
      <c r="Q515" s="3">
        <v>0.86423915624618497</v>
      </c>
    </row>
    <row r="516" spans="1:17" x14ac:dyDescent="0.45">
      <c r="A516" s="3">
        <v>81519</v>
      </c>
      <c r="B516" t="b">
        <v>0</v>
      </c>
      <c r="C516" t="b">
        <v>1</v>
      </c>
      <c r="D516" s="3">
        <v>1839</v>
      </c>
      <c r="E516" s="3">
        <v>1849</v>
      </c>
      <c r="F516" t="s">
        <v>2756</v>
      </c>
      <c r="G516" t="s">
        <v>7</v>
      </c>
      <c r="H516" s="3">
        <v>32.474499999999999</v>
      </c>
      <c r="I516" t="s">
        <v>14668</v>
      </c>
      <c r="J516" t="s">
        <v>12493</v>
      </c>
      <c r="L516" t="s">
        <v>10112</v>
      </c>
      <c r="M516" t="str">
        <f>"https://www.artic.edu/iiif/2/"&amp;Table9[[#This Row],[Image ID]]&amp;"/full/843,/0/default.jpg"</f>
        <v>https://www.artic.edu/iiif/2/681c9b51-6682-3f8c-dac8-ad250ed82240/full/843,/0/default.jpg</v>
      </c>
      <c r="N516" s="3">
        <v>0.82499999999999996</v>
      </c>
      <c r="O516" s="3">
        <v>0.05</v>
      </c>
      <c r="P516" s="3">
        <v>0.77499999999999991</v>
      </c>
      <c r="Q516" s="3">
        <v>0.82289141416549605</v>
      </c>
    </row>
    <row r="517" spans="1:17" x14ac:dyDescent="0.45">
      <c r="A517" s="3">
        <v>65509</v>
      </c>
      <c r="B517" t="b">
        <v>0</v>
      </c>
      <c r="C517" t="b">
        <v>1</v>
      </c>
      <c r="D517" s="3">
        <v>1608</v>
      </c>
      <c r="E517" s="3">
        <v>1614</v>
      </c>
      <c r="F517" t="s">
        <v>9028</v>
      </c>
      <c r="G517" t="s">
        <v>7</v>
      </c>
      <c r="H517" s="3">
        <v>16.566700000000001</v>
      </c>
      <c r="I517" t="s">
        <v>14665</v>
      </c>
      <c r="J517" t="s">
        <v>12680</v>
      </c>
      <c r="L517" t="s">
        <v>9029</v>
      </c>
      <c r="M517" t="str">
        <f>"https://www.artic.edu/iiif/2/"&amp;Table9[[#This Row],[Image ID]]&amp;"/full/843,/0/default.jpg"</f>
        <v>https://www.artic.edu/iiif/2/75886aaa-002a-2047-a05c-baf73f0ac093/full/843,/0/default.jpg</v>
      </c>
      <c r="N517" s="3">
        <v>0.82499999999999996</v>
      </c>
      <c r="O517" s="3">
        <v>0.05</v>
      </c>
      <c r="P517" s="3">
        <v>0.77499999999999991</v>
      </c>
      <c r="Q517" s="3">
        <v>0.69005304574966397</v>
      </c>
    </row>
    <row r="518" spans="1:17" x14ac:dyDescent="0.45">
      <c r="A518" s="3">
        <v>80539</v>
      </c>
      <c r="B518" t="b">
        <v>0</v>
      </c>
      <c r="C518" t="b">
        <v>1</v>
      </c>
      <c r="D518" s="3">
        <v>1615</v>
      </c>
      <c r="E518" s="3">
        <v>1625</v>
      </c>
      <c r="F518" t="s">
        <v>2595</v>
      </c>
      <c r="G518" t="s">
        <v>75</v>
      </c>
      <c r="H518" s="3">
        <v>42.6569</v>
      </c>
      <c r="I518" t="s">
        <v>10008</v>
      </c>
      <c r="J518" t="s">
        <v>13287</v>
      </c>
      <c r="L518" t="s">
        <v>10009</v>
      </c>
      <c r="M518" t="str">
        <f>"https://www.artic.edu/iiif/2/"&amp;Table9[[#This Row],[Image ID]]&amp;"/full/843,/0/default.jpg"</f>
        <v>https://www.artic.edu/iiif/2/a3ec9571-7c26-2d6a-3c60-28872828ddcf/full/843,/0/default.jpg</v>
      </c>
      <c r="N518" s="3">
        <v>0.82499999999999996</v>
      </c>
      <c r="O518" s="3">
        <v>0.05</v>
      </c>
      <c r="P518" s="3">
        <v>0.77499999999999991</v>
      </c>
      <c r="Q518" s="3">
        <v>0.87239271402358998</v>
      </c>
    </row>
    <row r="519" spans="1:17" x14ac:dyDescent="0.45">
      <c r="A519" s="3">
        <v>100026</v>
      </c>
      <c r="B519" t="b">
        <v>0</v>
      </c>
      <c r="C519" t="b">
        <v>1</v>
      </c>
      <c r="D519" s="3">
        <v>1885</v>
      </c>
      <c r="E519" s="3">
        <v>1886</v>
      </c>
      <c r="F519" t="s">
        <v>6</v>
      </c>
      <c r="G519" t="s">
        <v>7</v>
      </c>
      <c r="H519" s="3">
        <v>47.179699999999997</v>
      </c>
      <c r="I519" t="s">
        <v>8</v>
      </c>
      <c r="J519" t="s">
        <v>13615</v>
      </c>
      <c r="K519" s="5" t="s">
        <v>9</v>
      </c>
      <c r="L519" t="s">
        <v>10</v>
      </c>
      <c r="M519" t="str">
        <f>"https://www.artic.edu/iiif/2/"&amp;Table9[[#This Row],[Image ID]]&amp;"/full/843,/0/default.jpg"</f>
        <v>https://www.artic.edu/iiif/2/bda9058b-5be6-37d0-e5a6-926584540757/full/843,/0/default.jpg</v>
      </c>
      <c r="N519" s="3">
        <v>0.82499999999999996</v>
      </c>
      <c r="O519" s="3">
        <v>0.05</v>
      </c>
      <c r="P519" s="3">
        <v>0.77499999999999991</v>
      </c>
      <c r="Q519" s="3">
        <v>0.75081592798232999</v>
      </c>
    </row>
    <row r="520" spans="1:17" x14ac:dyDescent="0.45">
      <c r="A520" s="3">
        <v>27962</v>
      </c>
      <c r="B520" t="b">
        <v>0</v>
      </c>
      <c r="C520" t="b">
        <v>1</v>
      </c>
      <c r="D520" s="3">
        <v>1907</v>
      </c>
      <c r="E520" s="3">
        <v>1907</v>
      </c>
      <c r="F520" t="s">
        <v>6761</v>
      </c>
      <c r="G520" t="s">
        <v>7</v>
      </c>
      <c r="H520" s="3">
        <v>32.187800000000003</v>
      </c>
      <c r="I520" t="s">
        <v>2437</v>
      </c>
      <c r="J520" t="s">
        <v>13788</v>
      </c>
      <c r="K520" s="5" t="s">
        <v>115</v>
      </c>
      <c r="L520" t="s">
        <v>6762</v>
      </c>
      <c r="M520" t="str">
        <f>"https://www.artic.edu/iiif/2/"&amp;Table9[[#This Row],[Image ID]]&amp;"/full/843,/0/default.jpg"</f>
        <v>https://www.artic.edu/iiif/2/caf7fb08-39ef-7bd8-b81a-181ee31cc324/full/843,/0/default.jpg</v>
      </c>
      <c r="N520" s="3">
        <v>0.82499999999999996</v>
      </c>
      <c r="O520" s="3">
        <v>0.05</v>
      </c>
      <c r="P520" s="3">
        <v>0.77499999999999991</v>
      </c>
      <c r="Q520" s="3">
        <v>0.90731304883956898</v>
      </c>
    </row>
    <row r="521" spans="1:17" x14ac:dyDescent="0.45">
      <c r="A521" s="3">
        <v>97891</v>
      </c>
      <c r="B521" t="b">
        <v>0</v>
      </c>
      <c r="C521" t="b">
        <v>1</v>
      </c>
      <c r="D521" s="3">
        <v>1900</v>
      </c>
      <c r="E521" s="3">
        <v>1900</v>
      </c>
      <c r="F521" t="s">
        <v>10868</v>
      </c>
      <c r="G521" t="s">
        <v>7</v>
      </c>
      <c r="H521" s="3">
        <v>8.4738000000000007</v>
      </c>
      <c r="I521" t="s">
        <v>192</v>
      </c>
      <c r="J521" t="s">
        <v>11293</v>
      </c>
      <c r="L521" t="s">
        <v>10869</v>
      </c>
      <c r="M521" t="str">
        <f>"https://www.artic.edu/iiif/2/"&amp;Table9[[#This Row],[Image ID]]&amp;"/full/843,/0/default.jpg"</f>
        <v>https://www.artic.edu/iiif/2/dcfa012e-b6ef-2bf7-a862-ee6e0ee9537d/full/843,/0/default.jpg</v>
      </c>
      <c r="N521" s="3">
        <v>0.82499999999999996</v>
      </c>
      <c r="O521" s="3">
        <v>0.05</v>
      </c>
      <c r="P521" s="3">
        <v>0.77499999999999991</v>
      </c>
      <c r="Q521" s="3">
        <v>0.63391613960266102</v>
      </c>
    </row>
    <row r="522" spans="1:17" x14ac:dyDescent="0.45">
      <c r="A522" s="3">
        <v>100350</v>
      </c>
      <c r="B522" t="b">
        <v>0</v>
      </c>
      <c r="C522" t="b">
        <v>1</v>
      </c>
      <c r="D522" s="3">
        <v>1876</v>
      </c>
      <c r="E522" s="3">
        <v>1876</v>
      </c>
      <c r="F522" t="s">
        <v>92</v>
      </c>
      <c r="G522" t="s">
        <v>93</v>
      </c>
      <c r="H522" s="3">
        <v>24.325600000000001</v>
      </c>
      <c r="I522" t="s">
        <v>14633</v>
      </c>
      <c r="J522" t="s">
        <v>14177</v>
      </c>
      <c r="L522" t="s">
        <v>94</v>
      </c>
      <c r="M522" t="str">
        <f>"https://www.artic.edu/iiif/2/"&amp;Table9[[#This Row],[Image ID]]&amp;"/full/843,/0/default.jpg"</f>
        <v>https://www.artic.edu/iiif/2/e728fa6d-c643-2b68-133d-74770ded12ef/full/843,/0/default.jpg</v>
      </c>
      <c r="N522" s="3">
        <v>0.82499999999999996</v>
      </c>
      <c r="O522" s="3">
        <v>0.05</v>
      </c>
      <c r="P522" s="3">
        <v>0.77499999999999991</v>
      </c>
      <c r="Q522" s="3">
        <v>0.52427685260772705</v>
      </c>
    </row>
    <row r="523" spans="1:17" x14ac:dyDescent="0.45">
      <c r="A523" s="3">
        <v>150991</v>
      </c>
      <c r="B523" t="b">
        <v>0</v>
      </c>
      <c r="C523" t="b">
        <v>1</v>
      </c>
      <c r="D523" s="3">
        <v>1820</v>
      </c>
      <c r="E523" s="3">
        <v>1840</v>
      </c>
      <c r="F523" t="s">
        <v>3817</v>
      </c>
      <c r="G523" t="s">
        <v>7</v>
      </c>
      <c r="H523" s="3">
        <v>14.8161</v>
      </c>
      <c r="I523" t="s">
        <v>21</v>
      </c>
      <c r="J523" t="s">
        <v>13743</v>
      </c>
      <c r="L523" t="s">
        <v>3818</v>
      </c>
      <c r="M523" t="str">
        <f>"https://www.artic.edu/iiif/2/"&amp;Table9[[#This Row],[Image ID]]&amp;"/full/843,/0/default.jpg"</f>
        <v>https://www.artic.edu/iiif/2/fed50acc-d411-5ff6-2be0-e8cabf8f3eb3/full/843,/0/default.jpg</v>
      </c>
      <c r="N523" s="3">
        <v>0.82499999999999996</v>
      </c>
      <c r="O523" s="3">
        <v>0.05</v>
      </c>
      <c r="P523" s="3">
        <v>0.77499999999999991</v>
      </c>
      <c r="Q523" s="3">
        <v>0.79933160543441695</v>
      </c>
    </row>
    <row r="524" spans="1:17" x14ac:dyDescent="0.45">
      <c r="A524" s="3">
        <v>24687</v>
      </c>
      <c r="B524" t="b">
        <v>0</v>
      </c>
      <c r="C524" t="b">
        <v>0</v>
      </c>
      <c r="D524" s="3">
        <v>1928</v>
      </c>
      <c r="E524" s="3">
        <v>1928</v>
      </c>
      <c r="F524" t="s">
        <v>6431</v>
      </c>
      <c r="G524" t="s">
        <v>7</v>
      </c>
      <c r="H524" s="3">
        <v>124.7955</v>
      </c>
      <c r="I524" t="s">
        <v>144</v>
      </c>
      <c r="J524" t="s">
        <v>13494</v>
      </c>
      <c r="K524" s="5" t="s">
        <v>45</v>
      </c>
      <c r="L524" t="s">
        <v>6432</v>
      </c>
      <c r="M524" t="str">
        <f>"https://www.artic.edu/iiif/2/"&amp;Table9[[#This Row],[Image ID]]&amp;"/full/843,/0/default.jpg"</f>
        <v>https://www.artic.edu/iiif/2/b3688c8c-06f2-2a35-56bb-19de1a05344e/full/843,/0/default.jpg</v>
      </c>
      <c r="N524" s="3">
        <v>0.84099999999999997</v>
      </c>
      <c r="O524" s="3">
        <v>6.8000000000000005E-2</v>
      </c>
      <c r="P524" s="3">
        <v>0.77299999999999991</v>
      </c>
      <c r="Q524" s="3">
        <v>0.80564254522323597</v>
      </c>
    </row>
    <row r="525" spans="1:17" x14ac:dyDescent="0.45">
      <c r="A525" s="3">
        <v>79349</v>
      </c>
      <c r="B525" t="b">
        <v>0</v>
      </c>
      <c r="C525" t="b">
        <v>1</v>
      </c>
      <c r="D525" s="3">
        <v>1890</v>
      </c>
      <c r="E525" s="3">
        <v>1890</v>
      </c>
      <c r="F525" t="s">
        <v>9891</v>
      </c>
      <c r="G525" t="s">
        <v>7</v>
      </c>
      <c r="H525" s="3">
        <v>26.005700000000001</v>
      </c>
      <c r="I525" t="s">
        <v>768</v>
      </c>
      <c r="J525" t="s">
        <v>13856</v>
      </c>
      <c r="K525" s="5" t="s">
        <v>115</v>
      </c>
      <c r="L525" t="s">
        <v>9892</v>
      </c>
      <c r="M525" t="str">
        <f>"https://www.artic.edu/iiif/2/"&amp;Table9[[#This Row],[Image ID]]&amp;"/full/843,/0/default.jpg"</f>
        <v>https://www.artic.edu/iiif/2/d0ff5b36-bb38-b156-6042-5c8545352c2f/full/843,/0/default.jpg</v>
      </c>
      <c r="N525" s="3">
        <v>0.86</v>
      </c>
      <c r="O525" s="3">
        <v>9.2999999999999999E-2</v>
      </c>
      <c r="P525" s="3">
        <v>0.76700000000000002</v>
      </c>
      <c r="Q525" s="3">
        <v>0.72088658809661799</v>
      </c>
    </row>
    <row r="526" spans="1:17" x14ac:dyDescent="0.45">
      <c r="A526" s="3">
        <v>36193</v>
      </c>
      <c r="B526" t="b">
        <v>0</v>
      </c>
      <c r="C526" t="b">
        <v>0</v>
      </c>
      <c r="D526" s="3">
        <v>1970</v>
      </c>
      <c r="E526" s="3">
        <v>1970</v>
      </c>
      <c r="F526" t="s">
        <v>7209</v>
      </c>
      <c r="G526" t="s">
        <v>7</v>
      </c>
      <c r="H526" s="3">
        <v>43.553199999999997</v>
      </c>
      <c r="I526" t="s">
        <v>177</v>
      </c>
      <c r="J526" t="s">
        <v>12821</v>
      </c>
      <c r="L526" t="s">
        <v>7210</v>
      </c>
      <c r="M526" t="str">
        <f>"https://www.artic.edu/iiif/2/"&amp;Table9[[#This Row],[Image ID]]&amp;"/full/843,/0/default.jpg"</f>
        <v>https://www.artic.edu/iiif/2/80428948-574a-7dc2-8956-d920921c394f/full/843,/0/default.jpg</v>
      </c>
      <c r="N526" s="3">
        <v>0.83699999999999997</v>
      </c>
      <c r="O526" s="3">
        <v>7.0000000000000007E-2</v>
      </c>
      <c r="P526" s="3">
        <v>0.7669999999999999</v>
      </c>
      <c r="Q526" s="3">
        <v>0.82268804311752297</v>
      </c>
    </row>
    <row r="527" spans="1:17" x14ac:dyDescent="0.45">
      <c r="A527" s="3">
        <v>68428</v>
      </c>
      <c r="B527" t="b">
        <v>0</v>
      </c>
      <c r="C527" t="b">
        <v>1</v>
      </c>
      <c r="D527" s="3">
        <v>1855</v>
      </c>
      <c r="E527" s="3">
        <v>1870</v>
      </c>
      <c r="F527" t="s">
        <v>9358</v>
      </c>
      <c r="G527" t="s">
        <v>7</v>
      </c>
      <c r="H527" s="3">
        <v>0</v>
      </c>
      <c r="I527" t="s">
        <v>14555</v>
      </c>
      <c r="J527" t="s">
        <v>11556</v>
      </c>
      <c r="L527" t="s">
        <v>9359</v>
      </c>
      <c r="M527" t="str">
        <f>"https://www.artic.edu/iiif/2/"&amp;Table9[[#This Row],[Image ID]]&amp;"/full/843,/0/default.jpg"</f>
        <v>https://www.artic.edu/iiif/2/283433d1-bbc4-b526-eb7e-35f85cdb1cbb/full/843,/0/default.jpg</v>
      </c>
      <c r="N527" s="3">
        <v>0.83699999999999997</v>
      </c>
      <c r="O527" s="3">
        <v>7.0000000000000007E-2</v>
      </c>
      <c r="P527" s="3">
        <v>0.7669999999999999</v>
      </c>
      <c r="Q527" s="3">
        <v>0.82884263992309504</v>
      </c>
    </row>
    <row r="528" spans="1:17" x14ac:dyDescent="0.45">
      <c r="A528" s="3">
        <v>216561</v>
      </c>
      <c r="B528" t="b">
        <v>0</v>
      </c>
      <c r="C528" t="b">
        <v>0</v>
      </c>
      <c r="D528" s="3">
        <v>1979</v>
      </c>
      <c r="E528" s="3">
        <v>1979</v>
      </c>
      <c r="F528" t="s">
        <v>5650</v>
      </c>
      <c r="G528" t="s">
        <v>7</v>
      </c>
      <c r="H528" s="3">
        <v>26.9542</v>
      </c>
      <c r="I528" t="s">
        <v>2285</v>
      </c>
      <c r="J528" t="s">
        <v>11033</v>
      </c>
      <c r="L528" t="s">
        <v>5651</v>
      </c>
      <c r="M528" t="str">
        <f>"https://www.artic.edu/iiif/2/"&amp;Table9[[#This Row],[Image ID]]&amp;"/full/843,/0/default.jpg"</f>
        <v>https://www.artic.edu/iiif/2/044dee02-83cf-ba08-3c03-a593096a3086/full/843,/0/default.jpg</v>
      </c>
      <c r="N528" s="3">
        <v>0.81</v>
      </c>
      <c r="O528" s="3">
        <v>4.8000000000000001E-2</v>
      </c>
      <c r="P528" s="3">
        <v>0.76200000000000001</v>
      </c>
      <c r="Q528" s="3">
        <v>0.86411321163177401</v>
      </c>
    </row>
    <row r="529" spans="1:17" x14ac:dyDescent="0.45">
      <c r="A529" s="3">
        <v>196061</v>
      </c>
      <c r="B529" t="b">
        <v>0</v>
      </c>
      <c r="C529" t="b">
        <v>0</v>
      </c>
      <c r="D529" s="3">
        <v>2005</v>
      </c>
      <c r="E529" s="3">
        <v>2005</v>
      </c>
      <c r="F529" t="s">
        <v>5258</v>
      </c>
      <c r="G529" t="s">
        <v>5259</v>
      </c>
      <c r="H529" s="3">
        <v>12.3598</v>
      </c>
      <c r="I529" t="s">
        <v>5260</v>
      </c>
      <c r="J529" t="s">
        <v>12496</v>
      </c>
      <c r="K529" s="5" t="s">
        <v>15</v>
      </c>
      <c r="L529" t="s">
        <v>5261</v>
      </c>
      <c r="M529" t="str">
        <f>"https://www.artic.edu/iiif/2/"&amp;Table9[[#This Row],[Image ID]]&amp;"/full/843,/0/default.jpg"</f>
        <v>https://www.artic.edu/iiif/2/682c5ee0-0585-9f07-f94f-314a358466b8/full/843,/0/default.jpg</v>
      </c>
      <c r="N529" s="3">
        <v>0.76200000000000001</v>
      </c>
      <c r="O529" s="3">
        <v>0</v>
      </c>
      <c r="P529" s="3">
        <v>0.76200000000000001</v>
      </c>
      <c r="Q529" s="3">
        <v>0.82386600971221902</v>
      </c>
    </row>
    <row r="530" spans="1:17" x14ac:dyDescent="0.45">
      <c r="A530" s="3">
        <v>204134</v>
      </c>
      <c r="B530" t="b">
        <v>0</v>
      </c>
      <c r="C530" t="b">
        <v>0</v>
      </c>
      <c r="D530" s="3">
        <v>1965</v>
      </c>
      <c r="E530" s="3">
        <v>1975</v>
      </c>
      <c r="F530" t="s">
        <v>5396</v>
      </c>
      <c r="G530" t="s">
        <v>5397</v>
      </c>
      <c r="H530" s="3">
        <v>27.4876</v>
      </c>
      <c r="I530" t="s">
        <v>2951</v>
      </c>
      <c r="J530" t="s">
        <v>12814</v>
      </c>
      <c r="L530" t="s">
        <v>5398</v>
      </c>
      <c r="M530" t="str">
        <f>"https://www.artic.edu/iiif/2/"&amp;Table9[[#This Row],[Image ID]]&amp;"/full/843,/0/default.jpg"</f>
        <v>https://www.artic.edu/iiif/2/7fe3656c-4c7b-231f-fa60-91704a86c31d/full/843,/0/default.jpg</v>
      </c>
      <c r="N530" s="3">
        <v>0.83299999999999996</v>
      </c>
      <c r="O530" s="3">
        <v>7.0999999999999994E-2</v>
      </c>
      <c r="P530" s="3">
        <v>0.76200000000000001</v>
      </c>
      <c r="Q530" s="3">
        <v>0.75207954645156805</v>
      </c>
    </row>
    <row r="531" spans="1:17" x14ac:dyDescent="0.45">
      <c r="A531" s="3">
        <v>220544</v>
      </c>
      <c r="B531" t="b">
        <v>0</v>
      </c>
      <c r="C531" t="b">
        <v>0</v>
      </c>
      <c r="D531" s="3">
        <v>1990</v>
      </c>
      <c r="E531" s="3">
        <v>1990</v>
      </c>
      <c r="F531" t="s">
        <v>11</v>
      </c>
      <c r="G531" t="s">
        <v>5793</v>
      </c>
      <c r="H531" s="3">
        <v>26.0197</v>
      </c>
      <c r="I531" t="s">
        <v>5781</v>
      </c>
      <c r="J531" t="s">
        <v>13177</v>
      </c>
      <c r="L531" t="s">
        <v>5794</v>
      </c>
      <c r="M531" t="str">
        <f>"https://www.artic.edu/iiif/2/"&amp;Table9[[#This Row],[Image ID]]&amp;"/full/843,/0/default.jpg"</f>
        <v>https://www.artic.edu/iiif/2/9c0ac368-7780-4b8c-5ec4-53e7b3bfb23f/full/843,/0/default.jpg</v>
      </c>
      <c r="N531" s="3">
        <v>0.88100000000000001</v>
      </c>
      <c r="O531" s="3">
        <v>0.11899999999999999</v>
      </c>
      <c r="P531" s="3">
        <v>0.76200000000000001</v>
      </c>
      <c r="Q531" s="3">
        <v>0.66993063688278198</v>
      </c>
    </row>
    <row r="532" spans="1:17" x14ac:dyDescent="0.45">
      <c r="A532" s="3">
        <v>146913</v>
      </c>
      <c r="B532" t="b">
        <v>0</v>
      </c>
      <c r="C532" t="b">
        <v>0</v>
      </c>
      <c r="D532" s="3">
        <v>1985</v>
      </c>
      <c r="E532" s="3">
        <v>1985</v>
      </c>
      <c r="F532" t="s">
        <v>3511</v>
      </c>
      <c r="G532" t="s">
        <v>3512</v>
      </c>
      <c r="H532" s="3">
        <v>78.426100000000005</v>
      </c>
      <c r="I532" t="s">
        <v>330</v>
      </c>
      <c r="J532" t="s">
        <v>13254</v>
      </c>
      <c r="L532" t="s">
        <v>3513</v>
      </c>
      <c r="M532" t="str">
        <f>"https://www.artic.edu/iiif/2/"&amp;Table9[[#This Row],[Image ID]]&amp;"/full/843,/0/default.jpg"</f>
        <v>https://www.artic.edu/iiif/2/a1f5060c-f2d3-e2b5-27de-3779a60637da/full/843,/0/default.jpg</v>
      </c>
      <c r="N532" s="3">
        <v>0.81</v>
      </c>
      <c r="O532" s="3">
        <v>4.8000000000000001E-2</v>
      </c>
      <c r="P532" s="3">
        <v>0.76200000000000001</v>
      </c>
      <c r="Q532" s="3">
        <v>0.84624248743057195</v>
      </c>
    </row>
    <row r="533" spans="1:17" x14ac:dyDescent="0.45">
      <c r="A533" s="3">
        <v>118282</v>
      </c>
      <c r="B533" t="b">
        <v>0</v>
      </c>
      <c r="C533" t="b">
        <v>0</v>
      </c>
      <c r="D533" s="3">
        <v>1934</v>
      </c>
      <c r="E533" s="3">
        <v>1934</v>
      </c>
      <c r="F533" t="s">
        <v>2485</v>
      </c>
      <c r="G533" t="s">
        <v>2486</v>
      </c>
      <c r="H533" s="3">
        <v>15.6524</v>
      </c>
      <c r="I533" t="s">
        <v>2487</v>
      </c>
      <c r="J533" t="s">
        <v>13572</v>
      </c>
      <c r="L533" t="s">
        <v>2488</v>
      </c>
      <c r="M533" t="str">
        <f>"https://www.artic.edu/iiif/2/"&amp;Table9[[#This Row],[Image ID]]&amp;"/full/843,/0/default.jpg"</f>
        <v>https://www.artic.edu/iiif/2/ba5502b5-2d55-373b-8ee2-6f4f0bb4c902/full/843,/0/default.jpg</v>
      </c>
      <c r="N533" s="3">
        <v>0.78600000000000003</v>
      </c>
      <c r="O533" s="3">
        <v>2.4E-2</v>
      </c>
      <c r="P533" s="3">
        <v>0.76200000000000001</v>
      </c>
      <c r="Q533" s="3">
        <v>0.70336180925369196</v>
      </c>
    </row>
    <row r="534" spans="1:17" x14ac:dyDescent="0.45">
      <c r="A534" s="3">
        <v>229120</v>
      </c>
      <c r="B534" t="b">
        <v>0</v>
      </c>
      <c r="C534" t="b">
        <v>0</v>
      </c>
      <c r="D534" s="3">
        <v>1974</v>
      </c>
      <c r="E534" s="3">
        <v>1974</v>
      </c>
      <c r="F534" t="s">
        <v>5840</v>
      </c>
      <c r="G534" t="s">
        <v>238</v>
      </c>
      <c r="H534" s="3">
        <v>163.27500000000001</v>
      </c>
      <c r="I534" t="s">
        <v>5841</v>
      </c>
      <c r="J534" t="s">
        <v>11563</v>
      </c>
      <c r="L534" t="s">
        <v>6054</v>
      </c>
      <c r="M534" t="str">
        <f>"https://www.artic.edu/iiif/2/"&amp;Table9[[#This Row],[Image ID]]&amp;"/full/843,/0/default.jpg"</f>
        <v>https://www.artic.edu/iiif/2/c083c3bc-0be8-0927-ca84-93151dd9c7dc/full/843,/0/default.jpg</v>
      </c>
      <c r="N534" s="3">
        <v>0.81</v>
      </c>
      <c r="O534" s="3">
        <v>4.8000000000000001E-2</v>
      </c>
      <c r="P534" s="3">
        <v>0.76200000000000001</v>
      </c>
      <c r="Q534" s="3">
        <v>0.91779011487960804</v>
      </c>
    </row>
    <row r="535" spans="1:17" x14ac:dyDescent="0.45">
      <c r="A535" s="3">
        <v>44846</v>
      </c>
      <c r="B535" t="b">
        <v>0</v>
      </c>
      <c r="C535" t="b">
        <v>0</v>
      </c>
      <c r="D535" s="3">
        <v>1973</v>
      </c>
      <c r="E535" s="3">
        <v>1973</v>
      </c>
      <c r="F535" t="s">
        <v>7801</v>
      </c>
      <c r="G535" t="s">
        <v>4693</v>
      </c>
      <c r="H535" s="3">
        <v>22.088200000000001</v>
      </c>
      <c r="I535" t="s">
        <v>3389</v>
      </c>
      <c r="J535" t="s">
        <v>13789</v>
      </c>
      <c r="L535" t="s">
        <v>7802</v>
      </c>
      <c r="M535" t="str">
        <f>"https://www.artic.edu/iiif/2/"&amp;Table9[[#This Row],[Image ID]]&amp;"/full/843,/0/default.jpg"</f>
        <v>https://www.artic.edu/iiif/2/cb097c1a-2695-d1b0-0f9b-e5796c7a43c8/full/843,/0/default.jpg</v>
      </c>
      <c r="N535" s="3">
        <v>0.83299999999999996</v>
      </c>
      <c r="O535" s="3">
        <v>7.0999999999999994E-2</v>
      </c>
      <c r="P535" s="3">
        <v>0.76200000000000001</v>
      </c>
      <c r="Q535" s="3">
        <v>0.90964621305465698</v>
      </c>
    </row>
    <row r="536" spans="1:17" x14ac:dyDescent="0.45">
      <c r="A536" s="3">
        <v>39247</v>
      </c>
      <c r="B536" t="b">
        <v>0</v>
      </c>
      <c r="C536" t="b">
        <v>0</v>
      </c>
      <c r="D536" s="3">
        <v>1971</v>
      </c>
      <c r="E536" s="3">
        <v>1971</v>
      </c>
      <c r="F536" t="s">
        <v>7551</v>
      </c>
      <c r="G536" t="s">
        <v>7</v>
      </c>
      <c r="H536" s="3">
        <v>74.640500000000003</v>
      </c>
      <c r="I536" t="s">
        <v>235</v>
      </c>
      <c r="J536" t="s">
        <v>13964</v>
      </c>
      <c r="L536" t="s">
        <v>7552</v>
      </c>
      <c r="M536" t="str">
        <f>"https://www.artic.edu/iiif/2/"&amp;Table9[[#This Row],[Image ID]]&amp;"/full/843,/0/default.jpg"</f>
        <v>https://www.artic.edu/iiif/2/d8ec86ef-8261-e933-857d-b21c7256bac2/full/843,/0/default.jpg</v>
      </c>
      <c r="N536" s="3">
        <v>0.85699999999999998</v>
      </c>
      <c r="O536" s="3">
        <v>9.5000000000000001E-2</v>
      </c>
      <c r="P536" s="3">
        <v>0.76200000000000001</v>
      </c>
      <c r="Q536" s="3">
        <v>0.78920602798461903</v>
      </c>
    </row>
    <row r="537" spans="1:17" x14ac:dyDescent="0.45">
      <c r="A537" s="3">
        <v>11312</v>
      </c>
      <c r="B537" t="b">
        <v>0</v>
      </c>
      <c r="C537" t="b">
        <v>1</v>
      </c>
      <c r="D537" s="3">
        <v>1895</v>
      </c>
      <c r="E537" s="3">
        <v>1895</v>
      </c>
      <c r="F537" t="s">
        <v>1360</v>
      </c>
      <c r="G537" t="s">
        <v>7</v>
      </c>
      <c r="H537" s="3">
        <v>17.915900000000001</v>
      </c>
      <c r="I537" t="s">
        <v>288</v>
      </c>
      <c r="J537" t="s">
        <v>11235</v>
      </c>
      <c r="K537" s="5" t="s">
        <v>115</v>
      </c>
      <c r="L537" t="s">
        <v>1361</v>
      </c>
      <c r="M537" t="str">
        <f>"https://www.artic.edu/iiif/2/"&amp;Table9[[#This Row],[Image ID]]&amp;"/full/843,/0/default.jpg"</f>
        <v>https://www.artic.edu/iiif/2/132b782d-54e6-70e1-18f9-211468c09099/full/843,/0/default.jpg</v>
      </c>
      <c r="N537" s="3">
        <v>0.81</v>
      </c>
      <c r="O537" s="3">
        <v>4.8000000000000001E-2</v>
      </c>
      <c r="P537" s="3">
        <v>0.76200000000000001</v>
      </c>
      <c r="Q537" s="3">
        <v>0.79542821645736606</v>
      </c>
    </row>
    <row r="538" spans="1:17" x14ac:dyDescent="0.45">
      <c r="A538" s="3">
        <v>35262</v>
      </c>
      <c r="B538" t="b">
        <v>0</v>
      </c>
      <c r="C538" t="b">
        <v>1</v>
      </c>
      <c r="D538" s="3">
        <v>1805</v>
      </c>
      <c r="E538" s="3">
        <v>1805</v>
      </c>
      <c r="F538" t="s">
        <v>7175</v>
      </c>
      <c r="G538" t="s">
        <v>7</v>
      </c>
      <c r="H538" s="3">
        <v>38.725999999999999</v>
      </c>
      <c r="I538" t="s">
        <v>7176</v>
      </c>
      <c r="J538" t="s">
        <v>11842</v>
      </c>
      <c r="L538" t="s">
        <v>7177</v>
      </c>
      <c r="M538" t="str">
        <f>"https://www.artic.edu/iiif/2/"&amp;Table9[[#This Row],[Image ID]]&amp;"/full/843,/0/default.jpg"</f>
        <v>https://www.artic.edu/iiif/2/3b097a0b-d945-9122-f50d-f567ff8684e5/full/843,/0/default.jpg</v>
      </c>
      <c r="N538" s="3">
        <v>0.88100000000000001</v>
      </c>
      <c r="O538" s="3">
        <v>0.11899999999999999</v>
      </c>
      <c r="P538" s="3">
        <v>0.76200000000000001</v>
      </c>
      <c r="Q538" s="3">
        <v>0.72772622108459395</v>
      </c>
    </row>
    <row r="539" spans="1:17" x14ac:dyDescent="0.45">
      <c r="A539" s="3">
        <v>58698</v>
      </c>
      <c r="B539" t="b">
        <v>0</v>
      </c>
      <c r="C539" t="b">
        <v>1</v>
      </c>
      <c r="D539" s="3">
        <v>1555</v>
      </c>
      <c r="E539" s="3">
        <v>1565</v>
      </c>
      <c r="F539" t="s">
        <v>8530</v>
      </c>
      <c r="G539" t="s">
        <v>75</v>
      </c>
      <c r="H539" s="3">
        <v>16.331600000000002</v>
      </c>
      <c r="I539" t="s">
        <v>8531</v>
      </c>
      <c r="J539" t="s">
        <v>11942</v>
      </c>
      <c r="L539" t="s">
        <v>8532</v>
      </c>
      <c r="M539" t="str">
        <f>"https://www.artic.edu/iiif/2/"&amp;Table9[[#This Row],[Image ID]]&amp;"/full/843,/0/default.jpg"</f>
        <v>https://www.artic.edu/iiif/2/41966cec-34ad-7600-ee8e-40c86081334e/full/843,/0/default.jpg</v>
      </c>
      <c r="N539" s="3">
        <v>0.92900000000000005</v>
      </c>
      <c r="O539" s="3">
        <v>0.16700000000000001</v>
      </c>
      <c r="P539" s="3">
        <v>0.76200000000000001</v>
      </c>
      <c r="Q539" s="3">
        <v>0.76678168773651101</v>
      </c>
    </row>
    <row r="540" spans="1:17" x14ac:dyDescent="0.45">
      <c r="A540" s="3">
        <v>97902</v>
      </c>
      <c r="B540" t="b">
        <v>0</v>
      </c>
      <c r="C540" t="b">
        <v>1</v>
      </c>
      <c r="D540" s="3">
        <v>1899</v>
      </c>
      <c r="E540" s="3">
        <v>1899</v>
      </c>
      <c r="F540" t="s">
        <v>10886</v>
      </c>
      <c r="G540" t="s">
        <v>7</v>
      </c>
      <c r="H540" s="3">
        <v>13.5069</v>
      </c>
      <c r="I540" t="s">
        <v>192</v>
      </c>
      <c r="J540" t="s">
        <v>12005</v>
      </c>
      <c r="L540" t="s">
        <v>10887</v>
      </c>
      <c r="M540" t="str">
        <f>"https://www.artic.edu/iiif/2/"&amp;Table9[[#This Row],[Image ID]]&amp;"/full/843,/0/default.jpg"</f>
        <v>https://www.artic.edu/iiif/2/4606c094-d062-b064-3c2d-9c61baf482ac/full/843,/0/default.jpg</v>
      </c>
      <c r="N540" s="3">
        <v>0.88100000000000001</v>
      </c>
      <c r="O540" s="3">
        <v>0.11899999999999999</v>
      </c>
      <c r="P540" s="3">
        <v>0.76200000000000001</v>
      </c>
      <c r="Q540" s="3">
        <v>0.64307069778442305</v>
      </c>
    </row>
    <row r="541" spans="1:17" x14ac:dyDescent="0.45">
      <c r="A541" s="3">
        <v>158137</v>
      </c>
      <c r="B541" t="b">
        <v>0</v>
      </c>
      <c r="C541" t="b">
        <v>1</v>
      </c>
      <c r="D541" s="3">
        <v>1530</v>
      </c>
      <c r="E541" s="3">
        <v>1535</v>
      </c>
      <c r="F541" t="s">
        <v>4118</v>
      </c>
      <c r="G541" t="s">
        <v>7</v>
      </c>
      <c r="H541" s="3">
        <v>38.311199999999999</v>
      </c>
      <c r="I541" t="s">
        <v>4119</v>
      </c>
      <c r="J541" t="s">
        <v>12401</v>
      </c>
      <c r="L541" t="s">
        <v>4120</v>
      </c>
      <c r="M541" t="str">
        <f>"https://www.artic.edu/iiif/2/"&amp;Table9[[#This Row],[Image ID]]&amp;"/full/843,/0/default.jpg"</f>
        <v>https://www.artic.edu/iiif/2/61b21209-3e50-6eae-8056-9232dd6aecff/full/843,/0/default.jpg</v>
      </c>
      <c r="N541" s="3">
        <v>0.83299999999999996</v>
      </c>
      <c r="O541" s="3">
        <v>7.0999999999999994E-2</v>
      </c>
      <c r="P541" s="3">
        <v>0.76200000000000001</v>
      </c>
      <c r="Q541" s="3">
        <v>0.86961650848388605</v>
      </c>
    </row>
    <row r="542" spans="1:17" x14ac:dyDescent="0.45">
      <c r="A542" s="3">
        <v>69619</v>
      </c>
      <c r="B542" t="b">
        <v>0</v>
      </c>
      <c r="C542" t="b">
        <v>1</v>
      </c>
      <c r="D542" s="3">
        <v>1812</v>
      </c>
      <c r="E542" s="3">
        <v>1812</v>
      </c>
      <c r="F542" t="s">
        <v>9408</v>
      </c>
      <c r="G542" t="s">
        <v>456</v>
      </c>
      <c r="H542" s="3">
        <v>34.365099999999998</v>
      </c>
      <c r="I542" t="s">
        <v>2972</v>
      </c>
      <c r="J542" t="s">
        <v>12957</v>
      </c>
      <c r="L542" t="s">
        <v>9409</v>
      </c>
      <c r="M542" t="str">
        <f>"https://www.artic.edu/iiif/2/"&amp;Table9[[#This Row],[Image ID]]&amp;"/full/843,/0/default.jpg"</f>
        <v>https://www.artic.edu/iiif/2/8b2a82f5-0f04-4f9d-e6e8-c4e1247aac76/full/843,/0/default.jpg</v>
      </c>
      <c r="N542" s="3">
        <v>0.81</v>
      </c>
      <c r="O542" s="3">
        <v>4.8000000000000001E-2</v>
      </c>
      <c r="P542" s="3">
        <v>0.76200000000000001</v>
      </c>
      <c r="Q542" s="3">
        <v>0.811509609222412</v>
      </c>
    </row>
    <row r="543" spans="1:17" x14ac:dyDescent="0.45">
      <c r="A543" s="3">
        <v>115205</v>
      </c>
      <c r="B543" t="b">
        <v>0</v>
      </c>
      <c r="C543" t="b">
        <v>1</v>
      </c>
      <c r="D543" s="3">
        <v>1847</v>
      </c>
      <c r="E543" s="3">
        <v>1847</v>
      </c>
      <c r="F543" t="s">
        <v>1855</v>
      </c>
      <c r="G543" t="s">
        <v>1856</v>
      </c>
      <c r="H543" s="3">
        <v>22.8384</v>
      </c>
      <c r="I543" t="s">
        <v>1555</v>
      </c>
      <c r="J543" t="s">
        <v>13597</v>
      </c>
      <c r="L543" t="s">
        <v>1857</v>
      </c>
      <c r="M543" t="str">
        <f>"https://www.artic.edu/iiif/2/"&amp;Table9[[#This Row],[Image ID]]&amp;"/full/843,/0/default.jpg"</f>
        <v>https://www.artic.edu/iiif/2/bc22c20c-bc94-55ec-920b-8212dd7f9190/full/843,/0/default.jpg</v>
      </c>
      <c r="N543" s="3">
        <v>0.76200000000000001</v>
      </c>
      <c r="O543" s="3">
        <v>0</v>
      </c>
      <c r="P543" s="3">
        <v>0.76200000000000001</v>
      </c>
      <c r="Q543" s="3">
        <v>0.78194546699523904</v>
      </c>
    </row>
    <row r="544" spans="1:17" x14ac:dyDescent="0.45">
      <c r="A544" s="3">
        <v>48776</v>
      </c>
      <c r="B544" t="b">
        <v>0</v>
      </c>
      <c r="C544" t="b">
        <v>1</v>
      </c>
      <c r="D544" s="3">
        <v>1602</v>
      </c>
      <c r="E544" s="3">
        <v>1648</v>
      </c>
      <c r="F544" t="s">
        <v>8027</v>
      </c>
      <c r="G544" t="s">
        <v>7</v>
      </c>
      <c r="H544" s="3">
        <v>5.4611000000000001</v>
      </c>
      <c r="I544" t="s">
        <v>8028</v>
      </c>
      <c r="J544" t="s">
        <v>14203</v>
      </c>
      <c r="L544" t="s">
        <v>8029</v>
      </c>
      <c r="M544" t="str">
        <f>"https://www.artic.edu/iiif/2/"&amp;Table9[[#This Row],[Image ID]]&amp;"/full/843,/0/default.jpg"</f>
        <v>https://www.artic.edu/iiif/2/e8c48b99-4c1f-7ecf-0747-c5957b48f4f7/full/843,/0/default.jpg</v>
      </c>
      <c r="N544" s="3">
        <v>0.81</v>
      </c>
      <c r="O544" s="3">
        <v>4.8000000000000001E-2</v>
      </c>
      <c r="P544" s="3">
        <v>0.76200000000000001</v>
      </c>
      <c r="Q544" s="3">
        <v>0.84577220678329401</v>
      </c>
    </row>
    <row r="545" spans="1:17" x14ac:dyDescent="0.45">
      <c r="A545" s="3">
        <v>99424</v>
      </c>
      <c r="B545" t="b">
        <v>0</v>
      </c>
      <c r="C545" t="b">
        <v>1</v>
      </c>
      <c r="D545" s="3">
        <v>1725</v>
      </c>
      <c r="E545" s="3">
        <v>1745</v>
      </c>
      <c r="F545" t="s">
        <v>10915</v>
      </c>
      <c r="G545" t="s">
        <v>7</v>
      </c>
      <c r="H545" s="3">
        <v>23.8261</v>
      </c>
      <c r="I545" t="s">
        <v>10916</v>
      </c>
      <c r="J545" t="s">
        <v>14293</v>
      </c>
      <c r="L545" t="s">
        <v>10917</v>
      </c>
      <c r="M545" t="str">
        <f>"https://www.artic.edu/iiif/2/"&amp;Table9[[#This Row],[Image ID]]&amp;"/full/843,/0/default.jpg"</f>
        <v>https://www.artic.edu/iiif/2/ee702210-de7a-8e2a-fdae-50464ba7d2be/full/843,/0/default.jpg</v>
      </c>
      <c r="N545" s="3">
        <v>0.88100000000000001</v>
      </c>
      <c r="O545" s="3">
        <v>0.11899999999999999</v>
      </c>
      <c r="P545" s="3">
        <v>0.76200000000000001</v>
      </c>
      <c r="Q545" s="3">
        <v>0.76377421617507901</v>
      </c>
    </row>
    <row r="546" spans="1:17" x14ac:dyDescent="0.45">
      <c r="A546" s="3">
        <v>80555</v>
      </c>
      <c r="B546" t="b">
        <v>0</v>
      </c>
      <c r="C546" t="b">
        <v>0</v>
      </c>
      <c r="D546" s="3">
        <v>1672</v>
      </c>
      <c r="E546" s="3">
        <v>1675</v>
      </c>
      <c r="F546" t="s">
        <v>10017</v>
      </c>
      <c r="G546" t="s">
        <v>75</v>
      </c>
      <c r="H546" s="3">
        <v>23.8947</v>
      </c>
      <c r="I546" t="s">
        <v>14561</v>
      </c>
      <c r="J546" t="s">
        <v>11298</v>
      </c>
      <c r="L546" t="s">
        <v>10018</v>
      </c>
      <c r="M546" t="str">
        <f>"https://www.artic.edu/iiif/2/"&amp;Table9[[#This Row],[Image ID]]&amp;"/full/843,/0/default.jpg"</f>
        <v>https://www.artic.edu/iiif/2/174afc30-2bad-1d9d-fca3-155200d9102e/full/843,/0/default.jpg</v>
      </c>
      <c r="N546" s="3">
        <v>0.878</v>
      </c>
      <c r="O546" s="3">
        <v>0.11899999999999999</v>
      </c>
      <c r="P546" s="3">
        <v>0.75900000000000001</v>
      </c>
      <c r="Q546" s="3">
        <v>0.78729921579360895</v>
      </c>
    </row>
    <row r="547" spans="1:17" x14ac:dyDescent="0.45">
      <c r="A547" s="3">
        <v>35448</v>
      </c>
      <c r="B547" t="b">
        <v>0</v>
      </c>
      <c r="C547" t="b">
        <v>0</v>
      </c>
      <c r="D547" s="3">
        <v>1970</v>
      </c>
      <c r="E547" s="3">
        <v>1970</v>
      </c>
      <c r="F547" t="s">
        <v>7185</v>
      </c>
      <c r="G547" t="s">
        <v>7</v>
      </c>
      <c r="H547" s="3">
        <v>27.717500000000001</v>
      </c>
      <c r="I547" t="s">
        <v>244</v>
      </c>
      <c r="J547" t="s">
        <v>10994</v>
      </c>
      <c r="L547" t="s">
        <v>7186</v>
      </c>
      <c r="M547" t="str">
        <f>"https://www.artic.edu/iiif/2/"&amp;Table9[[#This Row],[Image ID]]&amp;"/full/843,/0/default.jpg"</f>
        <v>https://www.artic.edu/iiif/2/01d8cabb-2159-b415-03bb-08fa10ab35f3/full/843,/0/default.jpg</v>
      </c>
      <c r="N547" s="3">
        <v>0.82899999999999996</v>
      </c>
      <c r="O547" s="3">
        <v>7.2999999999999995E-2</v>
      </c>
      <c r="P547" s="3">
        <v>0.75600000000000001</v>
      </c>
      <c r="Q547" s="3">
        <v>0.69981694221496504</v>
      </c>
    </row>
    <row r="548" spans="1:17" x14ac:dyDescent="0.45">
      <c r="A548" s="3">
        <v>50665</v>
      </c>
      <c r="B548" t="b">
        <v>0</v>
      </c>
      <c r="C548" t="b">
        <v>0</v>
      </c>
      <c r="D548" s="3">
        <v>1961</v>
      </c>
      <c r="E548" s="3">
        <v>1961</v>
      </c>
      <c r="F548" t="s">
        <v>8121</v>
      </c>
      <c r="G548" t="s">
        <v>7</v>
      </c>
      <c r="H548" s="3">
        <v>4.7434000000000003</v>
      </c>
      <c r="I548" t="s">
        <v>2668</v>
      </c>
      <c r="J548" t="s">
        <v>11315</v>
      </c>
      <c r="L548" t="s">
        <v>8122</v>
      </c>
      <c r="M548" t="str">
        <f>"https://www.artic.edu/iiif/2/"&amp;Table9[[#This Row],[Image ID]]&amp;"/full/843,/0/default.jpg"</f>
        <v>https://www.artic.edu/iiif/2/1900a32b-cb66-e710-58a5-09e2161dd77f/full/843,/0/default.jpg</v>
      </c>
      <c r="N548" s="3">
        <v>0.85399999999999998</v>
      </c>
      <c r="O548" s="3">
        <v>9.8000000000000004E-2</v>
      </c>
      <c r="P548" s="3">
        <v>0.75600000000000001</v>
      </c>
      <c r="Q548" s="3">
        <v>0.91062557697296098</v>
      </c>
    </row>
    <row r="549" spans="1:17" x14ac:dyDescent="0.45">
      <c r="A549" s="3">
        <v>154131</v>
      </c>
      <c r="B549" t="b">
        <v>0</v>
      </c>
      <c r="C549" t="b">
        <v>0</v>
      </c>
      <c r="D549" s="3">
        <v>1960</v>
      </c>
      <c r="E549" s="3">
        <v>1960</v>
      </c>
      <c r="F549" t="s">
        <v>3992</v>
      </c>
      <c r="G549" t="s">
        <v>7</v>
      </c>
      <c r="H549" s="3">
        <v>5.8048999999999999</v>
      </c>
      <c r="I549" t="s">
        <v>62</v>
      </c>
      <c r="J549" t="s">
        <v>11336</v>
      </c>
      <c r="L549" t="s">
        <v>3993</v>
      </c>
      <c r="M549" t="str">
        <f>"https://www.artic.edu/iiif/2/"&amp;Table9[[#This Row],[Image ID]]&amp;"/full/843,/0/default.jpg"</f>
        <v>https://www.artic.edu/iiif/2/1a287c3f-4150-695d-1b17-57663121f25f/full/843,/0/default.jpg</v>
      </c>
      <c r="N549" s="3">
        <v>0.878</v>
      </c>
      <c r="O549" s="3">
        <v>0.122</v>
      </c>
      <c r="P549" s="3">
        <v>0.75600000000000001</v>
      </c>
      <c r="Q549" s="3">
        <v>0.90227675437927202</v>
      </c>
    </row>
    <row r="550" spans="1:17" x14ac:dyDescent="0.45">
      <c r="A550" s="3">
        <v>14818</v>
      </c>
      <c r="B550" t="b">
        <v>0</v>
      </c>
      <c r="C550" t="b">
        <v>0</v>
      </c>
      <c r="D550" s="3">
        <v>1923</v>
      </c>
      <c r="E550" s="3">
        <v>1933</v>
      </c>
      <c r="F550" t="s">
        <v>3710</v>
      </c>
      <c r="G550" t="s">
        <v>3471</v>
      </c>
      <c r="H550" s="3">
        <v>31.010200000000001</v>
      </c>
      <c r="I550" t="s">
        <v>3711</v>
      </c>
      <c r="J550" t="s">
        <v>11410</v>
      </c>
      <c r="L550" t="s">
        <v>3712</v>
      </c>
      <c r="M550" t="str">
        <f>"https://www.artic.edu/iiif/2/"&amp;Table9[[#This Row],[Image ID]]&amp;"/full/843,/0/default.jpg"</f>
        <v>https://www.artic.edu/iiif/2/1f537dda-3887-f46a-ffc6-8428117cc527/full/843,/0/default.jpg</v>
      </c>
      <c r="N550" s="3">
        <v>0.78</v>
      </c>
      <c r="O550" s="3">
        <v>2.4E-2</v>
      </c>
      <c r="P550" s="3">
        <v>0.75600000000000001</v>
      </c>
      <c r="Q550" s="3">
        <v>0.62119728326797397</v>
      </c>
    </row>
    <row r="551" spans="1:17" x14ac:dyDescent="0.45">
      <c r="A551" s="3">
        <v>152723</v>
      </c>
      <c r="B551" t="b">
        <v>0</v>
      </c>
      <c r="C551" t="b">
        <v>0</v>
      </c>
      <c r="D551" s="3">
        <v>1973</v>
      </c>
      <c r="E551" s="3">
        <v>1973</v>
      </c>
      <c r="F551" t="s">
        <v>3901</v>
      </c>
      <c r="G551" t="s">
        <v>2240</v>
      </c>
      <c r="H551" s="3">
        <v>18.506</v>
      </c>
      <c r="I551" t="s">
        <v>14685</v>
      </c>
      <c r="J551" t="s">
        <v>11517</v>
      </c>
      <c r="L551" t="s">
        <v>3902</v>
      </c>
      <c r="M551" t="str">
        <f>"https://www.artic.edu/iiif/2/"&amp;Table9[[#This Row],[Image ID]]&amp;"/full/843,/0/default.jpg"</f>
        <v>https://www.artic.edu/iiif/2/262db533-8c3c-b5a4-d092-24411dc4d7d7/full/843,/0/default.jpg</v>
      </c>
      <c r="N551" s="3">
        <v>0.82899999999999996</v>
      </c>
      <c r="O551" s="3">
        <v>7.2999999999999995E-2</v>
      </c>
      <c r="P551" s="3">
        <v>0.75600000000000001</v>
      </c>
      <c r="Q551" s="3">
        <v>0.86239564418792702</v>
      </c>
    </row>
    <row r="552" spans="1:17" x14ac:dyDescent="0.45">
      <c r="A552" s="3">
        <v>22149</v>
      </c>
      <c r="B552" t="b">
        <v>0</v>
      </c>
      <c r="C552" t="b">
        <v>0</v>
      </c>
      <c r="D552" s="3">
        <v>1923</v>
      </c>
      <c r="E552" s="3">
        <v>1923</v>
      </c>
      <c r="F552" t="s">
        <v>5804</v>
      </c>
      <c r="G552" t="s">
        <v>75</v>
      </c>
      <c r="H552" s="3">
        <v>10.8133</v>
      </c>
      <c r="I552" t="s">
        <v>1315</v>
      </c>
      <c r="J552" t="s">
        <v>11715</v>
      </c>
      <c r="L552" t="s">
        <v>5805</v>
      </c>
      <c r="M552" t="str">
        <f>"https://www.artic.edu/iiif/2/"&amp;Table9[[#This Row],[Image ID]]&amp;"/full/843,/0/default.jpg"</f>
        <v>https://www.artic.edu/iiif/2/32a9860e-c6c4-58ec-128f-3cdaf285e216/full/843,/0/default.jpg</v>
      </c>
      <c r="N552" s="3">
        <v>0.80500000000000005</v>
      </c>
      <c r="O552" s="3">
        <v>4.9000000000000002E-2</v>
      </c>
      <c r="P552" s="3">
        <v>0.75600000000000001</v>
      </c>
      <c r="Q552" s="3">
        <v>0.80492514371871904</v>
      </c>
    </row>
    <row r="553" spans="1:17" x14ac:dyDescent="0.45">
      <c r="A553" s="3">
        <v>53007</v>
      </c>
      <c r="B553" t="b">
        <v>0</v>
      </c>
      <c r="C553" t="b">
        <v>0</v>
      </c>
      <c r="D553" s="3">
        <v>1950</v>
      </c>
      <c r="E553" s="3">
        <v>1950</v>
      </c>
      <c r="F553" t="s">
        <v>5060</v>
      </c>
      <c r="G553" t="s">
        <v>7</v>
      </c>
      <c r="H553" s="3">
        <v>29.642399999999999</v>
      </c>
      <c r="I553" t="s">
        <v>200</v>
      </c>
      <c r="J553" t="s">
        <v>11762</v>
      </c>
      <c r="L553" t="s">
        <v>8220</v>
      </c>
      <c r="M553" t="str">
        <f>"https://www.artic.edu/iiif/2/"&amp;Table9[[#This Row],[Image ID]]&amp;"/full/843,/0/default.jpg"</f>
        <v>https://www.artic.edu/iiif/2/36ab3a2f-2573-7bdb-de9b-a8b9e23168bf/full/843,/0/default.jpg</v>
      </c>
      <c r="N553" s="3">
        <v>0.78</v>
      </c>
      <c r="O553" s="3">
        <v>2.4E-2</v>
      </c>
      <c r="P553" s="3">
        <v>0.75600000000000001</v>
      </c>
      <c r="Q553" s="3">
        <v>0.765081167221069</v>
      </c>
    </row>
    <row r="554" spans="1:17" x14ac:dyDescent="0.45">
      <c r="A554" s="3">
        <v>36936</v>
      </c>
      <c r="B554" t="b">
        <v>0</v>
      </c>
      <c r="C554" t="b">
        <v>0</v>
      </c>
      <c r="D554" s="3">
        <v>1970</v>
      </c>
      <c r="E554" s="3">
        <v>1970</v>
      </c>
      <c r="F554" t="s">
        <v>7254</v>
      </c>
      <c r="G554" t="s">
        <v>7255</v>
      </c>
      <c r="H554" s="3">
        <v>13.860099999999999</v>
      </c>
      <c r="I554" t="s">
        <v>7256</v>
      </c>
      <c r="J554" t="s">
        <v>11799</v>
      </c>
      <c r="L554" t="s">
        <v>7257</v>
      </c>
      <c r="M554" t="str">
        <f>"https://www.artic.edu/iiif/2/"&amp;Table9[[#This Row],[Image ID]]&amp;"/full/843,/0/default.jpg"</f>
        <v>https://www.artic.edu/iiif/2/38d7d91b-2d88-0f05-0d0e-7105e8ed66de/full/843,/0/default.jpg</v>
      </c>
      <c r="N554" s="3">
        <v>0.80500000000000005</v>
      </c>
      <c r="O554" s="3">
        <v>4.9000000000000002E-2</v>
      </c>
      <c r="P554" s="3">
        <v>0.75600000000000001</v>
      </c>
      <c r="Q554" s="3">
        <v>0.600602686405181</v>
      </c>
    </row>
    <row r="555" spans="1:17" x14ac:dyDescent="0.45">
      <c r="A555" s="3">
        <v>217570</v>
      </c>
      <c r="B555" t="b">
        <v>0</v>
      </c>
      <c r="C555" t="b">
        <v>0</v>
      </c>
      <c r="D555" s="3">
        <v>1923</v>
      </c>
      <c r="E555" s="3">
        <v>1923</v>
      </c>
      <c r="F555" t="s">
        <v>11</v>
      </c>
      <c r="G555" t="s">
        <v>7</v>
      </c>
      <c r="H555" s="3">
        <v>49.964500000000001</v>
      </c>
      <c r="I555" t="s">
        <v>5718</v>
      </c>
      <c r="J555" t="s">
        <v>11906</v>
      </c>
      <c r="L555" t="s">
        <v>5719</v>
      </c>
      <c r="M555" t="str">
        <f>"https://www.artic.edu/iiif/2/"&amp;Table9[[#This Row],[Image ID]]&amp;"/full/843,/0/default.jpg"</f>
        <v>https://www.artic.edu/iiif/2/3f3d618f-df66-eeed-5733-6633f001d9d0/full/843,/0/default.jpg</v>
      </c>
      <c r="N555" s="3">
        <v>0.78</v>
      </c>
      <c r="O555" s="3">
        <v>2.4E-2</v>
      </c>
      <c r="P555" s="3">
        <v>0.75600000000000001</v>
      </c>
      <c r="Q555" s="3">
        <v>0.78271108865737904</v>
      </c>
    </row>
    <row r="556" spans="1:17" x14ac:dyDescent="0.45">
      <c r="A556" s="3">
        <v>129676</v>
      </c>
      <c r="B556" t="b">
        <v>0</v>
      </c>
      <c r="C556" t="b">
        <v>0</v>
      </c>
      <c r="D556" s="3">
        <v>1941</v>
      </c>
      <c r="E556" s="3">
        <v>1941</v>
      </c>
      <c r="F556" t="s">
        <v>2894</v>
      </c>
      <c r="G556" t="s">
        <v>2892</v>
      </c>
      <c r="H556" s="3">
        <v>20.3537</v>
      </c>
      <c r="I556" t="s">
        <v>14549</v>
      </c>
      <c r="J556" t="s">
        <v>10990</v>
      </c>
      <c r="L556" t="s">
        <v>2895</v>
      </c>
      <c r="M556" t="str">
        <f>"https://www.artic.edu/iiif/2/"&amp;Table9[[#This Row],[Image ID]]&amp;"/full/843,/0/default.jpg"</f>
        <v>https://www.artic.edu/iiif/2/572359d9-1bcf-d1f1-1082-ed0dc813fda0/full/843,/0/default.jpg</v>
      </c>
      <c r="N556" s="3">
        <v>0.85399999999999998</v>
      </c>
      <c r="O556" s="3">
        <v>9.8000000000000004E-2</v>
      </c>
      <c r="P556" s="3">
        <v>0.75600000000000001</v>
      </c>
      <c r="Q556" s="3">
        <v>0.80752027034759499</v>
      </c>
    </row>
    <row r="557" spans="1:17" x14ac:dyDescent="0.45">
      <c r="A557" s="3">
        <v>147001</v>
      </c>
      <c r="B557" t="b">
        <v>0</v>
      </c>
      <c r="C557" t="b">
        <v>0</v>
      </c>
      <c r="D557" s="3">
        <v>1993</v>
      </c>
      <c r="E557" s="3">
        <v>1993</v>
      </c>
      <c r="F557" t="s">
        <v>3567</v>
      </c>
      <c r="G557" t="s">
        <v>7</v>
      </c>
      <c r="H557" s="3">
        <v>42.041699999999999</v>
      </c>
      <c r="I557" t="s">
        <v>52</v>
      </c>
      <c r="J557" t="s">
        <v>12258</v>
      </c>
      <c r="L557" t="s">
        <v>3568</v>
      </c>
      <c r="M557" t="str">
        <f>"https://www.artic.edu/iiif/2/"&amp;Table9[[#This Row],[Image ID]]&amp;"/full/843,/0/default.jpg"</f>
        <v>https://www.artic.edu/iiif/2/57742936-071c-1851-fa58-eb7b99b943d9/full/843,/0/default.jpg</v>
      </c>
      <c r="N557" s="3">
        <v>0.78</v>
      </c>
      <c r="O557" s="3">
        <v>2.4E-2</v>
      </c>
      <c r="P557" s="3">
        <v>0.75600000000000001</v>
      </c>
      <c r="Q557" s="3">
        <v>0.68289977312088002</v>
      </c>
    </row>
    <row r="558" spans="1:17" x14ac:dyDescent="0.45">
      <c r="A558" s="3">
        <v>228842</v>
      </c>
      <c r="B558" t="b">
        <v>0</v>
      </c>
      <c r="C558" t="b">
        <v>0</v>
      </c>
      <c r="D558" s="3">
        <v>2009</v>
      </c>
      <c r="E558" s="3">
        <v>2009</v>
      </c>
      <c r="F558" t="s">
        <v>6030</v>
      </c>
      <c r="G558" t="s">
        <v>141</v>
      </c>
      <c r="H558" s="3">
        <v>3.786</v>
      </c>
      <c r="I558" t="s">
        <v>6016</v>
      </c>
      <c r="J558" t="s">
        <v>11455</v>
      </c>
      <c r="K558" s="5" t="s">
        <v>15</v>
      </c>
      <c r="L558" t="s">
        <v>6031</v>
      </c>
      <c r="M558" t="str">
        <f>"https://www.artic.edu/iiif/2/"&amp;Table9[[#This Row],[Image ID]]&amp;"/full/843,/0/default.jpg"</f>
        <v>https://www.artic.edu/iiif/2/5b40d3ae-fb00-a000-e106-21b6f280d7d4/full/843,/0/default.jpg</v>
      </c>
      <c r="N558" s="3">
        <v>0.80500000000000005</v>
      </c>
      <c r="O558" s="3">
        <v>4.9000000000000002E-2</v>
      </c>
      <c r="P558" s="3">
        <v>0.75600000000000001</v>
      </c>
      <c r="Q558" s="3">
        <v>0.843006610870361</v>
      </c>
    </row>
    <row r="559" spans="1:17" x14ac:dyDescent="0.45">
      <c r="A559" s="3">
        <v>20449</v>
      </c>
      <c r="B559" t="b">
        <v>0</v>
      </c>
      <c r="C559" t="b">
        <v>0</v>
      </c>
      <c r="D559" s="3">
        <v>1964</v>
      </c>
      <c r="E559" s="3">
        <v>1964</v>
      </c>
      <c r="F559" t="s">
        <v>5431</v>
      </c>
      <c r="G559" t="s">
        <v>59</v>
      </c>
      <c r="H559" s="3">
        <v>68.276200000000003</v>
      </c>
      <c r="I559" t="s">
        <v>3723</v>
      </c>
      <c r="J559" t="s">
        <v>12447</v>
      </c>
      <c r="L559" t="s">
        <v>5432</v>
      </c>
      <c r="M559" t="str">
        <f>"https://www.artic.edu/iiif/2/"&amp;Table9[[#This Row],[Image ID]]&amp;"/full/843,/0/default.jpg"</f>
        <v>https://www.artic.edu/iiif/2/65272293-e9c9-fc2b-887c-0e9687ec4221/full/843,/0/default.jpg</v>
      </c>
      <c r="N559" s="3">
        <v>0.78</v>
      </c>
      <c r="O559" s="3">
        <v>2.4E-2</v>
      </c>
      <c r="P559" s="3">
        <v>0.75600000000000001</v>
      </c>
      <c r="Q559" s="3">
        <v>0.87874352931976296</v>
      </c>
    </row>
    <row r="560" spans="1:17" x14ac:dyDescent="0.45">
      <c r="A560" s="3">
        <v>63212</v>
      </c>
      <c r="B560" t="b">
        <v>0</v>
      </c>
      <c r="C560" t="b">
        <v>0</v>
      </c>
      <c r="D560" s="3">
        <v>1926</v>
      </c>
      <c r="E560" s="3">
        <v>1948</v>
      </c>
      <c r="F560" t="s">
        <v>6216</v>
      </c>
      <c r="G560" t="s">
        <v>2826</v>
      </c>
      <c r="H560" s="3">
        <v>34.058799999999998</v>
      </c>
      <c r="I560" t="s">
        <v>8931</v>
      </c>
      <c r="J560" t="s">
        <v>12518</v>
      </c>
      <c r="L560" t="s">
        <v>8932</v>
      </c>
      <c r="M560" t="str">
        <f>"https://www.artic.edu/iiif/2/"&amp;Table9[[#This Row],[Image ID]]&amp;"/full/843,/0/default.jpg"</f>
        <v>https://www.artic.edu/iiif/2/6a2332ea-16a6-d960-47fc-4ef6c8670f49/full/843,/0/default.jpg</v>
      </c>
      <c r="N560" s="3">
        <v>0.85399999999999998</v>
      </c>
      <c r="O560" s="3">
        <v>9.8000000000000004E-2</v>
      </c>
      <c r="P560" s="3">
        <v>0.75600000000000001</v>
      </c>
      <c r="Q560" s="3">
        <v>0.77918761968612604</v>
      </c>
    </row>
    <row r="561" spans="1:17" x14ac:dyDescent="0.45">
      <c r="A561" s="3">
        <v>74509</v>
      </c>
      <c r="B561" t="b">
        <v>0</v>
      </c>
      <c r="C561" t="b">
        <v>0</v>
      </c>
      <c r="D561" s="3">
        <v>1917</v>
      </c>
      <c r="E561" s="3">
        <v>1917</v>
      </c>
      <c r="F561" t="s">
        <v>9688</v>
      </c>
      <c r="G561" t="s">
        <v>6831</v>
      </c>
      <c r="H561" s="3">
        <v>34.014800000000001</v>
      </c>
      <c r="I561" t="s">
        <v>9689</v>
      </c>
      <c r="J561" t="s">
        <v>12758</v>
      </c>
      <c r="L561" t="s">
        <v>9690</v>
      </c>
      <c r="M561" t="str">
        <f>"https://www.artic.edu/iiif/2/"&amp;Table9[[#This Row],[Image ID]]&amp;"/full/843,/0/default.jpg"</f>
        <v>https://www.artic.edu/iiif/2/7ba7590a-764c-458d-3234-884afb272138/full/843,/0/default.jpg</v>
      </c>
      <c r="N561" s="3">
        <v>0.82899999999999996</v>
      </c>
      <c r="O561" s="3">
        <v>7.2999999999999995E-2</v>
      </c>
      <c r="P561" s="3">
        <v>0.75600000000000001</v>
      </c>
      <c r="Q561" s="3">
        <v>0.71937584877014105</v>
      </c>
    </row>
    <row r="562" spans="1:17" x14ac:dyDescent="0.45">
      <c r="A562" s="3">
        <v>14672</v>
      </c>
      <c r="B562" t="b">
        <v>0</v>
      </c>
      <c r="C562" t="b">
        <v>0</v>
      </c>
      <c r="D562" s="3">
        <v>1923</v>
      </c>
      <c r="E562" s="3">
        <v>1923</v>
      </c>
      <c r="F562" t="s">
        <v>3470</v>
      </c>
      <c r="G562" t="s">
        <v>3471</v>
      </c>
      <c r="H562" s="3">
        <v>34.723999999999997</v>
      </c>
      <c r="I562" t="s">
        <v>590</v>
      </c>
      <c r="J562" t="s">
        <v>12854</v>
      </c>
      <c r="L562" t="s">
        <v>3472</v>
      </c>
      <c r="M562" t="str">
        <f>"https://www.artic.edu/iiif/2/"&amp;Table9[[#This Row],[Image ID]]&amp;"/full/843,/0/default.jpg"</f>
        <v>https://www.artic.edu/iiif/2/82aeeb69-4185-0a1e-bece-17c9782558d4/full/843,/0/default.jpg</v>
      </c>
      <c r="N562" s="3">
        <v>0.78</v>
      </c>
      <c r="O562" s="3">
        <v>2.4E-2</v>
      </c>
      <c r="P562" s="3">
        <v>0.75600000000000001</v>
      </c>
      <c r="Q562" s="3">
        <v>0.77091914415359497</v>
      </c>
    </row>
    <row r="563" spans="1:17" x14ac:dyDescent="0.45">
      <c r="A563" s="3">
        <v>60623</v>
      </c>
      <c r="B563" t="b">
        <v>0</v>
      </c>
      <c r="C563" t="b">
        <v>0</v>
      </c>
      <c r="D563" s="3">
        <v>1945</v>
      </c>
      <c r="E563" s="3">
        <v>1945</v>
      </c>
      <c r="F563" t="s">
        <v>8730</v>
      </c>
      <c r="G563" t="s">
        <v>8731</v>
      </c>
      <c r="H563" s="3">
        <v>37.636000000000003</v>
      </c>
      <c r="I563" t="s">
        <v>8732</v>
      </c>
      <c r="J563" t="s">
        <v>12881</v>
      </c>
      <c r="K563" s="5" t="s">
        <v>45</v>
      </c>
      <c r="L563" t="s">
        <v>8733</v>
      </c>
      <c r="M563" t="str">
        <f>"https://www.artic.edu/iiif/2/"&amp;Table9[[#This Row],[Image ID]]&amp;"/full/843,/0/default.jpg"</f>
        <v>https://www.artic.edu/iiif/2/84346127-0ac3-f514-9fbf-1c2a1be58f03/full/843,/0/default.jpg</v>
      </c>
      <c r="N563" s="3">
        <v>0.78</v>
      </c>
      <c r="O563" s="3">
        <v>2.4E-2</v>
      </c>
      <c r="P563" s="3">
        <v>0.75600000000000001</v>
      </c>
      <c r="Q563" s="3">
        <v>0.83294332027435303</v>
      </c>
    </row>
    <row r="564" spans="1:17" x14ac:dyDescent="0.45">
      <c r="A564" s="3">
        <v>61612</v>
      </c>
      <c r="B564" t="b">
        <v>0</v>
      </c>
      <c r="C564" t="b">
        <v>0</v>
      </c>
      <c r="D564" s="3">
        <v>1906</v>
      </c>
      <c r="E564" s="3">
        <v>1906</v>
      </c>
      <c r="F564" t="s">
        <v>8808</v>
      </c>
      <c r="G564" t="s">
        <v>7</v>
      </c>
      <c r="H564" s="3">
        <v>23.0291</v>
      </c>
      <c r="I564" t="s">
        <v>133</v>
      </c>
      <c r="J564" t="s">
        <v>13380</v>
      </c>
      <c r="K564" s="5" t="s">
        <v>134</v>
      </c>
      <c r="L564" t="s">
        <v>8809</v>
      </c>
      <c r="M564" t="str">
        <f>"https://www.artic.edu/iiif/2/"&amp;Table9[[#This Row],[Image ID]]&amp;"/full/843,/0/default.jpg"</f>
        <v>https://www.artic.edu/iiif/2/aa7ac006-5b63-12aa-3ab7-705cc612aa0a/full/843,/0/default.jpg</v>
      </c>
      <c r="N564" s="3">
        <v>0.80500000000000005</v>
      </c>
      <c r="O564" s="3">
        <v>4.9000000000000002E-2</v>
      </c>
      <c r="P564" s="3">
        <v>0.75600000000000001</v>
      </c>
      <c r="Q564" s="3">
        <v>0.861774682998657</v>
      </c>
    </row>
    <row r="565" spans="1:17" x14ac:dyDescent="0.45">
      <c r="A565" s="3">
        <v>76724</v>
      </c>
      <c r="B565" t="b">
        <v>0</v>
      </c>
      <c r="C565" t="b">
        <v>0</v>
      </c>
      <c r="D565" s="3">
        <v>1938</v>
      </c>
      <c r="E565" s="3">
        <v>1952</v>
      </c>
      <c r="F565" t="s">
        <v>9792</v>
      </c>
      <c r="G565" t="s">
        <v>9793</v>
      </c>
      <c r="H565" s="3">
        <v>13.7875</v>
      </c>
      <c r="I565" t="s">
        <v>9794</v>
      </c>
      <c r="J565" t="s">
        <v>13473</v>
      </c>
      <c r="L565" t="s">
        <v>9795</v>
      </c>
      <c r="M565" t="str">
        <f>"https://www.artic.edu/iiif/2/"&amp;Table9[[#This Row],[Image ID]]&amp;"/full/843,/0/default.jpg"</f>
        <v>https://www.artic.edu/iiif/2/b19b5850-a398-5cb7-df19-e0f765b69ac2/full/843,/0/default.jpg</v>
      </c>
      <c r="N565" s="3">
        <v>0.80500000000000005</v>
      </c>
      <c r="O565" s="3">
        <v>4.9000000000000002E-2</v>
      </c>
      <c r="P565" s="3">
        <v>0.75600000000000001</v>
      </c>
      <c r="Q565" s="3">
        <v>0.69573891162872303</v>
      </c>
    </row>
    <row r="566" spans="1:17" x14ac:dyDescent="0.45">
      <c r="A566" s="3">
        <v>58996</v>
      </c>
      <c r="B566" t="b">
        <v>0</v>
      </c>
      <c r="C566" t="b">
        <v>0</v>
      </c>
      <c r="D566" s="3">
        <v>1916</v>
      </c>
      <c r="E566" s="3">
        <v>1954</v>
      </c>
      <c r="F566" t="s">
        <v>5980</v>
      </c>
      <c r="G566" t="s">
        <v>7</v>
      </c>
      <c r="H566" s="3">
        <v>0</v>
      </c>
      <c r="I566" t="s">
        <v>8542</v>
      </c>
      <c r="J566" t="s">
        <v>13499</v>
      </c>
      <c r="L566" t="s">
        <v>8543</v>
      </c>
      <c r="M566" t="str">
        <f>"https://www.artic.edu/iiif/2/"&amp;Table9[[#This Row],[Image ID]]&amp;"/full/843,/0/default.jpg"</f>
        <v>https://www.artic.edu/iiif/2/b3fb0fe6-cc84-097e-e417-2360fab7279d/full/843,/0/default.jpg</v>
      </c>
      <c r="N566" s="3">
        <v>0.85399999999999998</v>
      </c>
      <c r="O566" s="3">
        <v>9.8000000000000004E-2</v>
      </c>
      <c r="P566" s="3">
        <v>0.75600000000000001</v>
      </c>
      <c r="Q566" s="3">
        <v>0.81631731986999501</v>
      </c>
    </row>
    <row r="567" spans="1:17" x14ac:dyDescent="0.45">
      <c r="A567" s="3">
        <v>7081</v>
      </c>
      <c r="B567" t="b">
        <v>0</v>
      </c>
      <c r="C567" t="b">
        <v>0</v>
      </c>
      <c r="D567" s="3">
        <v>1932</v>
      </c>
      <c r="E567" s="3">
        <v>1932</v>
      </c>
      <c r="F567" t="s">
        <v>14</v>
      </c>
      <c r="G567" t="s">
        <v>9469</v>
      </c>
      <c r="H567" s="3">
        <v>48.1494</v>
      </c>
      <c r="I567" t="s">
        <v>3847</v>
      </c>
      <c r="J567" t="s">
        <v>13671</v>
      </c>
      <c r="L567" t="s">
        <v>9470</v>
      </c>
      <c r="M567" t="str">
        <f>"https://www.artic.edu/iiif/2/"&amp;Table9[[#This Row],[Image ID]]&amp;"/full/843,/0/default.jpg"</f>
        <v>https://www.artic.edu/iiif/2/c1a06b4c-d64c-0e3d-1971-523f22ab3cc2/full/843,/0/default.jpg</v>
      </c>
      <c r="N567" s="3">
        <v>0.80500000000000005</v>
      </c>
      <c r="O567" s="3">
        <v>4.9000000000000002E-2</v>
      </c>
      <c r="P567" s="3">
        <v>0.75600000000000001</v>
      </c>
      <c r="Q567" s="3">
        <v>0.88933604955673196</v>
      </c>
    </row>
    <row r="568" spans="1:17" x14ac:dyDescent="0.45">
      <c r="A568" s="3">
        <v>64385</v>
      </c>
      <c r="B568" t="b">
        <v>0</v>
      </c>
      <c r="C568" t="b">
        <v>0</v>
      </c>
      <c r="D568" s="3">
        <v>1928</v>
      </c>
      <c r="E568" s="3">
        <v>1928</v>
      </c>
      <c r="F568" t="s">
        <v>8980</v>
      </c>
      <c r="G568" t="s">
        <v>7</v>
      </c>
      <c r="H568" s="3">
        <v>19.108599999999999</v>
      </c>
      <c r="I568" t="s">
        <v>2782</v>
      </c>
      <c r="J568" t="s">
        <v>13698</v>
      </c>
      <c r="K568" s="5" t="s">
        <v>45</v>
      </c>
      <c r="L568" t="s">
        <v>8981</v>
      </c>
      <c r="M568" t="str">
        <f>"https://www.artic.edu/iiif/2/"&amp;Table9[[#This Row],[Image ID]]&amp;"/full/843,/0/default.jpg"</f>
        <v>https://www.artic.edu/iiif/2/c4a64a92-e53e-f33e-9243-94e8ae678c49/full/843,/0/default.jpg</v>
      </c>
      <c r="N568" s="3">
        <v>0.878</v>
      </c>
      <c r="O568" s="3">
        <v>0.122</v>
      </c>
      <c r="P568" s="3">
        <v>0.75600000000000001</v>
      </c>
      <c r="Q568" s="3">
        <v>0.71624416112899703</v>
      </c>
    </row>
    <row r="569" spans="1:17" x14ac:dyDescent="0.45">
      <c r="A569" s="3">
        <v>14715</v>
      </c>
      <c r="B569" t="b">
        <v>0</v>
      </c>
      <c r="C569" t="b">
        <v>0</v>
      </c>
      <c r="D569" s="3">
        <v>1929</v>
      </c>
      <c r="E569" s="3">
        <v>1929</v>
      </c>
      <c r="F569" t="s">
        <v>3590</v>
      </c>
      <c r="G569" t="s">
        <v>3591</v>
      </c>
      <c r="H569" s="3">
        <v>18.041499999999999</v>
      </c>
      <c r="I569" t="s">
        <v>2407</v>
      </c>
      <c r="J569" t="s">
        <v>14048</v>
      </c>
      <c r="L569" t="s">
        <v>3592</v>
      </c>
      <c r="M569" t="str">
        <f>"https://www.artic.edu/iiif/2/"&amp;Table9[[#This Row],[Image ID]]&amp;"/full/843,/0/default.jpg"</f>
        <v>https://www.artic.edu/iiif/2/dec42173-c316-ae89-5e53-114cd7a56517/full/843,/0/default.jpg</v>
      </c>
      <c r="N569" s="3">
        <v>0.80500000000000005</v>
      </c>
      <c r="O569" s="3">
        <v>4.9000000000000002E-2</v>
      </c>
      <c r="P569" s="3">
        <v>0.75600000000000001</v>
      </c>
      <c r="Q569" s="3">
        <v>0.84648841619491499</v>
      </c>
    </row>
    <row r="570" spans="1:17" x14ac:dyDescent="0.45">
      <c r="A570" s="3">
        <v>90891</v>
      </c>
      <c r="B570" t="b">
        <v>0</v>
      </c>
      <c r="C570" t="b">
        <v>0</v>
      </c>
      <c r="D570" s="3">
        <v>1909</v>
      </c>
      <c r="E570" s="3">
        <v>1909</v>
      </c>
      <c r="F570" t="s">
        <v>9321</v>
      </c>
      <c r="G570" t="s">
        <v>7</v>
      </c>
      <c r="H570" s="3">
        <v>33.785499999999999</v>
      </c>
      <c r="I570" t="s">
        <v>10550</v>
      </c>
      <c r="J570" t="s">
        <v>14114</v>
      </c>
      <c r="L570" t="s">
        <v>10551</v>
      </c>
      <c r="M570" t="str">
        <f>"https://www.artic.edu/iiif/2/"&amp;Table9[[#This Row],[Image ID]]&amp;"/full/843,/0/default.jpg"</f>
        <v>https://www.artic.edu/iiif/2/e2dce9ba-7f4c-7ff2-78fc-3e617ddaf3a4/full/843,/0/default.jpg</v>
      </c>
      <c r="N570" s="3">
        <v>0.80500000000000005</v>
      </c>
      <c r="O570" s="3">
        <v>4.9000000000000002E-2</v>
      </c>
      <c r="P570" s="3">
        <v>0.75600000000000001</v>
      </c>
      <c r="Q570" s="3">
        <v>0.87466639280319203</v>
      </c>
    </row>
    <row r="571" spans="1:17" x14ac:dyDescent="0.45">
      <c r="A571" s="3">
        <v>65819</v>
      </c>
      <c r="B571" t="b">
        <v>0</v>
      </c>
      <c r="C571" t="b">
        <v>0</v>
      </c>
      <c r="D571" s="3">
        <v>1934</v>
      </c>
      <c r="E571" s="3">
        <v>1935</v>
      </c>
      <c r="F571" t="s">
        <v>9038</v>
      </c>
      <c r="G571" t="s">
        <v>9039</v>
      </c>
      <c r="H571" s="3">
        <v>43.830199999999998</v>
      </c>
      <c r="I571" t="s">
        <v>315</v>
      </c>
      <c r="J571" t="s">
        <v>14248</v>
      </c>
      <c r="K571" s="5" t="s">
        <v>2</v>
      </c>
      <c r="L571" t="s">
        <v>9040</v>
      </c>
      <c r="M571" t="str">
        <f>"https://www.artic.edu/iiif/2/"&amp;Table9[[#This Row],[Image ID]]&amp;"/full/843,/0/default.jpg"</f>
        <v>https://www.artic.edu/iiif/2/ebbb8f9b-8b33-0c8d-9aaf-ce47d4eef6c8/full/843,/0/default.jpg</v>
      </c>
      <c r="N571" s="3">
        <v>0.75600000000000001</v>
      </c>
      <c r="O571" s="3">
        <v>0</v>
      </c>
      <c r="P571" s="3">
        <v>0.75600000000000001</v>
      </c>
      <c r="Q571" s="3">
        <v>0.89860713481902998</v>
      </c>
    </row>
    <row r="572" spans="1:17" x14ac:dyDescent="0.45">
      <c r="A572" s="3">
        <v>107257</v>
      </c>
      <c r="B572" t="b">
        <v>0</v>
      </c>
      <c r="C572" t="b">
        <v>0</v>
      </c>
      <c r="D572" s="3">
        <v>1968</v>
      </c>
      <c r="E572" s="3">
        <v>1972</v>
      </c>
      <c r="F572" t="s">
        <v>614</v>
      </c>
      <c r="G572" t="s">
        <v>623</v>
      </c>
      <c r="H572" s="3">
        <v>40.771500000000003</v>
      </c>
      <c r="I572" t="s">
        <v>612</v>
      </c>
      <c r="J572" t="s">
        <v>14357</v>
      </c>
      <c r="L572" t="s">
        <v>627</v>
      </c>
      <c r="M572" t="str">
        <f>"https://www.artic.edu/iiif/2/"&amp;Table9[[#This Row],[Image ID]]&amp;"/full/843,/0/default.jpg"</f>
        <v>https://www.artic.edu/iiif/2/f2d46c5f-9dcc-17aa-d9a7-c1501568fb8d/full/843,/0/default.jpg</v>
      </c>
      <c r="N572" s="3">
        <v>0.78</v>
      </c>
      <c r="O572" s="3">
        <v>2.4E-2</v>
      </c>
      <c r="P572" s="3">
        <v>0.75600000000000001</v>
      </c>
      <c r="Q572" s="3">
        <v>0.77798271179199197</v>
      </c>
    </row>
    <row r="573" spans="1:17" x14ac:dyDescent="0.45">
      <c r="A573" s="3">
        <v>40620</v>
      </c>
      <c r="B573" t="b">
        <v>0</v>
      </c>
      <c r="C573" t="b">
        <v>0</v>
      </c>
      <c r="D573" s="3">
        <v>1930</v>
      </c>
      <c r="E573" s="3">
        <v>1930</v>
      </c>
      <c r="F573" t="s">
        <v>7660</v>
      </c>
      <c r="G573" t="s">
        <v>238</v>
      </c>
      <c r="H573" s="3">
        <v>32.825699999999998</v>
      </c>
      <c r="I573" t="s">
        <v>2379</v>
      </c>
      <c r="J573" t="s">
        <v>14431</v>
      </c>
      <c r="L573" t="s">
        <v>7661</v>
      </c>
      <c r="M573" t="str">
        <f>"https://www.artic.edu/iiif/2/"&amp;Table9[[#This Row],[Image ID]]&amp;"/full/843,/0/default.jpg"</f>
        <v>https://www.artic.edu/iiif/2/f858d461-c592-271d-c108-d49cce0749b9/full/843,/0/default.jpg</v>
      </c>
      <c r="N573" s="3">
        <v>0.82899999999999996</v>
      </c>
      <c r="O573" s="3">
        <v>7.2999999999999995E-2</v>
      </c>
      <c r="P573" s="3">
        <v>0.75600000000000001</v>
      </c>
      <c r="Q573" s="3">
        <v>0.79760766029357899</v>
      </c>
    </row>
    <row r="574" spans="1:17" x14ac:dyDescent="0.45">
      <c r="A574" s="3">
        <v>39059</v>
      </c>
      <c r="B574" t="b">
        <v>0</v>
      </c>
      <c r="C574" t="b">
        <v>1</v>
      </c>
      <c r="D574" s="3">
        <v>1808</v>
      </c>
      <c r="E574" s="3">
        <v>1810</v>
      </c>
      <c r="F574" t="s">
        <v>7405</v>
      </c>
      <c r="G574" t="s">
        <v>7406</v>
      </c>
      <c r="H574" s="3">
        <v>21.087900000000001</v>
      </c>
      <c r="I574" t="s">
        <v>1266</v>
      </c>
      <c r="L574" t="s">
        <v>7407</v>
      </c>
      <c r="M574" t="str">
        <f>"https://www.artic.edu/iiif/2/"&amp;Table9[[#This Row],[Image ID]]&amp;"/full/843,/0/default.jpg"</f>
        <v>https://www.artic.edu/iiif/2/081c0a83-2ec1-83ad-8440-75bb2adb0b5f/full/843,/0/default.jpg</v>
      </c>
      <c r="N574" s="3">
        <v>0.82899999999999996</v>
      </c>
      <c r="O574" s="3">
        <v>7.2999999999999995E-2</v>
      </c>
      <c r="P574" s="3">
        <v>0.75600000000000001</v>
      </c>
      <c r="Q574" s="3">
        <v>0.68248617649078303</v>
      </c>
    </row>
    <row r="575" spans="1:17" x14ac:dyDescent="0.45">
      <c r="A575" s="3">
        <v>25790</v>
      </c>
      <c r="B575" t="b">
        <v>0</v>
      </c>
      <c r="C575" t="b">
        <v>1</v>
      </c>
      <c r="D575" s="3">
        <v>1621</v>
      </c>
      <c r="E575" s="3">
        <v>1631</v>
      </c>
      <c r="F575" t="s">
        <v>6607</v>
      </c>
      <c r="G575" t="s">
        <v>75</v>
      </c>
      <c r="H575" s="3">
        <v>44.313600000000001</v>
      </c>
      <c r="I575" t="s">
        <v>79</v>
      </c>
      <c r="J575" t="s">
        <v>11267</v>
      </c>
      <c r="L575" t="s">
        <v>6608</v>
      </c>
      <c r="M575" t="str">
        <f>"https://www.artic.edu/iiif/2/"&amp;Table9[[#This Row],[Image ID]]&amp;"/full/843,/0/default.jpg"</f>
        <v>https://www.artic.edu/iiif/2/15a87438-df7b-8fe1-203f-e0b4d36236a0/full/843,/0/default.jpg</v>
      </c>
      <c r="N575" s="3">
        <v>0.75600000000000001</v>
      </c>
      <c r="O575" s="3">
        <v>0</v>
      </c>
      <c r="P575" s="3">
        <v>0.75600000000000001</v>
      </c>
      <c r="Q575" s="3">
        <v>0.73977798223495395</v>
      </c>
    </row>
    <row r="576" spans="1:17" x14ac:dyDescent="0.45">
      <c r="A576" s="3">
        <v>59891</v>
      </c>
      <c r="B576" t="b">
        <v>0</v>
      </c>
      <c r="C576" t="b">
        <v>1</v>
      </c>
      <c r="D576" s="3">
        <v>1490</v>
      </c>
      <c r="E576" s="3">
        <v>1510</v>
      </c>
      <c r="F576" t="s">
        <v>8619</v>
      </c>
      <c r="G576" t="s">
        <v>75</v>
      </c>
      <c r="H576" s="3">
        <v>38.756700000000002</v>
      </c>
      <c r="I576" t="s">
        <v>573</v>
      </c>
      <c r="J576" t="s">
        <v>12163</v>
      </c>
      <c r="L576" t="s">
        <v>8620</v>
      </c>
      <c r="M576" t="str">
        <f>"https://www.artic.edu/iiif/2/"&amp;Table9[[#This Row],[Image ID]]&amp;"/full/843,/0/default.jpg"</f>
        <v>https://www.artic.edu/iiif/2/519f5442-5d72-3cf3-3fe7-f3d7b2e16c3c/full/843,/0/default.jpg</v>
      </c>
      <c r="N576" s="3">
        <v>0.82899999999999996</v>
      </c>
      <c r="O576" s="3">
        <v>7.2999999999999995E-2</v>
      </c>
      <c r="P576" s="3">
        <v>0.75600000000000001</v>
      </c>
      <c r="Q576" s="3">
        <v>0.76529723405838002</v>
      </c>
    </row>
    <row r="577" spans="1:17" x14ac:dyDescent="0.45">
      <c r="A577" s="3">
        <v>22270</v>
      </c>
      <c r="B577" t="b">
        <v>0</v>
      </c>
      <c r="C577" t="b">
        <v>1</v>
      </c>
      <c r="D577" s="3">
        <v>1525</v>
      </c>
      <c r="E577" s="3">
        <v>1530</v>
      </c>
      <c r="F577" t="s">
        <v>5836</v>
      </c>
      <c r="G577" t="s">
        <v>75</v>
      </c>
      <c r="H577" s="3">
        <v>30.3261</v>
      </c>
      <c r="I577" t="s">
        <v>919</v>
      </c>
      <c r="J577" t="s">
        <v>12345</v>
      </c>
      <c r="L577" t="s">
        <v>5837</v>
      </c>
      <c r="M577" t="str">
        <f>"https://www.artic.edu/iiif/2/"&amp;Table9[[#This Row],[Image ID]]&amp;"/full/843,/0/default.jpg"</f>
        <v>https://www.artic.edu/iiif/2/5d50e0e5-db32-4e02-eef7-6fbbae018d44/full/843,/0/default.jpg</v>
      </c>
      <c r="N577" s="3">
        <v>0.82899999999999996</v>
      </c>
      <c r="O577" s="3">
        <v>7.2999999999999995E-2</v>
      </c>
      <c r="P577" s="3">
        <v>0.75600000000000001</v>
      </c>
      <c r="Q577" s="3">
        <v>0.87407702207565297</v>
      </c>
    </row>
    <row r="578" spans="1:17" x14ac:dyDescent="0.45">
      <c r="A578" s="3">
        <v>97895</v>
      </c>
      <c r="B578" t="b">
        <v>0</v>
      </c>
      <c r="C578" t="b">
        <v>1</v>
      </c>
      <c r="D578" s="3">
        <v>1900</v>
      </c>
      <c r="E578" s="3">
        <v>1900</v>
      </c>
      <c r="F578" t="s">
        <v>10876</v>
      </c>
      <c r="G578" t="s">
        <v>7</v>
      </c>
      <c r="H578" s="3">
        <v>9.5890000000000004</v>
      </c>
      <c r="I578" t="s">
        <v>192</v>
      </c>
      <c r="J578" t="s">
        <v>12454</v>
      </c>
      <c r="L578" t="s">
        <v>10877</v>
      </c>
      <c r="M578" t="str">
        <f>"https://www.artic.edu/iiif/2/"&amp;Table9[[#This Row],[Image ID]]&amp;"/full/843,/0/default.jpg"</f>
        <v>https://www.artic.edu/iiif/2/6548b683-5854-16a6-e462-b3a81a0b99e2/full/843,/0/default.jpg</v>
      </c>
      <c r="N578" s="3">
        <v>0.78</v>
      </c>
      <c r="O578" s="3">
        <v>2.4E-2</v>
      </c>
      <c r="P578" s="3">
        <v>0.75600000000000001</v>
      </c>
      <c r="Q578" s="3">
        <v>0.69476902484893799</v>
      </c>
    </row>
    <row r="579" spans="1:17" x14ac:dyDescent="0.45">
      <c r="A579" s="3">
        <v>145831</v>
      </c>
      <c r="B579" t="b">
        <v>0</v>
      </c>
      <c r="C579" t="b">
        <v>1</v>
      </c>
      <c r="D579" s="3">
        <v>1790</v>
      </c>
      <c r="E579" s="3">
        <v>1810</v>
      </c>
      <c r="F579" t="s">
        <v>3382</v>
      </c>
      <c r="G579" t="s">
        <v>3383</v>
      </c>
      <c r="H579" s="3">
        <v>21.957999999999998</v>
      </c>
      <c r="I579" t="s">
        <v>14598</v>
      </c>
      <c r="J579" t="s">
        <v>12679</v>
      </c>
      <c r="L579" t="s">
        <v>3384</v>
      </c>
      <c r="M579" t="str">
        <f>"https://www.artic.edu/iiif/2/"&amp;Table9[[#This Row],[Image ID]]&amp;"/full/843,/0/default.jpg"</f>
        <v>https://www.artic.edu/iiif/2/755df9c3-7390-ebf4-c851-d3cb9d5d75d1/full/843,/0/default.jpg</v>
      </c>
      <c r="N579" s="3">
        <v>0.78</v>
      </c>
      <c r="O579" s="3">
        <v>2.4E-2</v>
      </c>
      <c r="P579" s="3">
        <v>0.75600000000000001</v>
      </c>
      <c r="Q579" s="3">
        <v>0.78810870647430398</v>
      </c>
    </row>
    <row r="580" spans="1:17" x14ac:dyDescent="0.45">
      <c r="A580" s="3">
        <v>100191</v>
      </c>
      <c r="B580" t="b">
        <v>0</v>
      </c>
      <c r="C580" t="b">
        <v>1</v>
      </c>
      <c r="D580" s="3">
        <v>1891</v>
      </c>
      <c r="E580" s="3">
        <v>1891</v>
      </c>
      <c r="F580" t="s">
        <v>42</v>
      </c>
      <c r="G580" t="s">
        <v>7</v>
      </c>
      <c r="H580" s="3">
        <v>21.517499999999998</v>
      </c>
      <c r="I580" t="s">
        <v>43</v>
      </c>
      <c r="J580" t="s">
        <v>12976</v>
      </c>
      <c r="K580" s="5" t="s">
        <v>9</v>
      </c>
      <c r="L580" t="s">
        <v>44</v>
      </c>
      <c r="M580" t="str">
        <f>"https://www.artic.edu/iiif/2/"&amp;Table9[[#This Row],[Image ID]]&amp;"/full/843,/0/default.jpg"</f>
        <v>https://www.artic.edu/iiif/2/8bd40b36-43ea-8b02-d76a-b325962b86db/full/843,/0/default.jpg</v>
      </c>
      <c r="N580" s="3">
        <v>0.80500000000000005</v>
      </c>
      <c r="O580" s="3">
        <v>4.9000000000000002E-2</v>
      </c>
      <c r="P580" s="3">
        <v>0.75600000000000001</v>
      </c>
      <c r="Q580" s="3">
        <v>0.63240796327590898</v>
      </c>
    </row>
    <row r="581" spans="1:17" ht="85.5" x14ac:dyDescent="0.45">
      <c r="A581" s="3">
        <v>59940</v>
      </c>
      <c r="B581" t="b">
        <v>0</v>
      </c>
      <c r="C581" t="b">
        <v>1</v>
      </c>
      <c r="D581" s="3">
        <v>1480</v>
      </c>
      <c r="E581" s="3">
        <v>1500</v>
      </c>
      <c r="F581" t="s">
        <v>8643</v>
      </c>
      <c r="G581" t="s">
        <v>8644</v>
      </c>
      <c r="H581" s="3">
        <v>26.045100000000001</v>
      </c>
      <c r="I581" t="s">
        <v>573</v>
      </c>
      <c r="J581" s="1" t="s">
        <v>13857</v>
      </c>
      <c r="L581" t="s">
        <v>8645</v>
      </c>
      <c r="M581" t="str">
        <f>"https://www.artic.edu/iiif/2/"&amp;Table9[[#This Row],[Image ID]]&amp;"/full/843,/0/default.jpg"</f>
        <v>https://www.artic.edu/iiif/2/d11784fc-b853-f0ff-9870-d6405ae362f6/full/843,/0/default.jpg</v>
      </c>
      <c r="N581" s="3">
        <v>0.75600000000000001</v>
      </c>
      <c r="O581" s="3">
        <v>0</v>
      </c>
      <c r="P581" s="3">
        <v>0.75600000000000001</v>
      </c>
      <c r="Q581" s="3">
        <v>0.80276978015899603</v>
      </c>
    </row>
    <row r="582" spans="1:17" x14ac:dyDescent="0.45">
      <c r="A582" s="3">
        <v>109885</v>
      </c>
      <c r="B582" t="b">
        <v>0</v>
      </c>
      <c r="C582" t="b">
        <v>1</v>
      </c>
      <c r="D582" s="3">
        <v>1759</v>
      </c>
      <c r="E582" s="3">
        <v>1770</v>
      </c>
      <c r="F582" t="s">
        <v>853</v>
      </c>
      <c r="G582" t="s">
        <v>7</v>
      </c>
      <c r="H582" s="3">
        <v>27.977499999999999</v>
      </c>
      <c r="I582" t="s">
        <v>854</v>
      </c>
      <c r="J582" t="s">
        <v>13924</v>
      </c>
      <c r="L582" t="s">
        <v>855</v>
      </c>
      <c r="M582" t="str">
        <f>"https://www.artic.edu/iiif/2/"&amp;Table9[[#This Row],[Image ID]]&amp;"/full/843,/0/default.jpg"</f>
        <v>https://www.artic.edu/iiif/2/d65ca75a-3024-0a99-9ad6-8cbb7ba21817/full/843,/0/default.jpg</v>
      </c>
      <c r="N582" s="3">
        <v>0.82899999999999996</v>
      </c>
      <c r="O582" s="3">
        <v>7.2999999999999995E-2</v>
      </c>
      <c r="P582" s="3">
        <v>0.75600000000000001</v>
      </c>
      <c r="Q582" s="3">
        <v>0.84528648853302002</v>
      </c>
    </row>
    <row r="583" spans="1:17" x14ac:dyDescent="0.45">
      <c r="A583" s="3">
        <v>93782</v>
      </c>
      <c r="B583" t="b">
        <v>0</v>
      </c>
      <c r="C583" t="b">
        <v>1</v>
      </c>
      <c r="D583" s="3">
        <v>1865</v>
      </c>
      <c r="E583" s="3">
        <v>1875</v>
      </c>
      <c r="F583" t="s">
        <v>10607</v>
      </c>
      <c r="G583" t="s">
        <v>7</v>
      </c>
      <c r="H583" s="3">
        <v>18.0825</v>
      </c>
      <c r="I583" t="s">
        <v>14627</v>
      </c>
      <c r="J583" t="s">
        <v>14381</v>
      </c>
      <c r="L583" t="s">
        <v>10608</v>
      </c>
      <c r="M583" t="str">
        <f>"https://www.artic.edu/iiif/2/"&amp;Table9[[#This Row],[Image ID]]&amp;"/full/843,/0/default.jpg"</f>
        <v>https://www.artic.edu/iiif/2/f521c3d4-4ced-a6a0-6836-e12e48cb0a9f/full/843,/0/default.jpg</v>
      </c>
      <c r="N583" s="3">
        <v>0.878</v>
      </c>
      <c r="O583" s="3">
        <v>0.122</v>
      </c>
      <c r="P583" s="3">
        <v>0.75600000000000001</v>
      </c>
      <c r="Q583" s="3">
        <v>0.50433236360549905</v>
      </c>
    </row>
    <row r="584" spans="1:17" x14ac:dyDescent="0.45">
      <c r="A584" s="3">
        <v>146970</v>
      </c>
      <c r="B584" t="b">
        <v>0</v>
      </c>
      <c r="C584" t="b">
        <v>0</v>
      </c>
      <c r="D584" s="3">
        <v>1977</v>
      </c>
      <c r="E584" s="3">
        <v>1977</v>
      </c>
      <c r="F584" t="s">
        <v>3540</v>
      </c>
      <c r="G584" t="s">
        <v>642</v>
      </c>
      <c r="H584" s="3">
        <v>12.9336</v>
      </c>
      <c r="I584" t="s">
        <v>350</v>
      </c>
      <c r="J584" t="s">
        <v>11882</v>
      </c>
      <c r="L584" t="s">
        <v>3541</v>
      </c>
      <c r="M584" t="str">
        <f>"https://www.artic.edu/iiif/2/"&amp;Table9[[#This Row],[Image ID]]&amp;"/full/843,/0/default.jpg"</f>
        <v>https://www.artic.edu/iiif/2/7a85b3ad-ed1d-a445-8806-c21f6b21973d/full/843,/0/default.jpg</v>
      </c>
      <c r="N584" s="3">
        <v>0.9</v>
      </c>
      <c r="O584" s="3">
        <v>0.14599999999999999</v>
      </c>
      <c r="P584" s="3">
        <v>0.754</v>
      </c>
      <c r="Q584" s="3">
        <v>0.827708899974823</v>
      </c>
    </row>
    <row r="585" spans="1:17" x14ac:dyDescent="0.45">
      <c r="A585" s="3">
        <v>38663</v>
      </c>
      <c r="B585" t="b">
        <v>0</v>
      </c>
      <c r="C585" t="b">
        <v>0</v>
      </c>
      <c r="D585" s="3">
        <v>1971</v>
      </c>
      <c r="E585" s="3">
        <v>1971</v>
      </c>
      <c r="F585" t="s">
        <v>7290</v>
      </c>
      <c r="G585" t="s">
        <v>7291</v>
      </c>
      <c r="H585" s="3">
        <v>33.528799999999997</v>
      </c>
      <c r="I585" t="s">
        <v>29</v>
      </c>
      <c r="J585" t="s">
        <v>13180</v>
      </c>
      <c r="L585" t="s">
        <v>7292</v>
      </c>
      <c r="M585" t="str">
        <f>"https://www.artic.edu/iiif/2/"&amp;Table9[[#This Row],[Image ID]]&amp;"/full/843,/0/default.jpg"</f>
        <v>https://www.artic.edu/iiif/2/9c28c4e8-6c80-351b-386b-1119348d319a/full/843,/0/default.jpg</v>
      </c>
      <c r="N585" s="3">
        <v>0.85</v>
      </c>
      <c r="O585" s="3">
        <v>9.8000000000000004E-2</v>
      </c>
      <c r="P585" s="3">
        <v>0.752</v>
      </c>
      <c r="Q585" s="3">
        <v>0.75593769550323398</v>
      </c>
    </row>
    <row r="586" spans="1:17" x14ac:dyDescent="0.45">
      <c r="A586" s="3">
        <v>184940</v>
      </c>
      <c r="B586" t="b">
        <v>0</v>
      </c>
      <c r="C586" t="b">
        <v>0</v>
      </c>
      <c r="D586" s="3">
        <v>2003</v>
      </c>
      <c r="E586" s="3">
        <v>2003</v>
      </c>
      <c r="F586" t="s">
        <v>4928</v>
      </c>
      <c r="G586" t="s">
        <v>4823</v>
      </c>
      <c r="H586" s="3">
        <v>6.2213000000000003</v>
      </c>
      <c r="I586" t="s">
        <v>293</v>
      </c>
      <c r="J586" t="s">
        <v>10977</v>
      </c>
      <c r="K586" s="5" t="s">
        <v>15</v>
      </c>
      <c r="L586" t="s">
        <v>4929</v>
      </c>
      <c r="M586" t="str">
        <f>"https://www.artic.edu/iiif/2/"&amp;Table9[[#This Row],[Image ID]]&amp;"/full/843,/0/default.jpg"</f>
        <v>https://www.artic.edu/iiif/2/a161362b-2ef9-a2c7-5feb-5a7bfdc3f5f7/full/843,/0/default.jpg</v>
      </c>
      <c r="N586" s="3">
        <v>0.82499999999999996</v>
      </c>
      <c r="O586" s="3">
        <v>7.2999999999999995E-2</v>
      </c>
      <c r="P586" s="3">
        <v>0.752</v>
      </c>
      <c r="Q586" s="3">
        <v>0.79799658060073797</v>
      </c>
    </row>
    <row r="587" spans="1:17" x14ac:dyDescent="0.45">
      <c r="A587" s="3">
        <v>34145</v>
      </c>
      <c r="B587" t="b">
        <v>0</v>
      </c>
      <c r="C587" t="b">
        <v>0</v>
      </c>
      <c r="D587" s="3">
        <v>1969</v>
      </c>
      <c r="E587" s="3">
        <v>1969</v>
      </c>
      <c r="F587" t="s">
        <v>7103</v>
      </c>
      <c r="G587" t="s">
        <v>7</v>
      </c>
      <c r="H587" s="3">
        <v>37.236600000000003</v>
      </c>
      <c r="I587" t="s">
        <v>176</v>
      </c>
      <c r="J587" t="s">
        <v>14338</v>
      </c>
      <c r="L587" t="s">
        <v>7104</v>
      </c>
      <c r="M587" t="str">
        <f>"https://www.artic.edu/iiif/2/"&amp;Table9[[#This Row],[Image ID]]&amp;"/full/843,/0/default.jpg"</f>
        <v>https://www.artic.edu/iiif/2/f1c1fd79-266b-26d8-3c14-ccb4cf3248a6/full/843,/0/default.jpg</v>
      </c>
      <c r="N587" s="3">
        <v>0.82499999999999996</v>
      </c>
      <c r="O587" s="3">
        <v>7.2999999999999995E-2</v>
      </c>
      <c r="P587" s="3">
        <v>0.752</v>
      </c>
      <c r="Q587" s="3">
        <v>0.81328904628753595</v>
      </c>
    </row>
    <row r="588" spans="1:17" x14ac:dyDescent="0.45">
      <c r="A588" s="3">
        <v>39528</v>
      </c>
      <c r="B588" t="b">
        <v>0</v>
      </c>
      <c r="C588" t="b">
        <v>1</v>
      </c>
      <c r="D588" s="3">
        <v>1875</v>
      </c>
      <c r="E588" s="3">
        <v>1885</v>
      </c>
      <c r="F588" t="s">
        <v>7579</v>
      </c>
      <c r="G588" t="s">
        <v>7</v>
      </c>
      <c r="H588" s="3">
        <v>0</v>
      </c>
      <c r="I588" t="s">
        <v>3081</v>
      </c>
      <c r="J588" t="s">
        <v>11741</v>
      </c>
      <c r="L588" t="s">
        <v>7580</v>
      </c>
      <c r="M588" t="str">
        <f>"https://www.artic.edu/iiif/2/"&amp;Table9[[#This Row],[Image ID]]&amp;"/full/843,/0/default.jpg"</f>
        <v>https://www.artic.edu/iiif/2/34d77a00-363a-a62f-429f-bd17808a15b9/full/843,/0/default.jpg</v>
      </c>
      <c r="N588" s="3">
        <v>0.85</v>
      </c>
      <c r="O588" s="3">
        <v>9.8000000000000004E-2</v>
      </c>
      <c r="P588" s="3">
        <v>0.752</v>
      </c>
      <c r="Q588" s="3">
        <v>0.67303788661956698</v>
      </c>
    </row>
    <row r="589" spans="1:17" ht="114" x14ac:dyDescent="0.45">
      <c r="A589" s="3">
        <v>16295</v>
      </c>
      <c r="B589" t="b">
        <v>0</v>
      </c>
      <c r="C589" t="b">
        <v>1</v>
      </c>
      <c r="D589" s="3">
        <v>1480</v>
      </c>
      <c r="E589" s="3">
        <v>1490</v>
      </c>
      <c r="F589" t="s">
        <v>201</v>
      </c>
      <c r="G589" t="s">
        <v>75</v>
      </c>
      <c r="H589" s="3">
        <v>50.619799999999998</v>
      </c>
      <c r="I589" t="s">
        <v>4347</v>
      </c>
      <c r="J589" s="1" t="s">
        <v>12637</v>
      </c>
      <c r="L589" t="s">
        <v>4348</v>
      </c>
      <c r="M589" t="str">
        <f>"https://www.artic.edu/iiif/2/"&amp;Table9[[#This Row],[Image ID]]&amp;"/full/843,/0/default.jpg"</f>
        <v>https://www.artic.edu/iiif/2/72083f93-6fe2-bfa8-b9a0-82e50c123015/full/843,/0/default.jpg</v>
      </c>
      <c r="N589" s="3">
        <v>0.82499999999999996</v>
      </c>
      <c r="O589" s="3">
        <v>7.2999999999999995E-2</v>
      </c>
      <c r="P589" s="3">
        <v>0.752</v>
      </c>
      <c r="Q589" s="3">
        <v>0.85722601413726796</v>
      </c>
    </row>
    <row r="590" spans="1:17" x14ac:dyDescent="0.45">
      <c r="A590" s="3">
        <v>39160</v>
      </c>
      <c r="B590" t="b">
        <v>0</v>
      </c>
      <c r="C590" t="b">
        <v>1</v>
      </c>
      <c r="D590" s="3">
        <v>1805</v>
      </c>
      <c r="E590" s="3">
        <v>1851</v>
      </c>
      <c r="F590" t="s">
        <v>7070</v>
      </c>
      <c r="G590" t="s">
        <v>7473</v>
      </c>
      <c r="H590" s="3">
        <v>52.6843</v>
      </c>
      <c r="I590" t="s">
        <v>1086</v>
      </c>
      <c r="J590" t="s">
        <v>13390</v>
      </c>
      <c r="L590" t="s">
        <v>7474</v>
      </c>
      <c r="M590" t="str">
        <f>"https://www.artic.edu/iiif/2/"&amp;Table9[[#This Row],[Image ID]]&amp;"/full/843,/0/default.jpg"</f>
        <v>https://www.artic.edu/iiif/2/ab9ee648-c086-8889-68e7-5de2bdf40336/full/843,/0/default.jpg</v>
      </c>
      <c r="N590" s="3">
        <v>0.82499999999999996</v>
      </c>
      <c r="O590" s="3">
        <v>7.2999999999999995E-2</v>
      </c>
      <c r="P590" s="3">
        <v>0.752</v>
      </c>
      <c r="Q590" s="3">
        <v>0.64959371089935303</v>
      </c>
    </row>
    <row r="591" spans="1:17" x14ac:dyDescent="0.45">
      <c r="A591" s="3">
        <v>109620</v>
      </c>
      <c r="B591" t="b">
        <v>0</v>
      </c>
      <c r="C591" t="b">
        <v>0</v>
      </c>
      <c r="D591" s="3">
        <v>1920</v>
      </c>
      <c r="E591" s="3">
        <v>1930</v>
      </c>
      <c r="F591" t="s">
        <v>833</v>
      </c>
      <c r="G591" t="s">
        <v>7</v>
      </c>
      <c r="H591" s="3">
        <v>43.610999999999997</v>
      </c>
      <c r="I591" t="s">
        <v>834</v>
      </c>
      <c r="J591" t="s">
        <v>10973</v>
      </c>
      <c r="L591" t="s">
        <v>835</v>
      </c>
      <c r="M591" t="str">
        <f>"https://www.artic.edu/iiif/2/"&amp;Table9[[#This Row],[Image ID]]&amp;"/full/843,/0/default.jpg"</f>
        <v>https://www.artic.edu/iiif/2/000a60f9-baa8-3f20-3357-690f6ca0803a/full/843,/0/default.jpg</v>
      </c>
      <c r="N591" s="3">
        <v>0.77500000000000002</v>
      </c>
      <c r="O591" s="3">
        <v>2.4E-2</v>
      </c>
      <c r="P591" s="3">
        <v>0.751</v>
      </c>
      <c r="Q591" s="3">
        <v>0.83237642049789395</v>
      </c>
    </row>
    <row r="592" spans="1:17" x14ac:dyDescent="0.45">
      <c r="A592" s="3">
        <v>146999</v>
      </c>
      <c r="B592" t="b">
        <v>0</v>
      </c>
      <c r="C592" t="b">
        <v>0</v>
      </c>
      <c r="D592" s="3">
        <v>1982</v>
      </c>
      <c r="E592" s="3">
        <v>1982</v>
      </c>
      <c r="F592" t="s">
        <v>3561</v>
      </c>
      <c r="G592" t="s">
        <v>7</v>
      </c>
      <c r="H592" s="3">
        <v>35.071199999999997</v>
      </c>
      <c r="I592" t="s">
        <v>52</v>
      </c>
      <c r="J592" t="s">
        <v>11259</v>
      </c>
      <c r="L592" t="s">
        <v>3562</v>
      </c>
      <c r="M592" t="str">
        <f>"https://www.artic.edu/iiif/2/"&amp;Table9[[#This Row],[Image ID]]&amp;"/full/843,/0/default.jpg"</f>
        <v>https://www.artic.edu/iiif/2/151932ad-188a-1a3f-9fcc-922dad1564a7/full/843,/0/default.jpg</v>
      </c>
      <c r="N592" s="3">
        <v>0.8</v>
      </c>
      <c r="O592" s="3">
        <v>4.9000000000000002E-2</v>
      </c>
      <c r="P592" s="3">
        <v>0.751</v>
      </c>
      <c r="Q592" s="3">
        <v>0.84119004011154097</v>
      </c>
    </row>
    <row r="593" spans="1:17" x14ac:dyDescent="0.45">
      <c r="A593" s="3">
        <v>260044</v>
      </c>
      <c r="B593" t="b">
        <v>0</v>
      </c>
      <c r="C593" t="b">
        <v>0</v>
      </c>
      <c r="D593" s="3">
        <v>1973</v>
      </c>
      <c r="E593" s="3">
        <v>1973</v>
      </c>
      <c r="F593" t="s">
        <v>6664</v>
      </c>
      <c r="G593" t="s">
        <v>141</v>
      </c>
      <c r="H593" s="3">
        <v>57.289499999999997</v>
      </c>
      <c r="I593" t="s">
        <v>368</v>
      </c>
      <c r="J593" t="s">
        <v>12557</v>
      </c>
      <c r="L593" t="s">
        <v>6665</v>
      </c>
      <c r="M593" t="str">
        <f>"https://www.artic.edu/iiif/2/"&amp;Table9[[#This Row],[Image ID]]&amp;"/full/843,/0/default.jpg"</f>
        <v>https://www.artic.edu/iiif/2/6c8a505c-45ce-e792-f7dd-5feaa6d3246a/full/843,/0/default.jpg</v>
      </c>
      <c r="N593" s="3">
        <v>0.8</v>
      </c>
      <c r="O593" s="3">
        <v>4.9000000000000002E-2</v>
      </c>
      <c r="P593" s="3">
        <v>0.751</v>
      </c>
      <c r="Q593" s="3">
        <v>0.82225412130355802</v>
      </c>
    </row>
    <row r="594" spans="1:17" x14ac:dyDescent="0.45">
      <c r="A594" s="3">
        <v>34048</v>
      </c>
      <c r="B594" t="b">
        <v>0</v>
      </c>
      <c r="C594" t="b">
        <v>0</v>
      </c>
      <c r="D594" s="3">
        <v>1912</v>
      </c>
      <c r="E594" s="3">
        <v>1912</v>
      </c>
      <c r="F594" t="s">
        <v>7091</v>
      </c>
      <c r="G594" t="s">
        <v>7</v>
      </c>
      <c r="H594" s="3">
        <v>27.304200000000002</v>
      </c>
      <c r="I594" t="s">
        <v>1277</v>
      </c>
      <c r="J594" t="s">
        <v>13722</v>
      </c>
      <c r="L594" t="s">
        <v>7092</v>
      </c>
      <c r="M594" t="str">
        <f>"https://www.artic.edu/iiif/2/"&amp;Table9[[#This Row],[Image ID]]&amp;"/full/843,/0/default.jpg"</f>
        <v>https://www.artic.edu/iiif/2/c6737a7c-f6fe-b6de-7907-a459f27d59f3/full/843,/0/default.jpg</v>
      </c>
      <c r="N594" s="3">
        <v>0.8</v>
      </c>
      <c r="O594" s="3">
        <v>4.9000000000000002E-2</v>
      </c>
      <c r="P594" s="3">
        <v>0.751</v>
      </c>
      <c r="Q594" s="3">
        <v>0.59734898805618197</v>
      </c>
    </row>
    <row r="595" spans="1:17" x14ac:dyDescent="0.45">
      <c r="A595" s="3">
        <v>117493</v>
      </c>
      <c r="B595" t="b">
        <v>0</v>
      </c>
      <c r="C595" t="b">
        <v>0</v>
      </c>
      <c r="D595" s="3">
        <v>1936</v>
      </c>
      <c r="E595" s="3">
        <v>1936</v>
      </c>
      <c r="F595" t="s">
        <v>2340</v>
      </c>
      <c r="G595" t="s">
        <v>2341</v>
      </c>
      <c r="H595" s="3">
        <v>43.1111</v>
      </c>
      <c r="I595" t="s">
        <v>2342</v>
      </c>
      <c r="J595" t="s">
        <v>14528</v>
      </c>
      <c r="L595" t="s">
        <v>2343</v>
      </c>
      <c r="M595" t="str">
        <f>"https://www.artic.edu/iiif/2/"&amp;Table9[[#This Row],[Image ID]]&amp;"/full/843,/0/default.jpg"</f>
        <v>https://www.artic.edu/iiif/2/ff20248c-7ed5-7dbd-ed36-a32c3995c845/full/843,/0/default.jpg</v>
      </c>
      <c r="N595" s="3">
        <v>0.8</v>
      </c>
      <c r="O595" s="3">
        <v>4.9000000000000002E-2</v>
      </c>
      <c r="P595" s="3">
        <v>0.751</v>
      </c>
      <c r="Q595" s="3">
        <v>0.72859787940979004</v>
      </c>
    </row>
    <row r="596" spans="1:17" x14ac:dyDescent="0.45">
      <c r="A596" s="3">
        <v>39226</v>
      </c>
      <c r="B596" t="b">
        <v>0</v>
      </c>
      <c r="C596" t="b">
        <v>1</v>
      </c>
      <c r="D596" s="3">
        <v>1835</v>
      </c>
      <c r="E596" s="3">
        <v>1882</v>
      </c>
      <c r="F596" t="s">
        <v>7524</v>
      </c>
      <c r="G596" t="s">
        <v>7522</v>
      </c>
      <c r="H596" s="3">
        <v>19.332100000000001</v>
      </c>
      <c r="I596" t="s">
        <v>5317</v>
      </c>
      <c r="J596" t="s">
        <v>12676</v>
      </c>
      <c r="L596" t="s">
        <v>7525</v>
      </c>
      <c r="M596" t="str">
        <f>"https://www.artic.edu/iiif/2/"&amp;Table9[[#This Row],[Image ID]]&amp;"/full/843,/0/default.jpg"</f>
        <v>https://www.artic.edu/iiif/2/753770cc-a070-5876-a0f2-cac362675db2/full/843,/0/default.jpg</v>
      </c>
      <c r="N596" s="3">
        <v>0.77500000000000002</v>
      </c>
      <c r="O596" s="3">
        <v>2.4E-2</v>
      </c>
      <c r="P596" s="3">
        <v>0.751</v>
      </c>
      <c r="Q596" s="3">
        <v>0.72535955905914296</v>
      </c>
    </row>
    <row r="597" spans="1:17" x14ac:dyDescent="0.45">
      <c r="A597" s="3">
        <v>74034</v>
      </c>
      <c r="B597" t="b">
        <v>0</v>
      </c>
      <c r="C597" t="b">
        <v>1</v>
      </c>
      <c r="D597" s="3">
        <v>1809</v>
      </c>
      <c r="E597" s="3">
        <v>1809</v>
      </c>
      <c r="F597" t="s">
        <v>9669</v>
      </c>
      <c r="G597" t="s">
        <v>642</v>
      </c>
      <c r="H597" s="3">
        <v>55.697099999999999</v>
      </c>
      <c r="J597" t="s">
        <v>14437</v>
      </c>
      <c r="K597" s="5" t="s">
        <v>37</v>
      </c>
      <c r="L597" t="s">
        <v>9670</v>
      </c>
      <c r="M597" t="str">
        <f>"https://www.artic.edu/iiif/2/"&amp;Table9[[#This Row],[Image ID]]&amp;"/full/843,/0/default.jpg"</f>
        <v>https://www.artic.edu/iiif/2/f8f11e33-4240-cb9c-650f-9855521333ee/full/843,/0/default.jpg</v>
      </c>
      <c r="N597" s="3">
        <v>0.8</v>
      </c>
      <c r="O597" s="3">
        <v>4.9000000000000002E-2</v>
      </c>
      <c r="P597" s="3">
        <v>0.751</v>
      </c>
      <c r="Q597" s="3">
        <v>0.87414735555648804</v>
      </c>
    </row>
    <row r="598" spans="1:17" x14ac:dyDescent="0.45">
      <c r="A598" s="3">
        <v>72956</v>
      </c>
      <c r="B598" t="b">
        <v>0</v>
      </c>
      <c r="C598" t="b">
        <v>0</v>
      </c>
      <c r="D598" s="3">
        <v>1917</v>
      </c>
      <c r="E598" s="3">
        <v>1917</v>
      </c>
      <c r="F598" t="s">
        <v>9589</v>
      </c>
      <c r="G598" t="s">
        <v>7</v>
      </c>
      <c r="H598" s="3">
        <v>17.783799999999999</v>
      </c>
      <c r="I598" t="s">
        <v>9048</v>
      </c>
      <c r="J598" t="s">
        <v>10972</v>
      </c>
      <c r="L598" t="s">
        <v>9590</v>
      </c>
      <c r="M598" t="str">
        <f>"https://www.artic.edu/iiif/2/"&amp;Table9[[#This Row],[Image ID]]&amp;"/full/843,/0/default.jpg"</f>
        <v>https://www.artic.edu/iiif/2/00032672-2201-b161-8e46-f1837fa0cc9d/full/843,/0/default.jpg</v>
      </c>
      <c r="N598" s="3">
        <v>0.82499999999999996</v>
      </c>
      <c r="O598" s="3">
        <v>7.4999999999999997E-2</v>
      </c>
      <c r="P598" s="3">
        <v>0.75</v>
      </c>
      <c r="Q598" s="3">
        <v>0.88663882017135598</v>
      </c>
    </row>
    <row r="599" spans="1:17" x14ac:dyDescent="0.45">
      <c r="A599" s="3">
        <v>104275</v>
      </c>
      <c r="B599" t="b">
        <v>0</v>
      </c>
      <c r="C599" t="b">
        <v>0</v>
      </c>
      <c r="D599" s="3">
        <v>1983</v>
      </c>
      <c r="E599" s="3">
        <v>1983</v>
      </c>
      <c r="F599" t="s">
        <v>414</v>
      </c>
      <c r="G599" t="s">
        <v>415</v>
      </c>
      <c r="H599" s="3">
        <v>9.0893999999999995</v>
      </c>
      <c r="I599" t="s">
        <v>378</v>
      </c>
      <c r="J599" t="s">
        <v>10996</v>
      </c>
      <c r="K599" s="5" t="s">
        <v>45</v>
      </c>
      <c r="L599" t="s">
        <v>416</v>
      </c>
      <c r="M599" t="str">
        <f>"https://www.artic.edu/iiif/2/"&amp;Table9[[#This Row],[Image ID]]&amp;"/full/843,/0/default.jpg"</f>
        <v>https://www.artic.edu/iiif/2/020ac0c4-bc6d-17a9-ad66-395411824d54/full/843,/0/default.jpg</v>
      </c>
      <c r="N599" s="3">
        <v>0.77500000000000002</v>
      </c>
      <c r="O599" s="3">
        <v>2.5000000000000001E-2</v>
      </c>
      <c r="P599" s="3">
        <v>0.75</v>
      </c>
      <c r="Q599" s="3">
        <v>0.85043597221374501</v>
      </c>
    </row>
    <row r="600" spans="1:17" x14ac:dyDescent="0.45">
      <c r="A600" s="3">
        <v>22121</v>
      </c>
      <c r="B600" t="b">
        <v>0</v>
      </c>
      <c r="C600" t="b">
        <v>0</v>
      </c>
      <c r="D600" s="3">
        <v>1912</v>
      </c>
      <c r="E600" s="3">
        <v>1912</v>
      </c>
      <c r="F600" t="s">
        <v>5802</v>
      </c>
      <c r="G600" t="s">
        <v>7</v>
      </c>
      <c r="H600" s="3">
        <v>21.5807</v>
      </c>
      <c r="I600" t="s">
        <v>4521</v>
      </c>
      <c r="J600" t="s">
        <v>11015</v>
      </c>
      <c r="L600" t="s">
        <v>5803</v>
      </c>
      <c r="M600" t="str">
        <f>"https://www.artic.edu/iiif/2/"&amp;Table9[[#This Row],[Image ID]]&amp;"/full/843,/0/default.jpg"</f>
        <v>https://www.artic.edu/iiif/2/03304fc8-677c-d26a-bedd-e113e81de216/full/843,/0/default.jpg</v>
      </c>
      <c r="N600" s="3">
        <v>0.85</v>
      </c>
      <c r="O600" s="3">
        <v>0.1</v>
      </c>
      <c r="P600" s="3">
        <v>0.75</v>
      </c>
      <c r="Q600" s="3">
        <v>0.93830090761184604</v>
      </c>
    </row>
    <row r="601" spans="1:17" x14ac:dyDescent="0.45">
      <c r="A601" s="3">
        <v>14022</v>
      </c>
      <c r="B601" t="b">
        <v>0</v>
      </c>
      <c r="C601" t="b">
        <v>0</v>
      </c>
      <c r="D601" s="3">
        <v>1933</v>
      </c>
      <c r="E601" s="3">
        <v>1933</v>
      </c>
      <c r="F601" t="s">
        <v>3248</v>
      </c>
      <c r="G601" t="s">
        <v>7</v>
      </c>
      <c r="H601" s="3">
        <v>27.499400000000001</v>
      </c>
      <c r="I601" t="s">
        <v>1404</v>
      </c>
      <c r="J601" t="s">
        <v>11134</v>
      </c>
      <c r="L601" t="s">
        <v>3249</v>
      </c>
      <c r="M601" t="str">
        <f>"https://www.artic.edu/iiif/2/"&amp;Table9[[#This Row],[Image ID]]&amp;"/full/843,/0/default.jpg"</f>
        <v>https://www.artic.edu/iiif/2/0bc0845d-1382-90a9-af32-4fc510490aae/full/843,/0/default.jpg</v>
      </c>
      <c r="N601" s="3">
        <v>0.82499999999999996</v>
      </c>
      <c r="O601" s="3">
        <v>7.4999999999999997E-2</v>
      </c>
      <c r="P601" s="3">
        <v>0.75</v>
      </c>
      <c r="Q601" s="3">
        <v>0.53434318304061801</v>
      </c>
    </row>
    <row r="602" spans="1:17" x14ac:dyDescent="0.45">
      <c r="A602" s="3">
        <v>210127</v>
      </c>
      <c r="B602" t="b">
        <v>0</v>
      </c>
      <c r="C602" t="b">
        <v>0</v>
      </c>
      <c r="D602" s="3">
        <v>2000</v>
      </c>
      <c r="E602" s="3">
        <v>2010</v>
      </c>
      <c r="F602" t="s">
        <v>5560</v>
      </c>
      <c r="G602" t="s">
        <v>5561</v>
      </c>
      <c r="H602" s="3">
        <v>9.4713999999999992</v>
      </c>
      <c r="I602" t="s">
        <v>4694</v>
      </c>
      <c r="J602" t="s">
        <v>11137</v>
      </c>
      <c r="K602" s="5" t="s">
        <v>15</v>
      </c>
      <c r="L602" t="s">
        <v>5562</v>
      </c>
      <c r="M602" t="str">
        <f>"https://www.artic.edu/iiif/2/"&amp;Table9[[#This Row],[Image ID]]&amp;"/full/843,/0/default.jpg"</f>
        <v>https://www.artic.edu/iiif/2/0c26d70e-40f4-1795-9027-f39f27464236/full/843,/0/default.jpg</v>
      </c>
      <c r="N602" s="3">
        <v>0.82499999999999996</v>
      </c>
      <c r="O602" s="3">
        <v>7.4999999999999997E-2</v>
      </c>
      <c r="P602" s="3">
        <v>0.75</v>
      </c>
      <c r="Q602" s="3">
        <v>0.94102698564529397</v>
      </c>
    </row>
    <row r="603" spans="1:17" x14ac:dyDescent="0.45">
      <c r="A603" s="3">
        <v>258373</v>
      </c>
      <c r="B603" t="b">
        <v>0</v>
      </c>
      <c r="C603" t="b">
        <v>0</v>
      </c>
      <c r="D603" s="3">
        <v>2019</v>
      </c>
      <c r="E603" s="3">
        <v>2019</v>
      </c>
      <c r="F603" t="s">
        <v>6628</v>
      </c>
      <c r="G603" t="s">
        <v>6629</v>
      </c>
      <c r="H603" s="3">
        <v>5.3818999999999999</v>
      </c>
      <c r="I603" t="s">
        <v>6630</v>
      </c>
      <c r="J603" t="s">
        <v>6632</v>
      </c>
      <c r="L603" t="s">
        <v>6631</v>
      </c>
      <c r="M603" t="str">
        <f>"https://www.artic.edu/iiif/2/"&amp;Table9[[#This Row],[Image ID]]&amp;"/full/843,/0/default.jpg"</f>
        <v>https://www.artic.edu/iiif/2/0f715034-c46c-d741-2984-cdca07efa611/full/843,/0/default.jpg</v>
      </c>
      <c r="N603" s="3">
        <v>0.8</v>
      </c>
      <c r="O603" s="3">
        <v>0.05</v>
      </c>
      <c r="P603" s="3">
        <v>0.75</v>
      </c>
      <c r="Q603" s="3">
        <v>0.84779244661331099</v>
      </c>
    </row>
    <row r="604" spans="1:17" x14ac:dyDescent="0.45">
      <c r="A604" s="3">
        <v>129681</v>
      </c>
      <c r="B604" t="b">
        <v>0</v>
      </c>
      <c r="C604" t="b">
        <v>0</v>
      </c>
      <c r="D604" s="3">
        <v>1941</v>
      </c>
      <c r="E604" s="3">
        <v>1941</v>
      </c>
      <c r="F604" t="s">
        <v>2904</v>
      </c>
      <c r="G604" t="s">
        <v>2892</v>
      </c>
      <c r="H604" s="3">
        <v>24.333600000000001</v>
      </c>
      <c r="I604" t="s">
        <v>14549</v>
      </c>
      <c r="J604" t="s">
        <v>10990</v>
      </c>
      <c r="L604" t="s">
        <v>2905</v>
      </c>
      <c r="M604" t="str">
        <f>"https://www.artic.edu/iiif/2/"&amp;Table9[[#This Row],[Image ID]]&amp;"/full/843,/0/default.jpg"</f>
        <v>https://www.artic.edu/iiif/2/1536f8df-71e0-25c5-600f-a5d298d97e6e/full/843,/0/default.jpg</v>
      </c>
      <c r="N604" s="3">
        <v>0.875</v>
      </c>
      <c r="O604" s="3">
        <v>0.125</v>
      </c>
      <c r="P604" s="3">
        <v>0.75</v>
      </c>
      <c r="Q604" s="3">
        <v>0.87220549583435003</v>
      </c>
    </row>
    <row r="605" spans="1:17" x14ac:dyDescent="0.45">
      <c r="A605" s="3">
        <v>33219</v>
      </c>
      <c r="B605" t="b">
        <v>0</v>
      </c>
      <c r="C605" t="b">
        <v>0</v>
      </c>
      <c r="D605" s="3">
        <v>1968</v>
      </c>
      <c r="E605" s="3">
        <v>1968</v>
      </c>
      <c r="F605" t="s">
        <v>7076</v>
      </c>
      <c r="G605" t="s">
        <v>59</v>
      </c>
      <c r="H605" s="3">
        <v>0</v>
      </c>
      <c r="I605" t="s">
        <v>5985</v>
      </c>
      <c r="J605" t="s">
        <v>11292</v>
      </c>
      <c r="L605" t="s">
        <v>7077</v>
      </c>
      <c r="M605" t="str">
        <f>"https://www.artic.edu/iiif/2/"&amp;Table9[[#This Row],[Image ID]]&amp;"/full/843,/0/default.jpg"</f>
        <v>https://www.artic.edu/iiif/2/17183011-05ab-8948-2a24-c4e703615af0/full/843,/0/default.jpg</v>
      </c>
      <c r="N605" s="3">
        <v>0.77500000000000002</v>
      </c>
      <c r="O605" s="3">
        <v>2.5000000000000001E-2</v>
      </c>
      <c r="P605" s="3">
        <v>0.75</v>
      </c>
      <c r="Q605" s="3">
        <v>0.80773496627807595</v>
      </c>
    </row>
    <row r="606" spans="1:17" x14ac:dyDescent="0.45">
      <c r="A606" s="3">
        <v>129139</v>
      </c>
      <c r="B606" t="b">
        <v>0</v>
      </c>
      <c r="C606" t="b">
        <v>0</v>
      </c>
      <c r="D606" s="3">
        <v>1944</v>
      </c>
      <c r="E606" s="3">
        <v>1944</v>
      </c>
      <c r="F606" t="s">
        <v>11</v>
      </c>
      <c r="G606" t="s">
        <v>2857</v>
      </c>
      <c r="H606" s="3">
        <v>53.924700000000001</v>
      </c>
      <c r="I606" t="s">
        <v>14549</v>
      </c>
      <c r="J606" t="s">
        <v>11294</v>
      </c>
      <c r="L606" t="s">
        <v>2859</v>
      </c>
      <c r="M606" t="str">
        <f>"https://www.artic.edu/iiif/2/"&amp;Table9[[#This Row],[Image ID]]&amp;"/full/843,/0/default.jpg"</f>
        <v>https://www.artic.edu/iiif/2/17364cef-e6b3-00c3-9252-1be884abc116/full/843,/0/default.jpg</v>
      </c>
      <c r="N606" s="3">
        <v>0.85</v>
      </c>
      <c r="O606" s="3">
        <v>0.1</v>
      </c>
      <c r="P606" s="3">
        <v>0.75</v>
      </c>
      <c r="Q606" s="3">
        <v>0.83171933889389005</v>
      </c>
    </row>
    <row r="607" spans="1:17" x14ac:dyDescent="0.45">
      <c r="A607" s="3">
        <v>111054</v>
      </c>
      <c r="B607" t="b">
        <v>0</v>
      </c>
      <c r="C607" t="b">
        <v>0</v>
      </c>
      <c r="D607" s="3">
        <v>1942</v>
      </c>
      <c r="E607" s="3">
        <v>1942</v>
      </c>
      <c r="F607" t="s">
        <v>1009</v>
      </c>
      <c r="G607" t="s">
        <v>1010</v>
      </c>
      <c r="H607" s="3">
        <v>42.769199999999998</v>
      </c>
      <c r="I607" t="s">
        <v>1011</v>
      </c>
      <c r="J607" t="s">
        <v>11671</v>
      </c>
      <c r="L607" t="s">
        <v>1012</v>
      </c>
      <c r="M607" t="str">
        <f>"https://www.artic.edu/iiif/2/"&amp;Table9[[#This Row],[Image ID]]&amp;"/full/843,/0/default.jpg"</f>
        <v>https://www.artic.edu/iiif/2/2fbef2b0-aaf0-cf7d-d0d0-21aedad0431f/full/843,/0/default.jpg</v>
      </c>
      <c r="N607" s="3">
        <v>0.75</v>
      </c>
      <c r="O607" s="3">
        <v>0</v>
      </c>
      <c r="P607" s="3">
        <v>0.75</v>
      </c>
      <c r="Q607" s="3">
        <v>0.868852198123931</v>
      </c>
    </row>
    <row r="608" spans="1:17" x14ac:dyDescent="0.45">
      <c r="A608" s="3">
        <v>60736</v>
      </c>
      <c r="B608" t="b">
        <v>0</v>
      </c>
      <c r="C608" t="b">
        <v>0</v>
      </c>
      <c r="D608" s="3">
        <v>1947</v>
      </c>
      <c r="E608" s="3">
        <v>1947</v>
      </c>
      <c r="F608" t="s">
        <v>6355</v>
      </c>
      <c r="G608" t="s">
        <v>7</v>
      </c>
      <c r="H608" s="3">
        <v>31.485800000000001</v>
      </c>
      <c r="I608" t="s">
        <v>8742</v>
      </c>
      <c r="J608" t="s">
        <v>11676</v>
      </c>
      <c r="L608" t="s">
        <v>8743</v>
      </c>
      <c r="M608" t="str">
        <f>"https://www.artic.edu/iiif/2/"&amp;Table9[[#This Row],[Image ID]]&amp;"/full/843,/0/default.jpg"</f>
        <v>https://www.artic.edu/iiif/2/300f4c4e-5105-3b72-8444-7653874faf6c/full/843,/0/default.jpg</v>
      </c>
      <c r="N608" s="3">
        <v>0.75</v>
      </c>
      <c r="O608" s="3">
        <v>0</v>
      </c>
      <c r="P608" s="3">
        <v>0.75</v>
      </c>
      <c r="Q608" s="3">
        <v>0.88209444284438998</v>
      </c>
    </row>
    <row r="609" spans="1:17" x14ac:dyDescent="0.45">
      <c r="A609" s="3">
        <v>30468</v>
      </c>
      <c r="B609" t="b">
        <v>0</v>
      </c>
      <c r="C609" t="b">
        <v>0</v>
      </c>
      <c r="D609" s="3">
        <v>1935</v>
      </c>
      <c r="E609" s="3">
        <v>1935</v>
      </c>
      <c r="F609" t="s">
        <v>6948</v>
      </c>
      <c r="G609" t="s">
        <v>238</v>
      </c>
      <c r="H609" s="3">
        <v>54.539099999999998</v>
      </c>
      <c r="I609" t="s">
        <v>4769</v>
      </c>
      <c r="J609" t="s">
        <v>11687</v>
      </c>
      <c r="L609" t="s">
        <v>6949</v>
      </c>
      <c r="M609" t="str">
        <f>"https://www.artic.edu/iiif/2/"&amp;Table9[[#This Row],[Image ID]]&amp;"/full/843,/0/default.jpg"</f>
        <v>https://www.artic.edu/iiif/2/30a451d0-c798-b513-8258-8f039a5818f3/full/843,/0/default.jpg</v>
      </c>
      <c r="N609" s="3">
        <v>0.77500000000000002</v>
      </c>
      <c r="O609" s="3">
        <v>2.5000000000000001E-2</v>
      </c>
      <c r="P609" s="3">
        <v>0.75</v>
      </c>
      <c r="Q609" s="3">
        <v>0.861244797706604</v>
      </c>
    </row>
    <row r="610" spans="1:17" x14ac:dyDescent="0.45">
      <c r="A610" s="3">
        <v>129690</v>
      </c>
      <c r="B610" t="b">
        <v>0</v>
      </c>
      <c r="C610" t="b">
        <v>0</v>
      </c>
      <c r="D610" s="3">
        <v>1941</v>
      </c>
      <c r="E610" s="3">
        <v>1941</v>
      </c>
      <c r="F610" t="s">
        <v>2920</v>
      </c>
      <c r="G610" t="s">
        <v>2892</v>
      </c>
      <c r="H610" s="3">
        <v>36.791899999999998</v>
      </c>
      <c r="I610" t="s">
        <v>14549</v>
      </c>
      <c r="J610" t="s">
        <v>10990</v>
      </c>
      <c r="L610" t="s">
        <v>2921</v>
      </c>
      <c r="M610" t="str">
        <f>"https://www.artic.edu/iiif/2/"&amp;Table9[[#This Row],[Image ID]]&amp;"/full/843,/0/default.jpg"</f>
        <v>https://www.artic.edu/iiif/2/35632bc7-7e39-a21f-40af-62ca619422bb/full/843,/0/default.jpg</v>
      </c>
      <c r="N610" s="3">
        <v>0.875</v>
      </c>
      <c r="O610" s="3">
        <v>0.125</v>
      </c>
      <c r="P610" s="3">
        <v>0.75</v>
      </c>
      <c r="Q610" s="3">
        <v>0.86448448896408003</v>
      </c>
    </row>
    <row r="611" spans="1:17" x14ac:dyDescent="0.45">
      <c r="A611" s="3">
        <v>206759</v>
      </c>
      <c r="B611" t="b">
        <v>0</v>
      </c>
      <c r="C611" t="b">
        <v>0</v>
      </c>
      <c r="D611" s="3">
        <v>1935</v>
      </c>
      <c r="E611" s="3">
        <v>1935</v>
      </c>
      <c r="F611" t="s">
        <v>5489</v>
      </c>
      <c r="G611" t="s">
        <v>5490</v>
      </c>
      <c r="H611" s="3">
        <v>8.6527999999999992</v>
      </c>
      <c r="I611" t="s">
        <v>5491</v>
      </c>
      <c r="J611" t="s">
        <v>11786</v>
      </c>
      <c r="L611" t="s">
        <v>5492</v>
      </c>
      <c r="M611" t="str">
        <f>"https://www.artic.edu/iiif/2/"&amp;Table9[[#This Row],[Image ID]]&amp;"/full/843,/0/default.jpg"</f>
        <v>https://www.artic.edu/iiif/2/380c66cd-9616-c1d2-09e6-002afb657148/full/843,/0/default.jpg</v>
      </c>
      <c r="N611" s="3">
        <v>0.8</v>
      </c>
      <c r="O611" s="3">
        <v>0.05</v>
      </c>
      <c r="P611" s="3">
        <v>0.75</v>
      </c>
      <c r="Q611" s="3">
        <v>0.58794027566909701</v>
      </c>
    </row>
    <row r="612" spans="1:17" x14ac:dyDescent="0.45">
      <c r="A612" s="3">
        <v>62294</v>
      </c>
      <c r="B612" t="b">
        <v>0</v>
      </c>
      <c r="C612" t="b">
        <v>0</v>
      </c>
      <c r="D612" s="3">
        <v>1942</v>
      </c>
      <c r="E612" s="3">
        <v>1942</v>
      </c>
      <c r="F612" t="s">
        <v>8875</v>
      </c>
      <c r="G612" t="s">
        <v>7</v>
      </c>
      <c r="H612" s="3">
        <v>41.618400000000001</v>
      </c>
      <c r="I612" t="s">
        <v>5143</v>
      </c>
      <c r="J612" t="s">
        <v>11832</v>
      </c>
      <c r="K612" s="5" t="s">
        <v>45</v>
      </c>
      <c r="L612" t="s">
        <v>8876</v>
      </c>
      <c r="M612" t="str">
        <f>"https://www.artic.edu/iiif/2/"&amp;Table9[[#This Row],[Image ID]]&amp;"/full/843,/0/default.jpg"</f>
        <v>https://www.artic.edu/iiif/2/3a6d468f-7432-7f5c-8790-ff00d902fefb/full/843,/0/default.jpg</v>
      </c>
      <c r="N612" s="3">
        <v>0.77500000000000002</v>
      </c>
      <c r="O612" s="3">
        <v>2.5000000000000001E-2</v>
      </c>
      <c r="P612" s="3">
        <v>0.75</v>
      </c>
      <c r="Q612" s="3">
        <v>0.63505792617797796</v>
      </c>
    </row>
    <row r="613" spans="1:17" x14ac:dyDescent="0.45">
      <c r="A613" s="3">
        <v>21711</v>
      </c>
      <c r="B613" t="b">
        <v>0</v>
      </c>
      <c r="C613" t="b">
        <v>0</v>
      </c>
      <c r="D613" s="3">
        <v>1925</v>
      </c>
      <c r="E613" s="3">
        <v>1935</v>
      </c>
      <c r="F613" t="s">
        <v>5667</v>
      </c>
      <c r="G613" t="s">
        <v>7</v>
      </c>
      <c r="H613" s="3">
        <v>0</v>
      </c>
      <c r="I613" t="s">
        <v>5668</v>
      </c>
      <c r="J613" t="s">
        <v>11834</v>
      </c>
      <c r="L613" t="s">
        <v>5669</v>
      </c>
      <c r="M613" t="str">
        <f>"https://www.artic.edu/iiif/2/"&amp;Table9[[#This Row],[Image ID]]&amp;"/full/843,/0/default.jpg"</f>
        <v>https://www.artic.edu/iiif/2/3aa93fcf-ff26-346c-796f-db89e86af84f/full/843,/0/default.jpg</v>
      </c>
      <c r="N613" s="3">
        <v>0.82499999999999996</v>
      </c>
      <c r="O613" s="3">
        <v>7.4999999999999997E-2</v>
      </c>
      <c r="P613" s="3">
        <v>0.75</v>
      </c>
      <c r="Q613" s="3">
        <v>0.78496390581130904</v>
      </c>
    </row>
    <row r="614" spans="1:17" x14ac:dyDescent="0.45">
      <c r="A614" s="3">
        <v>58141</v>
      </c>
      <c r="B614" t="b">
        <v>0</v>
      </c>
      <c r="C614" t="b">
        <v>0</v>
      </c>
      <c r="D614" s="3">
        <v>1935</v>
      </c>
      <c r="E614" s="3">
        <v>1935</v>
      </c>
      <c r="F614" t="s">
        <v>8504</v>
      </c>
      <c r="G614" t="s">
        <v>75</v>
      </c>
      <c r="H614" s="3">
        <v>25.421600000000002</v>
      </c>
      <c r="I614" t="s">
        <v>1512</v>
      </c>
      <c r="J614" t="s">
        <v>11857</v>
      </c>
      <c r="L614" t="s">
        <v>8505</v>
      </c>
      <c r="M614" t="str">
        <f>"https://www.artic.edu/iiif/2/"&amp;Table9[[#This Row],[Image ID]]&amp;"/full/843,/0/default.jpg"</f>
        <v>https://www.artic.edu/iiif/2/3bf9c648-ae7c-c741-4be9-4b9858a98760/full/843,/0/default.jpg</v>
      </c>
      <c r="N614" s="3">
        <v>0.82499999999999996</v>
      </c>
      <c r="O614" s="3">
        <v>7.4999999999999997E-2</v>
      </c>
      <c r="P614" s="3">
        <v>0.75</v>
      </c>
      <c r="Q614" s="3">
        <v>0.787766933441162</v>
      </c>
    </row>
    <row r="615" spans="1:17" x14ac:dyDescent="0.45">
      <c r="A615" s="3">
        <v>20430</v>
      </c>
      <c r="B615" t="b">
        <v>0</v>
      </c>
      <c r="C615" t="b">
        <v>0</v>
      </c>
      <c r="D615" s="3">
        <v>1962</v>
      </c>
      <c r="E615" s="3">
        <v>1962</v>
      </c>
      <c r="F615" t="s">
        <v>5403</v>
      </c>
      <c r="G615" t="s">
        <v>5404</v>
      </c>
      <c r="H615" s="3">
        <v>88.976900000000001</v>
      </c>
      <c r="I615" t="s">
        <v>3769</v>
      </c>
      <c r="J615" t="s">
        <v>11920</v>
      </c>
      <c r="L615" t="s">
        <v>5405</v>
      </c>
      <c r="M615" t="str">
        <f>"https://www.artic.edu/iiif/2/"&amp;Table9[[#This Row],[Image ID]]&amp;"/full/843,/0/default.jpg"</f>
        <v>https://www.artic.edu/iiif/2/4046d671-e4ba-a5d4-ca3f-9e1aeed5b21d/full/843,/0/default.jpg</v>
      </c>
      <c r="N615" s="3">
        <v>0.77500000000000002</v>
      </c>
      <c r="O615" s="3">
        <v>2.5000000000000001E-2</v>
      </c>
      <c r="P615" s="3">
        <v>0.75</v>
      </c>
      <c r="Q615" s="3">
        <v>0.868785440921783</v>
      </c>
    </row>
    <row r="616" spans="1:17" x14ac:dyDescent="0.45">
      <c r="A616" s="3">
        <v>109886</v>
      </c>
      <c r="B616" t="b">
        <v>0</v>
      </c>
      <c r="C616" t="b">
        <v>0</v>
      </c>
      <c r="D616" s="3">
        <v>1968</v>
      </c>
      <c r="E616" s="3">
        <v>1968</v>
      </c>
      <c r="F616" t="s">
        <v>856</v>
      </c>
      <c r="G616" t="s">
        <v>59</v>
      </c>
      <c r="H616" s="3">
        <v>112.1609</v>
      </c>
      <c r="I616" t="s">
        <v>857</v>
      </c>
      <c r="J616" t="s">
        <v>6669</v>
      </c>
      <c r="L616" t="s">
        <v>858</v>
      </c>
      <c r="M616" t="str">
        <f>"https://www.artic.edu/iiif/2/"&amp;Table9[[#This Row],[Image ID]]&amp;"/full/843,/0/default.jpg"</f>
        <v>https://www.artic.edu/iiif/2/408a289f-593e-6abc-33d5-7b4bccdec9be/full/843,/0/default.jpg</v>
      </c>
      <c r="N616" s="3">
        <v>0.77500000000000002</v>
      </c>
      <c r="O616" s="3">
        <v>2.5000000000000001E-2</v>
      </c>
      <c r="P616" s="3">
        <v>0.75</v>
      </c>
      <c r="Q616" s="3">
        <v>0.76719611883163397</v>
      </c>
    </row>
    <row r="617" spans="1:17" x14ac:dyDescent="0.45">
      <c r="A617" s="3">
        <v>184851</v>
      </c>
      <c r="B617" t="b">
        <v>0</v>
      </c>
      <c r="C617" t="b">
        <v>0</v>
      </c>
      <c r="D617" s="3">
        <v>2003</v>
      </c>
      <c r="E617" s="3">
        <v>2003</v>
      </c>
      <c r="F617" t="s">
        <v>4851</v>
      </c>
      <c r="G617" t="s">
        <v>4823</v>
      </c>
      <c r="H617" s="3">
        <v>8.4871999999999996</v>
      </c>
      <c r="I617" t="s">
        <v>293</v>
      </c>
      <c r="J617" t="s">
        <v>10977</v>
      </c>
      <c r="K617" s="5" t="s">
        <v>15</v>
      </c>
      <c r="L617" t="s">
        <v>4852</v>
      </c>
      <c r="M617" t="str">
        <f>"https://www.artic.edu/iiif/2/"&amp;Table9[[#This Row],[Image ID]]&amp;"/full/843,/0/default.jpg"</f>
        <v>https://www.artic.edu/iiif/2/41903462-2035-5239-6348-2264f0e55acb/full/843,/0/default.jpg</v>
      </c>
      <c r="N617" s="3">
        <v>0.82499999999999996</v>
      </c>
      <c r="O617" s="3">
        <v>7.4999999999999997E-2</v>
      </c>
      <c r="P617" s="3">
        <v>0.75</v>
      </c>
      <c r="Q617" s="3">
        <v>0.86860030889511097</v>
      </c>
    </row>
    <row r="618" spans="1:17" x14ac:dyDescent="0.45">
      <c r="A618" s="3">
        <v>122230</v>
      </c>
      <c r="B618" t="b">
        <v>0</v>
      </c>
      <c r="C618" t="b">
        <v>0</v>
      </c>
      <c r="D618" s="3">
        <v>1926</v>
      </c>
      <c r="E618" s="3">
        <v>1926</v>
      </c>
      <c r="F618" t="s">
        <v>231</v>
      </c>
      <c r="G618" t="s">
        <v>2695</v>
      </c>
      <c r="H618" s="3">
        <v>43.085099999999997</v>
      </c>
      <c r="I618" t="s">
        <v>2696</v>
      </c>
      <c r="J618" t="s">
        <v>11951</v>
      </c>
      <c r="K618" s="5" t="s">
        <v>9</v>
      </c>
      <c r="L618" t="s">
        <v>2697</v>
      </c>
      <c r="M618" t="str">
        <f>"https://www.artic.edu/iiif/2/"&amp;Table9[[#This Row],[Image ID]]&amp;"/full/843,/0/default.jpg"</f>
        <v>https://www.artic.edu/iiif/2/42411c30-02ce-1972-be90-06720ee774fd/full/843,/0/default.jpg</v>
      </c>
      <c r="N618" s="3">
        <v>0.75</v>
      </c>
      <c r="O618" s="3">
        <v>0</v>
      </c>
      <c r="P618" s="3">
        <v>0.75</v>
      </c>
      <c r="Q618" s="3">
        <v>0.65422135591506902</v>
      </c>
    </row>
    <row r="619" spans="1:17" x14ac:dyDescent="0.45">
      <c r="A619" s="3">
        <v>184925</v>
      </c>
      <c r="B619" t="b">
        <v>0</v>
      </c>
      <c r="C619" t="b">
        <v>0</v>
      </c>
      <c r="D619" s="3">
        <v>2003</v>
      </c>
      <c r="E619" s="3">
        <v>2003</v>
      </c>
      <c r="F619" t="s">
        <v>4908</v>
      </c>
      <c r="G619" t="s">
        <v>4823</v>
      </c>
      <c r="H619" s="3">
        <v>12.0503</v>
      </c>
      <c r="I619" t="s">
        <v>293</v>
      </c>
      <c r="J619" t="s">
        <v>10977</v>
      </c>
      <c r="K619" s="5" t="s">
        <v>15</v>
      </c>
      <c r="L619" t="s">
        <v>4909</v>
      </c>
      <c r="M619" t="str">
        <f>"https://www.artic.edu/iiif/2/"&amp;Table9[[#This Row],[Image ID]]&amp;"/full/843,/0/default.jpg"</f>
        <v>https://www.artic.edu/iiif/2/42dbbda6-67fb-eb5a-3df4-1c12d16d887b/full/843,/0/default.jpg</v>
      </c>
      <c r="N619" s="3">
        <v>0.77500000000000002</v>
      </c>
      <c r="O619" s="3">
        <v>2.5000000000000001E-2</v>
      </c>
      <c r="P619" s="3">
        <v>0.75</v>
      </c>
      <c r="Q619" s="3">
        <v>0.73435783386230402</v>
      </c>
    </row>
    <row r="620" spans="1:17" x14ac:dyDescent="0.45">
      <c r="A620" s="3">
        <v>129845</v>
      </c>
      <c r="B620" t="b">
        <v>0</v>
      </c>
      <c r="C620" t="b">
        <v>0</v>
      </c>
      <c r="D620" s="3">
        <v>1954</v>
      </c>
      <c r="E620" s="3">
        <v>1954</v>
      </c>
      <c r="F620" t="s">
        <v>2953</v>
      </c>
      <c r="G620" t="s">
        <v>2954</v>
      </c>
      <c r="H620" s="3">
        <v>24.167100000000001</v>
      </c>
      <c r="I620" t="s">
        <v>2389</v>
      </c>
      <c r="J620" t="s">
        <v>12069</v>
      </c>
      <c r="L620" t="s">
        <v>2955</v>
      </c>
      <c r="M620" t="str">
        <f>"https://www.artic.edu/iiif/2/"&amp;Table9[[#This Row],[Image ID]]&amp;"/full/843,/0/default.jpg"</f>
        <v>https://www.artic.edu/iiif/2/4b60f66e-6090-4c96-af9d-5cc8f21979a3/full/843,/0/default.jpg</v>
      </c>
      <c r="N620" s="3">
        <v>0.82499999999999996</v>
      </c>
      <c r="O620" s="3">
        <v>7.4999999999999997E-2</v>
      </c>
      <c r="P620" s="3">
        <v>0.75</v>
      </c>
      <c r="Q620" s="3">
        <v>0.77448672056198098</v>
      </c>
    </row>
    <row r="621" spans="1:17" x14ac:dyDescent="0.45">
      <c r="A621" s="3">
        <v>238752</v>
      </c>
      <c r="B621" t="b">
        <v>0</v>
      </c>
      <c r="C621" t="b">
        <v>0</v>
      </c>
      <c r="D621" s="3">
        <v>1957</v>
      </c>
      <c r="E621" s="3">
        <v>1957</v>
      </c>
      <c r="F621" t="s">
        <v>6328</v>
      </c>
      <c r="G621" t="s">
        <v>6329</v>
      </c>
      <c r="H621" s="3">
        <v>39.1447</v>
      </c>
      <c r="I621" t="s">
        <v>14581</v>
      </c>
      <c r="J621" t="s">
        <v>12092</v>
      </c>
      <c r="L621" t="s">
        <v>6330</v>
      </c>
      <c r="M621" t="str">
        <f>"https://www.artic.edu/iiif/2/"&amp;Table9[[#This Row],[Image ID]]&amp;"/full/843,/0/default.jpg"</f>
        <v>https://www.artic.edu/iiif/2/4cfa88ec-3200-e5c9-26d4-8d0bb6fb9aba/full/843,/0/default.jpg</v>
      </c>
      <c r="N621" s="3">
        <v>0.875</v>
      </c>
      <c r="O621" s="3">
        <v>0.125</v>
      </c>
      <c r="P621" s="3">
        <v>0.75</v>
      </c>
      <c r="Q621" s="3">
        <v>0.88436698913574197</v>
      </c>
    </row>
    <row r="622" spans="1:17" x14ac:dyDescent="0.45">
      <c r="A622" s="3">
        <v>209555</v>
      </c>
      <c r="B622" t="b">
        <v>0</v>
      </c>
      <c r="C622" t="b">
        <v>0</v>
      </c>
      <c r="D622" s="3">
        <v>1938</v>
      </c>
      <c r="E622" s="3">
        <v>1938</v>
      </c>
      <c r="F622" t="s">
        <v>5531</v>
      </c>
      <c r="G622" t="s">
        <v>5532</v>
      </c>
      <c r="H622" s="3">
        <v>51.29</v>
      </c>
      <c r="I622" t="s">
        <v>2367</v>
      </c>
      <c r="J622" t="s">
        <v>12140</v>
      </c>
      <c r="K622" s="5" t="s">
        <v>2</v>
      </c>
      <c r="L622" t="s">
        <v>5533</v>
      </c>
      <c r="M622" t="str">
        <f>"https://www.artic.edu/iiif/2/"&amp;Table9[[#This Row],[Image ID]]&amp;"/full/843,/0/default.jpg"</f>
        <v>https://www.artic.edu/iiif/2/50a91e0a-249a-3297-687f-0c276dfdfbca/full/843,/0/default.jpg</v>
      </c>
      <c r="N622" s="3">
        <v>0.82499999999999996</v>
      </c>
      <c r="O622" s="3">
        <v>7.4999999999999997E-2</v>
      </c>
      <c r="P622" s="3">
        <v>0.75</v>
      </c>
      <c r="Q622" s="3">
        <v>0.83763062953948897</v>
      </c>
    </row>
    <row r="623" spans="1:17" x14ac:dyDescent="0.45">
      <c r="A623" s="3">
        <v>204396</v>
      </c>
      <c r="B623" t="b">
        <v>0</v>
      </c>
      <c r="C623" t="b">
        <v>0</v>
      </c>
      <c r="D623" s="3">
        <v>1965</v>
      </c>
      <c r="E623" s="3">
        <v>1965</v>
      </c>
      <c r="F623" t="s">
        <v>5406</v>
      </c>
      <c r="G623" t="s">
        <v>5407</v>
      </c>
      <c r="H623" s="3">
        <v>43.923999999999999</v>
      </c>
      <c r="I623" t="s">
        <v>3782</v>
      </c>
      <c r="J623" t="s">
        <v>12147</v>
      </c>
      <c r="L623" t="s">
        <v>5408</v>
      </c>
      <c r="M623" t="str">
        <f>"https://www.artic.edu/iiif/2/"&amp;Table9[[#This Row],[Image ID]]&amp;"/full/843,/0/default.jpg"</f>
        <v>https://www.artic.edu/iiif/2/50e695e0-54a6-13fa-c5cc-120cfa76a759/full/843,/0/default.jpg</v>
      </c>
      <c r="N623" s="3">
        <v>0.85</v>
      </c>
      <c r="O623" s="3">
        <v>0.1</v>
      </c>
      <c r="P623" s="3">
        <v>0.75</v>
      </c>
      <c r="Q623" s="3">
        <v>0.92195087671279896</v>
      </c>
    </row>
    <row r="624" spans="1:17" x14ac:dyDescent="0.45">
      <c r="A624" s="3">
        <v>93349</v>
      </c>
      <c r="B624" t="b">
        <v>0</v>
      </c>
      <c r="C624" t="b">
        <v>0</v>
      </c>
      <c r="D624" s="3">
        <v>1961</v>
      </c>
      <c r="E624" s="3">
        <v>1987</v>
      </c>
      <c r="F624" t="s">
        <v>11</v>
      </c>
      <c r="G624" t="s">
        <v>10579</v>
      </c>
      <c r="H624" s="3">
        <v>37.486400000000003</v>
      </c>
      <c r="I624" t="s">
        <v>493</v>
      </c>
      <c r="J624" t="s">
        <v>12169</v>
      </c>
      <c r="L624" t="s">
        <v>10580</v>
      </c>
      <c r="M624" t="str">
        <f>"https://www.artic.edu/iiif/2/"&amp;Table9[[#This Row],[Image ID]]&amp;"/full/843,/0/default.jpg"</f>
        <v>https://www.artic.edu/iiif/2/51e1adfe-71f4-d91b-1795-d1a52955b1b9/full/843,/0/default.jpg</v>
      </c>
      <c r="N624" s="3">
        <v>0.77500000000000002</v>
      </c>
      <c r="O624" s="3">
        <v>2.5000000000000001E-2</v>
      </c>
      <c r="P624" s="3">
        <v>0.75</v>
      </c>
      <c r="Q624" s="3">
        <v>0.84065860509872403</v>
      </c>
    </row>
    <row r="625" spans="1:17" x14ac:dyDescent="0.45">
      <c r="A625" s="3">
        <v>129677</v>
      </c>
      <c r="B625" t="b">
        <v>0</v>
      </c>
      <c r="C625" t="b">
        <v>0</v>
      </c>
      <c r="D625" s="3">
        <v>1941</v>
      </c>
      <c r="E625" s="3">
        <v>1941</v>
      </c>
      <c r="F625" t="s">
        <v>2896</v>
      </c>
      <c r="G625" t="s">
        <v>2892</v>
      </c>
      <c r="H625" s="3">
        <v>30.8293</v>
      </c>
      <c r="I625" t="s">
        <v>14549</v>
      </c>
      <c r="J625" t="s">
        <v>10990</v>
      </c>
      <c r="L625" t="s">
        <v>2897</v>
      </c>
      <c r="M625" t="str">
        <f>"https://www.artic.edu/iiif/2/"&amp;Table9[[#This Row],[Image ID]]&amp;"/full/843,/0/default.jpg"</f>
        <v>https://www.artic.edu/iiif/2/528dda18-a6e7-2b00-7070-1bc495013839/full/843,/0/default.jpg</v>
      </c>
      <c r="N625" s="3">
        <v>0.85</v>
      </c>
      <c r="O625" s="3">
        <v>0.1</v>
      </c>
      <c r="P625" s="3">
        <v>0.75</v>
      </c>
      <c r="Q625" s="3">
        <v>0.81295353174209595</v>
      </c>
    </row>
    <row r="626" spans="1:17" x14ac:dyDescent="0.45">
      <c r="A626" s="3">
        <v>104262</v>
      </c>
      <c r="B626" t="b">
        <v>0</v>
      </c>
      <c r="C626" t="b">
        <v>0</v>
      </c>
      <c r="D626" s="3">
        <v>1981</v>
      </c>
      <c r="E626" s="3">
        <v>1981</v>
      </c>
      <c r="F626" t="s">
        <v>384</v>
      </c>
      <c r="G626" t="s">
        <v>385</v>
      </c>
      <c r="H626" s="3">
        <v>7.0304000000000002</v>
      </c>
      <c r="I626" t="s">
        <v>378</v>
      </c>
      <c r="J626" t="s">
        <v>12215</v>
      </c>
      <c r="K626" s="5" t="s">
        <v>45</v>
      </c>
      <c r="L626" t="s">
        <v>386</v>
      </c>
      <c r="M626" t="str">
        <f>"https://www.artic.edu/iiif/2/"&amp;Table9[[#This Row],[Image ID]]&amp;"/full/843,/0/default.jpg"</f>
        <v>https://www.artic.edu/iiif/2/54bf85b0-7d74-b37a-462d-a072439b165b/full/843,/0/default.jpg</v>
      </c>
      <c r="N626" s="3">
        <v>0.82499999999999996</v>
      </c>
      <c r="O626" s="3">
        <v>7.4999999999999997E-2</v>
      </c>
      <c r="P626" s="3">
        <v>0.75</v>
      </c>
      <c r="Q626" s="3">
        <v>0.81701159477233798</v>
      </c>
    </row>
    <row r="627" spans="1:17" x14ac:dyDescent="0.45">
      <c r="A627" s="3">
        <v>184092</v>
      </c>
      <c r="B627" t="b">
        <v>0</v>
      </c>
      <c r="C627" t="b">
        <v>0</v>
      </c>
      <c r="D627" s="3">
        <v>2003</v>
      </c>
      <c r="E627" s="3">
        <v>2003</v>
      </c>
      <c r="F627" t="s">
        <v>4692</v>
      </c>
      <c r="G627" t="s">
        <v>2241</v>
      </c>
      <c r="H627" s="3">
        <v>11.830399999999999</v>
      </c>
      <c r="I627" t="s">
        <v>4791</v>
      </c>
      <c r="J627" t="s">
        <v>12218</v>
      </c>
      <c r="K627" s="5" t="s">
        <v>15</v>
      </c>
      <c r="L627" t="s">
        <v>4801</v>
      </c>
      <c r="M627" t="str">
        <f>"https://www.artic.edu/iiif/2/"&amp;Table9[[#This Row],[Image ID]]&amp;"/full/843,/0/default.jpg"</f>
        <v>https://www.artic.edu/iiif/2/54ffe8fc-43b5-e86f-8aa1-f975d6d6f271/full/843,/0/default.jpg</v>
      </c>
      <c r="N627" s="3">
        <v>0.82499999999999996</v>
      </c>
      <c r="O627" s="3">
        <v>7.4999999999999997E-2</v>
      </c>
      <c r="P627" s="3">
        <v>0.75</v>
      </c>
      <c r="Q627" s="3">
        <v>0.80302655696868896</v>
      </c>
    </row>
    <row r="628" spans="1:17" x14ac:dyDescent="0.45">
      <c r="A628" s="3">
        <v>66190</v>
      </c>
      <c r="B628" t="b">
        <v>0</v>
      </c>
      <c r="C628" t="b">
        <v>0</v>
      </c>
      <c r="D628" s="3">
        <v>1967</v>
      </c>
      <c r="E628" s="3">
        <v>1967</v>
      </c>
      <c r="F628" t="s">
        <v>9217</v>
      </c>
      <c r="G628" t="s">
        <v>9218</v>
      </c>
      <c r="H628" s="3">
        <v>72.849900000000005</v>
      </c>
      <c r="I628" t="s">
        <v>804</v>
      </c>
      <c r="J628" t="s">
        <v>12261</v>
      </c>
      <c r="L628" t="s">
        <v>9219</v>
      </c>
      <c r="M628" t="str">
        <f>"https://www.artic.edu/iiif/2/"&amp;Table9[[#This Row],[Image ID]]&amp;"/full/843,/0/default.jpg"</f>
        <v>https://www.artic.edu/iiif/2/57985cf5-e78b-43b8-f136-130b37160a2c/full/843,/0/default.jpg</v>
      </c>
      <c r="N628" s="3">
        <v>0.77500000000000002</v>
      </c>
      <c r="O628" s="3">
        <v>2.5000000000000001E-2</v>
      </c>
      <c r="P628" s="3">
        <v>0.75</v>
      </c>
      <c r="Q628" s="3">
        <v>0.83644062280654896</v>
      </c>
    </row>
    <row r="629" spans="1:17" x14ac:dyDescent="0.45">
      <c r="A629" s="3">
        <v>93344</v>
      </c>
      <c r="B629" t="b">
        <v>0</v>
      </c>
      <c r="C629" t="b">
        <v>0</v>
      </c>
      <c r="D629" s="3">
        <v>1964</v>
      </c>
      <c r="E629" s="3">
        <v>1964</v>
      </c>
      <c r="F629" t="s">
        <v>10577</v>
      </c>
      <c r="G629" t="s">
        <v>7</v>
      </c>
      <c r="H629" s="3">
        <v>11.864800000000001</v>
      </c>
      <c r="I629" t="s">
        <v>52</v>
      </c>
      <c r="J629" t="s">
        <v>12301</v>
      </c>
      <c r="L629" t="s">
        <v>10578</v>
      </c>
      <c r="M629" t="str">
        <f>"https://www.artic.edu/iiif/2/"&amp;Table9[[#This Row],[Image ID]]&amp;"/full/843,/0/default.jpg"</f>
        <v>https://www.artic.edu/iiif/2/5ac548fe-ae9c-f234-e7e0-e0a4e6dac669/full/843,/0/default.jpg</v>
      </c>
      <c r="N629" s="3">
        <v>0.82499999999999996</v>
      </c>
      <c r="O629" s="3">
        <v>7.4999999999999997E-2</v>
      </c>
      <c r="P629" s="3">
        <v>0.75</v>
      </c>
      <c r="Q629" s="3">
        <v>0.75826114416122403</v>
      </c>
    </row>
    <row r="630" spans="1:17" x14ac:dyDescent="0.45">
      <c r="A630" s="3">
        <v>107044</v>
      </c>
      <c r="B630" t="b">
        <v>0</v>
      </c>
      <c r="C630" t="b">
        <v>0</v>
      </c>
      <c r="D630" s="3">
        <v>1960</v>
      </c>
      <c r="E630" s="3">
        <v>1970</v>
      </c>
      <c r="F630" t="s">
        <v>600</v>
      </c>
      <c r="G630" t="s">
        <v>601</v>
      </c>
      <c r="H630" s="3">
        <v>67.2226</v>
      </c>
      <c r="I630" t="s">
        <v>599</v>
      </c>
      <c r="J630" t="s">
        <v>12319</v>
      </c>
      <c r="L630" t="s">
        <v>602</v>
      </c>
      <c r="M630" t="str">
        <f>"https://www.artic.edu/iiif/2/"&amp;Table9[[#This Row],[Image ID]]&amp;"/full/843,/0/default.jpg"</f>
        <v>https://www.artic.edu/iiif/2/5bf1656d-7dc0-f084-68af-20b26f731f76/full/843,/0/default.jpg</v>
      </c>
      <c r="N630" s="3">
        <v>0.77500000000000002</v>
      </c>
      <c r="O630" s="3">
        <v>2.5000000000000001E-2</v>
      </c>
      <c r="P630" s="3">
        <v>0.75</v>
      </c>
      <c r="Q630" s="3">
        <v>0.714333236217498</v>
      </c>
    </row>
    <row r="631" spans="1:17" x14ac:dyDescent="0.45">
      <c r="A631" s="3">
        <v>104230</v>
      </c>
      <c r="B631" t="b">
        <v>0</v>
      </c>
      <c r="C631" t="b">
        <v>0</v>
      </c>
      <c r="D631" s="3">
        <v>1923</v>
      </c>
      <c r="E631" s="3">
        <v>1923</v>
      </c>
      <c r="F631" t="s">
        <v>360</v>
      </c>
      <c r="G631" t="s">
        <v>361</v>
      </c>
      <c r="H631" s="3">
        <v>24.377700000000001</v>
      </c>
      <c r="I631" t="s">
        <v>362</v>
      </c>
      <c r="J631" t="s">
        <v>12363</v>
      </c>
      <c r="L631" t="s">
        <v>363</v>
      </c>
      <c r="M631" t="str">
        <f>"https://www.artic.edu/iiif/2/"&amp;Table9[[#This Row],[Image ID]]&amp;"/full/843,/0/default.jpg"</f>
        <v>https://www.artic.edu/iiif/2/5ef4c24c-dba6-7242-1708-8f767ca89e5d/full/843,/0/default.jpg</v>
      </c>
      <c r="N631" s="3">
        <v>0.85</v>
      </c>
      <c r="O631" s="3">
        <v>0.1</v>
      </c>
      <c r="P631" s="3">
        <v>0.75</v>
      </c>
      <c r="Q631" s="3">
        <v>0.88850939273834195</v>
      </c>
    </row>
    <row r="632" spans="1:17" x14ac:dyDescent="0.45">
      <c r="A632" s="3">
        <v>59820</v>
      </c>
      <c r="B632" t="b">
        <v>0</v>
      </c>
      <c r="C632" t="b">
        <v>0</v>
      </c>
      <c r="D632" s="3">
        <v>1932</v>
      </c>
      <c r="E632" s="3">
        <v>1932</v>
      </c>
      <c r="F632" t="s">
        <v>8585</v>
      </c>
      <c r="G632" t="s">
        <v>8586</v>
      </c>
      <c r="H632" s="3">
        <v>28.944500000000001</v>
      </c>
      <c r="I632" t="s">
        <v>1512</v>
      </c>
      <c r="J632" t="s">
        <v>12471</v>
      </c>
      <c r="K632" s="5" t="s">
        <v>45</v>
      </c>
      <c r="L632" t="s">
        <v>8587</v>
      </c>
      <c r="M632" t="str">
        <f>"https://www.artic.edu/iiif/2/"&amp;Table9[[#This Row],[Image ID]]&amp;"/full/843,/0/default.jpg"</f>
        <v>https://www.artic.edu/iiif/2/6669679c-0fb7-eb39-74d5-6e827f9e0dab/full/843,/0/default.jpg</v>
      </c>
      <c r="N632" s="3">
        <v>0.77500000000000002</v>
      </c>
      <c r="O632" s="3">
        <v>2.5000000000000001E-2</v>
      </c>
      <c r="P632" s="3">
        <v>0.75</v>
      </c>
      <c r="Q632" s="3">
        <v>0.561054527759552</v>
      </c>
    </row>
    <row r="633" spans="1:17" x14ac:dyDescent="0.45">
      <c r="A633" s="3">
        <v>220552</v>
      </c>
      <c r="B633" t="b">
        <v>0</v>
      </c>
      <c r="C633" t="b">
        <v>0</v>
      </c>
      <c r="D633" s="3">
        <v>1996</v>
      </c>
      <c r="E633" s="3">
        <v>1996</v>
      </c>
      <c r="F633" t="s">
        <v>11</v>
      </c>
      <c r="G633" t="s">
        <v>5014</v>
      </c>
      <c r="H633" s="3">
        <v>5.7756999999999996</v>
      </c>
      <c r="I633" t="s">
        <v>5781</v>
      </c>
      <c r="J633" t="s">
        <v>11175</v>
      </c>
      <c r="L633" t="s">
        <v>5796</v>
      </c>
      <c r="M633" t="str">
        <f>"https://www.artic.edu/iiif/2/"&amp;Table9[[#This Row],[Image ID]]&amp;"/full/843,/0/default.jpg"</f>
        <v>https://www.artic.edu/iiif/2/6bb2e167-114d-f018-aab0-e4cf57af0392/full/843,/0/default.jpg</v>
      </c>
      <c r="N633" s="3">
        <v>0.92500000000000004</v>
      </c>
      <c r="O633" s="3">
        <v>0.17499999999999999</v>
      </c>
      <c r="P633" s="3">
        <v>0.75</v>
      </c>
      <c r="Q633" s="3">
        <v>0.64842480421066195</v>
      </c>
    </row>
    <row r="634" spans="1:17" x14ac:dyDescent="0.45">
      <c r="A634" s="3">
        <v>32825</v>
      </c>
      <c r="B634" t="b">
        <v>0</v>
      </c>
      <c r="C634" t="b">
        <v>0</v>
      </c>
      <c r="D634" s="3">
        <v>1968</v>
      </c>
      <c r="E634" s="3">
        <v>1969</v>
      </c>
      <c r="F634" t="s">
        <v>11</v>
      </c>
      <c r="G634" t="s">
        <v>59</v>
      </c>
      <c r="H634" s="3">
        <v>44.811799999999998</v>
      </c>
      <c r="I634" t="s">
        <v>7065</v>
      </c>
      <c r="J634" t="s">
        <v>12618</v>
      </c>
      <c r="L634" t="s">
        <v>7066</v>
      </c>
      <c r="M634" t="str">
        <f>"https://www.artic.edu/iiif/2/"&amp;Table9[[#This Row],[Image ID]]&amp;"/full/843,/0/default.jpg"</f>
        <v>https://www.artic.edu/iiif/2/70c937e7-5bac-ce09-f7eb-75f25d3e25f2/full/843,/0/default.jpg</v>
      </c>
      <c r="N634" s="3">
        <v>0.8</v>
      </c>
      <c r="O634" s="3">
        <v>0.05</v>
      </c>
      <c r="P634" s="3">
        <v>0.75</v>
      </c>
      <c r="Q634" s="3">
        <v>0.83527028560638406</v>
      </c>
    </row>
    <row r="635" spans="1:17" x14ac:dyDescent="0.45">
      <c r="A635" s="3">
        <v>105207</v>
      </c>
      <c r="B635" t="b">
        <v>0</v>
      </c>
      <c r="C635" t="b">
        <v>0</v>
      </c>
      <c r="D635" s="3">
        <v>1985</v>
      </c>
      <c r="E635" s="3">
        <v>1985</v>
      </c>
      <c r="F635" t="s">
        <v>489</v>
      </c>
      <c r="G635" t="s">
        <v>7</v>
      </c>
      <c r="H635" s="3">
        <v>87.099100000000007</v>
      </c>
      <c r="I635" t="s">
        <v>153</v>
      </c>
      <c r="J635" t="s">
        <v>12643</v>
      </c>
      <c r="L635" t="s">
        <v>490</v>
      </c>
      <c r="M635" t="str">
        <f>"https://www.artic.edu/iiif/2/"&amp;Table9[[#This Row],[Image ID]]&amp;"/full/843,/0/default.jpg"</f>
        <v>https://www.artic.edu/iiif/2/72f0d7ee-878d-d9f9-4550-eb4417490e0d/full/843,/0/default.jpg</v>
      </c>
      <c r="N635" s="3">
        <v>0.875</v>
      </c>
      <c r="O635" s="3">
        <v>0.125</v>
      </c>
      <c r="P635" s="3">
        <v>0.75</v>
      </c>
      <c r="Q635" s="3">
        <v>0.77497595548629705</v>
      </c>
    </row>
    <row r="636" spans="1:17" x14ac:dyDescent="0.45">
      <c r="A636" s="3">
        <v>14804</v>
      </c>
      <c r="B636" t="b">
        <v>0</v>
      </c>
      <c r="C636" t="b">
        <v>0</v>
      </c>
      <c r="D636" s="3">
        <v>1922</v>
      </c>
      <c r="E636" s="3">
        <v>1922</v>
      </c>
      <c r="F636" t="s">
        <v>3695</v>
      </c>
      <c r="G636" t="s">
        <v>3696</v>
      </c>
      <c r="H636" s="3">
        <v>22.686499999999999</v>
      </c>
      <c r="I636" t="s">
        <v>524</v>
      </c>
      <c r="J636" t="s">
        <v>12652</v>
      </c>
      <c r="L636" t="s">
        <v>3697</v>
      </c>
      <c r="M636" t="str">
        <f>"https://www.artic.edu/iiif/2/"&amp;Table9[[#This Row],[Image ID]]&amp;"/full/843,/0/default.jpg"</f>
        <v>https://www.artic.edu/iiif/2/73a5d221-41db-6ed2-c1cd-eb793803e354/full/843,/0/default.jpg</v>
      </c>
      <c r="N636" s="3">
        <v>0.82499999999999996</v>
      </c>
      <c r="O636" s="3">
        <v>7.4999999999999997E-2</v>
      </c>
      <c r="P636" s="3">
        <v>0.75</v>
      </c>
      <c r="Q636" s="3">
        <v>0.65316462516784601</v>
      </c>
    </row>
    <row r="637" spans="1:17" x14ac:dyDescent="0.45">
      <c r="A637" s="3">
        <v>117361</v>
      </c>
      <c r="B637" t="b">
        <v>0</v>
      </c>
      <c r="C637" t="b">
        <v>0</v>
      </c>
      <c r="D637" s="3">
        <v>1943</v>
      </c>
      <c r="E637" s="3">
        <v>1943</v>
      </c>
      <c r="F637" t="s">
        <v>2308</v>
      </c>
      <c r="G637" t="s">
        <v>2309</v>
      </c>
      <c r="H637" s="3">
        <v>44.5246</v>
      </c>
      <c r="I637" t="s">
        <v>1404</v>
      </c>
      <c r="J637" t="s">
        <v>12764</v>
      </c>
      <c r="L637" t="s">
        <v>2310</v>
      </c>
      <c r="M637" t="str">
        <f>"https://www.artic.edu/iiif/2/"&amp;Table9[[#This Row],[Image ID]]&amp;"/full/843,/0/default.jpg"</f>
        <v>https://www.artic.edu/iiif/2/7bf2e45a-5e20-ea74-6c56-89041f8cf7ed/full/843,/0/default.jpg</v>
      </c>
      <c r="N637" s="3">
        <v>0.85</v>
      </c>
      <c r="O637" s="3">
        <v>0.1</v>
      </c>
      <c r="P637" s="3">
        <v>0.75</v>
      </c>
      <c r="Q637" s="3">
        <v>0.76712638139724698</v>
      </c>
    </row>
    <row r="638" spans="1:17" x14ac:dyDescent="0.45">
      <c r="A638" s="3">
        <v>184894</v>
      </c>
      <c r="B638" t="b">
        <v>0</v>
      </c>
      <c r="C638" t="b">
        <v>0</v>
      </c>
      <c r="D638" s="3">
        <v>2003</v>
      </c>
      <c r="E638" s="3">
        <v>2003</v>
      </c>
      <c r="F638" t="s">
        <v>4882</v>
      </c>
      <c r="G638" t="s">
        <v>4823</v>
      </c>
      <c r="H638" s="3">
        <v>8.7771000000000008</v>
      </c>
      <c r="I638" t="s">
        <v>293</v>
      </c>
      <c r="J638" t="s">
        <v>10977</v>
      </c>
      <c r="K638" s="5" t="s">
        <v>15</v>
      </c>
      <c r="L638" t="s">
        <v>4883</v>
      </c>
      <c r="M638" t="str">
        <f>"https://www.artic.edu/iiif/2/"&amp;Table9[[#This Row],[Image ID]]&amp;"/full/843,/0/default.jpg"</f>
        <v>https://www.artic.edu/iiif/2/81cd2ea5-8829-150a-6a93-63a1bafb5d94/full/843,/0/default.jpg</v>
      </c>
      <c r="N638" s="3">
        <v>0.8</v>
      </c>
      <c r="O638" s="3">
        <v>0.05</v>
      </c>
      <c r="P638" s="3">
        <v>0.75</v>
      </c>
      <c r="Q638" s="3">
        <v>0.89211434125900202</v>
      </c>
    </row>
    <row r="639" spans="1:17" x14ac:dyDescent="0.45">
      <c r="A639" s="3">
        <v>66956</v>
      </c>
      <c r="B639" t="b">
        <v>0</v>
      </c>
      <c r="C639" t="b">
        <v>0</v>
      </c>
      <c r="D639" s="3">
        <v>1890</v>
      </c>
      <c r="E639" s="3">
        <v>1905</v>
      </c>
      <c r="F639" t="s">
        <v>9325</v>
      </c>
      <c r="G639" t="s">
        <v>1064</v>
      </c>
      <c r="H639" s="3">
        <v>16.0854</v>
      </c>
      <c r="I639" t="s">
        <v>68</v>
      </c>
      <c r="J639" t="s">
        <v>12848</v>
      </c>
      <c r="L639" t="s">
        <v>9326</v>
      </c>
      <c r="M639" t="str">
        <f>"https://www.artic.edu/iiif/2/"&amp;Table9[[#This Row],[Image ID]]&amp;"/full/843,/0/default.jpg"</f>
        <v>https://www.artic.edu/iiif/2/8271a963-aeb4-a337-4676-1bbe42299a5d/full/843,/0/default.jpg</v>
      </c>
      <c r="N639" s="3">
        <v>0.8</v>
      </c>
      <c r="O639" s="3">
        <v>0.05</v>
      </c>
      <c r="P639" s="3">
        <v>0.75</v>
      </c>
      <c r="Q639" s="3">
        <v>0.93010222911834695</v>
      </c>
    </row>
    <row r="640" spans="1:17" x14ac:dyDescent="0.45">
      <c r="A640" s="3">
        <v>107281</v>
      </c>
      <c r="B640" t="b">
        <v>0</v>
      </c>
      <c r="C640" t="b">
        <v>0</v>
      </c>
      <c r="D640" s="3">
        <v>1968</v>
      </c>
      <c r="E640" s="3">
        <v>1972</v>
      </c>
      <c r="F640" t="s">
        <v>615</v>
      </c>
      <c r="G640" t="s">
        <v>628</v>
      </c>
      <c r="H640" s="3">
        <v>20.1494</v>
      </c>
      <c r="I640" t="s">
        <v>612</v>
      </c>
      <c r="J640" t="s">
        <v>12871</v>
      </c>
      <c r="L640" t="s">
        <v>629</v>
      </c>
      <c r="M640" t="str">
        <f>"https://www.artic.edu/iiif/2/"&amp;Table9[[#This Row],[Image ID]]&amp;"/full/843,/0/default.jpg"</f>
        <v>https://www.artic.edu/iiif/2/837c2448-fc84-bb31-dab2-1be2dd992134/full/843,/0/default.jpg</v>
      </c>
      <c r="N640" s="3">
        <v>0.82499999999999996</v>
      </c>
      <c r="O640" s="3">
        <v>7.4999999999999997E-2</v>
      </c>
      <c r="P640" s="3">
        <v>0.75</v>
      </c>
      <c r="Q640" s="3">
        <v>0.83839583396911599</v>
      </c>
    </row>
    <row r="641" spans="1:17" x14ac:dyDescent="0.45">
      <c r="A641" s="3">
        <v>83638</v>
      </c>
      <c r="B641" t="b">
        <v>0</v>
      </c>
      <c r="C641" t="b">
        <v>0</v>
      </c>
      <c r="D641" s="3">
        <v>1932</v>
      </c>
      <c r="E641" s="3">
        <v>1947</v>
      </c>
      <c r="F641" t="s">
        <v>3104</v>
      </c>
      <c r="G641" t="s">
        <v>10228</v>
      </c>
      <c r="H641" s="3">
        <v>27.580100000000002</v>
      </c>
      <c r="I641" t="s">
        <v>749</v>
      </c>
      <c r="J641" t="s">
        <v>12873</v>
      </c>
      <c r="L641" t="s">
        <v>10229</v>
      </c>
      <c r="M641" t="str">
        <f>"https://www.artic.edu/iiif/2/"&amp;Table9[[#This Row],[Image ID]]&amp;"/full/843,/0/default.jpg"</f>
        <v>https://www.artic.edu/iiif/2/83b2fdf3-9d40-7894-e441-2942593932ef/full/843,/0/default.jpg</v>
      </c>
      <c r="N641" s="3">
        <v>0.77500000000000002</v>
      </c>
      <c r="O641" s="3">
        <v>2.5000000000000001E-2</v>
      </c>
      <c r="P641" s="3">
        <v>0.75</v>
      </c>
      <c r="Q641" s="3">
        <v>0.79160183668136597</v>
      </c>
    </row>
    <row r="642" spans="1:17" x14ac:dyDescent="0.45">
      <c r="A642" s="3">
        <v>65844</v>
      </c>
      <c r="B642" t="b">
        <v>0</v>
      </c>
      <c r="C642" t="b">
        <v>0</v>
      </c>
      <c r="D642" s="3">
        <v>1918</v>
      </c>
      <c r="E642" s="3">
        <v>1918</v>
      </c>
      <c r="F642" t="s">
        <v>9056</v>
      </c>
      <c r="G642" t="s">
        <v>1502</v>
      </c>
      <c r="H642" s="3">
        <v>10.888500000000001</v>
      </c>
      <c r="I642" t="s">
        <v>1423</v>
      </c>
      <c r="J642" t="s">
        <v>12887</v>
      </c>
      <c r="L642" t="s">
        <v>9057</v>
      </c>
      <c r="M642" t="str">
        <f>"https://www.artic.edu/iiif/2/"&amp;Table9[[#This Row],[Image ID]]&amp;"/full/843,/0/default.jpg"</f>
        <v>https://www.artic.edu/iiif/2/84aba3df-921e-614c-a802-cbf3793a6348/full/843,/0/default.jpg</v>
      </c>
      <c r="N642" s="3">
        <v>0.8</v>
      </c>
      <c r="O642" s="3">
        <v>0.05</v>
      </c>
      <c r="P642" s="3">
        <v>0.75</v>
      </c>
      <c r="Q642" s="3">
        <v>0.79914522171020497</v>
      </c>
    </row>
    <row r="643" spans="1:17" x14ac:dyDescent="0.45">
      <c r="A643" s="3">
        <v>109446</v>
      </c>
      <c r="B643" t="b">
        <v>0</v>
      </c>
      <c r="C643" t="b">
        <v>0</v>
      </c>
      <c r="D643" s="3">
        <v>1970</v>
      </c>
      <c r="E643" s="3">
        <v>1970</v>
      </c>
      <c r="F643" t="s">
        <v>792</v>
      </c>
      <c r="G643" t="s">
        <v>789</v>
      </c>
      <c r="H643" s="3">
        <v>131.79040000000001</v>
      </c>
      <c r="I643" t="s">
        <v>758</v>
      </c>
      <c r="J643" t="s">
        <v>13020</v>
      </c>
      <c r="L643" t="s">
        <v>793</v>
      </c>
      <c r="M643" t="str">
        <f>"https://www.artic.edu/iiif/2/"&amp;Table9[[#This Row],[Image ID]]&amp;"/full/843,/0/default.jpg"</f>
        <v>https://www.artic.edu/iiif/2/8f857cd0-d01e-f7bc-bf4e-c54a892eb222/full/843,/0/default.jpg</v>
      </c>
      <c r="N643" s="3">
        <v>0.8</v>
      </c>
      <c r="O643" s="3">
        <v>0.05</v>
      </c>
      <c r="P643" s="3">
        <v>0.75</v>
      </c>
      <c r="Q643" s="3">
        <v>0.91291797161102295</v>
      </c>
    </row>
    <row r="644" spans="1:17" x14ac:dyDescent="0.45">
      <c r="A644" s="3">
        <v>226693</v>
      </c>
      <c r="B644" t="b">
        <v>0</v>
      </c>
      <c r="C644" t="b">
        <v>0</v>
      </c>
      <c r="D644" s="3">
        <v>1970</v>
      </c>
      <c r="E644" s="3">
        <v>1970</v>
      </c>
      <c r="F644" t="s">
        <v>3814</v>
      </c>
      <c r="G644" t="s">
        <v>5975</v>
      </c>
      <c r="H644" s="3">
        <v>33.500500000000002</v>
      </c>
      <c r="I644" t="s">
        <v>5976</v>
      </c>
      <c r="J644" t="s">
        <v>13081</v>
      </c>
      <c r="L644" t="s">
        <v>5977</v>
      </c>
      <c r="M644" t="str">
        <f>"https://www.artic.edu/iiif/2/"&amp;Table9[[#This Row],[Image ID]]&amp;"/full/843,/0/default.jpg"</f>
        <v>https://www.artic.edu/iiif/2/9506a159-b5e0-2a26-f9f4-30fc5705c6b7/full/843,/0/default.jpg</v>
      </c>
      <c r="N644" s="3">
        <v>0.8</v>
      </c>
      <c r="O644" s="3">
        <v>0.05</v>
      </c>
      <c r="P644" s="3">
        <v>0.75</v>
      </c>
      <c r="Q644" s="3">
        <v>0.88075923919677701</v>
      </c>
    </row>
    <row r="645" spans="1:17" x14ac:dyDescent="0.45">
      <c r="A645" s="3">
        <v>237873</v>
      </c>
      <c r="B645" t="b">
        <v>0</v>
      </c>
      <c r="C645" t="b">
        <v>0</v>
      </c>
      <c r="D645" s="3">
        <v>1968</v>
      </c>
      <c r="E645" s="3">
        <v>1968</v>
      </c>
      <c r="F645" t="s">
        <v>6303</v>
      </c>
      <c r="G645" t="s">
        <v>6304</v>
      </c>
      <c r="H645" s="3">
        <v>29.648099999999999</v>
      </c>
      <c r="I645" t="s">
        <v>4806</v>
      </c>
      <c r="J645" t="s">
        <v>13113</v>
      </c>
      <c r="L645" t="s">
        <v>6305</v>
      </c>
      <c r="M645" t="str">
        <f>"https://www.artic.edu/iiif/2/"&amp;Table9[[#This Row],[Image ID]]&amp;"/full/843,/0/default.jpg"</f>
        <v>https://www.artic.edu/iiif/2/97202765-03a0-6875-18d8-c60208f99475/full/843,/0/default.jpg</v>
      </c>
      <c r="N645" s="3">
        <v>0.82499999999999996</v>
      </c>
      <c r="O645" s="3">
        <v>7.4999999999999997E-2</v>
      </c>
      <c r="P645" s="3">
        <v>0.75</v>
      </c>
      <c r="Q645" s="3">
        <v>0.87332648038864102</v>
      </c>
    </row>
    <row r="646" spans="1:17" x14ac:dyDescent="0.45">
      <c r="A646" s="3">
        <v>70038</v>
      </c>
      <c r="B646" t="b">
        <v>0</v>
      </c>
      <c r="C646" t="b">
        <v>0</v>
      </c>
      <c r="D646" s="3">
        <v>1977</v>
      </c>
      <c r="E646" s="3">
        <v>1977</v>
      </c>
      <c r="F646" t="s">
        <v>9427</v>
      </c>
      <c r="G646" t="s">
        <v>7</v>
      </c>
      <c r="H646" s="3">
        <v>32.005899999999997</v>
      </c>
      <c r="I646" t="s">
        <v>144</v>
      </c>
      <c r="J646" t="s">
        <v>6669</v>
      </c>
      <c r="K646" s="5" t="s">
        <v>45</v>
      </c>
      <c r="L646" t="s">
        <v>9428</v>
      </c>
      <c r="M646" t="str">
        <f>"https://www.artic.edu/iiif/2/"&amp;Table9[[#This Row],[Image ID]]&amp;"/full/843,/0/default.jpg"</f>
        <v>https://www.artic.edu/iiif/2/9a342ab4-d9a6-1187-9fe8-54886fd45620/full/843,/0/default.jpg</v>
      </c>
      <c r="N646" s="3">
        <v>0.77500000000000002</v>
      </c>
      <c r="O646" s="3">
        <v>2.5000000000000001E-2</v>
      </c>
      <c r="P646" s="3">
        <v>0.75</v>
      </c>
      <c r="Q646" s="3">
        <v>0.80082935094833296</v>
      </c>
    </row>
    <row r="647" spans="1:17" x14ac:dyDescent="0.45">
      <c r="A647" s="3">
        <v>66436</v>
      </c>
      <c r="B647" t="b">
        <v>0</v>
      </c>
      <c r="C647" t="b">
        <v>0</v>
      </c>
      <c r="D647" s="3">
        <v>1956</v>
      </c>
      <c r="E647" s="3">
        <v>1957</v>
      </c>
      <c r="F647" t="s">
        <v>9279</v>
      </c>
      <c r="G647" t="s">
        <v>9280</v>
      </c>
      <c r="H647" s="3">
        <v>11.6013</v>
      </c>
      <c r="I647" t="s">
        <v>1091</v>
      </c>
      <c r="J647" t="s">
        <v>13163</v>
      </c>
      <c r="L647" t="s">
        <v>9281</v>
      </c>
      <c r="M647" t="str">
        <f>"https://www.artic.edu/iiif/2/"&amp;Table9[[#This Row],[Image ID]]&amp;"/full/843,/0/default.jpg"</f>
        <v>https://www.artic.edu/iiif/2/9add42b7-0b14-b935-d02f-d6980526671b/full/843,/0/default.jpg</v>
      </c>
      <c r="N647" s="3">
        <v>0.82499999999999996</v>
      </c>
      <c r="O647" s="3">
        <v>7.4999999999999997E-2</v>
      </c>
      <c r="P647" s="3">
        <v>0.75</v>
      </c>
      <c r="Q647" s="3">
        <v>0.87600171566009499</v>
      </c>
    </row>
    <row r="648" spans="1:17" x14ac:dyDescent="0.45">
      <c r="A648" s="3">
        <v>207507</v>
      </c>
      <c r="B648" t="b">
        <v>0</v>
      </c>
      <c r="C648" t="b">
        <v>0</v>
      </c>
      <c r="D648" s="3">
        <v>1975</v>
      </c>
      <c r="E648" s="3">
        <v>1985</v>
      </c>
      <c r="F648" t="s">
        <v>11</v>
      </c>
      <c r="G648" t="s">
        <v>59</v>
      </c>
      <c r="H648" s="3">
        <v>74.400700000000001</v>
      </c>
      <c r="I648" t="s">
        <v>430</v>
      </c>
      <c r="J648" t="s">
        <v>13200</v>
      </c>
      <c r="L648" t="s">
        <v>5514</v>
      </c>
      <c r="M648" t="str">
        <f>"https://www.artic.edu/iiif/2/"&amp;Table9[[#This Row],[Image ID]]&amp;"/full/843,/0/default.jpg"</f>
        <v>https://www.artic.edu/iiif/2/9dc9ac25-4c42-4c5d-1f1a-8c455e815fe2/full/843,/0/default.jpg</v>
      </c>
      <c r="N648" s="3">
        <v>0.75</v>
      </c>
      <c r="O648" s="3">
        <v>0</v>
      </c>
      <c r="P648" s="3">
        <v>0.75</v>
      </c>
      <c r="Q648" s="3">
        <v>0.874187052249908</v>
      </c>
    </row>
    <row r="649" spans="1:17" x14ac:dyDescent="0.45">
      <c r="A649" s="3">
        <v>5059</v>
      </c>
      <c r="B649" t="b">
        <v>0</v>
      </c>
      <c r="C649" t="b">
        <v>0</v>
      </c>
      <c r="D649" s="3">
        <v>1910</v>
      </c>
      <c r="E649" s="3">
        <v>1930</v>
      </c>
      <c r="F649" t="s">
        <v>8117</v>
      </c>
      <c r="G649" t="s">
        <v>8118</v>
      </c>
      <c r="H649" s="3">
        <v>20.9712</v>
      </c>
      <c r="I649" t="s">
        <v>8119</v>
      </c>
      <c r="J649" t="s">
        <v>12411</v>
      </c>
      <c r="L649" t="s">
        <v>8120</v>
      </c>
      <c r="M649" t="str">
        <f>"https://www.artic.edu/iiif/2/"&amp;Table9[[#This Row],[Image ID]]&amp;"/full/843,/0/default.jpg"</f>
        <v>https://www.artic.edu/iiif/2/9eaaa1b1-1d2b-9638-a22e-f93e03091017/full/843,/0/default.jpg</v>
      </c>
      <c r="N649" s="3">
        <v>0.77500000000000002</v>
      </c>
      <c r="O649" s="3">
        <v>2.5000000000000001E-2</v>
      </c>
      <c r="P649" s="3">
        <v>0.75</v>
      </c>
      <c r="Q649" s="3">
        <v>0.82395642995834295</v>
      </c>
    </row>
    <row r="650" spans="1:17" x14ac:dyDescent="0.45">
      <c r="A650" s="3">
        <v>204441</v>
      </c>
      <c r="B650" t="b">
        <v>0</v>
      </c>
      <c r="C650" t="b">
        <v>0</v>
      </c>
      <c r="D650" s="3">
        <v>1969</v>
      </c>
      <c r="E650" s="3">
        <v>1969</v>
      </c>
      <c r="F650" t="s">
        <v>5429</v>
      </c>
      <c r="G650" t="s">
        <v>5417</v>
      </c>
      <c r="H650" s="3">
        <v>18.0059</v>
      </c>
      <c r="I650" t="s">
        <v>430</v>
      </c>
      <c r="J650" t="s">
        <v>13220</v>
      </c>
      <c r="L650" t="s">
        <v>5430</v>
      </c>
      <c r="M650" t="str">
        <f>"https://www.artic.edu/iiif/2/"&amp;Table9[[#This Row],[Image ID]]&amp;"/full/843,/0/default.jpg"</f>
        <v>https://www.artic.edu/iiif/2/9eb99619-7e61-9304-ccea-8e290d8ad894/full/843,/0/default.jpg</v>
      </c>
      <c r="N650" s="3">
        <v>0.8</v>
      </c>
      <c r="O650" s="3">
        <v>0.05</v>
      </c>
      <c r="P650" s="3">
        <v>0.75</v>
      </c>
      <c r="Q650" s="3">
        <v>0.87808752059936501</v>
      </c>
    </row>
    <row r="651" spans="1:17" x14ac:dyDescent="0.45">
      <c r="A651" s="3">
        <v>198810</v>
      </c>
      <c r="B651" t="b">
        <v>0</v>
      </c>
      <c r="C651" t="b">
        <v>0</v>
      </c>
      <c r="D651" s="3">
        <v>1941</v>
      </c>
      <c r="E651" s="3">
        <v>1941</v>
      </c>
      <c r="F651" t="s">
        <v>5300</v>
      </c>
      <c r="G651" t="s">
        <v>2516</v>
      </c>
      <c r="H651" s="3">
        <v>22.289200000000001</v>
      </c>
      <c r="I651" t="s">
        <v>5301</v>
      </c>
      <c r="J651" t="s">
        <v>13221</v>
      </c>
      <c r="K651" s="5" t="s">
        <v>2</v>
      </c>
      <c r="L651" t="s">
        <v>5302</v>
      </c>
      <c r="M651" t="str">
        <f>"https://www.artic.edu/iiif/2/"&amp;Table9[[#This Row],[Image ID]]&amp;"/full/843,/0/default.jpg"</f>
        <v>https://www.artic.edu/iiif/2/9ee3c0e9-2271-c236-5836-32d308866ba6/full/843,/0/default.jpg</v>
      </c>
      <c r="N651" s="3">
        <v>0.8</v>
      </c>
      <c r="O651" s="3">
        <v>0.05</v>
      </c>
      <c r="P651" s="3">
        <v>0.75</v>
      </c>
      <c r="Q651" s="3">
        <v>0.77053344249725297</v>
      </c>
    </row>
    <row r="652" spans="1:17" x14ac:dyDescent="0.45">
      <c r="A652" s="3">
        <v>118673</v>
      </c>
      <c r="B652" t="b">
        <v>0</v>
      </c>
      <c r="C652" t="b">
        <v>0</v>
      </c>
      <c r="D652" s="3">
        <v>1942</v>
      </c>
      <c r="E652" s="3">
        <v>1942</v>
      </c>
      <c r="F652" t="s">
        <v>2524</v>
      </c>
      <c r="G652" t="s">
        <v>2525</v>
      </c>
      <c r="H652" s="3">
        <v>24.871500000000001</v>
      </c>
      <c r="I652" t="s">
        <v>172</v>
      </c>
      <c r="J652" t="s">
        <v>13295</v>
      </c>
      <c r="L652" t="s">
        <v>2526</v>
      </c>
      <c r="M652" t="str">
        <f>"https://www.artic.edu/iiif/2/"&amp;Table9[[#This Row],[Image ID]]&amp;"/full/843,/0/default.jpg"</f>
        <v>https://www.artic.edu/iiif/2/a4989ecb-b3dc-1350-f672-d9da71a640d4/full/843,/0/default.jpg</v>
      </c>
      <c r="N652" s="3">
        <v>0.8</v>
      </c>
      <c r="O652" s="3">
        <v>0.05</v>
      </c>
      <c r="P652" s="3">
        <v>0.75</v>
      </c>
      <c r="Q652" s="3">
        <v>0.87109225988387995</v>
      </c>
    </row>
    <row r="653" spans="1:17" x14ac:dyDescent="0.45">
      <c r="A653" s="3">
        <v>234208</v>
      </c>
      <c r="B653" t="b">
        <v>0</v>
      </c>
      <c r="C653" t="b">
        <v>0</v>
      </c>
      <c r="F653" t="s">
        <v>6195</v>
      </c>
      <c r="G653" t="s">
        <v>75</v>
      </c>
      <c r="H653" s="3">
        <v>34.71</v>
      </c>
      <c r="I653" t="s">
        <v>6196</v>
      </c>
      <c r="J653" t="s">
        <v>13411</v>
      </c>
      <c r="K653" s="5" t="s">
        <v>6197</v>
      </c>
      <c r="L653" t="s">
        <v>6198</v>
      </c>
      <c r="M653" t="str">
        <f>"https://www.artic.edu/iiif/2/"&amp;Table9[[#This Row],[Image ID]]&amp;"/full/843,/0/default.jpg"</f>
        <v>https://www.artic.edu/iiif/2/ad5071c8-92d6-bbd1-c13d-3ec39d8b5587/full/843,/0/default.jpg</v>
      </c>
      <c r="N653" s="3">
        <v>0.75</v>
      </c>
      <c r="O653" s="3">
        <v>0</v>
      </c>
      <c r="P653" s="3">
        <v>0.75</v>
      </c>
      <c r="Q653" s="3">
        <v>0.71371960639953602</v>
      </c>
    </row>
    <row r="654" spans="1:17" x14ac:dyDescent="0.45">
      <c r="A654" s="3">
        <v>154129</v>
      </c>
      <c r="B654" t="b">
        <v>0</v>
      </c>
      <c r="C654" t="b">
        <v>0</v>
      </c>
      <c r="D654" s="3">
        <v>1968</v>
      </c>
      <c r="E654" s="3">
        <v>1972</v>
      </c>
      <c r="F654" t="s">
        <v>3989</v>
      </c>
      <c r="G654" t="s">
        <v>7</v>
      </c>
      <c r="H654" s="3">
        <v>80.187600000000003</v>
      </c>
      <c r="I654" t="s">
        <v>3990</v>
      </c>
      <c r="J654" t="s">
        <v>13431</v>
      </c>
      <c r="L654" t="s">
        <v>3991</v>
      </c>
      <c r="M654" t="str">
        <f>"https://www.artic.edu/iiif/2/"&amp;Table9[[#This Row],[Image ID]]&amp;"/full/843,/0/default.jpg"</f>
        <v>https://www.artic.edu/iiif/2/ae9da2f7-4caf-6fde-885e-b56b0ff1e6c0/full/843,/0/default.jpg</v>
      </c>
      <c r="N654" s="3">
        <v>0.8</v>
      </c>
      <c r="O654" s="3">
        <v>0.05</v>
      </c>
      <c r="P654" s="3">
        <v>0.75</v>
      </c>
      <c r="Q654" s="3">
        <v>0.80086857080459595</v>
      </c>
    </row>
    <row r="655" spans="1:17" x14ac:dyDescent="0.45">
      <c r="A655" s="3">
        <v>62296</v>
      </c>
      <c r="B655" t="b">
        <v>0</v>
      </c>
      <c r="C655" t="b">
        <v>0</v>
      </c>
      <c r="D655" s="3">
        <v>1948</v>
      </c>
      <c r="E655" s="3">
        <v>1948</v>
      </c>
      <c r="F655" t="s">
        <v>8877</v>
      </c>
      <c r="G655" t="s">
        <v>7</v>
      </c>
      <c r="H655" s="3">
        <v>21.7729</v>
      </c>
      <c r="I655" t="s">
        <v>190</v>
      </c>
      <c r="J655" t="s">
        <v>13457</v>
      </c>
      <c r="K655" s="5" t="s">
        <v>2</v>
      </c>
      <c r="L655" t="s">
        <v>8878</v>
      </c>
      <c r="M655" t="str">
        <f>"https://www.artic.edu/iiif/2/"&amp;Table9[[#This Row],[Image ID]]&amp;"/full/843,/0/default.jpg"</f>
        <v>https://www.artic.edu/iiif/2/b0576730-8095-b9e6-c6f4-288113d70529/full/843,/0/default.jpg</v>
      </c>
      <c r="N655" s="3">
        <v>0.8</v>
      </c>
      <c r="O655" s="3">
        <v>0.05</v>
      </c>
      <c r="P655" s="3">
        <v>0.75</v>
      </c>
      <c r="Q655" s="3">
        <v>0.76207154989242498</v>
      </c>
    </row>
    <row r="656" spans="1:17" x14ac:dyDescent="0.45">
      <c r="A656" s="3">
        <v>135483</v>
      </c>
      <c r="B656" t="b">
        <v>0</v>
      </c>
      <c r="C656" t="b">
        <v>0</v>
      </c>
      <c r="D656" s="3">
        <v>1905</v>
      </c>
      <c r="E656" s="3">
        <v>1930</v>
      </c>
      <c r="F656" t="s">
        <v>798</v>
      </c>
      <c r="G656" t="s">
        <v>3130</v>
      </c>
      <c r="H656" s="3">
        <v>31.375699999999998</v>
      </c>
      <c r="I656" t="s">
        <v>1464</v>
      </c>
      <c r="J656" t="s">
        <v>13505</v>
      </c>
      <c r="L656" t="s">
        <v>3131</v>
      </c>
      <c r="M656" t="str">
        <f>"https://www.artic.edu/iiif/2/"&amp;Table9[[#This Row],[Image ID]]&amp;"/full/843,/0/default.jpg"</f>
        <v>https://www.artic.edu/iiif/2/b4706466-96dc-70e8-7404-51b4b1467757/full/843,/0/default.jpg</v>
      </c>
      <c r="N656" s="3">
        <v>0.82499999999999996</v>
      </c>
      <c r="O656" s="3">
        <v>7.4999999999999997E-2</v>
      </c>
      <c r="P656" s="3">
        <v>0.75</v>
      </c>
      <c r="Q656" s="3">
        <v>0.82164639234542802</v>
      </c>
    </row>
    <row r="657" spans="1:17" x14ac:dyDescent="0.45">
      <c r="A657" s="3">
        <v>23968</v>
      </c>
      <c r="B657" t="b">
        <v>0</v>
      </c>
      <c r="C657" t="b">
        <v>0</v>
      </c>
      <c r="D657" s="3">
        <v>1959</v>
      </c>
      <c r="E657" s="3">
        <v>1959</v>
      </c>
      <c r="F657" t="s">
        <v>6345</v>
      </c>
      <c r="G657" t="s">
        <v>7</v>
      </c>
      <c r="H657" s="3">
        <v>22.290700000000001</v>
      </c>
      <c r="I657" t="s">
        <v>133</v>
      </c>
      <c r="J657" t="s">
        <v>13546</v>
      </c>
      <c r="K657" s="5" t="s">
        <v>6346</v>
      </c>
      <c r="L657" t="s">
        <v>6347</v>
      </c>
      <c r="M657" t="str">
        <f>"https://www.artic.edu/iiif/2/"&amp;Table9[[#This Row],[Image ID]]&amp;"/full/843,/0/default.jpg"</f>
        <v>https://www.artic.edu/iiif/2/b7b7ecd0-5a50-b89a-c72a-d435a1957c73/full/843,/0/default.jpg</v>
      </c>
      <c r="N657" s="3">
        <v>0.75</v>
      </c>
      <c r="O657" s="3">
        <v>0</v>
      </c>
      <c r="P657" s="3">
        <v>0.75</v>
      </c>
      <c r="Q657" s="3">
        <v>0.76995003223419101</v>
      </c>
    </row>
    <row r="658" spans="1:17" x14ac:dyDescent="0.45">
      <c r="A658" s="3">
        <v>97405</v>
      </c>
      <c r="B658" t="b">
        <v>0</v>
      </c>
      <c r="C658" t="b">
        <v>0</v>
      </c>
      <c r="D658" s="3">
        <v>1978</v>
      </c>
      <c r="E658" s="3">
        <v>1978</v>
      </c>
      <c r="F658" t="s">
        <v>10829</v>
      </c>
      <c r="G658" t="s">
        <v>7</v>
      </c>
      <c r="H658" s="3">
        <v>71.970699999999994</v>
      </c>
      <c r="I658" t="s">
        <v>857</v>
      </c>
      <c r="J658" t="s">
        <v>13626</v>
      </c>
      <c r="L658" t="s">
        <v>10830</v>
      </c>
      <c r="M658" t="str">
        <f>"https://www.artic.edu/iiif/2/"&amp;Table9[[#This Row],[Image ID]]&amp;"/full/843,/0/default.jpg"</f>
        <v>https://www.artic.edu/iiif/2/be3d945e-3f12-8392-0357-1d56edfd9a8b/full/843,/0/default.jpg</v>
      </c>
      <c r="N658" s="3">
        <v>0.8</v>
      </c>
      <c r="O658" s="3">
        <v>0.05</v>
      </c>
      <c r="P658" s="3">
        <v>0.75</v>
      </c>
      <c r="Q658" s="3">
        <v>0.81166028976440396</v>
      </c>
    </row>
    <row r="659" spans="1:17" x14ac:dyDescent="0.45">
      <c r="A659" s="3">
        <v>102235</v>
      </c>
      <c r="B659" t="b">
        <v>0</v>
      </c>
      <c r="C659" t="b">
        <v>0</v>
      </c>
      <c r="D659" s="3">
        <v>1983</v>
      </c>
      <c r="E659" s="3">
        <v>1983</v>
      </c>
      <c r="F659" t="s">
        <v>251</v>
      </c>
      <c r="G659" t="s">
        <v>7</v>
      </c>
      <c r="H659" s="3">
        <v>95.157799999999995</v>
      </c>
      <c r="I659" t="s">
        <v>252</v>
      </c>
      <c r="J659" t="s">
        <v>13682</v>
      </c>
      <c r="L659" t="s">
        <v>253</v>
      </c>
      <c r="M659" t="str">
        <f>"https://www.artic.edu/iiif/2/"&amp;Table9[[#This Row],[Image ID]]&amp;"/full/843,/0/default.jpg"</f>
        <v>https://www.artic.edu/iiif/2/c29741f9-1859-a8b0-c30e-de9a9644f82b/full/843,/0/default.jpg</v>
      </c>
      <c r="N659" s="3">
        <v>0.82499999999999996</v>
      </c>
      <c r="O659" s="3">
        <v>7.4999999999999997E-2</v>
      </c>
      <c r="P659" s="3">
        <v>0.75</v>
      </c>
      <c r="Q659" s="3">
        <v>0.735787093639373</v>
      </c>
    </row>
    <row r="660" spans="1:17" x14ac:dyDescent="0.45">
      <c r="A660" s="3">
        <v>182386</v>
      </c>
      <c r="B660" t="b">
        <v>0</v>
      </c>
      <c r="C660" t="b">
        <v>0</v>
      </c>
      <c r="D660" s="3">
        <v>1898</v>
      </c>
      <c r="E660" s="3">
        <v>1898</v>
      </c>
      <c r="F660" t="s">
        <v>4754</v>
      </c>
      <c r="G660" t="s">
        <v>7</v>
      </c>
      <c r="H660" s="3">
        <v>47.385300000000001</v>
      </c>
      <c r="I660" t="s">
        <v>4746</v>
      </c>
      <c r="J660" t="s">
        <v>13702</v>
      </c>
      <c r="L660" t="s">
        <v>4755</v>
      </c>
      <c r="M660" t="str">
        <f>"https://www.artic.edu/iiif/2/"&amp;Table9[[#This Row],[Image ID]]&amp;"/full/843,/0/default.jpg"</f>
        <v>https://www.artic.edu/iiif/2/c4d5ccf0-522a-cb8d-0e82-69577c8e1b49/full/843,/0/default.jpg</v>
      </c>
      <c r="N660" s="3">
        <v>0.79500000000000004</v>
      </c>
      <c r="O660" s="3">
        <v>4.4999999999999998E-2</v>
      </c>
      <c r="P660" s="3">
        <v>0.75</v>
      </c>
      <c r="Q660" s="3">
        <v>0.88894784450530995</v>
      </c>
    </row>
    <row r="661" spans="1:17" x14ac:dyDescent="0.45">
      <c r="A661" s="3">
        <v>7271</v>
      </c>
      <c r="B661" t="b">
        <v>0</v>
      </c>
      <c r="C661" t="b">
        <v>0</v>
      </c>
      <c r="D661" s="3">
        <v>1895</v>
      </c>
      <c r="E661" s="3">
        <v>1905</v>
      </c>
      <c r="F661" t="s">
        <v>9573</v>
      </c>
      <c r="G661" t="s">
        <v>5449</v>
      </c>
      <c r="H661" s="3">
        <v>22.5823</v>
      </c>
      <c r="I661" t="s">
        <v>68</v>
      </c>
      <c r="J661" t="s">
        <v>13729</v>
      </c>
      <c r="L661" t="s">
        <v>9574</v>
      </c>
      <c r="M661" t="str">
        <f>"https://www.artic.edu/iiif/2/"&amp;Table9[[#This Row],[Image ID]]&amp;"/full/843,/0/default.jpg"</f>
        <v>https://www.artic.edu/iiif/2/c6d942be-2c75-a2cb-51a8-bc9eef666732/full/843,/0/default.jpg</v>
      </c>
      <c r="N661" s="3">
        <v>0.875</v>
      </c>
      <c r="O661" s="3">
        <v>0.125</v>
      </c>
      <c r="P661" s="3">
        <v>0.75</v>
      </c>
      <c r="Q661" s="3">
        <v>0.87865471839904696</v>
      </c>
    </row>
    <row r="662" spans="1:17" x14ac:dyDescent="0.45">
      <c r="A662" s="3">
        <v>60520</v>
      </c>
      <c r="B662" t="b">
        <v>0</v>
      </c>
      <c r="C662" t="b">
        <v>0</v>
      </c>
      <c r="D662" s="3">
        <v>1979</v>
      </c>
      <c r="E662" s="3">
        <v>1979</v>
      </c>
      <c r="F662" t="s">
        <v>8714</v>
      </c>
      <c r="G662" t="s">
        <v>3474</v>
      </c>
      <c r="H662" s="3">
        <v>19.148599999999998</v>
      </c>
      <c r="I662" t="s">
        <v>8715</v>
      </c>
      <c r="J662" t="s">
        <v>13739</v>
      </c>
      <c r="L662" t="s">
        <v>8716</v>
      </c>
      <c r="M662" t="str">
        <f>"https://www.artic.edu/iiif/2/"&amp;Table9[[#This Row],[Image ID]]&amp;"/full/843,/0/default.jpg"</f>
        <v>https://www.artic.edu/iiif/2/c765e00d-4fb7-96e6-dbed-7a9784249537/full/843,/0/default.jpg</v>
      </c>
      <c r="N662" s="3">
        <v>0.77500000000000002</v>
      </c>
      <c r="O662" s="3">
        <v>2.5000000000000001E-2</v>
      </c>
      <c r="P662" s="3">
        <v>0.75</v>
      </c>
      <c r="Q662" s="3">
        <v>0.86823457479476895</v>
      </c>
    </row>
    <row r="663" spans="1:17" x14ac:dyDescent="0.45">
      <c r="A663" s="3">
        <v>110798</v>
      </c>
      <c r="B663" t="b">
        <v>0</v>
      </c>
      <c r="C663" t="b">
        <v>0</v>
      </c>
      <c r="D663" s="3">
        <v>1914</v>
      </c>
      <c r="E663" s="3">
        <v>1914</v>
      </c>
      <c r="F663" t="s">
        <v>944</v>
      </c>
      <c r="G663" t="s">
        <v>7</v>
      </c>
      <c r="H663" s="3">
        <v>40.1571</v>
      </c>
      <c r="I663" t="s">
        <v>8</v>
      </c>
      <c r="J663" t="s">
        <v>13757</v>
      </c>
      <c r="L663" t="s">
        <v>945</v>
      </c>
      <c r="M663" t="str">
        <f>"https://www.artic.edu/iiif/2/"&amp;Table9[[#This Row],[Image ID]]&amp;"/full/843,/0/default.jpg"</f>
        <v>https://www.artic.edu/iiif/2/c867cf86-9ad4-d720-8360-4064c317ab3c/full/843,/0/default.jpg</v>
      </c>
      <c r="N663" s="3">
        <v>0.82499999999999996</v>
      </c>
      <c r="O663" s="3">
        <v>7.4999999999999997E-2</v>
      </c>
      <c r="P663" s="3">
        <v>0.75</v>
      </c>
      <c r="Q663" s="3">
        <v>0.97641605138778598</v>
      </c>
    </row>
    <row r="664" spans="1:17" x14ac:dyDescent="0.45">
      <c r="A664" s="3">
        <v>80456</v>
      </c>
      <c r="B664" t="b">
        <v>0</v>
      </c>
      <c r="C664" t="b">
        <v>0</v>
      </c>
      <c r="D664" s="3">
        <v>1913</v>
      </c>
      <c r="E664" s="3">
        <v>1913</v>
      </c>
      <c r="F664" t="s">
        <v>14</v>
      </c>
      <c r="G664" t="s">
        <v>7</v>
      </c>
      <c r="H664" s="3">
        <v>0</v>
      </c>
      <c r="I664" t="s">
        <v>9971</v>
      </c>
      <c r="J664" t="s">
        <v>13766</v>
      </c>
      <c r="L664" t="s">
        <v>9972</v>
      </c>
      <c r="M664" t="str">
        <f>"https://www.artic.edu/iiif/2/"&amp;Table9[[#This Row],[Image ID]]&amp;"/full/843,/0/default.jpg"</f>
        <v>https://www.artic.edu/iiif/2/c9138338-fe6d-9aaf-d9b6-0a3fedfdb87c/full/843,/0/default.jpg</v>
      </c>
      <c r="N664" s="3">
        <v>0.82499999999999996</v>
      </c>
      <c r="O664" s="3">
        <v>7.4999999999999997E-2</v>
      </c>
      <c r="P664" s="3">
        <v>0.75</v>
      </c>
      <c r="Q664" s="3">
        <v>0.74566280841827304</v>
      </c>
    </row>
    <row r="665" spans="1:17" x14ac:dyDescent="0.45">
      <c r="A665" s="3">
        <v>145855</v>
      </c>
      <c r="B665" t="b">
        <v>0</v>
      </c>
      <c r="C665" t="b">
        <v>0</v>
      </c>
      <c r="D665" s="3">
        <v>1947</v>
      </c>
      <c r="E665" s="3">
        <v>1947</v>
      </c>
      <c r="F665" t="s">
        <v>3390</v>
      </c>
      <c r="G665" t="s">
        <v>3391</v>
      </c>
      <c r="H665" s="3">
        <v>47.127899999999997</v>
      </c>
      <c r="I665" t="s">
        <v>2302</v>
      </c>
      <c r="J665" t="s">
        <v>13773</v>
      </c>
      <c r="L665" t="s">
        <v>3392</v>
      </c>
      <c r="M665" t="str">
        <f>"https://www.artic.edu/iiif/2/"&amp;Table9[[#This Row],[Image ID]]&amp;"/full/843,/0/default.jpg"</f>
        <v>https://www.artic.edu/iiif/2/c96cd209-79e3-55fb-a181-23b2619b404a/full/843,/0/default.jpg</v>
      </c>
      <c r="N665" s="3">
        <v>0.8</v>
      </c>
      <c r="O665" s="3">
        <v>0.05</v>
      </c>
      <c r="P665" s="3">
        <v>0.75</v>
      </c>
      <c r="Q665" s="3">
        <v>0.80376005172729403</v>
      </c>
    </row>
    <row r="666" spans="1:17" x14ac:dyDescent="0.45">
      <c r="A666" s="3">
        <v>58621</v>
      </c>
      <c r="B666" t="b">
        <v>0</v>
      </c>
      <c r="C666" t="b">
        <v>0</v>
      </c>
      <c r="D666" s="3">
        <v>1904</v>
      </c>
      <c r="E666" s="3">
        <v>1974</v>
      </c>
      <c r="F666" t="s">
        <v>8525</v>
      </c>
      <c r="G666" t="s">
        <v>6820</v>
      </c>
      <c r="H666" s="3">
        <v>41.102200000000003</v>
      </c>
      <c r="I666" t="s">
        <v>14560</v>
      </c>
      <c r="J666" t="s">
        <v>13775</v>
      </c>
      <c r="L666" t="s">
        <v>8526</v>
      </c>
      <c r="M666" t="str">
        <f>"https://www.artic.edu/iiif/2/"&amp;Table9[[#This Row],[Image ID]]&amp;"/full/843,/0/default.jpg"</f>
        <v>https://www.artic.edu/iiif/2/c9c4f53b-11d4-ae83-0f34-1559216f47ed/full/843,/0/default.jpg</v>
      </c>
      <c r="N666" s="3">
        <v>0.8</v>
      </c>
      <c r="O666" s="3">
        <v>0.05</v>
      </c>
      <c r="P666" s="3">
        <v>0.75</v>
      </c>
      <c r="Q666" s="3">
        <v>0.71214234828948897</v>
      </c>
    </row>
    <row r="667" spans="1:17" x14ac:dyDescent="0.45">
      <c r="A667" s="3">
        <v>73643</v>
      </c>
      <c r="B667" t="b">
        <v>0</v>
      </c>
      <c r="C667" t="b">
        <v>0</v>
      </c>
      <c r="D667" s="3">
        <v>1913</v>
      </c>
      <c r="E667" s="3">
        <v>1913</v>
      </c>
      <c r="F667" t="s">
        <v>9627</v>
      </c>
      <c r="G667" t="s">
        <v>9628</v>
      </c>
      <c r="H667" s="3">
        <v>24.1967</v>
      </c>
      <c r="I667" t="s">
        <v>523</v>
      </c>
      <c r="J667" t="s">
        <v>13805</v>
      </c>
      <c r="L667" t="s">
        <v>9629</v>
      </c>
      <c r="M667" t="str">
        <f>"https://www.artic.edu/iiif/2/"&amp;Table9[[#This Row],[Image ID]]&amp;"/full/843,/0/default.jpg"</f>
        <v>https://www.artic.edu/iiif/2/cc61574d-2479-40e4-7049-cc6cd6984428/full/843,/0/default.jpg</v>
      </c>
      <c r="N667" s="3">
        <v>0.82499999999999996</v>
      </c>
      <c r="O667" s="3">
        <v>7.4999999999999997E-2</v>
      </c>
      <c r="P667" s="3">
        <v>0.75</v>
      </c>
      <c r="Q667" s="3">
        <v>0.84043258428573597</v>
      </c>
    </row>
    <row r="668" spans="1:17" x14ac:dyDescent="0.45">
      <c r="A668" s="3">
        <v>118766</v>
      </c>
      <c r="B668" t="b">
        <v>0</v>
      </c>
      <c r="C668" t="b">
        <v>0</v>
      </c>
      <c r="D668" s="3">
        <v>1938</v>
      </c>
      <c r="E668" s="3">
        <v>1938</v>
      </c>
      <c r="F668" t="s">
        <v>2564</v>
      </c>
      <c r="G668" t="s">
        <v>7</v>
      </c>
      <c r="H668" s="3">
        <v>62.444000000000003</v>
      </c>
      <c r="I668" t="s">
        <v>2302</v>
      </c>
      <c r="J668" t="s">
        <v>13835</v>
      </c>
      <c r="L668" t="s">
        <v>2565</v>
      </c>
      <c r="M668" t="str">
        <f>"https://www.artic.edu/iiif/2/"&amp;Table9[[#This Row],[Image ID]]&amp;"/full/843,/0/default.jpg"</f>
        <v>https://www.artic.edu/iiif/2/cf83e46d-cb8f-3864-5ee0-bdc50ea4db26/full/843,/0/default.jpg</v>
      </c>
      <c r="N668" s="3">
        <v>0.77500000000000002</v>
      </c>
      <c r="O668" s="3">
        <v>2.5000000000000001E-2</v>
      </c>
      <c r="P668" s="3">
        <v>0.75</v>
      </c>
      <c r="Q668" s="3">
        <v>0.88593333959579401</v>
      </c>
    </row>
    <row r="669" spans="1:17" x14ac:dyDescent="0.45">
      <c r="A669" s="3">
        <v>117582</v>
      </c>
      <c r="B669" t="b">
        <v>0</v>
      </c>
      <c r="C669" t="b">
        <v>0</v>
      </c>
      <c r="D669" s="3">
        <v>1929</v>
      </c>
      <c r="E669" s="3">
        <v>1929</v>
      </c>
      <c r="F669" t="s">
        <v>2398</v>
      </c>
      <c r="G669" t="s">
        <v>7</v>
      </c>
      <c r="H669" s="3">
        <v>34.3245</v>
      </c>
      <c r="I669" t="s">
        <v>2399</v>
      </c>
      <c r="J669" t="s">
        <v>2401</v>
      </c>
      <c r="L669" t="s">
        <v>2400</v>
      </c>
      <c r="M669" t="str">
        <f>"https://www.artic.edu/iiif/2/"&amp;Table9[[#This Row],[Image ID]]&amp;"/full/843,/0/default.jpg"</f>
        <v>https://www.artic.edu/iiif/2/d221d528-619c-fe01-98d1-1a1955d3702e/full/843,/0/default.jpg</v>
      </c>
      <c r="N669" s="3">
        <v>0.8</v>
      </c>
      <c r="O669" s="3">
        <v>0.05</v>
      </c>
      <c r="P669" s="3">
        <v>0.75</v>
      </c>
      <c r="Q669" s="3">
        <v>0.71439188718795699</v>
      </c>
    </row>
    <row r="670" spans="1:17" x14ac:dyDescent="0.45">
      <c r="A670" s="3">
        <v>7162</v>
      </c>
      <c r="B670" t="b">
        <v>0</v>
      </c>
      <c r="C670" t="b">
        <v>0</v>
      </c>
      <c r="D670" s="3">
        <v>1920</v>
      </c>
      <c r="E670" s="3">
        <v>1920</v>
      </c>
      <c r="F670" t="s">
        <v>9523</v>
      </c>
      <c r="G670" t="s">
        <v>7</v>
      </c>
      <c r="H670" s="3">
        <v>18.465800000000002</v>
      </c>
      <c r="I670" t="s">
        <v>588</v>
      </c>
      <c r="J670" t="s">
        <v>13909</v>
      </c>
      <c r="L670" t="s">
        <v>9524</v>
      </c>
      <c r="M670" t="str">
        <f>"https://www.artic.edu/iiif/2/"&amp;Table9[[#This Row],[Image ID]]&amp;"/full/843,/0/default.jpg"</f>
        <v>https://www.artic.edu/iiif/2/d55e5ea8-0386-6bef-3d7a-1deb98a8d301/full/843,/0/default.jpg</v>
      </c>
      <c r="N670" s="3">
        <v>0.8</v>
      </c>
      <c r="O670" s="3">
        <v>0.05</v>
      </c>
      <c r="P670" s="3">
        <v>0.75</v>
      </c>
      <c r="Q670" s="3">
        <v>0.72137886285781805</v>
      </c>
    </row>
    <row r="671" spans="1:17" x14ac:dyDescent="0.45">
      <c r="A671" s="3">
        <v>80438</v>
      </c>
      <c r="B671" t="b">
        <v>0</v>
      </c>
      <c r="C671" t="b">
        <v>0</v>
      </c>
      <c r="D671" s="3">
        <v>1914</v>
      </c>
      <c r="E671" s="3">
        <v>1914</v>
      </c>
      <c r="F671" t="s">
        <v>9967</v>
      </c>
      <c r="G671" t="s">
        <v>7</v>
      </c>
      <c r="H671" s="3">
        <v>23.032399999999999</v>
      </c>
      <c r="I671" t="s">
        <v>14563</v>
      </c>
      <c r="J671" t="s">
        <v>12534</v>
      </c>
      <c r="L671" t="s">
        <v>9968</v>
      </c>
      <c r="M671" t="str">
        <f>"https://www.artic.edu/iiif/2/"&amp;Table9[[#This Row],[Image ID]]&amp;"/full/843,/0/default.jpg"</f>
        <v>https://www.artic.edu/iiif/2/da4a02b1-c09e-f196-732f-072eac7b71c2/full/843,/0/default.jpg</v>
      </c>
      <c r="N671" s="3">
        <v>0.77500000000000002</v>
      </c>
      <c r="O671" s="3">
        <v>2.5000000000000001E-2</v>
      </c>
      <c r="P671" s="3">
        <v>0.75</v>
      </c>
      <c r="Q671" s="3">
        <v>0.83175724744796697</v>
      </c>
    </row>
    <row r="672" spans="1:17" x14ac:dyDescent="0.45">
      <c r="A672" s="3">
        <v>118281</v>
      </c>
      <c r="B672" t="b">
        <v>0</v>
      </c>
      <c r="C672" t="b">
        <v>0</v>
      </c>
      <c r="D672" s="3">
        <v>1941</v>
      </c>
      <c r="E672" s="3">
        <v>1941</v>
      </c>
      <c r="F672" t="s">
        <v>2482</v>
      </c>
      <c r="G672" t="s">
        <v>7</v>
      </c>
      <c r="H672" s="3">
        <v>24.047000000000001</v>
      </c>
      <c r="I672" t="s">
        <v>2483</v>
      </c>
      <c r="J672" t="s">
        <v>14079</v>
      </c>
      <c r="L672" t="s">
        <v>2484</v>
      </c>
      <c r="M672" t="str">
        <f>"https://www.artic.edu/iiif/2/"&amp;Table9[[#This Row],[Image ID]]&amp;"/full/843,/0/default.jpg"</f>
        <v>https://www.artic.edu/iiif/2/e1073f1d-ea9a-6182-f9d8-d207a4e5a0b9/full/843,/0/default.jpg</v>
      </c>
      <c r="N672" s="3">
        <v>0.8</v>
      </c>
      <c r="O672" s="3">
        <v>0.05</v>
      </c>
      <c r="P672" s="3">
        <v>0.75</v>
      </c>
      <c r="Q672" s="3">
        <v>0.83733266592025701</v>
      </c>
    </row>
    <row r="673" spans="1:17" x14ac:dyDescent="0.45">
      <c r="A673" s="3">
        <v>152428</v>
      </c>
      <c r="B673" t="b">
        <v>0</v>
      </c>
      <c r="C673" t="b">
        <v>0</v>
      </c>
      <c r="D673" s="3">
        <v>1998</v>
      </c>
      <c r="E673" s="3">
        <v>1998</v>
      </c>
      <c r="F673" t="s">
        <v>3885</v>
      </c>
      <c r="G673" t="s">
        <v>3886</v>
      </c>
      <c r="H673" s="3">
        <v>3.4706999999999999</v>
      </c>
      <c r="I673" t="s">
        <v>3835</v>
      </c>
      <c r="J673" t="s">
        <v>14096</v>
      </c>
      <c r="L673" t="s">
        <v>3887</v>
      </c>
      <c r="M673" t="str">
        <f>"https://www.artic.edu/iiif/2/"&amp;Table9[[#This Row],[Image ID]]&amp;"/full/843,/0/default.jpg"</f>
        <v>https://www.artic.edu/iiif/2/e1e1c62d-3273-a77d-2f27-7e89770775e0/full/843,/0/default.jpg</v>
      </c>
      <c r="N673" s="3">
        <v>0.82499999999999996</v>
      </c>
      <c r="O673" s="3">
        <v>7.4999999999999997E-2</v>
      </c>
      <c r="P673" s="3">
        <v>0.75</v>
      </c>
      <c r="Q673" s="3">
        <v>0.79449868202209395</v>
      </c>
    </row>
    <row r="674" spans="1:17" x14ac:dyDescent="0.45">
      <c r="A674" s="3">
        <v>17596</v>
      </c>
      <c r="B674" t="b">
        <v>0</v>
      </c>
      <c r="C674" t="b">
        <v>0</v>
      </c>
      <c r="D674" s="3">
        <v>1907</v>
      </c>
      <c r="E674" s="3">
        <v>1963</v>
      </c>
      <c r="F674" t="s">
        <v>4671</v>
      </c>
      <c r="G674" t="s">
        <v>4672</v>
      </c>
      <c r="H674" s="3">
        <v>13.1181</v>
      </c>
      <c r="I674" t="s">
        <v>14639</v>
      </c>
      <c r="J674" t="s">
        <v>14134</v>
      </c>
      <c r="L674" t="s">
        <v>4673</v>
      </c>
      <c r="M674" t="str">
        <f>"https://www.artic.edu/iiif/2/"&amp;Table9[[#This Row],[Image ID]]&amp;"/full/843,/0/default.jpg"</f>
        <v>https://www.artic.edu/iiif/2/e402f8b4-3c8e-38e0-79e0-5e63022a3b06/full/843,/0/default.jpg</v>
      </c>
      <c r="N674" s="3">
        <v>0.85</v>
      </c>
      <c r="O674" s="3">
        <v>0.1</v>
      </c>
      <c r="P674" s="3">
        <v>0.75</v>
      </c>
      <c r="Q674" s="3">
        <v>0.89864766597747803</v>
      </c>
    </row>
    <row r="675" spans="1:17" x14ac:dyDescent="0.45">
      <c r="A675" s="3">
        <v>10170</v>
      </c>
      <c r="B675" t="b">
        <v>0</v>
      </c>
      <c r="C675" t="b">
        <v>0</v>
      </c>
      <c r="D675" s="3">
        <v>1913</v>
      </c>
      <c r="E675" s="3">
        <v>1913</v>
      </c>
      <c r="F675" t="s">
        <v>193</v>
      </c>
      <c r="G675" t="s">
        <v>7</v>
      </c>
      <c r="H675" s="3">
        <v>38.719099999999997</v>
      </c>
      <c r="I675" t="s">
        <v>194</v>
      </c>
      <c r="J675" t="s">
        <v>14161</v>
      </c>
      <c r="L675" t="s">
        <v>195</v>
      </c>
      <c r="M675" t="str">
        <f>"https://www.artic.edu/iiif/2/"&amp;Table9[[#This Row],[Image ID]]&amp;"/full/843,/0/default.jpg"</f>
        <v>https://www.artic.edu/iiif/2/e5860322-e716-4079-c895-79450c9168cd/full/843,/0/default.jpg</v>
      </c>
      <c r="N675" s="3">
        <v>0.8</v>
      </c>
      <c r="O675" s="3">
        <v>0.05</v>
      </c>
      <c r="P675" s="3">
        <v>0.75</v>
      </c>
      <c r="Q675" s="3">
        <v>0.75576478242874101</v>
      </c>
    </row>
    <row r="676" spans="1:17" x14ac:dyDescent="0.45">
      <c r="A676" s="3">
        <v>186720</v>
      </c>
      <c r="B676" t="b">
        <v>0</v>
      </c>
      <c r="C676" t="b">
        <v>0</v>
      </c>
      <c r="D676" s="3">
        <v>1988</v>
      </c>
      <c r="E676" s="3">
        <v>1988</v>
      </c>
      <c r="F676" t="s">
        <v>11</v>
      </c>
      <c r="G676" t="s">
        <v>5071</v>
      </c>
      <c r="H676" s="3">
        <v>4.0787000000000004</v>
      </c>
      <c r="I676" t="s">
        <v>5072</v>
      </c>
      <c r="J676" t="s">
        <v>14164</v>
      </c>
      <c r="L676" t="s">
        <v>5073</v>
      </c>
      <c r="M676" t="str">
        <f>"https://www.artic.edu/iiif/2/"&amp;Table9[[#This Row],[Image ID]]&amp;"/full/843,/0/default.jpg"</f>
        <v>https://www.artic.edu/iiif/2/e5fd6efb-3a51-7ec8-0a2e-149088f64ae2/full/843,/0/default.jpg</v>
      </c>
      <c r="N676" s="3">
        <v>0.8</v>
      </c>
      <c r="O676" s="3">
        <v>0.05</v>
      </c>
      <c r="P676" s="3">
        <v>0.75</v>
      </c>
      <c r="Q676" s="3">
        <v>0.80312448740005404</v>
      </c>
    </row>
    <row r="677" spans="1:17" x14ac:dyDescent="0.45">
      <c r="A677" s="3">
        <v>129141</v>
      </c>
      <c r="B677" t="b">
        <v>0</v>
      </c>
      <c r="C677" t="b">
        <v>0</v>
      </c>
      <c r="D677" s="3">
        <v>1944</v>
      </c>
      <c r="E677" s="3">
        <v>1944</v>
      </c>
      <c r="F677" t="s">
        <v>2862</v>
      </c>
      <c r="G677" t="s">
        <v>2857</v>
      </c>
      <c r="H677" s="3">
        <v>40.678699999999999</v>
      </c>
      <c r="I677" t="s">
        <v>14549</v>
      </c>
      <c r="J677" t="s">
        <v>14283</v>
      </c>
      <c r="L677" t="s">
        <v>2863</v>
      </c>
      <c r="M677" t="str">
        <f>"https://www.artic.edu/iiif/2/"&amp;Table9[[#This Row],[Image ID]]&amp;"/full/843,/0/default.jpg"</f>
        <v>https://www.artic.edu/iiif/2/ede8c5ab-8f27-b349-66e4-7dddb7835df9/full/843,/0/default.jpg</v>
      </c>
      <c r="N677" s="3">
        <v>0.85</v>
      </c>
      <c r="O677" s="3">
        <v>0.1</v>
      </c>
      <c r="P677" s="3">
        <v>0.75</v>
      </c>
      <c r="Q677" s="3">
        <v>0.72794747352600098</v>
      </c>
    </row>
    <row r="678" spans="1:17" x14ac:dyDescent="0.45">
      <c r="A678" s="3">
        <v>229014</v>
      </c>
      <c r="B678" t="b">
        <v>0</v>
      </c>
      <c r="C678" t="b">
        <v>0</v>
      </c>
      <c r="D678" s="3">
        <v>1966</v>
      </c>
      <c r="E678" s="3">
        <v>1966</v>
      </c>
      <c r="F678" t="s">
        <v>6050</v>
      </c>
      <c r="G678" t="s">
        <v>59</v>
      </c>
      <c r="H678" s="3">
        <v>52.139499999999998</v>
      </c>
      <c r="I678" t="s">
        <v>172</v>
      </c>
      <c r="J678" t="s">
        <v>14286</v>
      </c>
      <c r="L678" t="s">
        <v>6051</v>
      </c>
      <c r="M678" t="str">
        <f>"https://www.artic.edu/iiif/2/"&amp;Table9[[#This Row],[Image ID]]&amp;"/full/843,/0/default.jpg"</f>
        <v>https://www.artic.edu/iiif/2/edeb9256-0268-6f95-e1d6-6e3ae3fc5adf/full/843,/0/default.jpg</v>
      </c>
      <c r="N678" s="3">
        <v>0.82499999999999996</v>
      </c>
      <c r="O678" s="3">
        <v>7.4999999999999997E-2</v>
      </c>
      <c r="P678" s="3">
        <v>0.75</v>
      </c>
      <c r="Q678" s="3">
        <v>0.77133333683013905</v>
      </c>
    </row>
    <row r="679" spans="1:17" x14ac:dyDescent="0.45">
      <c r="A679" s="3">
        <v>84246</v>
      </c>
      <c r="B679" t="b">
        <v>0</v>
      </c>
      <c r="C679" t="b">
        <v>0</v>
      </c>
      <c r="D679" s="3">
        <v>1952</v>
      </c>
      <c r="E679" s="3">
        <v>1952</v>
      </c>
      <c r="F679" t="s">
        <v>10278</v>
      </c>
      <c r="G679" t="s">
        <v>10279</v>
      </c>
      <c r="H679" s="3">
        <v>18.419899999999998</v>
      </c>
      <c r="I679" t="s">
        <v>4202</v>
      </c>
      <c r="J679" t="s">
        <v>14327</v>
      </c>
      <c r="L679" t="s">
        <v>10280</v>
      </c>
      <c r="M679" t="str">
        <f>"https://www.artic.edu/iiif/2/"&amp;Table9[[#This Row],[Image ID]]&amp;"/full/843,/0/default.jpg"</f>
        <v>https://www.artic.edu/iiif/2/f0c598c9-db4c-13a2-0c80-8db94af7ca2e/full/843,/0/default.jpg</v>
      </c>
      <c r="N679" s="3">
        <v>0.8</v>
      </c>
      <c r="O679" s="3">
        <v>0.05</v>
      </c>
      <c r="P679" s="3">
        <v>0.75</v>
      </c>
      <c r="Q679" s="3">
        <v>0.72085773944854703</v>
      </c>
    </row>
    <row r="680" spans="1:17" x14ac:dyDescent="0.45">
      <c r="A680" s="3">
        <v>39234</v>
      </c>
      <c r="B680" t="b">
        <v>0</v>
      </c>
      <c r="C680" t="b">
        <v>0</v>
      </c>
      <c r="D680" s="3">
        <v>1969</v>
      </c>
      <c r="E680" s="3">
        <v>1969</v>
      </c>
      <c r="F680" t="s">
        <v>7537</v>
      </c>
      <c r="G680" t="s">
        <v>59</v>
      </c>
      <c r="H680" s="3">
        <v>7.4671000000000003</v>
      </c>
      <c r="I680" t="s">
        <v>3769</v>
      </c>
      <c r="J680" t="s">
        <v>14335</v>
      </c>
      <c r="L680" t="s">
        <v>7538</v>
      </c>
      <c r="M680" t="str">
        <f>"https://www.artic.edu/iiif/2/"&amp;Table9[[#This Row],[Image ID]]&amp;"/full/843,/0/default.jpg"</f>
        <v>https://www.artic.edu/iiif/2/f16d5b7d-eec5-f5b4-e7f8-4fb39c751bd8/full/843,/0/default.jpg</v>
      </c>
      <c r="N680" s="3">
        <v>0.8</v>
      </c>
      <c r="O680" s="3">
        <v>0.05</v>
      </c>
      <c r="P680" s="3">
        <v>0.75</v>
      </c>
      <c r="Q680" s="3">
        <v>0.75333428382873502</v>
      </c>
    </row>
    <row r="681" spans="1:17" x14ac:dyDescent="0.45">
      <c r="A681" s="3">
        <v>104261</v>
      </c>
      <c r="B681" t="b">
        <v>0</v>
      </c>
      <c r="C681" t="b">
        <v>0</v>
      </c>
      <c r="D681" s="3">
        <v>1981</v>
      </c>
      <c r="E681" s="3">
        <v>1981</v>
      </c>
      <c r="F681" t="s">
        <v>382</v>
      </c>
      <c r="G681" t="s">
        <v>272</v>
      </c>
      <c r="H681" s="3">
        <v>15.7295</v>
      </c>
      <c r="I681" t="s">
        <v>378</v>
      </c>
      <c r="J681" t="s">
        <v>10996</v>
      </c>
      <c r="K681" s="5" t="s">
        <v>45</v>
      </c>
      <c r="L681" t="s">
        <v>383</v>
      </c>
      <c r="M681" t="str">
        <f>"https://www.artic.edu/iiif/2/"&amp;Table9[[#This Row],[Image ID]]&amp;"/full/843,/0/default.jpg"</f>
        <v>https://www.artic.edu/iiif/2/f1884649-dc74-5885-ecb6-a50c5cb7fbc9/full/843,/0/default.jpg</v>
      </c>
      <c r="N681" s="3">
        <v>0.82499999999999996</v>
      </c>
      <c r="O681" s="3">
        <v>7.4999999999999997E-2</v>
      </c>
      <c r="P681" s="3">
        <v>0.75</v>
      </c>
      <c r="Q681" s="3">
        <v>0.88300776481628396</v>
      </c>
    </row>
    <row r="682" spans="1:17" x14ac:dyDescent="0.45">
      <c r="A682" s="3">
        <v>75029</v>
      </c>
      <c r="B682" t="b">
        <v>0</v>
      </c>
      <c r="C682" t="b">
        <v>0</v>
      </c>
      <c r="D682" s="3">
        <v>1862</v>
      </c>
      <c r="E682" s="3">
        <v>1917</v>
      </c>
      <c r="F682" t="s">
        <v>9712</v>
      </c>
      <c r="G682" t="s">
        <v>9713</v>
      </c>
      <c r="H682" s="3">
        <v>24.686499999999999</v>
      </c>
      <c r="I682" t="s">
        <v>66</v>
      </c>
      <c r="J682" t="s">
        <v>14402</v>
      </c>
      <c r="L682" t="s">
        <v>9714</v>
      </c>
      <c r="M682" t="str">
        <f>"https://www.artic.edu/iiif/2/"&amp;Table9[[#This Row],[Image ID]]&amp;"/full/843,/0/default.jpg"</f>
        <v>https://www.artic.edu/iiif/2/f67a4886-1edb-598b-1b17-c20e2b0db194/full/843,/0/default.jpg</v>
      </c>
      <c r="N682" s="3">
        <v>0.82499999999999996</v>
      </c>
      <c r="O682" s="3">
        <v>7.4999999999999997E-2</v>
      </c>
      <c r="P682" s="3">
        <v>0.75</v>
      </c>
      <c r="Q682" s="3">
        <v>0.76957583427429199</v>
      </c>
    </row>
    <row r="683" spans="1:17" x14ac:dyDescent="0.45">
      <c r="A683" s="3">
        <v>18693</v>
      </c>
      <c r="B683" t="b">
        <v>0</v>
      </c>
      <c r="C683" t="b">
        <v>0</v>
      </c>
      <c r="D683" s="3">
        <v>1872</v>
      </c>
      <c r="E683" s="3">
        <v>1925</v>
      </c>
      <c r="F683" t="s">
        <v>5086</v>
      </c>
      <c r="G683" t="s">
        <v>5087</v>
      </c>
      <c r="H683" s="3">
        <v>25.0975</v>
      </c>
      <c r="I683" t="s">
        <v>592</v>
      </c>
      <c r="J683" t="s">
        <v>14444</v>
      </c>
      <c r="L683" t="s">
        <v>5088</v>
      </c>
      <c r="M683" t="str">
        <f>"https://www.artic.edu/iiif/2/"&amp;Table9[[#This Row],[Image ID]]&amp;"/full/843,/0/default.jpg"</f>
        <v>https://www.artic.edu/iiif/2/f975a6ff-0336-8b02-4afe-eb39fc451221/full/843,/0/default.jpg</v>
      </c>
      <c r="N683" s="3">
        <v>0.82499999999999996</v>
      </c>
      <c r="O683" s="3">
        <v>7.4999999999999997E-2</v>
      </c>
      <c r="P683" s="3">
        <v>0.75</v>
      </c>
      <c r="Q683" s="3">
        <v>0.73032158613204901</v>
      </c>
    </row>
    <row r="684" spans="1:17" x14ac:dyDescent="0.45">
      <c r="A684" s="3">
        <v>104266</v>
      </c>
      <c r="B684" t="b">
        <v>0</v>
      </c>
      <c r="C684" t="b">
        <v>0</v>
      </c>
      <c r="D684" s="3">
        <v>1982</v>
      </c>
      <c r="E684" s="3">
        <v>1982</v>
      </c>
      <c r="F684" t="s">
        <v>394</v>
      </c>
      <c r="G684" t="s">
        <v>395</v>
      </c>
      <c r="H684" s="3">
        <v>15.0379</v>
      </c>
      <c r="I684" t="s">
        <v>378</v>
      </c>
      <c r="J684" t="s">
        <v>10996</v>
      </c>
      <c r="K684" s="5" t="s">
        <v>45</v>
      </c>
      <c r="L684" t="s">
        <v>396</v>
      </c>
      <c r="M684" t="str">
        <f>"https://www.artic.edu/iiif/2/"&amp;Table9[[#This Row],[Image ID]]&amp;"/full/843,/0/default.jpg"</f>
        <v>https://www.artic.edu/iiif/2/fa91ef56-4966-eafb-ca91-ff9a2fca434f/full/843,/0/default.jpg</v>
      </c>
      <c r="N684" s="3">
        <v>0.82499999999999996</v>
      </c>
      <c r="O684" s="3">
        <v>7.4999999999999997E-2</v>
      </c>
      <c r="P684" s="3">
        <v>0.75</v>
      </c>
      <c r="Q684" s="3">
        <v>0.87722975015640203</v>
      </c>
    </row>
    <row r="685" spans="1:17" x14ac:dyDescent="0.45">
      <c r="A685" s="3">
        <v>199565</v>
      </c>
      <c r="B685" t="b">
        <v>0</v>
      </c>
      <c r="C685" t="b">
        <v>0</v>
      </c>
      <c r="D685" s="3">
        <v>1972</v>
      </c>
      <c r="E685" s="3">
        <v>1972</v>
      </c>
      <c r="F685" t="s">
        <v>5310</v>
      </c>
      <c r="G685" t="s">
        <v>5311</v>
      </c>
      <c r="H685" s="3">
        <v>69.4739</v>
      </c>
      <c r="I685" t="s">
        <v>5186</v>
      </c>
      <c r="J685" t="s">
        <v>12943</v>
      </c>
      <c r="L685" t="s">
        <v>5312</v>
      </c>
      <c r="M685" t="str">
        <f>"https://www.artic.edu/iiif/2/"&amp;Table9[[#This Row],[Image ID]]&amp;"/full/843,/0/default.jpg"</f>
        <v>https://www.artic.edu/iiif/2/fbfcca58-b0d4-4965-a8bc-8b7743090a19/full/843,/0/default.jpg</v>
      </c>
      <c r="N685" s="3">
        <v>0.8</v>
      </c>
      <c r="O685" s="3">
        <v>0.05</v>
      </c>
      <c r="P685" s="3">
        <v>0.75</v>
      </c>
      <c r="Q685" s="3">
        <v>0.77556335926055897</v>
      </c>
    </row>
    <row r="686" spans="1:17" x14ac:dyDescent="0.45">
      <c r="A686" s="3">
        <v>184213</v>
      </c>
      <c r="B686" t="b">
        <v>0</v>
      </c>
      <c r="C686" t="b">
        <v>0</v>
      </c>
      <c r="D686" s="3">
        <v>1983</v>
      </c>
      <c r="E686" s="3">
        <v>1983</v>
      </c>
      <c r="F686" t="s">
        <v>11</v>
      </c>
      <c r="G686" t="s">
        <v>4810</v>
      </c>
      <c r="H686" s="3">
        <v>51.525799999999997</v>
      </c>
      <c r="I686" t="s">
        <v>4218</v>
      </c>
      <c r="J686" t="s">
        <v>14484</v>
      </c>
      <c r="L686" t="s">
        <v>4811</v>
      </c>
      <c r="M686" t="str">
        <f>"https://www.artic.edu/iiif/2/"&amp;Table9[[#This Row],[Image ID]]&amp;"/full/843,/0/default.jpg"</f>
        <v>https://www.artic.edu/iiif/2/fc4b082e-f579-2f05-6bd5-2fb00485698f/full/843,/0/default.jpg</v>
      </c>
      <c r="N686" s="3">
        <v>0.77500000000000002</v>
      </c>
      <c r="O686" s="3">
        <v>2.5000000000000001E-2</v>
      </c>
      <c r="P686" s="3">
        <v>0.75</v>
      </c>
      <c r="Q686" s="3">
        <v>0.68675881624221802</v>
      </c>
    </row>
    <row r="687" spans="1:17" x14ac:dyDescent="0.45">
      <c r="A687" s="3">
        <v>115736</v>
      </c>
      <c r="B687" t="b">
        <v>0</v>
      </c>
      <c r="C687" t="b">
        <v>1</v>
      </c>
      <c r="D687" s="3">
        <v>1630</v>
      </c>
      <c r="E687" s="3">
        <v>1684</v>
      </c>
      <c r="F687" t="s">
        <v>2081</v>
      </c>
      <c r="G687" t="s">
        <v>2082</v>
      </c>
      <c r="H687" s="3">
        <v>24.245000000000001</v>
      </c>
      <c r="I687" t="s">
        <v>432</v>
      </c>
      <c r="J687" t="s">
        <v>10980</v>
      </c>
      <c r="L687" t="s">
        <v>2083</v>
      </c>
      <c r="M687" t="str">
        <f>"https://www.artic.edu/iiif/2/"&amp;Table9[[#This Row],[Image ID]]&amp;"/full/843,/0/default.jpg"</f>
        <v>https://www.artic.edu/iiif/2/00985365-b186-f873-2d12-c1e0a2f7037c/full/843,/0/default.jpg</v>
      </c>
      <c r="N687" s="3">
        <v>0.82499999999999996</v>
      </c>
      <c r="O687" s="3">
        <v>7.4999999999999997E-2</v>
      </c>
      <c r="P687" s="3">
        <v>0.75</v>
      </c>
      <c r="Q687" s="3">
        <v>0.84660375118255604</v>
      </c>
    </row>
    <row r="688" spans="1:17" x14ac:dyDescent="0.45">
      <c r="A688" s="3">
        <v>11003</v>
      </c>
      <c r="B688" t="b">
        <v>0</v>
      </c>
      <c r="C688" t="b">
        <v>1</v>
      </c>
      <c r="D688" s="3">
        <v>1765</v>
      </c>
      <c r="E688" s="3">
        <v>1770</v>
      </c>
      <c r="F688" t="s">
        <v>877</v>
      </c>
      <c r="G688" t="s">
        <v>878</v>
      </c>
      <c r="H688" s="3">
        <v>22.104800000000001</v>
      </c>
      <c r="I688" t="s">
        <v>879</v>
      </c>
      <c r="J688" t="s">
        <v>11005</v>
      </c>
      <c r="L688" t="s">
        <v>880</v>
      </c>
      <c r="M688" t="str">
        <f>"https://www.artic.edu/iiif/2/"&amp;Table9[[#This Row],[Image ID]]&amp;"/full/843,/0/default.jpg"</f>
        <v>https://www.artic.edu/iiif/2/0291ae9f-e025-39d5-69da-d28f5e3c14e1/full/843,/0/default.jpg</v>
      </c>
      <c r="N688" s="3">
        <v>0.77500000000000002</v>
      </c>
      <c r="O688" s="3">
        <v>2.5000000000000001E-2</v>
      </c>
      <c r="P688" s="3">
        <v>0.75</v>
      </c>
      <c r="Q688" s="3">
        <v>0.87866890430450395</v>
      </c>
    </row>
    <row r="689" spans="1:17" x14ac:dyDescent="0.45">
      <c r="A689" s="3">
        <v>43678</v>
      </c>
      <c r="B689" t="b">
        <v>0</v>
      </c>
      <c r="C689" t="b">
        <v>1</v>
      </c>
      <c r="D689" s="3">
        <v>1844</v>
      </c>
      <c r="E689" s="3">
        <v>1883</v>
      </c>
      <c r="F689" t="s">
        <v>7730</v>
      </c>
      <c r="G689" t="s">
        <v>7731</v>
      </c>
      <c r="H689" s="3">
        <v>44.454500000000003</v>
      </c>
      <c r="I689" t="s">
        <v>7732</v>
      </c>
      <c r="J689" t="s">
        <v>11013</v>
      </c>
      <c r="L689" t="s">
        <v>7733</v>
      </c>
      <c r="M689" t="str">
        <f>"https://www.artic.edu/iiif/2/"&amp;Table9[[#This Row],[Image ID]]&amp;"/full/843,/0/default.jpg"</f>
        <v>https://www.artic.edu/iiif/2/02ff4e50-48f1-207f-bcbb-be29c61178c0/full/843,/0/default.jpg</v>
      </c>
      <c r="N689" s="3">
        <v>0.8</v>
      </c>
      <c r="O689" s="3">
        <v>0.05</v>
      </c>
      <c r="P689" s="3">
        <v>0.75</v>
      </c>
      <c r="Q689" s="3">
        <v>0.80802625417709295</v>
      </c>
    </row>
    <row r="690" spans="1:17" x14ac:dyDescent="0.45">
      <c r="A690" s="3">
        <v>16584</v>
      </c>
      <c r="B690" t="b">
        <v>0</v>
      </c>
      <c r="C690" t="b">
        <v>1</v>
      </c>
      <c r="D690" s="3">
        <v>1900</v>
      </c>
      <c r="E690" s="3">
        <v>1903</v>
      </c>
      <c r="F690" t="s">
        <v>4498</v>
      </c>
      <c r="G690" t="s">
        <v>7</v>
      </c>
      <c r="H690" s="3">
        <v>21.4345</v>
      </c>
      <c r="I690" t="s">
        <v>43</v>
      </c>
      <c r="J690" t="s">
        <v>11025</v>
      </c>
      <c r="K690" s="5" t="s">
        <v>9</v>
      </c>
      <c r="L690" t="s">
        <v>4499</v>
      </c>
      <c r="M690" t="str">
        <f>"https://www.artic.edu/iiif/2/"&amp;Table9[[#This Row],[Image ID]]&amp;"/full/843,/0/default.jpg"</f>
        <v>https://www.artic.edu/iiif/2/03930df3-1e6c-eeca-8660-c0b22ca477ff/full/843,/0/default.jpg</v>
      </c>
      <c r="N690" s="3">
        <v>0.8</v>
      </c>
      <c r="O690" s="3">
        <v>0.05</v>
      </c>
      <c r="P690" s="3">
        <v>0.75</v>
      </c>
      <c r="Q690" s="3">
        <v>0.60545444488525302</v>
      </c>
    </row>
    <row r="691" spans="1:17" ht="99.75" x14ac:dyDescent="0.45">
      <c r="A691" s="3">
        <v>25778</v>
      </c>
      <c r="B691" t="b">
        <v>0</v>
      </c>
      <c r="C691" t="b">
        <v>1</v>
      </c>
      <c r="D691" s="3">
        <v>1510</v>
      </c>
      <c r="E691" s="3">
        <v>1515</v>
      </c>
      <c r="F691" t="s">
        <v>6595</v>
      </c>
      <c r="G691" t="s">
        <v>212</v>
      </c>
      <c r="H691" s="3">
        <v>43.417400000000001</v>
      </c>
      <c r="I691" t="s">
        <v>6596</v>
      </c>
      <c r="J691" s="1" t="s">
        <v>11034</v>
      </c>
      <c r="L691" t="s">
        <v>6597</v>
      </c>
      <c r="M691" t="str">
        <f>"https://www.artic.edu/iiif/2/"&amp;Table9[[#This Row],[Image ID]]&amp;"/full/843,/0/default.jpg"</f>
        <v>https://www.artic.edu/iiif/2/0457fe58-3a6e-155e-5185-e121db1e0bfd/full/843,/0/default.jpg</v>
      </c>
      <c r="N691" s="3">
        <v>0.75</v>
      </c>
      <c r="O691" s="3">
        <v>0</v>
      </c>
      <c r="P691" s="3">
        <v>0.75</v>
      </c>
      <c r="Q691" s="3">
        <v>0.76439028978347701</v>
      </c>
    </row>
    <row r="692" spans="1:17" x14ac:dyDescent="0.45">
      <c r="A692" s="3">
        <v>10287</v>
      </c>
      <c r="B692" t="b">
        <v>0</v>
      </c>
      <c r="C692" t="b">
        <v>1</v>
      </c>
      <c r="D692" s="3">
        <v>1745</v>
      </c>
      <c r="E692" s="3">
        <v>1750</v>
      </c>
      <c r="F692" t="s">
        <v>300</v>
      </c>
      <c r="G692" t="s">
        <v>7</v>
      </c>
      <c r="H692" s="3">
        <v>10.712300000000001</v>
      </c>
      <c r="I692" t="s">
        <v>14667</v>
      </c>
      <c r="J692" t="s">
        <v>11094</v>
      </c>
      <c r="L692" t="s">
        <v>301</v>
      </c>
      <c r="M692" t="str">
        <f>"https://www.artic.edu/iiif/2/"&amp;Table9[[#This Row],[Image ID]]&amp;"/full/843,/0/default.jpg"</f>
        <v>https://www.artic.edu/iiif/2/08b2ede5-bf33-602a-f1eb-2e7510c1b3cd/full/843,/0/default.jpg</v>
      </c>
      <c r="N692" s="3">
        <v>0.85</v>
      </c>
      <c r="O692" s="3">
        <v>0.1</v>
      </c>
      <c r="P692" s="3">
        <v>0.75</v>
      </c>
      <c r="Q692" s="3">
        <v>0.833950996398925</v>
      </c>
    </row>
    <row r="693" spans="1:17" x14ac:dyDescent="0.45">
      <c r="A693" s="3">
        <v>66513</v>
      </c>
      <c r="B693" t="b">
        <v>0</v>
      </c>
      <c r="C693" t="b">
        <v>1</v>
      </c>
      <c r="D693" s="3">
        <v>1886</v>
      </c>
      <c r="E693" s="3">
        <v>1886</v>
      </c>
      <c r="F693" t="s">
        <v>9290</v>
      </c>
      <c r="G693" t="s">
        <v>5169</v>
      </c>
      <c r="H693" s="3">
        <v>21.7333</v>
      </c>
      <c r="I693" t="s">
        <v>1527</v>
      </c>
      <c r="J693" t="s">
        <v>11126</v>
      </c>
      <c r="L693" t="s">
        <v>9291</v>
      </c>
      <c r="M693" t="str">
        <f>"https://www.artic.edu/iiif/2/"&amp;Table9[[#This Row],[Image ID]]&amp;"/full/843,/0/default.jpg"</f>
        <v>https://www.artic.edu/iiif/2/0b0c6f18-e042-e5b4-f426-29ae0cb401d0/full/843,/0/default.jpg</v>
      </c>
      <c r="N693" s="3">
        <v>0.8</v>
      </c>
      <c r="O693" s="3">
        <v>0.05</v>
      </c>
      <c r="P693" s="3">
        <v>0.75</v>
      </c>
      <c r="Q693" s="3">
        <v>0.78294330835342396</v>
      </c>
    </row>
    <row r="694" spans="1:17" x14ac:dyDescent="0.45">
      <c r="A694" s="3">
        <v>16600</v>
      </c>
      <c r="B694" t="b">
        <v>0</v>
      </c>
      <c r="C694" t="b">
        <v>1</v>
      </c>
      <c r="D694" s="3">
        <v>1883</v>
      </c>
      <c r="E694" s="3">
        <v>1883</v>
      </c>
      <c r="F694" t="s">
        <v>4502</v>
      </c>
      <c r="G694" t="s">
        <v>7</v>
      </c>
      <c r="H694" s="3">
        <v>57.5717</v>
      </c>
      <c r="I694" t="s">
        <v>8</v>
      </c>
      <c r="J694" t="s">
        <v>11163</v>
      </c>
      <c r="K694" s="5" t="s">
        <v>9</v>
      </c>
      <c r="L694" t="s">
        <v>4503</v>
      </c>
      <c r="M694" t="str">
        <f>"https://www.artic.edu/iiif/2/"&amp;Table9[[#This Row],[Image ID]]&amp;"/full/843,/0/default.jpg"</f>
        <v>https://www.artic.edu/iiif/2/0e94a829-b3b7-8317-b609-d1826f0369f0/full/843,/0/default.jpg</v>
      </c>
      <c r="N694" s="3">
        <v>0.77500000000000002</v>
      </c>
      <c r="O694" s="3">
        <v>2.5000000000000001E-2</v>
      </c>
      <c r="P694" s="3">
        <v>0.75</v>
      </c>
      <c r="Q694" s="3">
        <v>0.81527370214462203</v>
      </c>
    </row>
    <row r="695" spans="1:17" x14ac:dyDescent="0.45">
      <c r="A695" s="3">
        <v>73994</v>
      </c>
      <c r="B695" t="b">
        <v>0</v>
      </c>
      <c r="C695" t="b">
        <v>1</v>
      </c>
      <c r="D695" s="3">
        <v>1800</v>
      </c>
      <c r="E695" s="3">
        <v>1899</v>
      </c>
      <c r="F695" t="s">
        <v>9650</v>
      </c>
      <c r="G695" t="s">
        <v>9651</v>
      </c>
      <c r="H695" s="3">
        <v>28.784600000000001</v>
      </c>
      <c r="I695" t="s">
        <v>16</v>
      </c>
      <c r="J695" t="s">
        <v>11232</v>
      </c>
      <c r="L695" t="s">
        <v>9652</v>
      </c>
      <c r="M695" t="str">
        <f>"https://www.artic.edu/iiif/2/"&amp;Table9[[#This Row],[Image ID]]&amp;"/full/843,/0/default.jpg"</f>
        <v>https://www.artic.edu/iiif/2/12e70d0e-20b3-b9c9-502a-a0387ad0f9a8/full/843,/0/default.jpg</v>
      </c>
      <c r="N695" s="3">
        <v>0.85</v>
      </c>
      <c r="O695" s="3">
        <v>0.1</v>
      </c>
      <c r="P695" s="3">
        <v>0.75</v>
      </c>
      <c r="Q695" s="3">
        <v>0.72939139604568404</v>
      </c>
    </row>
    <row r="696" spans="1:17" x14ac:dyDescent="0.45">
      <c r="A696" s="3">
        <v>112005</v>
      </c>
      <c r="B696" t="b">
        <v>0</v>
      </c>
      <c r="C696" t="b">
        <v>1</v>
      </c>
      <c r="D696" s="3">
        <v>1869</v>
      </c>
      <c r="E696" s="3">
        <v>1869</v>
      </c>
      <c r="F696" t="s">
        <v>1282</v>
      </c>
      <c r="G696" t="s">
        <v>1283</v>
      </c>
      <c r="H696" s="3">
        <v>47.3874</v>
      </c>
      <c r="I696" t="s">
        <v>1284</v>
      </c>
      <c r="J696" t="s">
        <v>11307</v>
      </c>
      <c r="L696" t="s">
        <v>1285</v>
      </c>
      <c r="M696" t="str">
        <f>"https://www.artic.edu/iiif/2/"&amp;Table9[[#This Row],[Image ID]]&amp;"/full/843,/0/default.jpg"</f>
        <v>https://www.artic.edu/iiif/2/189d8518-5636-2992-6f65-1ab412e0fdbf/full/843,/0/default.jpg</v>
      </c>
      <c r="N696" s="3">
        <v>0.82499999999999996</v>
      </c>
      <c r="O696" s="3">
        <v>7.4999999999999997E-2</v>
      </c>
      <c r="P696" s="3">
        <v>0.75</v>
      </c>
      <c r="Q696" s="3">
        <v>0.67541891336440996</v>
      </c>
    </row>
    <row r="697" spans="1:17" x14ac:dyDescent="0.45">
      <c r="A697" s="3">
        <v>256795</v>
      </c>
      <c r="B697" t="b">
        <v>0</v>
      </c>
      <c r="C697" t="b">
        <v>1</v>
      </c>
      <c r="D697" s="3">
        <v>1604</v>
      </c>
      <c r="E697" s="3">
        <v>1604</v>
      </c>
      <c r="F697" t="s">
        <v>6530</v>
      </c>
      <c r="G697" t="s">
        <v>7</v>
      </c>
      <c r="H697" s="3">
        <v>25.9268</v>
      </c>
      <c r="I697" t="s">
        <v>6531</v>
      </c>
      <c r="J697" t="s">
        <v>11385</v>
      </c>
      <c r="K697" s="5" t="s">
        <v>46</v>
      </c>
      <c r="L697" t="s">
        <v>6532</v>
      </c>
      <c r="M697" t="str">
        <f>"https://www.artic.edu/iiif/2/"&amp;Table9[[#This Row],[Image ID]]&amp;"/full/843,/0/default.jpg"</f>
        <v>https://www.artic.edu/iiif/2/1dae4ac9-d33c-56e4-06d5-985b6be3898c/full/843,/0/default.jpg</v>
      </c>
      <c r="N697" s="3">
        <v>0.85</v>
      </c>
      <c r="O697" s="3">
        <v>0.1</v>
      </c>
      <c r="P697" s="3">
        <v>0.75</v>
      </c>
      <c r="Q697" s="3">
        <v>0.76782882213592496</v>
      </c>
    </row>
    <row r="698" spans="1:17" x14ac:dyDescent="0.45">
      <c r="A698" s="3">
        <v>20419</v>
      </c>
      <c r="B698" t="b">
        <v>0</v>
      </c>
      <c r="C698" t="b">
        <v>1</v>
      </c>
      <c r="D698" s="3">
        <v>1620</v>
      </c>
      <c r="E698" s="3">
        <v>1640</v>
      </c>
      <c r="F698" t="s">
        <v>1122</v>
      </c>
      <c r="G698" t="s">
        <v>7</v>
      </c>
      <c r="H698" s="3">
        <v>0</v>
      </c>
      <c r="I698" t="s">
        <v>1306</v>
      </c>
      <c r="J698" t="s">
        <v>11527</v>
      </c>
      <c r="L698" t="s">
        <v>5399</v>
      </c>
      <c r="M698" t="str">
        <f>"https://www.artic.edu/iiif/2/"&amp;Table9[[#This Row],[Image ID]]&amp;"/full/843,/0/default.jpg"</f>
        <v>https://www.artic.edu/iiif/2/2685ae09-bc4e-5e01-f2f6-cf41b1a75349/full/843,/0/default.jpg</v>
      </c>
      <c r="N698" s="3">
        <v>0.85</v>
      </c>
      <c r="O698" s="3">
        <v>0.1</v>
      </c>
      <c r="P698" s="3">
        <v>0.75</v>
      </c>
      <c r="Q698" s="3">
        <v>0.814075946807861</v>
      </c>
    </row>
    <row r="699" spans="1:17" x14ac:dyDescent="0.45">
      <c r="A699" s="3">
        <v>32740</v>
      </c>
      <c r="B699" t="b">
        <v>0</v>
      </c>
      <c r="C699" t="b">
        <v>1</v>
      </c>
      <c r="D699" s="3">
        <v>1795</v>
      </c>
      <c r="E699" s="3">
        <v>1851</v>
      </c>
      <c r="F699" t="s">
        <v>7061</v>
      </c>
      <c r="G699" t="s">
        <v>642</v>
      </c>
      <c r="H699" s="3">
        <v>14.6427</v>
      </c>
      <c r="I699" t="s">
        <v>868</v>
      </c>
      <c r="J699" t="s">
        <v>11541</v>
      </c>
      <c r="L699" t="s">
        <v>7062</v>
      </c>
      <c r="M699" t="str">
        <f>"https://www.artic.edu/iiif/2/"&amp;Table9[[#This Row],[Image ID]]&amp;"/full/843,/0/default.jpg"</f>
        <v>https://www.artic.edu/iiif/2/27493885-3545-f65a-2971-06a8d17d0818/full/843,/0/default.jpg</v>
      </c>
      <c r="N699" s="3">
        <v>0.77500000000000002</v>
      </c>
      <c r="O699" s="3">
        <v>2.5000000000000001E-2</v>
      </c>
      <c r="P699" s="3">
        <v>0.75</v>
      </c>
      <c r="Q699" s="3">
        <v>0.68322366476058904</v>
      </c>
    </row>
    <row r="700" spans="1:17" x14ac:dyDescent="0.45">
      <c r="A700" s="3">
        <v>31819</v>
      </c>
      <c r="B700" t="b">
        <v>0</v>
      </c>
      <c r="C700" t="b">
        <v>1</v>
      </c>
      <c r="D700" s="3">
        <v>1740</v>
      </c>
      <c r="E700" s="3">
        <v>1750</v>
      </c>
      <c r="F700" t="s">
        <v>7026</v>
      </c>
      <c r="G700" t="s">
        <v>7</v>
      </c>
      <c r="H700" s="3">
        <v>20.185400000000001</v>
      </c>
      <c r="I700" t="s">
        <v>3751</v>
      </c>
      <c r="J700" t="s">
        <v>11543</v>
      </c>
      <c r="L700" t="s">
        <v>7027</v>
      </c>
      <c r="M700" t="str">
        <f>"https://www.artic.edu/iiif/2/"&amp;Table9[[#This Row],[Image ID]]&amp;"/full/843,/0/default.jpg"</f>
        <v>https://www.artic.edu/iiif/2/275c4f90-f010-853e-4cd2-0aa306472ee8/full/843,/0/default.jpg</v>
      </c>
      <c r="N700" s="3">
        <v>0.82499999999999996</v>
      </c>
      <c r="O700" s="3">
        <v>7.4999999999999997E-2</v>
      </c>
      <c r="P700" s="3">
        <v>0.75</v>
      </c>
      <c r="Q700" s="3">
        <v>0.82207977771759</v>
      </c>
    </row>
    <row r="701" spans="1:17" x14ac:dyDescent="0.45">
      <c r="A701" s="3">
        <v>19333</v>
      </c>
      <c r="B701" t="b">
        <v>0</v>
      </c>
      <c r="C701" t="b">
        <v>1</v>
      </c>
      <c r="D701" s="3">
        <v>1635</v>
      </c>
      <c r="E701" s="3">
        <v>1645</v>
      </c>
      <c r="F701" t="s">
        <v>5228</v>
      </c>
      <c r="G701" t="s">
        <v>7</v>
      </c>
      <c r="H701" s="3">
        <v>32.401800000000001</v>
      </c>
      <c r="I701" t="s">
        <v>5229</v>
      </c>
      <c r="J701" t="s">
        <v>11573</v>
      </c>
      <c r="L701" t="s">
        <v>5230</v>
      </c>
      <c r="M701" t="str">
        <f>"https://www.artic.edu/iiif/2/"&amp;Table9[[#This Row],[Image ID]]&amp;"/full/843,/0/default.jpg"</f>
        <v>https://www.artic.edu/iiif/2/29163982-8310-36bb-3530-2b5000ce7290/full/843,/0/default.jpg</v>
      </c>
      <c r="N701" s="3">
        <v>0.875</v>
      </c>
      <c r="O701" s="3">
        <v>0.125</v>
      </c>
      <c r="P701" s="3">
        <v>0.75</v>
      </c>
      <c r="Q701" s="3">
        <v>0.83602517843246404</v>
      </c>
    </row>
    <row r="702" spans="1:17" x14ac:dyDescent="0.45">
      <c r="A702" s="3">
        <v>9582</v>
      </c>
      <c r="B702" t="b">
        <v>0</v>
      </c>
      <c r="C702" t="b">
        <v>1</v>
      </c>
      <c r="D702" s="3">
        <v>1849</v>
      </c>
      <c r="E702" s="3">
        <v>1849</v>
      </c>
      <c r="F702" t="s">
        <v>10780</v>
      </c>
      <c r="G702" t="s">
        <v>1283</v>
      </c>
      <c r="H702" s="3">
        <v>23.259</v>
      </c>
      <c r="I702" t="s">
        <v>922</v>
      </c>
      <c r="J702" t="s">
        <v>11585</v>
      </c>
      <c r="L702" t="s">
        <v>10781</v>
      </c>
      <c r="M702" t="str">
        <f>"https://www.artic.edu/iiif/2/"&amp;Table9[[#This Row],[Image ID]]&amp;"/full/843,/0/default.jpg"</f>
        <v>https://www.artic.edu/iiif/2/29f12a02-5b9a-ddc7-1a49-21fb71f4f1c3/full/843,/0/default.jpg</v>
      </c>
      <c r="N702" s="3">
        <v>0.88600000000000001</v>
      </c>
      <c r="O702" s="3">
        <v>0.13600000000000001</v>
      </c>
      <c r="P702" s="3">
        <v>0.75</v>
      </c>
      <c r="Q702" s="3">
        <v>0.86783802509307795</v>
      </c>
    </row>
    <row r="703" spans="1:17" x14ac:dyDescent="0.45">
      <c r="A703" s="3">
        <v>6009</v>
      </c>
      <c r="B703" t="b">
        <v>0</v>
      </c>
      <c r="C703" t="b">
        <v>1</v>
      </c>
      <c r="D703" s="3">
        <v>1738</v>
      </c>
      <c r="E703" s="3">
        <v>1739</v>
      </c>
      <c r="F703" t="s">
        <v>8684</v>
      </c>
      <c r="G703" t="s">
        <v>7</v>
      </c>
      <c r="H703" s="3">
        <v>28.601800000000001</v>
      </c>
      <c r="I703" t="s">
        <v>1511</v>
      </c>
      <c r="J703" t="s">
        <v>11600</v>
      </c>
      <c r="L703" t="s">
        <v>8685</v>
      </c>
      <c r="M703" t="str">
        <f>"https://www.artic.edu/iiif/2/"&amp;Table9[[#This Row],[Image ID]]&amp;"/full/843,/0/default.jpg"</f>
        <v>https://www.artic.edu/iiif/2/2ae161a1-d263-f3b4-b41f-3d1901ddefcc/full/843,/0/default.jpg</v>
      </c>
      <c r="N703" s="3">
        <v>0.77500000000000002</v>
      </c>
      <c r="O703" s="3">
        <v>2.5000000000000001E-2</v>
      </c>
      <c r="P703" s="3">
        <v>0.75</v>
      </c>
      <c r="Q703" s="3">
        <v>0.78309142589569003</v>
      </c>
    </row>
    <row r="704" spans="1:17" x14ac:dyDescent="0.45">
      <c r="A704" s="3">
        <v>115182</v>
      </c>
      <c r="B704" t="b">
        <v>0</v>
      </c>
      <c r="C704" t="b">
        <v>1</v>
      </c>
      <c r="D704" s="3">
        <v>1835</v>
      </c>
      <c r="E704" s="3">
        <v>1882</v>
      </c>
      <c r="F704" t="s">
        <v>1816</v>
      </c>
      <c r="G704" t="s">
        <v>1774</v>
      </c>
      <c r="H704" s="3">
        <v>23.478300000000001</v>
      </c>
      <c r="I704" t="s">
        <v>1555</v>
      </c>
      <c r="J704" t="s">
        <v>11619</v>
      </c>
      <c r="L704" t="s">
        <v>1817</v>
      </c>
      <c r="M704" t="str">
        <f>"https://www.artic.edu/iiif/2/"&amp;Table9[[#This Row],[Image ID]]&amp;"/full/843,/0/default.jpg"</f>
        <v>https://www.artic.edu/iiif/2/2bcc0aad-a0d1-2068-9fd4-d230c3ddbc54/full/843,/0/default.jpg</v>
      </c>
      <c r="N704" s="3">
        <v>0.75</v>
      </c>
      <c r="O704" s="3">
        <v>0</v>
      </c>
      <c r="P704" s="3">
        <v>0.75</v>
      </c>
      <c r="Q704" s="3">
        <v>0.55762064456939697</v>
      </c>
    </row>
    <row r="705" spans="1:17" x14ac:dyDescent="0.45">
      <c r="A705" s="3">
        <v>115489</v>
      </c>
      <c r="B705" t="b">
        <v>0</v>
      </c>
      <c r="C705" t="b">
        <v>1</v>
      </c>
      <c r="D705" s="3">
        <v>1719</v>
      </c>
      <c r="E705" s="3">
        <v>1769</v>
      </c>
      <c r="F705" t="s">
        <v>1942</v>
      </c>
      <c r="G705" t="s">
        <v>1943</v>
      </c>
      <c r="H705" s="3">
        <v>31.626300000000001</v>
      </c>
      <c r="I705" t="s">
        <v>1922</v>
      </c>
      <c r="J705" t="s">
        <v>11646</v>
      </c>
      <c r="L705" t="s">
        <v>1944</v>
      </c>
      <c r="M705" t="str">
        <f>"https://www.artic.edu/iiif/2/"&amp;Table9[[#This Row],[Image ID]]&amp;"/full/843,/0/default.jpg"</f>
        <v>https://www.artic.edu/iiif/2/2e42192b-84c1-52ee-e5d8-fd4c40f52c72/full/843,/0/default.jpg</v>
      </c>
      <c r="N705" s="3">
        <v>0.75</v>
      </c>
      <c r="O705" s="3">
        <v>0</v>
      </c>
      <c r="P705" s="3">
        <v>0.75</v>
      </c>
      <c r="Q705" s="3">
        <v>0.76714348793029696</v>
      </c>
    </row>
    <row r="706" spans="1:17" x14ac:dyDescent="0.45">
      <c r="A706" s="3">
        <v>95420</v>
      </c>
      <c r="B706" t="b">
        <v>0</v>
      </c>
      <c r="C706" t="b">
        <v>1</v>
      </c>
      <c r="D706" s="3">
        <v>1790</v>
      </c>
      <c r="E706" s="3">
        <v>1799</v>
      </c>
      <c r="F706" t="s">
        <v>297</v>
      </c>
      <c r="G706" t="s">
        <v>7</v>
      </c>
      <c r="H706" s="3">
        <v>42.5137</v>
      </c>
      <c r="I706" t="s">
        <v>156</v>
      </c>
      <c r="J706" t="s">
        <v>11712</v>
      </c>
      <c r="L706" t="s">
        <v>10769</v>
      </c>
      <c r="M706" t="str">
        <f>"https://www.artic.edu/iiif/2/"&amp;Table9[[#This Row],[Image ID]]&amp;"/full/843,/0/default.jpg"</f>
        <v>https://www.artic.edu/iiif/2/32796fdf-a3a9-181a-d0b4-1262fb007316/full/843,/0/default.jpg</v>
      </c>
      <c r="N706" s="3">
        <v>0.875</v>
      </c>
      <c r="O706" s="3">
        <v>0.125</v>
      </c>
      <c r="P706" s="3">
        <v>0.75</v>
      </c>
      <c r="Q706" s="3">
        <v>0.73228216171264604</v>
      </c>
    </row>
    <row r="707" spans="1:17" x14ac:dyDescent="0.45">
      <c r="A707" s="3">
        <v>111614</v>
      </c>
      <c r="B707" t="b">
        <v>0</v>
      </c>
      <c r="C707" t="b">
        <v>1</v>
      </c>
      <c r="D707" s="3">
        <v>1650</v>
      </c>
      <c r="E707" s="3">
        <v>1660</v>
      </c>
      <c r="F707" t="s">
        <v>297</v>
      </c>
      <c r="G707" t="s">
        <v>75</v>
      </c>
      <c r="H707" s="3">
        <v>40.681699999999999</v>
      </c>
      <c r="I707" t="s">
        <v>1137</v>
      </c>
      <c r="J707" t="s">
        <v>11843</v>
      </c>
      <c r="L707" t="s">
        <v>1138</v>
      </c>
      <c r="M707" t="str">
        <f>"https://www.artic.edu/iiif/2/"&amp;Table9[[#This Row],[Image ID]]&amp;"/full/843,/0/default.jpg"</f>
        <v>https://www.artic.edu/iiif/2/3b2866b5-2b4d-871f-3a61-33178831b0ec/full/843,/0/default.jpg</v>
      </c>
      <c r="N707" s="3">
        <v>0.82499999999999996</v>
      </c>
      <c r="O707" s="3">
        <v>7.4999999999999997E-2</v>
      </c>
      <c r="P707" s="3">
        <v>0.75</v>
      </c>
      <c r="Q707" s="3">
        <v>0.87276357412338201</v>
      </c>
    </row>
    <row r="708" spans="1:17" x14ac:dyDescent="0.45">
      <c r="A708" s="3">
        <v>59894</v>
      </c>
      <c r="B708" t="b">
        <v>0</v>
      </c>
      <c r="C708" t="b">
        <v>1</v>
      </c>
      <c r="D708" s="3">
        <v>1625</v>
      </c>
      <c r="E708" s="3">
        <v>1635</v>
      </c>
      <c r="F708" t="s">
        <v>8621</v>
      </c>
      <c r="G708" t="s">
        <v>75</v>
      </c>
      <c r="H708" s="3">
        <v>28.8339</v>
      </c>
      <c r="I708" t="s">
        <v>8622</v>
      </c>
      <c r="J708" t="s">
        <v>11886</v>
      </c>
      <c r="L708" t="s">
        <v>8623</v>
      </c>
      <c r="M708" t="str">
        <f>"https://www.artic.edu/iiif/2/"&amp;Table9[[#This Row],[Image ID]]&amp;"/full/843,/0/default.jpg"</f>
        <v>https://www.artic.edu/iiif/2/3dea7add-50e5-fe2c-8f05-2fb433a9e4ef/full/843,/0/default.jpg</v>
      </c>
      <c r="N708" s="3">
        <v>0.75</v>
      </c>
      <c r="O708" s="3">
        <v>0</v>
      </c>
      <c r="P708" s="3">
        <v>0.75</v>
      </c>
      <c r="Q708" s="3">
        <v>0.68861204385757402</v>
      </c>
    </row>
    <row r="709" spans="1:17" x14ac:dyDescent="0.45">
      <c r="A709" s="3">
        <v>16617</v>
      </c>
      <c r="B709" t="b">
        <v>0</v>
      </c>
      <c r="C709" t="b">
        <v>1</v>
      </c>
      <c r="D709" s="3">
        <v>1881</v>
      </c>
      <c r="E709" s="3">
        <v>1882</v>
      </c>
      <c r="F709" t="s">
        <v>4504</v>
      </c>
      <c r="G709" t="s">
        <v>7</v>
      </c>
      <c r="H709" s="3">
        <v>50.725299999999997</v>
      </c>
      <c r="I709" t="s">
        <v>8</v>
      </c>
      <c r="J709" t="s">
        <v>12025</v>
      </c>
      <c r="K709" s="5" t="s">
        <v>9</v>
      </c>
      <c r="L709" t="s">
        <v>4505</v>
      </c>
      <c r="M709" t="str">
        <f>"https://www.artic.edu/iiif/2/"&amp;Table9[[#This Row],[Image ID]]&amp;"/full/843,/0/default.jpg"</f>
        <v>https://www.artic.edu/iiif/2/479aff61-784e-e833-fd82-50ba8c819514/full/843,/0/default.jpg</v>
      </c>
      <c r="N709" s="3">
        <v>0.8</v>
      </c>
      <c r="O709" s="3">
        <v>0.05</v>
      </c>
      <c r="P709" s="3">
        <v>0.75</v>
      </c>
      <c r="Q709" s="3">
        <v>0.72128403186798096</v>
      </c>
    </row>
    <row r="710" spans="1:17" x14ac:dyDescent="0.45">
      <c r="A710" s="3">
        <v>86780</v>
      </c>
      <c r="B710" t="b">
        <v>0</v>
      </c>
      <c r="C710" t="b">
        <v>1</v>
      </c>
      <c r="D710" s="3">
        <v>1906</v>
      </c>
      <c r="E710" s="3">
        <v>1906</v>
      </c>
      <c r="F710" t="s">
        <v>137</v>
      </c>
      <c r="G710" t="s">
        <v>7</v>
      </c>
      <c r="H710" s="3">
        <v>21.9436</v>
      </c>
      <c r="I710" t="s">
        <v>882</v>
      </c>
      <c r="J710" t="s">
        <v>12055</v>
      </c>
      <c r="K710" s="5" t="s">
        <v>284</v>
      </c>
      <c r="L710" t="s">
        <v>10349</v>
      </c>
      <c r="M710" t="str">
        <f>"https://www.artic.edu/iiif/2/"&amp;Table9[[#This Row],[Image ID]]&amp;"/full/843,/0/default.jpg"</f>
        <v>https://www.artic.edu/iiif/2/49f45b42-b565-199f-6ef5-f09dea142205/full/843,/0/default.jpg</v>
      </c>
      <c r="N710" s="3">
        <v>0.82499999999999996</v>
      </c>
      <c r="O710" s="3">
        <v>7.4999999999999997E-2</v>
      </c>
      <c r="P710" s="3">
        <v>0.75</v>
      </c>
      <c r="Q710" s="3">
        <v>0.77623915672302202</v>
      </c>
    </row>
    <row r="711" spans="1:17" x14ac:dyDescent="0.45">
      <c r="A711" s="3">
        <v>6793</v>
      </c>
      <c r="B711" t="b">
        <v>0</v>
      </c>
      <c r="C711" t="b">
        <v>1</v>
      </c>
      <c r="D711" s="3">
        <v>1600</v>
      </c>
      <c r="E711" s="3">
        <v>1700</v>
      </c>
      <c r="F711" t="s">
        <v>9335</v>
      </c>
      <c r="G711" t="s">
        <v>9336</v>
      </c>
      <c r="H711" s="3">
        <v>0</v>
      </c>
      <c r="J711" t="s">
        <v>12087</v>
      </c>
      <c r="K711" s="5" t="s">
        <v>130</v>
      </c>
      <c r="L711" t="s">
        <v>9337</v>
      </c>
      <c r="M711" t="str">
        <f>"https://www.artic.edu/iiif/2/"&amp;Table9[[#This Row],[Image ID]]&amp;"/full/843,/0/default.jpg"</f>
        <v>https://www.artic.edu/iiif/2/4ca3d40b-9fcd-2302-673d-7222f35d02da/full/843,/0/default.jpg</v>
      </c>
      <c r="N711" s="3">
        <v>0.8</v>
      </c>
      <c r="O711" s="3">
        <v>0.05</v>
      </c>
      <c r="P711" s="3">
        <v>0.75</v>
      </c>
      <c r="Q711" s="3">
        <v>0.76688784360885598</v>
      </c>
    </row>
    <row r="712" spans="1:17" x14ac:dyDescent="0.45">
      <c r="A712" s="3">
        <v>45254</v>
      </c>
      <c r="B712" t="b">
        <v>0</v>
      </c>
      <c r="C712" t="b">
        <v>1</v>
      </c>
      <c r="D712" s="3">
        <v>1904</v>
      </c>
      <c r="E712" s="3">
        <v>1920</v>
      </c>
      <c r="F712" t="s">
        <v>5344</v>
      </c>
      <c r="G712" t="s">
        <v>7831</v>
      </c>
      <c r="H712" s="3">
        <v>30.6127</v>
      </c>
      <c r="I712" t="s">
        <v>910</v>
      </c>
      <c r="J712" t="s">
        <v>12128</v>
      </c>
      <c r="L712" t="s">
        <v>7832</v>
      </c>
      <c r="M712" t="str">
        <f>"https://www.artic.edu/iiif/2/"&amp;Table9[[#This Row],[Image ID]]&amp;"/full/843,/0/default.jpg"</f>
        <v>https://www.artic.edu/iiif/2/4f7bebb2-8eb2-5e1e-e5e3-370e83b99db2/full/843,/0/default.jpg</v>
      </c>
      <c r="N712" s="3">
        <v>0.82499999999999996</v>
      </c>
      <c r="O712" s="3">
        <v>7.4999999999999997E-2</v>
      </c>
      <c r="P712" s="3">
        <v>0.75</v>
      </c>
      <c r="Q712" s="3">
        <v>0.81359916925430298</v>
      </c>
    </row>
    <row r="713" spans="1:17" x14ac:dyDescent="0.45">
      <c r="A713" s="3">
        <v>36550</v>
      </c>
      <c r="B713" t="b">
        <v>0</v>
      </c>
      <c r="C713" t="b">
        <v>1</v>
      </c>
      <c r="D713" s="3">
        <v>1800</v>
      </c>
      <c r="E713" s="3">
        <v>1850</v>
      </c>
      <c r="F713" t="s">
        <v>7240</v>
      </c>
      <c r="G713" t="s">
        <v>2992</v>
      </c>
      <c r="H713" s="3">
        <v>33.104100000000003</v>
      </c>
      <c r="I713" t="s">
        <v>3025</v>
      </c>
      <c r="J713" t="s">
        <v>12197</v>
      </c>
      <c r="K713" s="5" t="s">
        <v>13</v>
      </c>
      <c r="L713" t="s">
        <v>7241</v>
      </c>
      <c r="M713" t="str">
        <f>"https://www.artic.edu/iiif/2/"&amp;Table9[[#This Row],[Image ID]]&amp;"/full/843,/0/default.jpg"</f>
        <v>https://www.artic.edu/iiif/2/53e194e7-5073-00d3-99e6-d18ec4882670/full/843,/0/default.jpg</v>
      </c>
      <c r="N713" s="3">
        <v>0.85</v>
      </c>
      <c r="O713" s="3">
        <v>0.1</v>
      </c>
      <c r="P713" s="3">
        <v>0.75</v>
      </c>
      <c r="Q713" s="3">
        <v>0.78498566150665205</v>
      </c>
    </row>
    <row r="714" spans="1:17" x14ac:dyDescent="0.45">
      <c r="A714" s="3">
        <v>89043</v>
      </c>
      <c r="B714" t="b">
        <v>0</v>
      </c>
      <c r="C714" t="b">
        <v>1</v>
      </c>
      <c r="D714" s="3">
        <v>1805</v>
      </c>
      <c r="E714" s="3">
        <v>1815</v>
      </c>
      <c r="F714" t="s">
        <v>14586</v>
      </c>
      <c r="G714" t="s">
        <v>7</v>
      </c>
      <c r="H714" s="3">
        <v>48.5488</v>
      </c>
      <c r="I714" t="s">
        <v>14559</v>
      </c>
      <c r="J714" t="s">
        <v>12225</v>
      </c>
      <c r="L714" t="s">
        <v>10448</v>
      </c>
      <c r="M714" t="str">
        <f>"https://www.artic.edu/iiif/2/"&amp;Table9[[#This Row],[Image ID]]&amp;"/full/843,/0/default.jpg"</f>
        <v>https://www.artic.edu/iiif/2/5553b728-cc59-1d08-7505-f9b3826334b8/full/843,/0/default.jpg</v>
      </c>
      <c r="N714" s="3">
        <v>0.77500000000000002</v>
      </c>
      <c r="O714" s="3">
        <v>2.5000000000000001E-2</v>
      </c>
      <c r="P714" s="3">
        <v>0.75</v>
      </c>
      <c r="Q714" s="3">
        <v>0.87951970100402799</v>
      </c>
    </row>
    <row r="715" spans="1:17" x14ac:dyDescent="0.45">
      <c r="A715" s="3">
        <v>180709</v>
      </c>
      <c r="B715" t="b">
        <v>0</v>
      </c>
      <c r="C715" t="b">
        <v>1</v>
      </c>
      <c r="D715" s="3">
        <v>1855</v>
      </c>
      <c r="E715" s="3">
        <v>1855</v>
      </c>
      <c r="F715" t="s">
        <v>3757</v>
      </c>
      <c r="G715" t="s">
        <v>250</v>
      </c>
      <c r="H715" s="3">
        <v>36.558799999999998</v>
      </c>
      <c r="I715" t="s">
        <v>4700</v>
      </c>
      <c r="J715" t="s">
        <v>12266</v>
      </c>
      <c r="L715" t="s">
        <v>4701</v>
      </c>
      <c r="M715" t="str">
        <f>"https://www.artic.edu/iiif/2/"&amp;Table9[[#This Row],[Image ID]]&amp;"/full/843,/0/default.jpg"</f>
        <v>https://www.artic.edu/iiif/2/57e7455f-9c4f-7b6d-ffac-6d2269258265/full/843,/0/default.jpg</v>
      </c>
      <c r="N715" s="3">
        <v>0.875</v>
      </c>
      <c r="O715" s="3">
        <v>0.125</v>
      </c>
      <c r="P715" s="3">
        <v>0.75</v>
      </c>
      <c r="Q715" s="3">
        <v>0.88720786571502597</v>
      </c>
    </row>
    <row r="716" spans="1:17" x14ac:dyDescent="0.45">
      <c r="A716" s="3">
        <v>64029</v>
      </c>
      <c r="B716" t="b">
        <v>0</v>
      </c>
      <c r="C716" t="b">
        <v>1</v>
      </c>
      <c r="D716" s="3">
        <v>1605</v>
      </c>
      <c r="E716" s="3">
        <v>1615</v>
      </c>
      <c r="F716" t="s">
        <v>8961</v>
      </c>
      <c r="G716" t="s">
        <v>75</v>
      </c>
      <c r="H716" s="3">
        <v>34.613</v>
      </c>
      <c r="I716" t="s">
        <v>8962</v>
      </c>
      <c r="J716" t="s">
        <v>12287</v>
      </c>
      <c r="L716" t="s">
        <v>8963</v>
      </c>
      <c r="M716" t="str">
        <f>"https://www.artic.edu/iiif/2/"&amp;Table9[[#This Row],[Image ID]]&amp;"/full/843,/0/default.jpg"</f>
        <v>https://www.artic.edu/iiif/2/599e0546-ed58-0224-a623-39a8e3b51ef8/full/843,/0/default.jpg</v>
      </c>
      <c r="N716" s="3">
        <v>0.8</v>
      </c>
      <c r="O716" s="3">
        <v>0.05</v>
      </c>
      <c r="P716" s="3">
        <v>0.75</v>
      </c>
      <c r="Q716" s="3">
        <v>0.69833010435104304</v>
      </c>
    </row>
    <row r="717" spans="1:17" x14ac:dyDescent="0.45">
      <c r="A717" s="3">
        <v>36525</v>
      </c>
      <c r="B717" t="b">
        <v>0</v>
      </c>
      <c r="C717" t="b">
        <v>1</v>
      </c>
      <c r="D717" s="3">
        <v>1660</v>
      </c>
      <c r="E717" s="3">
        <v>1670</v>
      </c>
      <c r="F717" t="s">
        <v>2700</v>
      </c>
      <c r="G717" t="s">
        <v>7</v>
      </c>
      <c r="H717" s="3">
        <v>32.744100000000003</v>
      </c>
      <c r="I717" t="s">
        <v>7235</v>
      </c>
      <c r="J717" t="s">
        <v>12298</v>
      </c>
      <c r="L717" t="s">
        <v>7236</v>
      </c>
      <c r="M717" t="str">
        <f>"https://www.artic.edu/iiif/2/"&amp;Table9[[#This Row],[Image ID]]&amp;"/full/843,/0/default.jpg"</f>
        <v>https://www.artic.edu/iiif/2/5a7c5a7a-39f2-a172-9d98-2544c49d39f6/full/843,/0/default.jpg</v>
      </c>
      <c r="N717" s="3">
        <v>0.82499999999999996</v>
      </c>
      <c r="O717" s="3">
        <v>7.4999999999999997E-2</v>
      </c>
      <c r="P717" s="3">
        <v>0.75</v>
      </c>
      <c r="Q717" s="3">
        <v>0.79869842529296797</v>
      </c>
    </row>
    <row r="718" spans="1:17" x14ac:dyDescent="0.45">
      <c r="A718" s="3">
        <v>59956</v>
      </c>
      <c r="B718" t="b">
        <v>0</v>
      </c>
      <c r="C718" t="b">
        <v>1</v>
      </c>
      <c r="D718" s="3">
        <v>1636</v>
      </c>
      <c r="E718" s="3">
        <v>1636</v>
      </c>
      <c r="F718" t="s">
        <v>8657</v>
      </c>
      <c r="G718" t="s">
        <v>75</v>
      </c>
      <c r="H718" s="3">
        <v>49.300699999999999</v>
      </c>
      <c r="I718" t="s">
        <v>79</v>
      </c>
      <c r="J718" t="s">
        <v>12362</v>
      </c>
      <c r="L718" t="s">
        <v>8658</v>
      </c>
      <c r="M718" t="str">
        <f>"https://www.artic.edu/iiif/2/"&amp;Table9[[#This Row],[Image ID]]&amp;"/full/843,/0/default.jpg"</f>
        <v>https://www.artic.edu/iiif/2/5ee19981-a8f5-1306-3ec5-eb79c14ac1a6/full/843,/0/default.jpg</v>
      </c>
      <c r="N718" s="3">
        <v>0.82499999999999996</v>
      </c>
      <c r="O718" s="3">
        <v>7.4999999999999997E-2</v>
      </c>
      <c r="P718" s="3">
        <v>0.75</v>
      </c>
      <c r="Q718" s="3">
        <v>0.82740408182144098</v>
      </c>
    </row>
    <row r="719" spans="1:17" x14ac:dyDescent="0.45">
      <c r="A719" s="3">
        <v>111059</v>
      </c>
      <c r="B719" t="b">
        <v>0</v>
      </c>
      <c r="C719" t="b">
        <v>1</v>
      </c>
      <c r="D719" s="3">
        <v>1640</v>
      </c>
      <c r="E719" s="3">
        <v>1650</v>
      </c>
      <c r="F719" t="s">
        <v>1016</v>
      </c>
      <c r="G719" t="s">
        <v>7</v>
      </c>
      <c r="H719" s="3">
        <v>19.275099999999998</v>
      </c>
      <c r="I719" t="s">
        <v>14655</v>
      </c>
      <c r="J719" t="s">
        <v>12383</v>
      </c>
      <c r="L719" t="s">
        <v>1017</v>
      </c>
      <c r="M719" t="str">
        <f>"https://www.artic.edu/iiif/2/"&amp;Table9[[#This Row],[Image ID]]&amp;"/full/843,/0/default.jpg"</f>
        <v>https://www.artic.edu/iiif/2/605bbcdf-c437-89df-ca7c-7c68682086af/full/843,/0/default.jpg</v>
      </c>
      <c r="N719" s="3">
        <v>0.8</v>
      </c>
      <c r="O719" s="3">
        <v>0.05</v>
      </c>
      <c r="P719" s="3">
        <v>0.75</v>
      </c>
      <c r="Q719" s="3">
        <v>0.80019247531890803</v>
      </c>
    </row>
    <row r="720" spans="1:17" x14ac:dyDescent="0.45">
      <c r="A720" s="3">
        <v>227532</v>
      </c>
      <c r="B720" t="b">
        <v>0</v>
      </c>
      <c r="C720" t="b">
        <v>1</v>
      </c>
      <c r="D720" s="3">
        <v>1785</v>
      </c>
      <c r="E720" s="3">
        <v>1795</v>
      </c>
      <c r="F720" t="s">
        <v>158</v>
      </c>
      <c r="G720" t="s">
        <v>7</v>
      </c>
      <c r="H720" s="3">
        <v>45.387700000000002</v>
      </c>
      <c r="I720" t="s">
        <v>5059</v>
      </c>
      <c r="J720" t="s">
        <v>12386</v>
      </c>
      <c r="L720" t="s">
        <v>5981</v>
      </c>
      <c r="M720" t="str">
        <f>"https://www.artic.edu/iiif/2/"&amp;Table9[[#This Row],[Image ID]]&amp;"/full/843,/0/default.jpg"</f>
        <v>https://www.artic.edu/iiif/2/6076ae8b-08bb-134a-1bd2-1cca81b1cbd1/full/843,/0/default.jpg</v>
      </c>
      <c r="N720" s="3">
        <v>0.85</v>
      </c>
      <c r="O720" s="3">
        <v>0.1</v>
      </c>
      <c r="P720" s="3">
        <v>0.75</v>
      </c>
      <c r="Q720" s="3">
        <v>0.88306677341461104</v>
      </c>
    </row>
    <row r="721" spans="1:17" x14ac:dyDescent="0.45">
      <c r="A721" s="3">
        <v>80336</v>
      </c>
      <c r="B721" t="b">
        <v>0</v>
      </c>
      <c r="C721" t="b">
        <v>1</v>
      </c>
      <c r="D721" s="3">
        <v>1902</v>
      </c>
      <c r="E721" s="3">
        <v>1906</v>
      </c>
      <c r="F721" t="s">
        <v>9958</v>
      </c>
      <c r="G721" t="s">
        <v>1309</v>
      </c>
      <c r="H721" s="3">
        <v>29.004999999999999</v>
      </c>
      <c r="I721" t="s">
        <v>14591</v>
      </c>
      <c r="J721" t="s">
        <v>12456</v>
      </c>
      <c r="L721" t="s">
        <v>9959</v>
      </c>
      <c r="M721" t="str">
        <f>"https://www.artic.edu/iiif/2/"&amp;Table9[[#This Row],[Image ID]]&amp;"/full/843,/0/default.jpg"</f>
        <v>https://www.artic.edu/iiif/2/655a168b-7f9d-be19-615a-eb63adf20e7b/full/843,/0/default.jpg</v>
      </c>
      <c r="N721" s="3">
        <v>0.85</v>
      </c>
      <c r="O721" s="3">
        <v>0.1</v>
      </c>
      <c r="P721" s="3">
        <v>0.75</v>
      </c>
      <c r="Q721" s="3">
        <v>0.66026824712753296</v>
      </c>
    </row>
    <row r="722" spans="1:17" x14ac:dyDescent="0.45">
      <c r="A722" s="3">
        <v>144921</v>
      </c>
      <c r="B722" t="b">
        <v>0</v>
      </c>
      <c r="C722" t="b">
        <v>1</v>
      </c>
      <c r="D722" s="3">
        <v>1701</v>
      </c>
      <c r="E722" s="3">
        <v>1900</v>
      </c>
      <c r="F722" t="s">
        <v>3332</v>
      </c>
      <c r="G722" t="s">
        <v>3333</v>
      </c>
      <c r="H722" s="3">
        <v>73.953699999999998</v>
      </c>
      <c r="J722" t="s">
        <v>12519</v>
      </c>
      <c r="L722" t="s">
        <v>3334</v>
      </c>
      <c r="M722" t="str">
        <f>"https://www.artic.edu/iiif/2/"&amp;Table9[[#This Row],[Image ID]]&amp;"/full/843,/0/default.jpg"</f>
        <v>https://www.artic.edu/iiif/2/6a290356-117f-e7e5-503f-076df46e294e/full/843,/0/default.jpg</v>
      </c>
      <c r="N722" s="3">
        <v>0.82499999999999996</v>
      </c>
      <c r="O722" s="3">
        <v>7.4999999999999997E-2</v>
      </c>
      <c r="P722" s="3">
        <v>0.75</v>
      </c>
      <c r="Q722" s="3">
        <v>0.73510771989822299</v>
      </c>
    </row>
    <row r="723" spans="1:17" x14ac:dyDescent="0.45">
      <c r="A723" s="3">
        <v>38910</v>
      </c>
      <c r="B723" t="b">
        <v>0</v>
      </c>
      <c r="C723" t="b">
        <v>1</v>
      </c>
      <c r="D723" s="3">
        <v>1776</v>
      </c>
      <c r="E723" s="3">
        <v>1827</v>
      </c>
      <c r="F723" t="s">
        <v>7318</v>
      </c>
      <c r="G723" t="s">
        <v>7319</v>
      </c>
      <c r="H723" s="3">
        <v>30.312100000000001</v>
      </c>
      <c r="I723" t="s">
        <v>1266</v>
      </c>
      <c r="J723" t="s">
        <v>12606</v>
      </c>
      <c r="L723" t="s">
        <v>7320</v>
      </c>
      <c r="M723" t="str">
        <f>"https://www.artic.edu/iiif/2/"&amp;Table9[[#This Row],[Image ID]]&amp;"/full/843,/0/default.jpg"</f>
        <v>https://www.artic.edu/iiif/2/6ffe71f1-d350-8b00-91bd-45f457a5fbe0/full/843,/0/default.jpg</v>
      </c>
      <c r="N723" s="3">
        <v>0.92500000000000004</v>
      </c>
      <c r="O723" s="3">
        <v>0.17499999999999999</v>
      </c>
      <c r="P723" s="3">
        <v>0.75</v>
      </c>
      <c r="Q723" s="3">
        <v>0.75747632980346602</v>
      </c>
    </row>
    <row r="724" spans="1:17" x14ac:dyDescent="0.45">
      <c r="A724" s="3">
        <v>61108</v>
      </c>
      <c r="B724" t="b">
        <v>0</v>
      </c>
      <c r="C724" t="b">
        <v>1</v>
      </c>
      <c r="D724" s="3">
        <v>1840</v>
      </c>
      <c r="E724" s="3">
        <v>1840</v>
      </c>
      <c r="F724" t="s">
        <v>8756</v>
      </c>
      <c r="G724" t="s">
        <v>8757</v>
      </c>
      <c r="H724" s="3">
        <v>44.614800000000002</v>
      </c>
      <c r="I724" t="s">
        <v>8758</v>
      </c>
      <c r="J724" t="s">
        <v>12668</v>
      </c>
      <c r="K724" s="5" t="s">
        <v>125</v>
      </c>
      <c r="L724" t="s">
        <v>8759</v>
      </c>
      <c r="M724" t="str">
        <f>"https://www.artic.edu/iiif/2/"&amp;Table9[[#This Row],[Image ID]]&amp;"/full/843,/0/default.jpg"</f>
        <v>https://www.artic.edu/iiif/2/749a476d-3d32-f10b-01e4-a6b9ee167923/full/843,/0/default.jpg</v>
      </c>
      <c r="N724" s="3">
        <v>0.85</v>
      </c>
      <c r="O724" s="3">
        <v>0.1</v>
      </c>
      <c r="P724" s="3">
        <v>0.75</v>
      </c>
      <c r="Q724" s="3">
        <v>0.93389207124710005</v>
      </c>
    </row>
    <row r="725" spans="1:17" x14ac:dyDescent="0.45">
      <c r="A725" s="3">
        <v>16831</v>
      </c>
      <c r="B725" t="b">
        <v>0</v>
      </c>
      <c r="C725" t="b">
        <v>1</v>
      </c>
      <c r="D725" s="3">
        <v>1903</v>
      </c>
      <c r="E725" s="3">
        <v>1903</v>
      </c>
      <c r="F725" t="s">
        <v>4607</v>
      </c>
      <c r="G725" t="s">
        <v>4608</v>
      </c>
      <c r="H725" s="3">
        <v>15.514799999999999</v>
      </c>
      <c r="I725" t="s">
        <v>1337</v>
      </c>
      <c r="J725" t="s">
        <v>12780</v>
      </c>
      <c r="L725" t="s">
        <v>4609</v>
      </c>
      <c r="M725" t="str">
        <f>"https://www.artic.edu/iiif/2/"&amp;Table9[[#This Row],[Image ID]]&amp;"/full/843,/0/default.jpg"</f>
        <v>https://www.artic.edu/iiif/2/7daaf950-882c-d8cb-4bc3-b8b5aa77b988/full/843,/0/default.jpg</v>
      </c>
      <c r="N725" s="3">
        <v>0.85</v>
      </c>
      <c r="O725" s="3">
        <v>0.1</v>
      </c>
      <c r="P725" s="3">
        <v>0.75</v>
      </c>
      <c r="Q725" s="3">
        <v>0.71212661266326904</v>
      </c>
    </row>
    <row r="726" spans="1:17" x14ac:dyDescent="0.45">
      <c r="A726" s="3">
        <v>49071</v>
      </c>
      <c r="B726" t="b">
        <v>0</v>
      </c>
      <c r="C726" t="b">
        <v>1</v>
      </c>
      <c r="D726" s="3">
        <v>1881</v>
      </c>
      <c r="E726" s="3">
        <v>1881</v>
      </c>
      <c r="F726" t="s">
        <v>8042</v>
      </c>
      <c r="G726" t="s">
        <v>8043</v>
      </c>
      <c r="H726" s="3">
        <v>23.601800000000001</v>
      </c>
      <c r="I726" t="s">
        <v>719</v>
      </c>
      <c r="J726" t="s">
        <v>12874</v>
      </c>
      <c r="L726" t="s">
        <v>8044</v>
      </c>
      <c r="M726" t="str">
        <f>"https://www.artic.edu/iiif/2/"&amp;Table9[[#This Row],[Image ID]]&amp;"/full/843,/0/default.jpg"</f>
        <v>https://www.artic.edu/iiif/2/83b5ccc5-9c14-e535-a4af-ebec7cc855ac/full/843,/0/default.jpg</v>
      </c>
      <c r="N726" s="3">
        <v>0.9</v>
      </c>
      <c r="O726" s="3">
        <v>0.15</v>
      </c>
      <c r="P726" s="3">
        <v>0.75</v>
      </c>
      <c r="Q726" s="3">
        <v>0.76119488477706898</v>
      </c>
    </row>
    <row r="727" spans="1:17" x14ac:dyDescent="0.45">
      <c r="A727" s="3">
        <v>55710</v>
      </c>
      <c r="B727" t="b">
        <v>0</v>
      </c>
      <c r="C727" t="b">
        <v>1</v>
      </c>
      <c r="D727" s="3">
        <v>1821</v>
      </c>
      <c r="E727" s="3">
        <v>1822</v>
      </c>
      <c r="F727" t="s">
        <v>8387</v>
      </c>
      <c r="G727" t="s">
        <v>7</v>
      </c>
      <c r="H727" s="3">
        <v>13.7186</v>
      </c>
      <c r="I727" t="s">
        <v>8384</v>
      </c>
      <c r="J727" t="s">
        <v>12923</v>
      </c>
      <c r="K727" s="5" t="s">
        <v>125</v>
      </c>
      <c r="L727" t="s">
        <v>8388</v>
      </c>
      <c r="M727" t="str">
        <f>"https://www.artic.edu/iiif/2/"&amp;Table9[[#This Row],[Image ID]]&amp;"/full/843,/0/default.jpg"</f>
        <v>https://www.artic.edu/iiif/2/880cf164-a140-49b0-6e6b-3456388e2782/full/843,/0/default.jpg</v>
      </c>
      <c r="N727" s="3">
        <v>0.8</v>
      </c>
      <c r="O727" s="3">
        <v>0.05</v>
      </c>
      <c r="P727" s="3">
        <v>0.75</v>
      </c>
      <c r="Q727" s="3">
        <v>0.93724834918975797</v>
      </c>
    </row>
    <row r="728" spans="1:17" x14ac:dyDescent="0.45">
      <c r="A728" s="3">
        <v>76166</v>
      </c>
      <c r="B728" t="b">
        <v>0</v>
      </c>
      <c r="C728" t="b">
        <v>1</v>
      </c>
      <c r="D728" s="3">
        <v>1837</v>
      </c>
      <c r="E728" s="3">
        <v>1837</v>
      </c>
      <c r="F728" t="s">
        <v>9774</v>
      </c>
      <c r="G728" t="s">
        <v>7</v>
      </c>
      <c r="H728" s="3">
        <v>18.912700000000001</v>
      </c>
      <c r="I728" t="s">
        <v>4719</v>
      </c>
      <c r="J728" t="s">
        <v>12944</v>
      </c>
      <c r="K728" s="5" t="s">
        <v>125</v>
      </c>
      <c r="L728" t="s">
        <v>9775</v>
      </c>
      <c r="M728" t="str">
        <f>"https://www.artic.edu/iiif/2/"&amp;Table9[[#This Row],[Image ID]]&amp;"/full/843,/0/default.jpg"</f>
        <v>https://www.artic.edu/iiif/2/8a0f8b03-7aca-8845-baad-2b02b5278e2d/full/843,/0/default.jpg</v>
      </c>
      <c r="N728" s="3">
        <v>0.8</v>
      </c>
      <c r="O728" s="3">
        <v>0.05</v>
      </c>
      <c r="P728" s="3">
        <v>0.75</v>
      </c>
      <c r="Q728" s="3">
        <v>0.89837116003036499</v>
      </c>
    </row>
    <row r="729" spans="1:17" x14ac:dyDescent="0.45">
      <c r="A729" s="3">
        <v>57854</v>
      </c>
      <c r="B729" t="b">
        <v>0</v>
      </c>
      <c r="C729" t="b">
        <v>1</v>
      </c>
      <c r="D729" s="3">
        <v>1801</v>
      </c>
      <c r="E729" s="3">
        <v>1900</v>
      </c>
      <c r="F729" t="s">
        <v>6815</v>
      </c>
      <c r="G729" t="s">
        <v>7</v>
      </c>
      <c r="H729" s="3">
        <v>29.591100000000001</v>
      </c>
      <c r="I729" t="s">
        <v>14690</v>
      </c>
      <c r="J729" t="s">
        <v>13051</v>
      </c>
      <c r="L729" t="s">
        <v>8491</v>
      </c>
      <c r="M729" t="str">
        <f>"https://www.artic.edu/iiif/2/"&amp;Table9[[#This Row],[Image ID]]&amp;"/full/843,/0/default.jpg"</f>
        <v>https://www.artic.edu/iiif/2/922b2b75-4c9a-e93b-1c2d-baa90cbedab0/full/843,/0/default.jpg</v>
      </c>
      <c r="N729" s="3">
        <v>0.8</v>
      </c>
      <c r="O729" s="3">
        <v>0.05</v>
      </c>
      <c r="P729" s="3">
        <v>0.75</v>
      </c>
      <c r="Q729" s="3">
        <v>0.604103803634643</v>
      </c>
    </row>
    <row r="730" spans="1:17" x14ac:dyDescent="0.45">
      <c r="A730" s="3">
        <v>115520</v>
      </c>
      <c r="B730" t="b">
        <v>0</v>
      </c>
      <c r="C730" t="b">
        <v>1</v>
      </c>
      <c r="D730" s="3">
        <v>1719</v>
      </c>
      <c r="E730" s="3">
        <v>1769</v>
      </c>
      <c r="F730" t="s">
        <v>2003</v>
      </c>
      <c r="G730" t="s">
        <v>2004</v>
      </c>
      <c r="H730" s="3">
        <v>46.851199999999999</v>
      </c>
      <c r="I730" t="s">
        <v>1922</v>
      </c>
      <c r="J730" t="s">
        <v>13126</v>
      </c>
      <c r="L730" t="s">
        <v>2005</v>
      </c>
      <c r="M730" t="str">
        <f>"https://www.artic.edu/iiif/2/"&amp;Table9[[#This Row],[Image ID]]&amp;"/full/843,/0/default.jpg"</f>
        <v>https://www.artic.edu/iiif/2/984bce55-8b0d-cc5d-bb12-6600ac9f49ff/full/843,/0/default.jpg</v>
      </c>
      <c r="N730" s="3">
        <v>0.77500000000000002</v>
      </c>
      <c r="O730" s="3">
        <v>2.5000000000000001E-2</v>
      </c>
      <c r="P730" s="3">
        <v>0.75</v>
      </c>
      <c r="Q730" s="3">
        <v>0.82555079460143999</v>
      </c>
    </row>
    <row r="731" spans="1:17" x14ac:dyDescent="0.45">
      <c r="A731" s="3">
        <v>44775</v>
      </c>
      <c r="B731" t="b">
        <v>0</v>
      </c>
      <c r="C731" t="b">
        <v>1</v>
      </c>
      <c r="D731" s="3">
        <v>1802</v>
      </c>
      <c r="E731" s="3">
        <v>1803</v>
      </c>
      <c r="F731" t="s">
        <v>7792</v>
      </c>
      <c r="G731" t="s">
        <v>7</v>
      </c>
      <c r="H731" s="3">
        <v>60.508699999999997</v>
      </c>
      <c r="I731" t="s">
        <v>1726</v>
      </c>
      <c r="J731" t="s">
        <v>13160</v>
      </c>
      <c r="L731" t="s">
        <v>7793</v>
      </c>
      <c r="M731" t="str">
        <f>"https://www.artic.edu/iiif/2/"&amp;Table9[[#This Row],[Image ID]]&amp;"/full/843,/0/default.jpg"</f>
        <v>https://www.artic.edu/iiif/2/9a93001d-887a-f34d-ecc2-83240e2ad54c/full/843,/0/default.jpg</v>
      </c>
      <c r="N731" s="3">
        <v>0.82499999999999996</v>
      </c>
      <c r="O731" s="3">
        <v>7.4999999999999997E-2</v>
      </c>
      <c r="P731" s="3">
        <v>0.75</v>
      </c>
      <c r="Q731" s="3">
        <v>0.78191387653350797</v>
      </c>
    </row>
    <row r="732" spans="1:17" x14ac:dyDescent="0.45">
      <c r="A732" s="3">
        <v>39249</v>
      </c>
      <c r="B732" t="b">
        <v>0</v>
      </c>
      <c r="C732" t="b">
        <v>1</v>
      </c>
      <c r="D732" s="3">
        <v>1828</v>
      </c>
      <c r="E732" s="3">
        <v>1878</v>
      </c>
      <c r="F732" t="s">
        <v>7553</v>
      </c>
      <c r="G732" t="s">
        <v>7554</v>
      </c>
      <c r="H732" s="3">
        <v>32.939599999999999</v>
      </c>
      <c r="I732" t="s">
        <v>2119</v>
      </c>
      <c r="J732" t="s">
        <v>13168</v>
      </c>
      <c r="L732" t="s">
        <v>7555</v>
      </c>
      <c r="M732" t="str">
        <f>"https://www.artic.edu/iiif/2/"&amp;Table9[[#This Row],[Image ID]]&amp;"/full/843,/0/default.jpg"</f>
        <v>https://www.artic.edu/iiif/2/9b308930-d0ac-5884-c9cf-b583ab1fc368/full/843,/0/default.jpg</v>
      </c>
      <c r="N732" s="3">
        <v>0.77500000000000002</v>
      </c>
      <c r="O732" s="3">
        <v>2.5000000000000001E-2</v>
      </c>
      <c r="P732" s="3">
        <v>0.75</v>
      </c>
      <c r="Q732" s="3">
        <v>0.68454384803771895</v>
      </c>
    </row>
    <row r="733" spans="1:17" x14ac:dyDescent="0.45">
      <c r="A733" s="3">
        <v>16147</v>
      </c>
      <c r="B733" t="b">
        <v>0</v>
      </c>
      <c r="C733" t="b">
        <v>1</v>
      </c>
      <c r="D733" s="3">
        <v>1516</v>
      </c>
      <c r="E733" s="3">
        <v>1516</v>
      </c>
      <c r="F733" t="s">
        <v>4262</v>
      </c>
      <c r="G733" t="s">
        <v>4263</v>
      </c>
      <c r="H733" s="3">
        <v>18.807600000000001</v>
      </c>
      <c r="I733" t="s">
        <v>4264</v>
      </c>
      <c r="J733" t="s">
        <v>13188</v>
      </c>
      <c r="L733" t="s">
        <v>4265</v>
      </c>
      <c r="M733" t="str">
        <f>"https://www.artic.edu/iiif/2/"&amp;Table9[[#This Row],[Image ID]]&amp;"/full/843,/0/default.jpg"</f>
        <v>https://www.artic.edu/iiif/2/9cabe627-598a-e86f-5f10-456e5e4997bf/full/843,/0/default.jpg</v>
      </c>
      <c r="N733" s="3">
        <v>0.8</v>
      </c>
      <c r="O733" s="3">
        <v>0.05</v>
      </c>
      <c r="P733" s="3">
        <v>0.75</v>
      </c>
      <c r="Q733" s="3">
        <v>0.83421254158019997</v>
      </c>
    </row>
    <row r="734" spans="1:17" x14ac:dyDescent="0.45">
      <c r="A734" s="3">
        <v>115501</v>
      </c>
      <c r="B734" t="b">
        <v>0</v>
      </c>
      <c r="C734" t="b">
        <v>1</v>
      </c>
      <c r="D734" s="3">
        <v>1719</v>
      </c>
      <c r="E734" s="3">
        <v>1769</v>
      </c>
      <c r="F734" t="s">
        <v>1971</v>
      </c>
      <c r="G734" t="s">
        <v>1921</v>
      </c>
      <c r="H734" s="3">
        <v>10.031499999999999</v>
      </c>
      <c r="I734" t="s">
        <v>1922</v>
      </c>
      <c r="J734" t="s">
        <v>13239</v>
      </c>
      <c r="L734" t="s">
        <v>1972</v>
      </c>
      <c r="M734" t="str">
        <f>"https://www.artic.edu/iiif/2/"&amp;Table9[[#This Row],[Image ID]]&amp;"/full/843,/0/default.jpg"</f>
        <v>https://www.artic.edu/iiif/2/a083fdac-bf6a-6a9d-345e-d57516947201/full/843,/0/default.jpg</v>
      </c>
      <c r="N734" s="3">
        <v>0.82499999999999996</v>
      </c>
      <c r="O734" s="3">
        <v>7.4999999999999997E-2</v>
      </c>
      <c r="P734" s="3">
        <v>0.75</v>
      </c>
      <c r="Q734" s="3">
        <v>0.844992935657501</v>
      </c>
    </row>
    <row r="735" spans="1:17" x14ac:dyDescent="0.45">
      <c r="A735" s="3">
        <v>64715</v>
      </c>
      <c r="B735" t="b">
        <v>0</v>
      </c>
      <c r="C735" t="b">
        <v>1</v>
      </c>
      <c r="D735" s="3">
        <v>1894</v>
      </c>
      <c r="E735" s="3">
        <v>1894</v>
      </c>
      <c r="F735" t="s">
        <v>9000</v>
      </c>
      <c r="G735" t="s">
        <v>7</v>
      </c>
      <c r="H735" s="3">
        <v>42.240299999999998</v>
      </c>
      <c r="I735" t="s">
        <v>908</v>
      </c>
      <c r="J735" t="s">
        <v>13366</v>
      </c>
      <c r="L735" t="s">
        <v>9001</v>
      </c>
      <c r="M735" t="str">
        <f>"https://www.artic.edu/iiif/2/"&amp;Table9[[#This Row],[Image ID]]&amp;"/full/843,/0/default.jpg"</f>
        <v>https://www.artic.edu/iiif/2/a9546ba5-6191-4e04-e209-d22a10e7d0d7/full/843,/0/default.jpg</v>
      </c>
      <c r="N735" s="3">
        <v>0.75</v>
      </c>
      <c r="O735" s="3">
        <v>0</v>
      </c>
      <c r="P735" s="3">
        <v>0.75</v>
      </c>
      <c r="Q735" s="3">
        <v>0.41951245069503701</v>
      </c>
    </row>
    <row r="736" spans="1:17" x14ac:dyDescent="0.45">
      <c r="A736" s="3">
        <v>84707</v>
      </c>
      <c r="B736" t="b">
        <v>0</v>
      </c>
      <c r="C736" t="b">
        <v>1</v>
      </c>
      <c r="D736" s="3">
        <v>1788</v>
      </c>
      <c r="E736" s="3">
        <v>1788</v>
      </c>
      <c r="F736" t="s">
        <v>10295</v>
      </c>
      <c r="G736" t="s">
        <v>7</v>
      </c>
      <c r="H736" s="3">
        <v>32.2607</v>
      </c>
      <c r="I736" t="s">
        <v>6491</v>
      </c>
      <c r="J736" t="s">
        <v>13372</v>
      </c>
      <c r="L736" t="s">
        <v>10296</v>
      </c>
      <c r="M736" t="str">
        <f>"https://www.artic.edu/iiif/2/"&amp;Table9[[#This Row],[Image ID]]&amp;"/full/843,/0/default.jpg"</f>
        <v>https://www.artic.edu/iiif/2/a9e815b9-d203-e110-8b2b-d929276cbc61/full/843,/0/default.jpg</v>
      </c>
      <c r="N736" s="3">
        <v>0.8</v>
      </c>
      <c r="O736" s="3">
        <v>0.05</v>
      </c>
      <c r="P736" s="3">
        <v>0.75</v>
      </c>
      <c r="Q736" s="3">
        <v>0.77469509840011597</v>
      </c>
    </row>
    <row r="737" spans="1:17" x14ac:dyDescent="0.45">
      <c r="A737" s="3">
        <v>111427</v>
      </c>
      <c r="B737" t="b">
        <v>0</v>
      </c>
      <c r="C737" t="b">
        <v>1</v>
      </c>
      <c r="D737" s="3">
        <v>1625</v>
      </c>
      <c r="E737" s="3">
        <v>1635</v>
      </c>
      <c r="F737" t="s">
        <v>1099</v>
      </c>
      <c r="G737" t="s">
        <v>7</v>
      </c>
      <c r="H737" s="3">
        <v>0</v>
      </c>
      <c r="I737" t="s">
        <v>1100</v>
      </c>
      <c r="J737" t="s">
        <v>11965</v>
      </c>
      <c r="L737" t="s">
        <v>1101</v>
      </c>
      <c r="M737" t="str">
        <f>"https://www.artic.edu/iiif/2/"&amp;Table9[[#This Row],[Image ID]]&amp;"/full/843,/0/default.jpg"</f>
        <v>https://www.artic.edu/iiif/2/ad3f403a-62e5-3d91-3a8c-ecc5f4fc99e5/full/843,/0/default.jpg</v>
      </c>
      <c r="N737" s="3">
        <v>0.77500000000000002</v>
      </c>
      <c r="O737" s="3">
        <v>2.5000000000000001E-2</v>
      </c>
      <c r="P737" s="3">
        <v>0.75</v>
      </c>
      <c r="Q737" s="3">
        <v>0.830155789852142</v>
      </c>
    </row>
    <row r="738" spans="1:17" x14ac:dyDescent="0.45">
      <c r="A738" s="3">
        <v>14831</v>
      </c>
      <c r="B738" t="b">
        <v>0</v>
      </c>
      <c r="C738" t="b">
        <v>1</v>
      </c>
      <c r="D738" s="3">
        <v>1850</v>
      </c>
      <c r="E738" s="3">
        <v>1874</v>
      </c>
      <c r="F738" t="s">
        <v>3716</v>
      </c>
      <c r="G738" t="s">
        <v>3717</v>
      </c>
      <c r="H738" s="3">
        <v>25.3627</v>
      </c>
      <c r="I738" t="s">
        <v>516</v>
      </c>
      <c r="J738" t="s">
        <v>13424</v>
      </c>
      <c r="L738" t="s">
        <v>3718</v>
      </c>
      <c r="M738" t="str">
        <f>"https://www.artic.edu/iiif/2/"&amp;Table9[[#This Row],[Image ID]]&amp;"/full/843,/0/default.jpg"</f>
        <v>https://www.artic.edu/iiif/2/ae310892-2d7b-bb8d-c1b5-9379b6d74831/full/843,/0/default.jpg</v>
      </c>
      <c r="N738" s="3">
        <v>0.75</v>
      </c>
      <c r="O738" s="3">
        <v>0</v>
      </c>
      <c r="P738" s="3">
        <v>0.75</v>
      </c>
      <c r="Q738" s="3">
        <v>0.82174450159072798</v>
      </c>
    </row>
    <row r="739" spans="1:17" x14ac:dyDescent="0.45">
      <c r="A739" s="3">
        <v>214315</v>
      </c>
      <c r="B739" t="b">
        <v>0</v>
      </c>
      <c r="C739" t="b">
        <v>1</v>
      </c>
      <c r="D739" s="3">
        <v>1899</v>
      </c>
      <c r="E739" s="3">
        <v>1908</v>
      </c>
      <c r="F739" t="s">
        <v>5619</v>
      </c>
      <c r="G739" t="s">
        <v>5620</v>
      </c>
      <c r="H739" s="3">
        <v>64.043800000000005</v>
      </c>
      <c r="I739" t="s">
        <v>3637</v>
      </c>
      <c r="J739" t="s">
        <v>13458</v>
      </c>
      <c r="L739" t="s">
        <v>5621</v>
      </c>
      <c r="M739" t="str">
        <f>"https://www.artic.edu/iiif/2/"&amp;Table9[[#This Row],[Image ID]]&amp;"/full/843,/0/default.jpg"</f>
        <v>https://www.artic.edu/iiif/2/b063ef12-0078-3adc-bbc7-a9892eb0d37f/full/843,/0/default.jpg</v>
      </c>
      <c r="N739" s="3">
        <v>0.8</v>
      </c>
      <c r="O739" s="3">
        <v>0.05</v>
      </c>
      <c r="P739" s="3">
        <v>0.75</v>
      </c>
      <c r="Q739" s="3">
        <v>0.71498495340347201</v>
      </c>
    </row>
    <row r="740" spans="1:17" x14ac:dyDescent="0.45">
      <c r="A740" s="3">
        <v>14620</v>
      </c>
      <c r="B740" t="b">
        <v>0</v>
      </c>
      <c r="C740" t="b">
        <v>1</v>
      </c>
      <c r="D740" s="3">
        <v>1882</v>
      </c>
      <c r="E740" s="3">
        <v>1882</v>
      </c>
      <c r="F740" t="s">
        <v>3433</v>
      </c>
      <c r="G740" t="s">
        <v>7</v>
      </c>
      <c r="H740" s="3">
        <v>27.257899999999999</v>
      </c>
      <c r="I740" t="s">
        <v>43</v>
      </c>
      <c r="J740" t="s">
        <v>13465</v>
      </c>
      <c r="K740" s="5" t="s">
        <v>9</v>
      </c>
      <c r="L740" t="s">
        <v>3434</v>
      </c>
      <c r="M740" t="str">
        <f>"https://www.artic.edu/iiif/2/"&amp;Table9[[#This Row],[Image ID]]&amp;"/full/843,/0/default.jpg"</f>
        <v>https://www.artic.edu/iiif/2/b0effb1c-ff23-bbaa-f809-9fd94e31c1a0/full/843,/0/default.jpg</v>
      </c>
      <c r="N740" s="3">
        <v>0.82499999999999996</v>
      </c>
      <c r="O740" s="3">
        <v>7.4999999999999997E-2</v>
      </c>
      <c r="P740" s="3">
        <v>0.75</v>
      </c>
      <c r="Q740" s="3">
        <v>0.59752458333969105</v>
      </c>
    </row>
    <row r="741" spans="1:17" x14ac:dyDescent="0.45">
      <c r="A741" s="3">
        <v>80530</v>
      </c>
      <c r="B741" t="b">
        <v>0</v>
      </c>
      <c r="C741" t="b">
        <v>1</v>
      </c>
      <c r="D741" s="3">
        <v>1475</v>
      </c>
      <c r="E741" s="3">
        <v>1485</v>
      </c>
      <c r="F741" t="s">
        <v>9999</v>
      </c>
      <c r="G741" t="s">
        <v>103</v>
      </c>
      <c r="H741" s="3">
        <v>29.511800000000001</v>
      </c>
      <c r="I741" t="s">
        <v>9996</v>
      </c>
      <c r="J741" t="s">
        <v>13518</v>
      </c>
      <c r="L741" t="s">
        <v>10000</v>
      </c>
      <c r="M741" t="str">
        <f>"https://www.artic.edu/iiif/2/"&amp;Table9[[#This Row],[Image ID]]&amp;"/full/843,/0/default.jpg"</f>
        <v>https://www.artic.edu/iiif/2/b59cc3e9-a7c0-5aa1-1a22-bb472bb2e6d4/full/843,/0/default.jpg</v>
      </c>
      <c r="N741" s="3">
        <v>0.8</v>
      </c>
      <c r="O741" s="3">
        <v>0.05</v>
      </c>
      <c r="P741" s="3">
        <v>0.75</v>
      </c>
      <c r="Q741" s="3">
        <v>0.74346560239791804</v>
      </c>
    </row>
    <row r="742" spans="1:17" x14ac:dyDescent="0.45">
      <c r="A742" s="3">
        <v>21907</v>
      </c>
      <c r="B742" t="b">
        <v>0</v>
      </c>
      <c r="C742" t="b">
        <v>1</v>
      </c>
      <c r="D742" s="3">
        <v>1595</v>
      </c>
      <c r="E742" s="3">
        <v>1600</v>
      </c>
      <c r="F742" t="s">
        <v>5773</v>
      </c>
      <c r="G742" t="s">
        <v>7</v>
      </c>
      <c r="H742" s="3">
        <v>9.9031000000000002</v>
      </c>
      <c r="I742" t="s">
        <v>14665</v>
      </c>
      <c r="J742" t="s">
        <v>13538</v>
      </c>
      <c r="L742" t="s">
        <v>5774</v>
      </c>
      <c r="M742" t="str">
        <f>"https://www.artic.edu/iiif/2/"&amp;Table9[[#This Row],[Image ID]]&amp;"/full/843,/0/default.jpg"</f>
        <v>https://www.artic.edu/iiif/2/b703b636-976c-b35b-8a8e-f8df3f5ba003/full/843,/0/default.jpg</v>
      </c>
      <c r="N742" s="3">
        <v>0.75</v>
      </c>
      <c r="O742" s="3">
        <v>0</v>
      </c>
      <c r="P742" s="3">
        <v>0.75</v>
      </c>
      <c r="Q742" s="3">
        <v>0.73253357410430897</v>
      </c>
    </row>
    <row r="743" spans="1:17" x14ac:dyDescent="0.45">
      <c r="A743" s="3">
        <v>38186</v>
      </c>
      <c r="B743" t="b">
        <v>0</v>
      </c>
      <c r="C743" t="b">
        <v>1</v>
      </c>
      <c r="D743" s="3">
        <v>1818</v>
      </c>
      <c r="E743" s="3">
        <v>1830</v>
      </c>
      <c r="F743" t="s">
        <v>7282</v>
      </c>
      <c r="G743" t="s">
        <v>7283</v>
      </c>
      <c r="H743" s="3">
        <v>17.057400000000001</v>
      </c>
      <c r="I743" t="s">
        <v>373</v>
      </c>
      <c r="J743" t="s">
        <v>13568</v>
      </c>
      <c r="L743" t="s">
        <v>7284</v>
      </c>
      <c r="M743" t="str">
        <f>"https://www.artic.edu/iiif/2/"&amp;Table9[[#This Row],[Image ID]]&amp;"/full/843,/0/default.jpg"</f>
        <v>https://www.artic.edu/iiif/2/ba162c4d-ff7f-cfb9-1839-b8dc66375864/full/843,/0/default.jpg</v>
      </c>
      <c r="N743" s="3">
        <v>0.85</v>
      </c>
      <c r="O743" s="3">
        <v>0.1</v>
      </c>
      <c r="P743" s="3">
        <v>0.75</v>
      </c>
      <c r="Q743" s="3">
        <v>0.52657902240753096</v>
      </c>
    </row>
    <row r="744" spans="1:17" x14ac:dyDescent="0.45">
      <c r="A744" s="3">
        <v>236975</v>
      </c>
      <c r="B744" t="b">
        <v>0</v>
      </c>
      <c r="C744" t="b">
        <v>1</v>
      </c>
      <c r="D744" s="3">
        <v>1525</v>
      </c>
      <c r="E744" s="3">
        <v>1530</v>
      </c>
      <c r="F744" t="s">
        <v>724</v>
      </c>
      <c r="G744" t="s">
        <v>75</v>
      </c>
      <c r="H744" s="3">
        <v>41.801200000000001</v>
      </c>
      <c r="J744" t="s">
        <v>13595</v>
      </c>
      <c r="L744" t="s">
        <v>6302</v>
      </c>
      <c r="M744" t="str">
        <f>"https://www.artic.edu/iiif/2/"&amp;Table9[[#This Row],[Image ID]]&amp;"/full/843,/0/default.jpg"</f>
        <v>https://www.artic.edu/iiif/2/bbe2f986-077d-1308-bae3-99918ec8bbe7/full/843,/0/default.jpg</v>
      </c>
      <c r="N744" s="3">
        <v>0.82499999999999996</v>
      </c>
      <c r="O744" s="3">
        <v>7.4999999999999997E-2</v>
      </c>
      <c r="P744" s="3">
        <v>0.75</v>
      </c>
      <c r="Q744" s="3">
        <v>0.85227495431900002</v>
      </c>
    </row>
    <row r="745" spans="1:17" x14ac:dyDescent="0.45">
      <c r="A745" s="3">
        <v>69139</v>
      </c>
      <c r="B745" t="b">
        <v>0</v>
      </c>
      <c r="C745" t="b">
        <v>1</v>
      </c>
      <c r="D745" s="3">
        <v>1785</v>
      </c>
      <c r="E745" s="3">
        <v>1795</v>
      </c>
      <c r="F745" t="s">
        <v>9384</v>
      </c>
      <c r="G745" t="s">
        <v>7</v>
      </c>
      <c r="H745" s="3">
        <v>22.707999999999998</v>
      </c>
      <c r="I745" t="s">
        <v>9385</v>
      </c>
      <c r="J745" t="s">
        <v>13602</v>
      </c>
      <c r="L745" t="s">
        <v>9386</v>
      </c>
      <c r="M745" t="str">
        <f>"https://www.artic.edu/iiif/2/"&amp;Table9[[#This Row],[Image ID]]&amp;"/full/843,/0/default.jpg"</f>
        <v>https://www.artic.edu/iiif/2/bcc07abe-2cc0-116e-3460-c4633c31759c/full/843,/0/default.jpg</v>
      </c>
      <c r="N745" s="3">
        <v>0.77500000000000002</v>
      </c>
      <c r="O745" s="3">
        <v>2.5000000000000001E-2</v>
      </c>
      <c r="P745" s="3">
        <v>0.75</v>
      </c>
      <c r="Q745" s="3">
        <v>0.82577639818191495</v>
      </c>
    </row>
    <row r="746" spans="1:17" x14ac:dyDescent="0.45">
      <c r="A746" s="3">
        <v>4089</v>
      </c>
      <c r="B746" t="b">
        <v>0</v>
      </c>
      <c r="C746" t="b">
        <v>1</v>
      </c>
      <c r="D746" s="3">
        <v>1590</v>
      </c>
      <c r="E746" s="3">
        <v>1595</v>
      </c>
      <c r="F746" t="s">
        <v>7674</v>
      </c>
      <c r="G746" t="s">
        <v>7</v>
      </c>
      <c r="H746" s="3">
        <v>29.933499999999999</v>
      </c>
      <c r="I746" t="s">
        <v>7675</v>
      </c>
      <c r="J746" t="s">
        <v>13637</v>
      </c>
      <c r="L746" t="s">
        <v>7676</v>
      </c>
      <c r="M746" t="str">
        <f>"https://www.artic.edu/iiif/2/"&amp;Table9[[#This Row],[Image ID]]&amp;"/full/843,/0/default.jpg"</f>
        <v>https://www.artic.edu/iiif/2/beb2f648-c934-34ba-ba3d-f30db836c6b1/full/843,/0/default.jpg</v>
      </c>
      <c r="N746" s="3">
        <v>0.875</v>
      </c>
      <c r="O746" s="3">
        <v>0.125</v>
      </c>
      <c r="P746" s="3">
        <v>0.75</v>
      </c>
      <c r="Q746" s="3">
        <v>0.68629395961761397</v>
      </c>
    </row>
    <row r="747" spans="1:17" x14ac:dyDescent="0.45">
      <c r="A747" s="3">
        <v>42949</v>
      </c>
      <c r="B747" t="b">
        <v>0</v>
      </c>
      <c r="C747" t="b">
        <v>1</v>
      </c>
      <c r="D747" s="3">
        <v>1886</v>
      </c>
      <c r="E747" s="3">
        <v>1886</v>
      </c>
      <c r="F747" t="s">
        <v>7712</v>
      </c>
      <c r="G747" t="s">
        <v>7</v>
      </c>
      <c r="H747" s="3">
        <v>20.684000000000001</v>
      </c>
      <c r="I747" t="s">
        <v>259</v>
      </c>
      <c r="J747" t="s">
        <v>13683</v>
      </c>
      <c r="K747" s="5" t="s">
        <v>115</v>
      </c>
      <c r="L747" t="s">
        <v>7713</v>
      </c>
      <c r="M747" t="str">
        <f>"https://www.artic.edu/iiif/2/"&amp;Table9[[#This Row],[Image ID]]&amp;"/full/843,/0/default.jpg"</f>
        <v>https://www.artic.edu/iiif/2/c2a4b60c-bf43-6a37-e001-a91cba741168/full/843,/0/default.jpg</v>
      </c>
      <c r="N747" s="3">
        <v>0.77500000000000002</v>
      </c>
      <c r="O747" s="3">
        <v>2.5000000000000001E-2</v>
      </c>
      <c r="P747" s="3">
        <v>0.75</v>
      </c>
      <c r="Q747" s="3">
        <v>0.81696039438247603</v>
      </c>
    </row>
    <row r="748" spans="1:17" x14ac:dyDescent="0.45">
      <c r="A748" s="3">
        <v>20155</v>
      </c>
      <c r="B748" t="b">
        <v>0</v>
      </c>
      <c r="C748" t="b">
        <v>1</v>
      </c>
      <c r="D748" s="3">
        <v>1690</v>
      </c>
      <c r="E748" s="3">
        <v>1695</v>
      </c>
      <c r="F748" t="s">
        <v>5334</v>
      </c>
      <c r="G748" t="s">
        <v>7</v>
      </c>
      <c r="H748" s="3">
        <v>33.587299999999999</v>
      </c>
      <c r="I748" t="s">
        <v>2833</v>
      </c>
      <c r="J748" t="s">
        <v>12067</v>
      </c>
      <c r="L748" t="s">
        <v>5335</v>
      </c>
      <c r="M748" t="str">
        <f>"https://www.artic.edu/iiif/2/"&amp;Table9[[#This Row],[Image ID]]&amp;"/full/843,/0/default.jpg"</f>
        <v>https://www.artic.edu/iiif/2/c5e50da8-6bff-ea02-ed3c-c154b356cceb/full/843,/0/default.jpg</v>
      </c>
      <c r="N748" s="3">
        <v>0.9</v>
      </c>
      <c r="O748" s="3">
        <v>0.15</v>
      </c>
      <c r="P748" s="3">
        <v>0.75</v>
      </c>
      <c r="Q748" s="3">
        <v>0.80288296937942505</v>
      </c>
    </row>
    <row r="749" spans="1:17" x14ac:dyDescent="0.45">
      <c r="A749" s="3">
        <v>512</v>
      </c>
      <c r="B749" t="b">
        <v>0</v>
      </c>
      <c r="C749" t="b">
        <v>1</v>
      </c>
      <c r="D749" s="3">
        <v>1665</v>
      </c>
      <c r="E749" s="3">
        <v>1675</v>
      </c>
      <c r="F749" t="s">
        <v>4409</v>
      </c>
      <c r="G749" t="s">
        <v>7</v>
      </c>
      <c r="H749" s="3">
        <v>20.380199999999999</v>
      </c>
      <c r="I749" t="s">
        <v>14561</v>
      </c>
      <c r="J749" t="s">
        <v>13728</v>
      </c>
      <c r="L749" t="s">
        <v>8139</v>
      </c>
      <c r="M749" t="str">
        <f>"https://www.artic.edu/iiif/2/"&amp;Table9[[#This Row],[Image ID]]&amp;"/full/843,/0/default.jpg"</f>
        <v>https://www.artic.edu/iiif/2/c6d153e4-bf86-24f4-c1a3-a9f2424919ff/full/843,/0/default.jpg</v>
      </c>
      <c r="N749" s="3">
        <v>0.92500000000000004</v>
      </c>
      <c r="O749" s="3">
        <v>0.17499999999999999</v>
      </c>
      <c r="P749" s="3">
        <v>0.75</v>
      </c>
      <c r="Q749" s="3">
        <v>0.73397153615951505</v>
      </c>
    </row>
    <row r="750" spans="1:17" x14ac:dyDescent="0.45">
      <c r="A750" s="3">
        <v>94240</v>
      </c>
      <c r="B750" t="b">
        <v>0</v>
      </c>
      <c r="C750" t="b">
        <v>1</v>
      </c>
      <c r="D750" s="3">
        <v>1862</v>
      </c>
      <c r="E750" s="3">
        <v>1872</v>
      </c>
      <c r="F750" t="s">
        <v>10737</v>
      </c>
      <c r="G750" t="s">
        <v>434</v>
      </c>
      <c r="H750" s="3">
        <v>37.327800000000003</v>
      </c>
      <c r="I750" t="s">
        <v>525</v>
      </c>
      <c r="J750" t="s">
        <v>13894</v>
      </c>
      <c r="L750" t="s">
        <v>10738</v>
      </c>
      <c r="M750" t="str">
        <f>"https://www.artic.edu/iiif/2/"&amp;Table9[[#This Row],[Image ID]]&amp;"/full/843,/0/default.jpg"</f>
        <v>https://www.artic.edu/iiif/2/d424c734-f5c1-5f89-3bb8-d83e4e0287e3/full/843,/0/default.jpg</v>
      </c>
      <c r="N750" s="3">
        <v>0.77500000000000002</v>
      </c>
      <c r="O750" s="3">
        <v>2.5000000000000001E-2</v>
      </c>
      <c r="P750" s="3">
        <v>0.75</v>
      </c>
      <c r="Q750" s="3">
        <v>0.70012360811233498</v>
      </c>
    </row>
    <row r="751" spans="1:17" x14ac:dyDescent="0.45">
      <c r="A751" s="3">
        <v>36495</v>
      </c>
      <c r="B751" t="b">
        <v>0</v>
      </c>
      <c r="C751" t="b">
        <v>1</v>
      </c>
      <c r="D751" s="3">
        <v>1595</v>
      </c>
      <c r="E751" s="3">
        <v>1605</v>
      </c>
      <c r="F751" t="s">
        <v>7229</v>
      </c>
      <c r="G751" t="s">
        <v>75</v>
      </c>
      <c r="H751" s="3">
        <v>0</v>
      </c>
      <c r="J751" t="s">
        <v>13902</v>
      </c>
      <c r="L751" t="s">
        <v>7230</v>
      </c>
      <c r="M751" t="str">
        <f>"https://www.artic.edu/iiif/2/"&amp;Table9[[#This Row],[Image ID]]&amp;"/full/843,/0/default.jpg"</f>
        <v>https://www.artic.edu/iiif/2/d4f6a55e-a66a-fa8f-22d8-49cf88764082/full/843,/0/default.jpg</v>
      </c>
      <c r="N751" s="3">
        <v>0.75</v>
      </c>
      <c r="O751" s="3">
        <v>0</v>
      </c>
      <c r="P751" s="3">
        <v>0.75</v>
      </c>
      <c r="Q751" s="3">
        <v>0.64414781332015902</v>
      </c>
    </row>
    <row r="752" spans="1:17" ht="99.75" x14ac:dyDescent="0.45">
      <c r="A752" s="3">
        <v>100345</v>
      </c>
      <c r="B752" t="b">
        <v>0</v>
      </c>
      <c r="C752" t="b">
        <v>1</v>
      </c>
      <c r="D752" s="3">
        <v>1510</v>
      </c>
      <c r="E752" s="3">
        <v>1520</v>
      </c>
      <c r="F752" t="s">
        <v>81</v>
      </c>
      <c r="G752" t="s">
        <v>75</v>
      </c>
      <c r="H752" s="3">
        <v>28.050699999999999</v>
      </c>
      <c r="I752" t="s">
        <v>82</v>
      </c>
      <c r="J752" s="1" t="s">
        <v>13960</v>
      </c>
      <c r="L752" t="s">
        <v>83</v>
      </c>
      <c r="M752" t="str">
        <f>"https://www.artic.edu/iiif/2/"&amp;Table9[[#This Row],[Image ID]]&amp;"/full/843,/0/default.jpg"</f>
        <v>https://www.artic.edu/iiif/2/d87c4fc3-f14f-f509-bb8e-89d3803ae9fb/full/843,/0/default.jpg</v>
      </c>
      <c r="N752" s="3">
        <v>0.82499999999999996</v>
      </c>
      <c r="O752" s="3">
        <v>7.4999999999999997E-2</v>
      </c>
      <c r="P752" s="3">
        <v>0.75</v>
      </c>
      <c r="Q752" s="3">
        <v>0.66177088022232</v>
      </c>
    </row>
    <row r="753" spans="1:17" x14ac:dyDescent="0.45">
      <c r="A753" s="3">
        <v>107920</v>
      </c>
      <c r="B753" t="b">
        <v>0</v>
      </c>
      <c r="C753" t="b">
        <v>1</v>
      </c>
      <c r="D753" s="3">
        <v>1571</v>
      </c>
      <c r="E753" s="3">
        <v>1572</v>
      </c>
      <c r="F753" t="s">
        <v>707</v>
      </c>
      <c r="G753" t="s">
        <v>75</v>
      </c>
      <c r="H753" s="3">
        <v>30.042200000000001</v>
      </c>
      <c r="I753" t="s">
        <v>14677</v>
      </c>
      <c r="J753" t="s">
        <v>13988</v>
      </c>
      <c r="L753" t="s">
        <v>708</v>
      </c>
      <c r="M753" t="str">
        <f>"https://www.artic.edu/iiif/2/"&amp;Table9[[#This Row],[Image ID]]&amp;"/full/843,/0/default.jpg"</f>
        <v>https://www.artic.edu/iiif/2/da8bbe90-a4a4-a9a8-5b38-f64f6799e6a6/full/843,/0/default.jpg</v>
      </c>
      <c r="N753" s="3">
        <v>0.77500000000000002</v>
      </c>
      <c r="O753" s="3">
        <v>2.5000000000000001E-2</v>
      </c>
      <c r="P753" s="3">
        <v>0.75</v>
      </c>
      <c r="Q753" s="3">
        <v>0.90258538722991899</v>
      </c>
    </row>
    <row r="754" spans="1:17" x14ac:dyDescent="0.45">
      <c r="A754" s="3">
        <v>29446</v>
      </c>
      <c r="B754" t="b">
        <v>0</v>
      </c>
      <c r="C754" t="b">
        <v>1</v>
      </c>
      <c r="D754" s="3">
        <v>1310</v>
      </c>
      <c r="E754" s="3">
        <v>1340</v>
      </c>
      <c r="F754" t="s">
        <v>6917</v>
      </c>
      <c r="G754" t="s">
        <v>103</v>
      </c>
      <c r="H754" s="3">
        <v>49.510199999999998</v>
      </c>
      <c r="J754" t="s">
        <v>14053</v>
      </c>
      <c r="L754" t="s">
        <v>6918</v>
      </c>
      <c r="M754" t="str">
        <f>"https://www.artic.edu/iiif/2/"&amp;Table9[[#This Row],[Image ID]]&amp;"/full/843,/0/default.jpg"</f>
        <v>https://www.artic.edu/iiif/2/df2196d5-6d12-1cbe-18f2-47ee362fc7a2/full/843,/0/default.jpg</v>
      </c>
      <c r="N754" s="3">
        <v>0.8</v>
      </c>
      <c r="O754" s="3">
        <v>0.05</v>
      </c>
      <c r="P754" s="3">
        <v>0.75</v>
      </c>
      <c r="Q754" s="3">
        <v>0.77974224090576105</v>
      </c>
    </row>
    <row r="755" spans="1:17" x14ac:dyDescent="0.45">
      <c r="A755" s="3">
        <v>100353</v>
      </c>
      <c r="B755" t="b">
        <v>0</v>
      </c>
      <c r="C755" t="b">
        <v>1</v>
      </c>
      <c r="D755" s="3">
        <v>1801</v>
      </c>
      <c r="E755" s="3">
        <v>1899</v>
      </c>
      <c r="F755" t="s">
        <v>14706</v>
      </c>
      <c r="G755" t="s">
        <v>7</v>
      </c>
      <c r="H755" s="3">
        <v>0</v>
      </c>
      <c r="I755" t="s">
        <v>14592</v>
      </c>
      <c r="J755" t="s">
        <v>14109</v>
      </c>
      <c r="L755" t="s">
        <v>101</v>
      </c>
      <c r="M755" t="str">
        <f>"https://www.artic.edu/iiif/2/"&amp;Table9[[#This Row],[Image ID]]&amp;"/full/843,/0/default.jpg"</f>
        <v>https://www.artic.edu/iiif/2/e27256e4-2ecc-7aeb-a5ac-ec1ed3e88630/full/843,/0/default.jpg</v>
      </c>
      <c r="N755" s="3">
        <v>0.77500000000000002</v>
      </c>
      <c r="O755" s="3">
        <v>2.5000000000000001E-2</v>
      </c>
      <c r="P755" s="3">
        <v>0.75</v>
      </c>
      <c r="Q755" s="3">
        <v>0.55476146936416604</v>
      </c>
    </row>
    <row r="756" spans="1:17" x14ac:dyDescent="0.45">
      <c r="A756" s="3">
        <v>8475</v>
      </c>
      <c r="B756" t="b">
        <v>0</v>
      </c>
      <c r="C756" t="b">
        <v>1</v>
      </c>
      <c r="D756" s="3">
        <v>1835</v>
      </c>
      <c r="E756" s="3">
        <v>1840</v>
      </c>
      <c r="F756" t="s">
        <v>10299</v>
      </c>
      <c r="G756" t="s">
        <v>7</v>
      </c>
      <c r="H756" s="3">
        <v>19.9587</v>
      </c>
      <c r="I756" t="s">
        <v>10201</v>
      </c>
      <c r="J756" t="s">
        <v>14125</v>
      </c>
      <c r="L756" t="s">
        <v>10300</v>
      </c>
      <c r="M756" t="str">
        <f>"https://www.artic.edu/iiif/2/"&amp;Table9[[#This Row],[Image ID]]&amp;"/full/843,/0/default.jpg"</f>
        <v>https://www.artic.edu/iiif/2/e3b91cbd-674a-5da7-1a01-42a2e9a3cadf/full/843,/0/default.jpg</v>
      </c>
      <c r="N756" s="3">
        <v>0.9</v>
      </c>
      <c r="O756" s="3">
        <v>0.15</v>
      </c>
      <c r="P756" s="3">
        <v>0.75</v>
      </c>
      <c r="Q756" s="3">
        <v>0.76895171403884799</v>
      </c>
    </row>
    <row r="757" spans="1:17" x14ac:dyDescent="0.45">
      <c r="A757" s="3">
        <v>57191</v>
      </c>
      <c r="B757" t="b">
        <v>0</v>
      </c>
      <c r="C757" t="b">
        <v>1</v>
      </c>
      <c r="D757" s="3">
        <v>1871</v>
      </c>
      <c r="E757" s="3">
        <v>1871</v>
      </c>
      <c r="F757" t="s">
        <v>8479</v>
      </c>
      <c r="G757" t="s">
        <v>7</v>
      </c>
      <c r="H757" s="3">
        <v>25.778500000000001</v>
      </c>
      <c r="I757" t="s">
        <v>14681</v>
      </c>
      <c r="J757" t="s">
        <v>14150</v>
      </c>
      <c r="L757" t="s">
        <v>8480</v>
      </c>
      <c r="M757" t="str">
        <f>"https://www.artic.edu/iiif/2/"&amp;Table9[[#This Row],[Image ID]]&amp;"/full/843,/0/default.jpg"</f>
        <v>https://www.artic.edu/iiif/2/e4c12381-da4c-d972-ed94-ed4d7985c1d3/full/843,/0/default.jpg</v>
      </c>
      <c r="N757" s="3">
        <v>0.77500000000000002</v>
      </c>
      <c r="O757" s="3">
        <v>2.5000000000000001E-2</v>
      </c>
      <c r="P757" s="3">
        <v>0.75</v>
      </c>
      <c r="Q757" s="3">
        <v>0.71888393163680997</v>
      </c>
    </row>
    <row r="758" spans="1:17" x14ac:dyDescent="0.45">
      <c r="A758" s="3">
        <v>107338</v>
      </c>
      <c r="B758" t="b">
        <v>0</v>
      </c>
      <c r="C758" t="b">
        <v>1</v>
      </c>
      <c r="D758" s="3">
        <v>1500</v>
      </c>
      <c r="E758" s="3">
        <v>1799</v>
      </c>
      <c r="F758" t="s">
        <v>675</v>
      </c>
      <c r="G758" t="s">
        <v>676</v>
      </c>
      <c r="H758" s="3">
        <v>47.459899999999998</v>
      </c>
      <c r="J758" t="s">
        <v>14170</v>
      </c>
      <c r="L758" t="s">
        <v>677</v>
      </c>
      <c r="M758" t="str">
        <f>"https://www.artic.edu/iiif/2/"&amp;Table9[[#This Row],[Image ID]]&amp;"/full/843,/0/default.jpg"</f>
        <v>https://www.artic.edu/iiif/2/e69b9212-f74e-a8a8-5785-b820361b1f72/full/843,/0/default.jpg</v>
      </c>
      <c r="N758" s="3">
        <v>0.82499999999999996</v>
      </c>
      <c r="O758" s="3">
        <v>7.4999999999999997E-2</v>
      </c>
      <c r="P758" s="3">
        <v>0.75</v>
      </c>
      <c r="Q758" s="3">
        <v>0.82509940862655595</v>
      </c>
    </row>
    <row r="759" spans="1:17" x14ac:dyDescent="0.45">
      <c r="A759" s="3">
        <v>121629</v>
      </c>
      <c r="B759" t="b">
        <v>0</v>
      </c>
      <c r="C759" t="b">
        <v>1</v>
      </c>
      <c r="D759" s="3">
        <v>1891</v>
      </c>
      <c r="E759" s="3">
        <v>1891</v>
      </c>
      <c r="F759" t="s">
        <v>2684</v>
      </c>
      <c r="G759" t="s">
        <v>7</v>
      </c>
      <c r="H759" s="3">
        <v>24.383600000000001</v>
      </c>
      <c r="I759" t="s">
        <v>934</v>
      </c>
      <c r="J759" t="s">
        <v>14171</v>
      </c>
      <c r="K759" s="5" t="s">
        <v>284</v>
      </c>
      <c r="L759" t="s">
        <v>2685</v>
      </c>
      <c r="M759" t="str">
        <f>"https://www.artic.edu/iiif/2/"&amp;Table9[[#This Row],[Image ID]]&amp;"/full/843,/0/default.jpg"</f>
        <v>https://www.artic.edu/iiif/2/e6dd6199-c245-d1b4-a997-ce89eafb48ca/full/843,/0/default.jpg</v>
      </c>
      <c r="N759" s="3">
        <v>0.82499999999999996</v>
      </c>
      <c r="O759" s="3">
        <v>7.4999999999999997E-2</v>
      </c>
      <c r="P759" s="3">
        <v>0.75</v>
      </c>
      <c r="Q759" s="3">
        <v>0.940218806266784</v>
      </c>
    </row>
    <row r="760" spans="1:17" x14ac:dyDescent="0.45">
      <c r="A760" s="3">
        <v>28857</v>
      </c>
      <c r="B760" t="b">
        <v>0</v>
      </c>
      <c r="C760" t="b">
        <v>1</v>
      </c>
      <c r="D760" s="3">
        <v>1600</v>
      </c>
      <c r="E760" s="3">
        <v>1699</v>
      </c>
      <c r="F760" t="s">
        <v>6828</v>
      </c>
      <c r="G760" t="s">
        <v>7</v>
      </c>
      <c r="H760" s="3">
        <v>0</v>
      </c>
      <c r="I760" t="s">
        <v>561</v>
      </c>
      <c r="J760" t="s">
        <v>14288</v>
      </c>
      <c r="L760" t="s">
        <v>6829</v>
      </c>
      <c r="M760" t="str">
        <f>"https://www.artic.edu/iiif/2/"&amp;Table9[[#This Row],[Image ID]]&amp;"/full/843,/0/default.jpg"</f>
        <v>https://www.artic.edu/iiif/2/edf68284-ce38-4d0b-3c93-91b05d575e1b/full/843,/0/default.jpg</v>
      </c>
      <c r="N760" s="3">
        <v>0.82499999999999996</v>
      </c>
      <c r="O760" s="3">
        <v>7.4999999999999997E-2</v>
      </c>
      <c r="P760" s="3">
        <v>0.75</v>
      </c>
      <c r="Q760" s="3">
        <v>0.79475957155227595</v>
      </c>
    </row>
    <row r="761" spans="1:17" x14ac:dyDescent="0.45">
      <c r="A761" s="3">
        <v>29095</v>
      </c>
      <c r="B761" t="b">
        <v>0</v>
      </c>
      <c r="C761" t="b">
        <v>1</v>
      </c>
      <c r="D761" s="3">
        <v>1495</v>
      </c>
      <c r="E761" s="3">
        <v>1505</v>
      </c>
      <c r="F761" t="s">
        <v>737</v>
      </c>
      <c r="G761" t="s">
        <v>103</v>
      </c>
      <c r="H761" s="3">
        <v>51.7209</v>
      </c>
      <c r="I761" t="s">
        <v>573</v>
      </c>
      <c r="J761" t="s">
        <v>14509</v>
      </c>
      <c r="L761" t="s">
        <v>6871</v>
      </c>
      <c r="M761" t="str">
        <f>"https://www.artic.edu/iiif/2/"&amp;Table9[[#This Row],[Image ID]]&amp;"/full/843,/0/default.jpg"</f>
        <v>https://www.artic.edu/iiif/2/fe17bc32-9512-fc0c-4c84-d812c8ea144c/full/843,/0/default.jpg</v>
      </c>
      <c r="N761" s="3">
        <v>0.8</v>
      </c>
      <c r="O761" s="3">
        <v>0.05</v>
      </c>
      <c r="P761" s="3">
        <v>0.75</v>
      </c>
      <c r="Q761" s="3">
        <v>0.87727940082550004</v>
      </c>
    </row>
    <row r="762" spans="1:17" x14ac:dyDescent="0.45">
      <c r="A762" s="3">
        <v>110342</v>
      </c>
      <c r="B762" t="b">
        <v>0</v>
      </c>
      <c r="C762" t="b">
        <v>1</v>
      </c>
      <c r="D762" s="3">
        <v>1800</v>
      </c>
      <c r="E762" s="3">
        <v>1899</v>
      </c>
      <c r="F762" t="s">
        <v>898</v>
      </c>
      <c r="G762" t="s">
        <v>896</v>
      </c>
      <c r="H762" s="3">
        <v>35.054600000000001</v>
      </c>
      <c r="I762" t="s">
        <v>16</v>
      </c>
      <c r="J762" t="s">
        <v>11390</v>
      </c>
      <c r="L762" t="s">
        <v>899</v>
      </c>
      <c r="M762" t="str">
        <f>"https://www.artic.edu/iiif/2/"&amp;Table9[[#This Row],[Image ID]]&amp;"/full/843,/0/default.jpg"</f>
        <v>https://www.artic.edu/iiif/2/fc14d6db-b90a-3439-f426-ef9c8cdeeed9/full/843,/0/default.jpg</v>
      </c>
      <c r="N762" s="3">
        <v>0.81399999999999995</v>
      </c>
      <c r="O762" s="3">
        <v>6.8000000000000005E-2</v>
      </c>
      <c r="P762" s="3">
        <v>0.746</v>
      </c>
      <c r="Q762" s="3">
        <v>0.86376094818115201</v>
      </c>
    </row>
    <row r="763" spans="1:17" x14ac:dyDescent="0.45">
      <c r="A763" s="3">
        <v>884</v>
      </c>
      <c r="B763" t="b">
        <v>0</v>
      </c>
      <c r="C763" t="b">
        <v>1</v>
      </c>
      <c r="D763" s="3">
        <v>1825</v>
      </c>
      <c r="E763" s="3">
        <v>1835</v>
      </c>
      <c r="F763" t="s">
        <v>10419</v>
      </c>
      <c r="G763" t="s">
        <v>7</v>
      </c>
      <c r="H763" s="3">
        <v>41.470799999999997</v>
      </c>
      <c r="I763" t="s">
        <v>7147</v>
      </c>
      <c r="J763" t="s">
        <v>11353</v>
      </c>
      <c r="L763" t="s">
        <v>10420</v>
      </c>
      <c r="M763" t="str">
        <f>"https://www.artic.edu/iiif/2/"&amp;Table9[[#This Row],[Image ID]]&amp;"/full/843,/0/default.jpg"</f>
        <v>https://www.artic.edu/iiif/2/1bc44619-6b1d-5398-cf41-f4af38f6e17f/full/843,/0/default.jpg</v>
      </c>
      <c r="N763" s="3">
        <v>0.81399999999999995</v>
      </c>
      <c r="O763" s="3">
        <v>7.0000000000000007E-2</v>
      </c>
      <c r="P763" s="3">
        <v>0.74399999999999999</v>
      </c>
      <c r="Q763" s="3">
        <v>0.86004620790481501</v>
      </c>
    </row>
    <row r="764" spans="1:17" ht="85.5" x14ac:dyDescent="0.45">
      <c r="A764" s="3">
        <v>102088</v>
      </c>
      <c r="B764" t="b">
        <v>0</v>
      </c>
      <c r="C764" t="b">
        <v>1</v>
      </c>
      <c r="D764" s="3">
        <v>1501</v>
      </c>
      <c r="E764" s="3">
        <v>1600</v>
      </c>
      <c r="F764" t="s">
        <v>205</v>
      </c>
      <c r="G764" t="s">
        <v>75</v>
      </c>
      <c r="H764" s="3">
        <v>35.258400000000002</v>
      </c>
      <c r="I764" t="s">
        <v>206</v>
      </c>
      <c r="J764" s="1" t="s">
        <v>11668</v>
      </c>
      <c r="L764" t="s">
        <v>207</v>
      </c>
      <c r="M764" t="str">
        <f>"https://www.artic.edu/iiif/2/"&amp;Table9[[#This Row],[Image ID]]&amp;"/full/843,/0/default.jpg"</f>
        <v>https://www.artic.edu/iiif/2/2f7bd26c-ffdf-0b4a-f1e2-8acd09554023/full/843,/0/default.jpg</v>
      </c>
      <c r="N764" s="3">
        <v>0.81399999999999995</v>
      </c>
      <c r="O764" s="3">
        <v>7.0000000000000007E-2</v>
      </c>
      <c r="P764" s="3">
        <v>0.74399999999999999</v>
      </c>
      <c r="Q764" s="3">
        <v>0.78295052051544101</v>
      </c>
    </row>
    <row r="765" spans="1:17" x14ac:dyDescent="0.45">
      <c r="A765" s="3">
        <v>111456</v>
      </c>
      <c r="B765" t="b">
        <v>0</v>
      </c>
      <c r="C765" t="b">
        <v>1</v>
      </c>
      <c r="D765" s="3">
        <v>1515</v>
      </c>
      <c r="E765" s="3">
        <v>1525</v>
      </c>
      <c r="F765" t="s">
        <v>201</v>
      </c>
      <c r="G765" t="s">
        <v>75</v>
      </c>
      <c r="H765" s="3">
        <v>38.344299999999997</v>
      </c>
      <c r="I765" t="s">
        <v>1115</v>
      </c>
      <c r="J765" t="s">
        <v>11697</v>
      </c>
      <c r="L765" t="s">
        <v>1116</v>
      </c>
      <c r="M765" t="str">
        <f>"https://www.artic.edu/iiif/2/"&amp;Table9[[#This Row],[Image ID]]&amp;"/full/843,/0/default.jpg"</f>
        <v>https://www.artic.edu/iiif/2/318b7761-6765-7273-36c6-2ebc1fb41e22/full/843,/0/default.jpg</v>
      </c>
      <c r="N765" s="3">
        <v>0.88400000000000001</v>
      </c>
      <c r="O765" s="3">
        <v>0.14000000000000001</v>
      </c>
      <c r="P765" s="3">
        <v>0.74399999999999999</v>
      </c>
      <c r="Q765" s="3">
        <v>0.75901824235916104</v>
      </c>
    </row>
    <row r="766" spans="1:17" x14ac:dyDescent="0.45">
      <c r="A766" s="3">
        <v>14624</v>
      </c>
      <c r="B766" t="b">
        <v>0</v>
      </c>
      <c r="C766" t="b">
        <v>1</v>
      </c>
      <c r="D766" s="3">
        <v>1891</v>
      </c>
      <c r="E766" s="3">
        <v>1891</v>
      </c>
      <c r="F766" t="s">
        <v>3435</v>
      </c>
      <c r="G766" t="s">
        <v>7</v>
      </c>
      <c r="H766" s="3">
        <v>20.353899999999999</v>
      </c>
      <c r="I766" t="s">
        <v>43</v>
      </c>
      <c r="J766" t="s">
        <v>12080</v>
      </c>
      <c r="K766" s="5" t="s">
        <v>9</v>
      </c>
      <c r="L766" t="s">
        <v>3436</v>
      </c>
      <c r="M766" t="str">
        <f>"https://www.artic.edu/iiif/2/"&amp;Table9[[#This Row],[Image ID]]&amp;"/full/843,/0/default.jpg"</f>
        <v>https://www.artic.edu/iiif/2/4c364c64-2108-4e19-5fc5-1ab26ba924a7/full/843,/0/default.jpg</v>
      </c>
      <c r="N766" s="3">
        <v>0.83699999999999997</v>
      </c>
      <c r="O766" s="3">
        <v>9.2999999999999999E-2</v>
      </c>
      <c r="P766" s="3">
        <v>0.74399999999999999</v>
      </c>
      <c r="Q766" s="3">
        <v>0.61660355329513505</v>
      </c>
    </row>
    <row r="767" spans="1:17" x14ac:dyDescent="0.45">
      <c r="A767" s="3">
        <v>110661</v>
      </c>
      <c r="B767" t="b">
        <v>0</v>
      </c>
      <c r="C767" t="b">
        <v>1</v>
      </c>
      <c r="D767" s="3">
        <v>1865</v>
      </c>
      <c r="E767" s="3">
        <v>1866</v>
      </c>
      <c r="F767" t="s">
        <v>14</v>
      </c>
      <c r="G767" t="s">
        <v>7</v>
      </c>
      <c r="H767" s="3">
        <v>11.875999999999999</v>
      </c>
      <c r="I767" t="s">
        <v>14625</v>
      </c>
      <c r="J767" t="s">
        <v>14239</v>
      </c>
      <c r="K767" s="5" t="s">
        <v>9</v>
      </c>
      <c r="L767" t="s">
        <v>913</v>
      </c>
      <c r="M767" t="str">
        <f>"https://www.artic.edu/iiif/2/"&amp;Table9[[#This Row],[Image ID]]&amp;"/full/843,/0/default.jpg"</f>
        <v>https://www.artic.edu/iiif/2/eb2cd58f-db63-0236-cebd-7ca8e63eda54/full/843,/0/default.jpg</v>
      </c>
      <c r="N767" s="3">
        <v>0.79100000000000004</v>
      </c>
      <c r="O767" s="3">
        <v>4.7E-2</v>
      </c>
      <c r="P767" s="3">
        <v>0.74399999999999999</v>
      </c>
      <c r="Q767" s="3">
        <v>0.88013350963592496</v>
      </c>
    </row>
    <row r="768" spans="1:17" x14ac:dyDescent="0.45">
      <c r="A768" s="3">
        <v>119129</v>
      </c>
      <c r="B768" t="b">
        <v>0</v>
      </c>
      <c r="C768" t="b">
        <v>0</v>
      </c>
      <c r="D768" s="3">
        <v>1964</v>
      </c>
      <c r="E768" s="3">
        <v>1964</v>
      </c>
      <c r="F768" t="s">
        <v>2586</v>
      </c>
      <c r="G768" t="s">
        <v>2587</v>
      </c>
      <c r="H768" s="3">
        <v>70.074200000000005</v>
      </c>
      <c r="I768" t="s">
        <v>6932</v>
      </c>
      <c r="J768" t="s">
        <v>12691</v>
      </c>
      <c r="L768" t="s">
        <v>2588</v>
      </c>
      <c r="M768" t="str">
        <f>"https://www.artic.edu/iiif/2/"&amp;Table9[[#This Row],[Image ID]]&amp;"/full/843,/0/default.jpg"</f>
        <v>https://www.artic.edu/iiif/2/767f4732-e9f2-3a46-c785-b2ee7109d3aa/full/843,/0/default.jpg</v>
      </c>
      <c r="N768" s="3">
        <v>0.81</v>
      </c>
      <c r="O768" s="3">
        <v>7.0999999999999994E-2</v>
      </c>
      <c r="P768" s="3">
        <v>0.7390000000000001</v>
      </c>
      <c r="Q768" s="3">
        <v>0.78655141592025701</v>
      </c>
    </row>
    <row r="769" spans="1:17" x14ac:dyDescent="0.45">
      <c r="A769" s="3">
        <v>97403</v>
      </c>
      <c r="B769" t="b">
        <v>0</v>
      </c>
      <c r="C769" t="b">
        <v>0</v>
      </c>
      <c r="D769" s="3">
        <v>1977</v>
      </c>
      <c r="E769" s="3">
        <v>1977</v>
      </c>
      <c r="F769" t="s">
        <v>10827</v>
      </c>
      <c r="G769" t="s">
        <v>58</v>
      </c>
      <c r="H769" s="3">
        <v>11.0116</v>
      </c>
      <c r="I769" t="s">
        <v>3389</v>
      </c>
      <c r="J769" t="s">
        <v>13802</v>
      </c>
      <c r="L769" t="s">
        <v>10828</v>
      </c>
      <c r="M769" t="str">
        <f>"https://www.artic.edu/iiif/2/"&amp;Table9[[#This Row],[Image ID]]&amp;"/full/843,/0/default.jpg"</f>
        <v>https://www.artic.edu/iiif/2/cc42d343-a7d5-d6fa-caf2-8c4f73e79529/full/843,/0/default.jpg</v>
      </c>
      <c r="N769" s="3">
        <v>0.81</v>
      </c>
      <c r="O769" s="3">
        <v>7.0999999999999994E-2</v>
      </c>
      <c r="P769" s="3">
        <v>0.7390000000000001</v>
      </c>
      <c r="Q769" s="3">
        <v>0.90386068820953303</v>
      </c>
    </row>
    <row r="770" spans="1:17" x14ac:dyDescent="0.45">
      <c r="A770" s="3">
        <v>204436</v>
      </c>
      <c r="B770" t="b">
        <v>0</v>
      </c>
      <c r="C770" t="b">
        <v>0</v>
      </c>
      <c r="D770" s="3">
        <v>1965</v>
      </c>
      <c r="E770" s="3">
        <v>1975</v>
      </c>
      <c r="F770" t="s">
        <v>5419</v>
      </c>
      <c r="G770" t="s">
        <v>5417</v>
      </c>
      <c r="H770" s="3">
        <v>28.4513</v>
      </c>
      <c r="I770" t="s">
        <v>430</v>
      </c>
      <c r="J770" t="s">
        <v>11158</v>
      </c>
      <c r="L770" t="s">
        <v>5420</v>
      </c>
      <c r="M770" t="str">
        <f>"https://www.artic.edu/iiif/2/"&amp;Table9[[#This Row],[Image ID]]&amp;"/full/843,/0/default.jpg"</f>
        <v>https://www.artic.edu/iiif/2/d28f9503-bbad-dd18-92c1-14f524feec05/full/843,/0/default.jpg</v>
      </c>
      <c r="N770" s="3">
        <v>0.81</v>
      </c>
      <c r="O770" s="3">
        <v>7.0999999999999994E-2</v>
      </c>
      <c r="P770" s="3">
        <v>0.7390000000000001</v>
      </c>
      <c r="Q770" s="3">
        <v>0.85008621215820301</v>
      </c>
    </row>
    <row r="771" spans="1:17" x14ac:dyDescent="0.45">
      <c r="A771" s="3">
        <v>60510</v>
      </c>
      <c r="B771" t="b">
        <v>0</v>
      </c>
      <c r="C771" t="b">
        <v>0</v>
      </c>
      <c r="D771" s="3">
        <v>1930</v>
      </c>
      <c r="E771" s="3">
        <v>1930</v>
      </c>
      <c r="F771" t="s">
        <v>8708</v>
      </c>
      <c r="G771" t="s">
        <v>7</v>
      </c>
      <c r="H771" s="3">
        <v>25.6983</v>
      </c>
      <c r="I771" t="s">
        <v>67</v>
      </c>
      <c r="J771" t="s">
        <v>14097</v>
      </c>
      <c r="K771" s="5" t="s">
        <v>45</v>
      </c>
      <c r="L771" t="s">
        <v>8709</v>
      </c>
      <c r="M771" t="str">
        <f>"https://www.artic.edu/iiif/2/"&amp;Table9[[#This Row],[Image ID]]&amp;"/full/843,/0/default.jpg"</f>
        <v>https://www.artic.edu/iiif/2/e1e20a4f-bd35-6b51-775c-32d2a500b3fa/full/843,/0/default.jpg</v>
      </c>
      <c r="N771" s="3">
        <v>0.81</v>
      </c>
      <c r="O771" s="3">
        <v>7.0999999999999994E-2</v>
      </c>
      <c r="P771" s="3">
        <v>0.7390000000000001</v>
      </c>
      <c r="Q771" s="3">
        <v>0.86743706464767401</v>
      </c>
    </row>
    <row r="772" spans="1:17" x14ac:dyDescent="0.45">
      <c r="A772" s="3">
        <v>200641</v>
      </c>
      <c r="B772" t="b">
        <v>0</v>
      </c>
      <c r="C772" t="b">
        <v>0</v>
      </c>
      <c r="D772" s="3">
        <v>1939</v>
      </c>
      <c r="E772" s="3">
        <v>1939</v>
      </c>
      <c r="F772" t="s">
        <v>5322</v>
      </c>
      <c r="G772" t="s">
        <v>5323</v>
      </c>
      <c r="H772" s="3">
        <v>13.0463</v>
      </c>
      <c r="I772" t="s">
        <v>2517</v>
      </c>
      <c r="J772" t="s">
        <v>14374</v>
      </c>
      <c r="L772" t="s">
        <v>5324</v>
      </c>
      <c r="M772" t="str">
        <f>"https://www.artic.edu/iiif/2/"&amp;Table9[[#This Row],[Image ID]]&amp;"/full/843,/0/default.jpg"</f>
        <v>https://www.artic.edu/iiif/2/f4c093ee-a107-064c-1989-bd7aacadd089/full/843,/0/default.jpg</v>
      </c>
      <c r="N772" s="3">
        <v>0.81</v>
      </c>
      <c r="O772" s="3">
        <v>7.0999999999999994E-2</v>
      </c>
      <c r="P772" s="3">
        <v>0.7390000000000001</v>
      </c>
      <c r="Q772" s="3">
        <v>0.51349371671676602</v>
      </c>
    </row>
    <row r="773" spans="1:17" x14ac:dyDescent="0.45">
      <c r="A773" s="3">
        <v>76047</v>
      </c>
      <c r="B773" t="b">
        <v>0</v>
      </c>
      <c r="C773" t="b">
        <v>0</v>
      </c>
      <c r="D773" s="3">
        <v>1925</v>
      </c>
      <c r="E773" s="3">
        <v>1926</v>
      </c>
      <c r="F773" t="s">
        <v>6862</v>
      </c>
      <c r="G773" t="s">
        <v>7</v>
      </c>
      <c r="H773" s="3">
        <v>80.365200000000002</v>
      </c>
      <c r="I773" t="s">
        <v>988</v>
      </c>
      <c r="J773" t="s">
        <v>11128</v>
      </c>
      <c r="K773" s="5" t="s">
        <v>45</v>
      </c>
      <c r="L773" t="s">
        <v>9770</v>
      </c>
      <c r="M773" t="str">
        <f>"https://www.artic.edu/iiif/2/"&amp;Table9[[#This Row],[Image ID]]&amp;"/full/843,/0/default.jpg"</f>
        <v>https://www.artic.edu/iiif/2/0b2cc98e-ed3d-48ad-d3be-aa50bf09f36d/full/843,/0/default.jpg</v>
      </c>
      <c r="N773" s="3">
        <v>0.83299999999999996</v>
      </c>
      <c r="O773" s="3">
        <v>9.5000000000000001E-2</v>
      </c>
      <c r="P773" s="3">
        <v>0.73799999999999999</v>
      </c>
      <c r="Q773" s="3">
        <v>0.93392741680145197</v>
      </c>
    </row>
    <row r="774" spans="1:17" x14ac:dyDescent="0.45">
      <c r="A774" s="3">
        <v>184938</v>
      </c>
      <c r="B774" t="b">
        <v>0</v>
      </c>
      <c r="C774" t="b">
        <v>0</v>
      </c>
      <c r="D774" s="3">
        <v>2003</v>
      </c>
      <c r="E774" s="3">
        <v>2003</v>
      </c>
      <c r="F774" t="s">
        <v>4924</v>
      </c>
      <c r="G774" t="s">
        <v>4823</v>
      </c>
      <c r="H774" s="3">
        <v>11.8079</v>
      </c>
      <c r="I774" t="s">
        <v>293</v>
      </c>
      <c r="J774" t="s">
        <v>10977</v>
      </c>
      <c r="K774" s="5" t="s">
        <v>15</v>
      </c>
      <c r="L774" t="s">
        <v>4925</v>
      </c>
      <c r="M774" t="str">
        <f>"https://www.artic.edu/iiif/2/"&amp;Table9[[#This Row],[Image ID]]&amp;"/full/843,/0/default.jpg"</f>
        <v>https://www.artic.edu/iiif/2/16473a84-c22d-d3d5-a740-a886a47424c0/full/843,/0/default.jpg</v>
      </c>
      <c r="N774" s="3">
        <v>0.78600000000000003</v>
      </c>
      <c r="O774" s="3">
        <v>4.8000000000000001E-2</v>
      </c>
      <c r="P774" s="3">
        <v>0.73799999999999999</v>
      </c>
      <c r="Q774" s="3">
        <v>0.86901926994323697</v>
      </c>
    </row>
    <row r="775" spans="1:17" x14ac:dyDescent="0.45">
      <c r="A775" s="3">
        <v>229123</v>
      </c>
      <c r="B775" t="b">
        <v>0</v>
      </c>
      <c r="C775" t="b">
        <v>0</v>
      </c>
      <c r="D775" s="3">
        <v>1974</v>
      </c>
      <c r="E775" s="3">
        <v>1974</v>
      </c>
      <c r="F775" t="s">
        <v>5840</v>
      </c>
      <c r="G775" t="s">
        <v>238</v>
      </c>
      <c r="H775" s="3">
        <v>109.82429999999999</v>
      </c>
      <c r="I775" t="s">
        <v>5841</v>
      </c>
      <c r="J775" t="s">
        <v>11563</v>
      </c>
      <c r="L775" t="s">
        <v>6057</v>
      </c>
      <c r="M775" t="str">
        <f>"https://www.artic.edu/iiif/2/"&amp;Table9[[#This Row],[Image ID]]&amp;"/full/843,/0/default.jpg"</f>
        <v>https://www.artic.edu/iiif/2/288352a0-a239-66c8-770a-a4cec2fff611/full/843,/0/default.jpg</v>
      </c>
      <c r="N775" s="3">
        <v>0.78600000000000003</v>
      </c>
      <c r="O775" s="3">
        <v>4.8000000000000001E-2</v>
      </c>
      <c r="P775" s="3">
        <v>0.73799999999999999</v>
      </c>
      <c r="Q775" s="3">
        <v>0.87700688838958696</v>
      </c>
    </row>
    <row r="776" spans="1:17" x14ac:dyDescent="0.45">
      <c r="A776" s="3">
        <v>247700</v>
      </c>
      <c r="B776" t="b">
        <v>0</v>
      </c>
      <c r="C776" t="b">
        <v>0</v>
      </c>
      <c r="D776" s="3">
        <v>1993</v>
      </c>
      <c r="E776" s="3">
        <v>1993</v>
      </c>
      <c r="F776" t="s">
        <v>6435</v>
      </c>
      <c r="G776" t="s">
        <v>6436</v>
      </c>
      <c r="H776" s="3">
        <v>15.0444</v>
      </c>
      <c r="I776" t="s">
        <v>6437</v>
      </c>
      <c r="J776" t="s">
        <v>11770</v>
      </c>
      <c r="K776" s="5" t="s">
        <v>2</v>
      </c>
      <c r="L776" t="s">
        <v>6438</v>
      </c>
      <c r="M776" t="str">
        <f>"https://www.artic.edu/iiif/2/"&amp;Table9[[#This Row],[Image ID]]&amp;"/full/843,/0/default.jpg"</f>
        <v>https://www.artic.edu/iiif/2/37188e34-da29-79ee-52a0-41c991b204ce/full/843,/0/default.jpg</v>
      </c>
      <c r="N776" s="3">
        <v>0.83299999999999996</v>
      </c>
      <c r="O776" s="3">
        <v>9.5000000000000001E-2</v>
      </c>
      <c r="P776" s="3">
        <v>0.73799999999999999</v>
      </c>
      <c r="Q776" s="3">
        <v>0.70274716615676802</v>
      </c>
    </row>
    <row r="777" spans="1:17" x14ac:dyDescent="0.45">
      <c r="A777" s="3">
        <v>31132</v>
      </c>
      <c r="B777" t="b">
        <v>0</v>
      </c>
      <c r="C777" t="b">
        <v>0</v>
      </c>
      <c r="D777" s="3">
        <v>1906</v>
      </c>
      <c r="E777" s="3">
        <v>1968</v>
      </c>
      <c r="F777" t="s">
        <v>358</v>
      </c>
      <c r="G777" t="s">
        <v>6992</v>
      </c>
      <c r="H777" s="3">
        <v>52.756100000000004</v>
      </c>
      <c r="I777" t="s">
        <v>3238</v>
      </c>
      <c r="J777" t="s">
        <v>12278</v>
      </c>
      <c r="L777" t="s">
        <v>6993</v>
      </c>
      <c r="M777" t="str">
        <f>"https://www.artic.edu/iiif/2/"&amp;Table9[[#This Row],[Image ID]]&amp;"/full/843,/0/default.jpg"</f>
        <v>https://www.artic.edu/iiif/2/593bbd2b-4bae-1938-4fd9-221fdb3e9e2e/full/843,/0/default.jpg</v>
      </c>
      <c r="N777" s="3">
        <v>0.78600000000000003</v>
      </c>
      <c r="O777" s="3">
        <v>4.8000000000000001E-2</v>
      </c>
      <c r="P777" s="3">
        <v>0.73799999999999999</v>
      </c>
      <c r="Q777" s="3">
        <v>0.79885631799697798</v>
      </c>
    </row>
    <row r="778" spans="1:17" x14ac:dyDescent="0.45">
      <c r="A778" s="3">
        <v>105024</v>
      </c>
      <c r="B778" t="b">
        <v>0</v>
      </c>
      <c r="C778" t="b">
        <v>0</v>
      </c>
      <c r="D778" s="3">
        <v>1968</v>
      </c>
      <c r="E778" s="3">
        <v>1968</v>
      </c>
      <c r="F778" t="s">
        <v>11</v>
      </c>
      <c r="G778" t="s">
        <v>59</v>
      </c>
      <c r="H778" s="3">
        <v>53.547199999999997</v>
      </c>
      <c r="I778" t="s">
        <v>465</v>
      </c>
      <c r="J778" t="s">
        <v>12698</v>
      </c>
      <c r="L778" t="s">
        <v>466</v>
      </c>
      <c r="M778" t="str">
        <f>"https://www.artic.edu/iiif/2/"&amp;Table9[[#This Row],[Image ID]]&amp;"/full/843,/0/default.jpg"</f>
        <v>https://www.artic.edu/iiif/2/76dbc190-65c9-65e0-2d88-1fb52ec86690/full/843,/0/default.jpg</v>
      </c>
      <c r="N778" s="3">
        <v>0.83299999999999996</v>
      </c>
      <c r="O778" s="3">
        <v>9.5000000000000001E-2</v>
      </c>
      <c r="P778" s="3">
        <v>0.73799999999999999</v>
      </c>
      <c r="Q778" s="3">
        <v>0.72913867235183705</v>
      </c>
    </row>
    <row r="779" spans="1:17" x14ac:dyDescent="0.45">
      <c r="A779" s="3">
        <v>93813</v>
      </c>
      <c r="B779" t="b">
        <v>0</v>
      </c>
      <c r="C779" t="b">
        <v>0</v>
      </c>
      <c r="D779" s="3">
        <v>1930</v>
      </c>
      <c r="E779" s="3">
        <v>1931</v>
      </c>
      <c r="F779" t="s">
        <v>10647</v>
      </c>
      <c r="G779" t="s">
        <v>7</v>
      </c>
      <c r="H779" s="3">
        <v>14.5185</v>
      </c>
      <c r="I779" t="s">
        <v>378</v>
      </c>
      <c r="J779" t="s">
        <v>12719</v>
      </c>
      <c r="K779" s="5" t="s">
        <v>45</v>
      </c>
      <c r="L779" t="s">
        <v>10648</v>
      </c>
      <c r="M779" t="str">
        <f>"https://www.artic.edu/iiif/2/"&amp;Table9[[#This Row],[Image ID]]&amp;"/full/843,/0/default.jpg"</f>
        <v>https://www.artic.edu/iiif/2/7893ede4-351d-f37d-c4fe-51a3fd967de8/full/843,/0/default.jpg</v>
      </c>
      <c r="N779" s="3">
        <v>0.73799999999999999</v>
      </c>
      <c r="O779" s="3">
        <v>0</v>
      </c>
      <c r="P779" s="3">
        <v>0.73799999999999999</v>
      </c>
      <c r="Q779" s="3">
        <v>0.78661942481994596</v>
      </c>
    </row>
    <row r="780" spans="1:17" x14ac:dyDescent="0.45">
      <c r="A780" s="3">
        <v>117755</v>
      </c>
      <c r="B780" t="b">
        <v>0</v>
      </c>
      <c r="C780" t="b">
        <v>0</v>
      </c>
      <c r="D780" s="3">
        <v>1979</v>
      </c>
      <c r="E780" s="3">
        <v>1979</v>
      </c>
      <c r="F780" t="s">
        <v>2426</v>
      </c>
      <c r="G780" t="s">
        <v>1769</v>
      </c>
      <c r="H780" s="3">
        <v>12.371</v>
      </c>
      <c r="I780" t="s">
        <v>54</v>
      </c>
      <c r="J780" t="s">
        <v>13064</v>
      </c>
      <c r="L780" t="s">
        <v>2427</v>
      </c>
      <c r="M780" t="str">
        <f>"https://www.artic.edu/iiif/2/"&amp;Table9[[#This Row],[Image ID]]&amp;"/full/843,/0/default.jpg"</f>
        <v>https://www.artic.edu/iiif/2/9379030d-e4ec-367f-c5d3-ed2261e4c254/full/843,/0/default.jpg</v>
      </c>
      <c r="N780" s="3">
        <v>0.83299999999999996</v>
      </c>
      <c r="O780" s="3">
        <v>9.5000000000000001E-2</v>
      </c>
      <c r="P780" s="3">
        <v>0.73799999999999999</v>
      </c>
      <c r="Q780" s="3">
        <v>0.74407923221588101</v>
      </c>
    </row>
    <row r="781" spans="1:17" x14ac:dyDescent="0.45">
      <c r="A781" s="3">
        <v>14316</v>
      </c>
      <c r="B781" t="b">
        <v>0</v>
      </c>
      <c r="C781" t="b">
        <v>0</v>
      </c>
      <c r="D781" s="3">
        <v>1961</v>
      </c>
      <c r="E781" s="3">
        <v>1961</v>
      </c>
      <c r="F781" t="s">
        <v>3308</v>
      </c>
      <c r="G781" t="s">
        <v>7</v>
      </c>
      <c r="H781" s="3">
        <v>26.343900000000001</v>
      </c>
      <c r="I781" t="s">
        <v>3309</v>
      </c>
      <c r="J781" t="s">
        <v>13556</v>
      </c>
      <c r="L781" t="s">
        <v>3310</v>
      </c>
      <c r="M781" t="str">
        <f>"https://www.artic.edu/iiif/2/"&amp;Table9[[#This Row],[Image ID]]&amp;"/full/843,/0/default.jpg"</f>
        <v>https://www.artic.edu/iiif/2/b90e3693-6ae7-b16b-da7e-ad5d3363d8ca/full/843,/0/default.jpg</v>
      </c>
      <c r="N781" s="3">
        <v>0.83299999999999996</v>
      </c>
      <c r="O781" s="3">
        <v>9.5000000000000001E-2</v>
      </c>
      <c r="P781" s="3">
        <v>0.73799999999999999</v>
      </c>
      <c r="Q781" s="3">
        <v>0.79394644498824996</v>
      </c>
    </row>
    <row r="782" spans="1:17" x14ac:dyDescent="0.45">
      <c r="A782" s="3">
        <v>61141</v>
      </c>
      <c r="B782" t="b">
        <v>0</v>
      </c>
      <c r="C782" t="b">
        <v>1</v>
      </c>
      <c r="D782" s="3">
        <v>1825</v>
      </c>
      <c r="E782" s="3">
        <v>1825</v>
      </c>
      <c r="F782" t="s">
        <v>8780</v>
      </c>
      <c r="G782" t="s">
        <v>75</v>
      </c>
      <c r="H782" s="3">
        <v>31.939800000000002</v>
      </c>
      <c r="I782" t="s">
        <v>8778</v>
      </c>
      <c r="J782" t="s">
        <v>11584</v>
      </c>
      <c r="K782" s="5" t="s">
        <v>125</v>
      </c>
      <c r="L782" t="s">
        <v>8781</v>
      </c>
      <c r="M782" t="str">
        <f>"https://www.artic.edu/iiif/2/"&amp;Table9[[#This Row],[Image ID]]&amp;"/full/843,/0/default.jpg"</f>
        <v>https://www.artic.edu/iiif/2/5522b060-d700-cd12-de83-0ebf1161c656/full/843,/0/default.jpg</v>
      </c>
      <c r="N782" s="3">
        <v>0.83299999999999996</v>
      </c>
      <c r="O782" s="3">
        <v>9.5000000000000001E-2</v>
      </c>
      <c r="P782" s="3">
        <v>0.73799999999999999</v>
      </c>
      <c r="Q782" s="3">
        <v>0.73919868469238204</v>
      </c>
    </row>
    <row r="783" spans="1:17" x14ac:dyDescent="0.45">
      <c r="A783" s="3">
        <v>39172</v>
      </c>
      <c r="B783" t="b">
        <v>0</v>
      </c>
      <c r="C783" t="b">
        <v>1</v>
      </c>
      <c r="D783" s="3">
        <v>1840</v>
      </c>
      <c r="E783" s="3">
        <v>1850</v>
      </c>
      <c r="F783" t="s">
        <v>7481</v>
      </c>
      <c r="G783" t="s">
        <v>7482</v>
      </c>
      <c r="H783" s="3">
        <v>29.322900000000001</v>
      </c>
      <c r="I783" t="s">
        <v>1295</v>
      </c>
      <c r="J783" t="s">
        <v>13941</v>
      </c>
      <c r="L783" t="s">
        <v>7483</v>
      </c>
      <c r="M783" t="str">
        <f>"https://www.artic.edu/iiif/2/"&amp;Table9[[#This Row],[Image ID]]&amp;"/full/843,/0/default.jpg"</f>
        <v>https://www.artic.edu/iiif/2/d715fe0a-82ce-7a59-9757-c9ab089021e0/full/843,/0/default.jpg</v>
      </c>
      <c r="N783" s="3">
        <v>0.85699999999999998</v>
      </c>
      <c r="O783" s="3">
        <v>0.11899999999999999</v>
      </c>
      <c r="P783" s="3">
        <v>0.73799999999999999</v>
      </c>
      <c r="Q783" s="3">
        <v>0.732746541500091</v>
      </c>
    </row>
    <row r="784" spans="1:17" x14ac:dyDescent="0.45">
      <c r="A784" s="3">
        <v>100356</v>
      </c>
      <c r="B784" t="b">
        <v>0</v>
      </c>
      <c r="C784" t="b">
        <v>1</v>
      </c>
      <c r="D784" s="3">
        <v>1630</v>
      </c>
      <c r="E784" s="3">
        <v>1640</v>
      </c>
      <c r="F784" t="s">
        <v>109</v>
      </c>
      <c r="G784" t="s">
        <v>75</v>
      </c>
      <c r="H784" s="3">
        <v>31.713999999999999</v>
      </c>
      <c r="I784" t="s">
        <v>110</v>
      </c>
      <c r="J784" t="s">
        <v>14158</v>
      </c>
      <c r="L784" t="s">
        <v>111</v>
      </c>
      <c r="M784" t="str">
        <f>"https://www.artic.edu/iiif/2/"&amp;Table9[[#This Row],[Image ID]]&amp;"/full/843,/0/default.jpg"</f>
        <v>https://www.artic.edu/iiif/2/e540512e-7bb1-e713-4ef9-fdea43ebbcd3/full/843,/0/default.jpg</v>
      </c>
      <c r="N784" s="3">
        <v>0.83299999999999996</v>
      </c>
      <c r="O784" s="3">
        <v>9.5000000000000001E-2</v>
      </c>
      <c r="P784" s="3">
        <v>0.73799999999999999</v>
      </c>
      <c r="Q784" s="3">
        <v>0.70969164371490401</v>
      </c>
    </row>
    <row r="785" spans="1:17" x14ac:dyDescent="0.45">
      <c r="A785" s="3">
        <v>13481</v>
      </c>
      <c r="B785" t="b">
        <v>0</v>
      </c>
      <c r="C785" t="b">
        <v>0</v>
      </c>
      <c r="D785" s="3">
        <v>1957</v>
      </c>
      <c r="E785" s="3">
        <v>1957</v>
      </c>
      <c r="F785" t="s">
        <v>3099</v>
      </c>
      <c r="G785" t="s">
        <v>7</v>
      </c>
      <c r="H785" s="3">
        <v>102.8776</v>
      </c>
      <c r="I785" t="s">
        <v>3100</v>
      </c>
      <c r="J785" t="s">
        <v>11441</v>
      </c>
      <c r="L785" t="s">
        <v>3101</v>
      </c>
      <c r="M785" t="str">
        <f>"https://www.artic.edu/iiif/2/"&amp;Table9[[#This Row],[Image ID]]&amp;"/full/843,/0/default.jpg"</f>
        <v>https://www.artic.edu/iiif/2/20df9945-e1f0-ed0c-84cf-8bed34db7af1/full/843,/0/default.jpg</v>
      </c>
      <c r="N785" s="3">
        <v>0.80500000000000005</v>
      </c>
      <c r="O785" s="3">
        <v>7.2999999999999995E-2</v>
      </c>
      <c r="P785" s="3">
        <v>0.7320000000000001</v>
      </c>
      <c r="Q785" s="3">
        <v>0.87890660762786799</v>
      </c>
    </row>
    <row r="786" spans="1:17" x14ac:dyDescent="0.45">
      <c r="A786" s="3">
        <v>111664</v>
      </c>
      <c r="B786" t="b">
        <v>0</v>
      </c>
      <c r="C786" t="b">
        <v>0</v>
      </c>
      <c r="D786" s="3">
        <v>1929</v>
      </c>
      <c r="E786" s="3">
        <v>1929</v>
      </c>
      <c r="F786" t="s">
        <v>1217</v>
      </c>
      <c r="G786" t="s">
        <v>7</v>
      </c>
      <c r="H786" s="3">
        <v>46.495600000000003</v>
      </c>
      <c r="I786" t="s">
        <v>40</v>
      </c>
      <c r="J786" t="s">
        <v>11602</v>
      </c>
      <c r="L786" t="s">
        <v>1218</v>
      </c>
      <c r="M786" t="str">
        <f>"https://www.artic.edu/iiif/2/"&amp;Table9[[#This Row],[Image ID]]&amp;"/full/843,/0/default.jpg"</f>
        <v>https://www.artic.edu/iiif/2/2aec7f1b-9adf-63ec-e72f-8840b58e27b7/full/843,/0/default.jpg</v>
      </c>
      <c r="N786" s="3">
        <v>0.80500000000000005</v>
      </c>
      <c r="O786" s="3">
        <v>7.2999999999999995E-2</v>
      </c>
      <c r="P786" s="3">
        <v>0.7320000000000001</v>
      </c>
      <c r="Q786" s="3">
        <v>0.94902849197387695</v>
      </c>
    </row>
    <row r="787" spans="1:17" x14ac:dyDescent="0.45">
      <c r="A787" s="3">
        <v>93806</v>
      </c>
      <c r="B787" t="b">
        <v>0</v>
      </c>
      <c r="C787" t="b">
        <v>0</v>
      </c>
      <c r="D787" s="3">
        <v>1927</v>
      </c>
      <c r="E787" s="3">
        <v>1927</v>
      </c>
      <c r="F787" t="s">
        <v>10634</v>
      </c>
      <c r="G787" t="s">
        <v>7</v>
      </c>
      <c r="H787" s="3">
        <v>7.9786999999999999</v>
      </c>
      <c r="I787" t="s">
        <v>378</v>
      </c>
      <c r="J787" t="s">
        <v>12994</v>
      </c>
      <c r="K787" s="5" t="s">
        <v>45</v>
      </c>
      <c r="L787" t="s">
        <v>10635</v>
      </c>
      <c r="M787" t="str">
        <f>"https://www.artic.edu/iiif/2/"&amp;Table9[[#This Row],[Image ID]]&amp;"/full/843,/0/default.jpg"</f>
        <v>https://www.artic.edu/iiif/2/8d5a4757-388c-afac-2905-03cffcadd78a/full/843,/0/default.jpg</v>
      </c>
      <c r="N787" s="3">
        <v>0.80500000000000005</v>
      </c>
      <c r="O787" s="3">
        <v>7.2999999999999995E-2</v>
      </c>
      <c r="P787" s="3">
        <v>0.7320000000000001</v>
      </c>
      <c r="Q787" s="3">
        <v>0.766276895999908</v>
      </c>
    </row>
    <row r="788" spans="1:17" x14ac:dyDescent="0.45">
      <c r="A788" s="3">
        <v>222921</v>
      </c>
      <c r="B788" t="b">
        <v>0</v>
      </c>
      <c r="C788" t="b">
        <v>0</v>
      </c>
      <c r="D788" s="3">
        <v>1983</v>
      </c>
      <c r="E788" s="3">
        <v>1983</v>
      </c>
      <c r="F788" t="s">
        <v>11</v>
      </c>
      <c r="G788" t="s">
        <v>5843</v>
      </c>
      <c r="H788" s="3">
        <v>45.2348</v>
      </c>
      <c r="I788" t="s">
        <v>5844</v>
      </c>
      <c r="J788" t="s">
        <v>6933</v>
      </c>
      <c r="L788" t="s">
        <v>5845</v>
      </c>
      <c r="M788" t="str">
        <f>"https://www.artic.edu/iiif/2/"&amp;Table9[[#This Row],[Image ID]]&amp;"/full/843,/0/default.jpg"</f>
        <v>https://www.artic.edu/iiif/2/a8eb277e-8f56-962c-4ad2-e63ffe5594f6/full/843,/0/default.jpg</v>
      </c>
      <c r="N788" s="3">
        <v>0.80500000000000005</v>
      </c>
      <c r="O788" s="3">
        <v>7.2999999999999995E-2</v>
      </c>
      <c r="P788" s="3">
        <v>0.7320000000000001</v>
      </c>
      <c r="Q788" s="3">
        <v>0.82447427511215199</v>
      </c>
    </row>
    <row r="789" spans="1:17" x14ac:dyDescent="0.45">
      <c r="A789" s="3">
        <v>135475</v>
      </c>
      <c r="B789" t="b">
        <v>0</v>
      </c>
      <c r="C789" t="b">
        <v>0</v>
      </c>
      <c r="D789" s="3">
        <v>1983</v>
      </c>
      <c r="E789" s="3">
        <v>1983</v>
      </c>
      <c r="F789" t="s">
        <v>3123</v>
      </c>
      <c r="G789" t="s">
        <v>1769</v>
      </c>
      <c r="H789" s="3">
        <v>19.353100000000001</v>
      </c>
      <c r="I789" t="s">
        <v>3124</v>
      </c>
      <c r="J789" t="s">
        <v>13468</v>
      </c>
      <c r="L789" t="s">
        <v>3125</v>
      </c>
      <c r="M789" t="str">
        <f>"https://www.artic.edu/iiif/2/"&amp;Table9[[#This Row],[Image ID]]&amp;"/full/843,/0/default.jpg"</f>
        <v>https://www.artic.edu/iiif/2/b11f8fe6-cdfc-8777-90b9-ab2374f68e4a/full/843,/0/default.jpg</v>
      </c>
      <c r="N789" s="3">
        <v>0.80500000000000005</v>
      </c>
      <c r="O789" s="3">
        <v>7.2999999999999995E-2</v>
      </c>
      <c r="P789" s="3">
        <v>0.7320000000000001</v>
      </c>
      <c r="Q789" s="3">
        <v>0.91057819128036499</v>
      </c>
    </row>
    <row r="790" spans="1:17" x14ac:dyDescent="0.45">
      <c r="A790" s="3">
        <v>184855</v>
      </c>
      <c r="B790" t="b">
        <v>0</v>
      </c>
      <c r="C790" t="b">
        <v>0</v>
      </c>
      <c r="D790" s="3">
        <v>2003</v>
      </c>
      <c r="E790" s="3">
        <v>2003</v>
      </c>
      <c r="F790" t="s">
        <v>4859</v>
      </c>
      <c r="G790" t="s">
        <v>4823</v>
      </c>
      <c r="H790" s="3">
        <v>7.7640000000000002</v>
      </c>
      <c r="I790" t="s">
        <v>293</v>
      </c>
      <c r="J790" t="s">
        <v>10977</v>
      </c>
      <c r="K790" s="5" t="s">
        <v>15</v>
      </c>
      <c r="L790" t="s">
        <v>4860</v>
      </c>
      <c r="M790" t="str">
        <f>"https://www.artic.edu/iiif/2/"&amp;Table9[[#This Row],[Image ID]]&amp;"/full/843,/0/default.jpg"</f>
        <v>https://www.artic.edu/iiif/2/cb745006-f2d4-4197-dd59-d2781eecd9db/full/843,/0/default.jpg</v>
      </c>
      <c r="N790" s="3">
        <v>0.80500000000000005</v>
      </c>
      <c r="O790" s="3">
        <v>7.2999999999999995E-2</v>
      </c>
      <c r="P790" s="3">
        <v>0.7320000000000001</v>
      </c>
      <c r="Q790" s="3">
        <v>0.84854161739349299</v>
      </c>
    </row>
    <row r="791" spans="1:17" x14ac:dyDescent="0.45">
      <c r="A791" s="3">
        <v>87531</v>
      </c>
      <c r="B791" t="b">
        <v>0</v>
      </c>
      <c r="C791" t="b">
        <v>1</v>
      </c>
      <c r="D791" s="3">
        <v>1765</v>
      </c>
      <c r="E791" s="3">
        <v>1775</v>
      </c>
      <c r="F791" t="s">
        <v>10389</v>
      </c>
      <c r="G791" t="s">
        <v>7</v>
      </c>
      <c r="H791" s="3">
        <v>0</v>
      </c>
      <c r="I791" t="s">
        <v>7071</v>
      </c>
      <c r="J791" t="s">
        <v>11180</v>
      </c>
      <c r="L791" t="s">
        <v>10390</v>
      </c>
      <c r="M791" t="str">
        <f>"https://www.artic.edu/iiif/2/"&amp;Table9[[#This Row],[Image ID]]&amp;"/full/843,/0/default.jpg"</f>
        <v>https://www.artic.edu/iiif/2/38972058-6e4d-50a0-ae60-863f276262d0/full/843,/0/default.jpg</v>
      </c>
      <c r="N791" s="3">
        <v>0.80500000000000005</v>
      </c>
      <c r="O791" s="3">
        <v>7.2999999999999995E-2</v>
      </c>
      <c r="P791" s="3">
        <v>0.7320000000000001</v>
      </c>
      <c r="Q791" s="3">
        <v>0.80298793315887396</v>
      </c>
    </row>
    <row r="792" spans="1:17" x14ac:dyDescent="0.45">
      <c r="A792" s="3">
        <v>129883</v>
      </c>
      <c r="B792" t="b">
        <v>0</v>
      </c>
      <c r="C792" t="b">
        <v>1</v>
      </c>
      <c r="D792" s="3">
        <v>1745</v>
      </c>
      <c r="E792" s="3">
        <v>1770</v>
      </c>
      <c r="F792" t="s">
        <v>2965</v>
      </c>
      <c r="G792" t="s">
        <v>723</v>
      </c>
      <c r="H792" s="3">
        <v>87.389600000000002</v>
      </c>
      <c r="J792" t="s">
        <v>11949</v>
      </c>
      <c r="K792" s="5" t="s">
        <v>4</v>
      </c>
      <c r="L792" t="s">
        <v>2966</v>
      </c>
      <c r="M792" t="str">
        <f>"https://www.artic.edu/iiif/2/"&amp;Table9[[#This Row],[Image ID]]&amp;"/full/843,/0/default.jpg"</f>
        <v>https://www.artic.edu/iiif/2/4237947a-8908-0a35-9f20-bc803f549f36/full/843,/0/default.jpg</v>
      </c>
      <c r="N792" s="3">
        <v>0.80500000000000005</v>
      </c>
      <c r="O792" s="3">
        <v>7.2999999999999995E-2</v>
      </c>
      <c r="P792" s="3">
        <v>0.7320000000000001</v>
      </c>
      <c r="Q792" s="3">
        <v>0.72928798198699896</v>
      </c>
    </row>
    <row r="793" spans="1:17" x14ac:dyDescent="0.45">
      <c r="A793" s="3">
        <v>70024</v>
      </c>
      <c r="B793" t="b">
        <v>0</v>
      </c>
      <c r="C793" t="b">
        <v>0</v>
      </c>
      <c r="D793" s="3">
        <v>1979</v>
      </c>
      <c r="E793" s="3">
        <v>1980</v>
      </c>
      <c r="F793" t="s">
        <v>11</v>
      </c>
      <c r="G793" t="s">
        <v>9417</v>
      </c>
      <c r="H793" s="3">
        <v>27.010400000000001</v>
      </c>
      <c r="I793" t="s">
        <v>493</v>
      </c>
      <c r="J793" t="s">
        <v>11371</v>
      </c>
      <c r="L793" t="s">
        <v>9418</v>
      </c>
      <c r="M793" t="str">
        <f>"https://www.artic.edu/iiif/2/"&amp;Table9[[#This Row],[Image ID]]&amp;"/full/843,/0/default.jpg"</f>
        <v>https://www.artic.edu/iiif/2/1ce686f1-9751-13be-b497-0fcba01cfe35/full/843,/0/default.jpg</v>
      </c>
      <c r="N793" s="3">
        <v>0.75600000000000001</v>
      </c>
      <c r="O793" s="3">
        <v>2.4E-2</v>
      </c>
      <c r="P793" s="3">
        <v>0.73199999999999998</v>
      </c>
      <c r="Q793" s="3">
        <v>0.75465595722198398</v>
      </c>
    </row>
    <row r="794" spans="1:17" x14ac:dyDescent="0.45">
      <c r="A794" s="3">
        <v>65850</v>
      </c>
      <c r="B794" t="b">
        <v>0</v>
      </c>
      <c r="C794" t="b">
        <v>0</v>
      </c>
      <c r="D794" s="3">
        <v>1922</v>
      </c>
      <c r="E794" s="3">
        <v>1922</v>
      </c>
      <c r="F794" t="s">
        <v>9065</v>
      </c>
      <c r="G794" t="s">
        <v>2373</v>
      </c>
      <c r="H794" s="3">
        <v>35.5672</v>
      </c>
      <c r="I794" t="s">
        <v>1423</v>
      </c>
      <c r="J794" t="s">
        <v>11667</v>
      </c>
      <c r="L794" t="s">
        <v>9066</v>
      </c>
      <c r="M794" t="str">
        <f>"https://www.artic.edu/iiif/2/"&amp;Table9[[#This Row],[Image ID]]&amp;"/full/843,/0/default.jpg"</f>
        <v>https://www.artic.edu/iiif/2/2f76f881-74c1-bdd5-9bca-0946f7b07320/full/843,/0/default.jpg</v>
      </c>
      <c r="N794" s="3">
        <v>0.75600000000000001</v>
      </c>
      <c r="O794" s="3">
        <v>2.4E-2</v>
      </c>
      <c r="P794" s="3">
        <v>0.73199999999999998</v>
      </c>
      <c r="Q794" s="3">
        <v>0.59619092941284102</v>
      </c>
    </row>
    <row r="795" spans="1:17" x14ac:dyDescent="0.45">
      <c r="A795" s="3">
        <v>223736</v>
      </c>
      <c r="B795" t="b">
        <v>0</v>
      </c>
      <c r="C795" t="b">
        <v>0</v>
      </c>
      <c r="D795" s="3">
        <v>1910</v>
      </c>
      <c r="E795" s="3">
        <v>1910</v>
      </c>
      <c r="F795" t="s">
        <v>5875</v>
      </c>
      <c r="G795" t="s">
        <v>7</v>
      </c>
      <c r="H795" s="3">
        <v>32.059800000000003</v>
      </c>
      <c r="I795" t="s">
        <v>3196</v>
      </c>
      <c r="J795" t="s">
        <v>11745</v>
      </c>
      <c r="K795" s="5" t="s">
        <v>284</v>
      </c>
      <c r="L795" t="s">
        <v>5876</v>
      </c>
      <c r="M795" t="str">
        <f>"https://www.artic.edu/iiif/2/"&amp;Table9[[#This Row],[Image ID]]&amp;"/full/843,/0/default.jpg"</f>
        <v>https://www.artic.edu/iiif/2/35188a38-1c1d-22e1-aea1-0c5d9f66aaf2/full/843,/0/default.jpg</v>
      </c>
      <c r="N795" s="3">
        <v>0.73199999999999998</v>
      </c>
      <c r="O795" s="3">
        <v>0</v>
      </c>
      <c r="P795" s="3">
        <v>0.73199999999999998</v>
      </c>
      <c r="Q795" s="3">
        <v>0.768535375595092</v>
      </c>
    </row>
    <row r="796" spans="1:17" x14ac:dyDescent="0.45">
      <c r="A796" s="3">
        <v>66401</v>
      </c>
      <c r="B796" t="b">
        <v>0</v>
      </c>
      <c r="C796" t="b">
        <v>0</v>
      </c>
      <c r="D796" s="3">
        <v>1956</v>
      </c>
      <c r="E796" s="3">
        <v>1957</v>
      </c>
      <c r="F796" t="s">
        <v>9258</v>
      </c>
      <c r="G796" t="s">
        <v>9259</v>
      </c>
      <c r="H796" s="3">
        <v>20.082999999999998</v>
      </c>
      <c r="I796" t="s">
        <v>1091</v>
      </c>
      <c r="J796" t="s">
        <v>12500</v>
      </c>
      <c r="L796" t="s">
        <v>9260</v>
      </c>
      <c r="M796" t="str">
        <f>"https://www.artic.edu/iiif/2/"&amp;Table9[[#This Row],[Image ID]]&amp;"/full/843,/0/default.jpg"</f>
        <v>https://www.artic.edu/iiif/2/685b2193-5f6e-cb0e-1e71-cf50627c6d07/full/843,/0/default.jpg</v>
      </c>
      <c r="N796" s="3">
        <v>0.78</v>
      </c>
      <c r="O796" s="3">
        <v>4.8000000000000001E-2</v>
      </c>
      <c r="P796" s="3">
        <v>0.73199999999999998</v>
      </c>
      <c r="Q796" s="3">
        <v>0.71570998430251997</v>
      </c>
    </row>
    <row r="797" spans="1:17" x14ac:dyDescent="0.45">
      <c r="A797" s="3">
        <v>200160</v>
      </c>
      <c r="B797" t="b">
        <v>0</v>
      </c>
      <c r="C797" t="b">
        <v>0</v>
      </c>
      <c r="D797" s="3">
        <v>1969</v>
      </c>
      <c r="E797" s="3">
        <v>1970</v>
      </c>
      <c r="F797" t="s">
        <v>5314</v>
      </c>
      <c r="G797" t="s">
        <v>7</v>
      </c>
      <c r="H797" s="3">
        <v>70.534099999999995</v>
      </c>
      <c r="I797" t="s">
        <v>690</v>
      </c>
      <c r="J797" t="s">
        <v>14120</v>
      </c>
      <c r="L797" t="s">
        <v>5315</v>
      </c>
      <c r="M797" t="str">
        <f>"https://www.artic.edu/iiif/2/"&amp;Table9[[#This Row],[Image ID]]&amp;"/full/843,/0/default.jpg"</f>
        <v>https://www.artic.edu/iiif/2/e33e17c6-72d7-b16d-d750-040808dfc363/full/843,/0/default.jpg</v>
      </c>
      <c r="N797" s="3">
        <v>0.73199999999999998</v>
      </c>
      <c r="O797" s="3">
        <v>0</v>
      </c>
      <c r="P797" s="3">
        <v>0.73199999999999998</v>
      </c>
      <c r="Q797" s="3">
        <v>0.91515630483627297</v>
      </c>
    </row>
    <row r="798" spans="1:17" x14ac:dyDescent="0.45">
      <c r="A798" s="3">
        <v>114712</v>
      </c>
      <c r="B798" t="b">
        <v>0</v>
      </c>
      <c r="C798" t="b">
        <v>1</v>
      </c>
      <c r="D798" s="3">
        <v>1817</v>
      </c>
      <c r="E798" s="3">
        <v>1817</v>
      </c>
      <c r="F798" t="s">
        <v>1700</v>
      </c>
      <c r="G798" t="s">
        <v>1701</v>
      </c>
      <c r="H798" s="3">
        <v>33.075899999999997</v>
      </c>
      <c r="I798" t="s">
        <v>1294</v>
      </c>
      <c r="J798" t="s">
        <v>11046</v>
      </c>
      <c r="L798" t="s">
        <v>1702</v>
      </c>
      <c r="M798" t="str">
        <f>"https://www.artic.edu/iiif/2/"&amp;Table9[[#This Row],[Image ID]]&amp;"/full/843,/0/default.jpg"</f>
        <v>https://www.artic.edu/iiif/2/05211c61-ac7a-9261-8bb2-5316004744eb/full/843,/0/default.jpg</v>
      </c>
      <c r="N798" s="3">
        <v>0.75600000000000001</v>
      </c>
      <c r="O798" s="3">
        <v>2.4E-2</v>
      </c>
      <c r="P798" s="3">
        <v>0.73199999999999998</v>
      </c>
      <c r="Q798" s="3">
        <v>0.68913733959197998</v>
      </c>
    </row>
    <row r="799" spans="1:17" x14ac:dyDescent="0.45">
      <c r="A799" s="3">
        <v>100476</v>
      </c>
      <c r="B799" t="b">
        <v>0</v>
      </c>
      <c r="C799" t="b">
        <v>1</v>
      </c>
      <c r="D799" s="3">
        <v>1891</v>
      </c>
      <c r="E799" s="3">
        <v>1892</v>
      </c>
      <c r="F799" t="s">
        <v>113</v>
      </c>
      <c r="G799" t="s">
        <v>7</v>
      </c>
      <c r="H799" s="3">
        <v>32.507899999999999</v>
      </c>
      <c r="I799" t="s">
        <v>114</v>
      </c>
      <c r="J799" t="s">
        <v>11287</v>
      </c>
      <c r="K799" s="5" t="s">
        <v>115</v>
      </c>
      <c r="L799" t="s">
        <v>116</v>
      </c>
      <c r="M799" t="str">
        <f>"https://www.artic.edu/iiif/2/"&amp;Table9[[#This Row],[Image ID]]&amp;"/full/843,/0/default.jpg"</f>
        <v>https://www.artic.edu/iiif/2/16e53257-ade2-4f5d-3521-2bc9666bc4cf/full/843,/0/default.jpg</v>
      </c>
      <c r="N799" s="3">
        <v>0.75600000000000001</v>
      </c>
      <c r="O799" s="3">
        <v>2.4E-2</v>
      </c>
      <c r="P799" s="3">
        <v>0.73199999999999998</v>
      </c>
      <c r="Q799" s="3">
        <v>0.52416557073593095</v>
      </c>
    </row>
    <row r="800" spans="1:17" x14ac:dyDescent="0.45">
      <c r="A800" s="3">
        <v>66528</v>
      </c>
      <c r="B800" t="b">
        <v>0</v>
      </c>
      <c r="C800" t="b">
        <v>1</v>
      </c>
      <c r="D800" s="3">
        <v>1866</v>
      </c>
      <c r="E800" s="3">
        <v>1901</v>
      </c>
      <c r="F800" t="s">
        <v>9295</v>
      </c>
      <c r="G800" t="s">
        <v>9296</v>
      </c>
      <c r="H800" s="3">
        <v>29.115200000000002</v>
      </c>
      <c r="I800" t="s">
        <v>1527</v>
      </c>
      <c r="J800" t="s">
        <v>12071</v>
      </c>
      <c r="L800" t="s">
        <v>9297</v>
      </c>
      <c r="M800" t="str">
        <f>"https://www.artic.edu/iiif/2/"&amp;Table9[[#This Row],[Image ID]]&amp;"/full/843,/0/default.jpg"</f>
        <v>https://www.artic.edu/iiif/2/4b99e09a-55a8-8037-966c-f5a5538f794d/full/843,/0/default.jpg</v>
      </c>
      <c r="N800" s="3">
        <v>0.75600000000000001</v>
      </c>
      <c r="O800" s="3">
        <v>2.4E-2</v>
      </c>
      <c r="P800" s="3">
        <v>0.73199999999999998</v>
      </c>
      <c r="Q800" s="3">
        <v>0.70966053009033203</v>
      </c>
    </row>
    <row r="801" spans="1:17" x14ac:dyDescent="0.45">
      <c r="A801" s="3">
        <v>82029</v>
      </c>
      <c r="B801" t="b">
        <v>0</v>
      </c>
      <c r="C801" t="b">
        <v>1</v>
      </c>
      <c r="D801" s="3">
        <v>1841</v>
      </c>
      <c r="E801" s="3">
        <v>1888</v>
      </c>
      <c r="F801" t="s">
        <v>3722</v>
      </c>
      <c r="G801" t="s">
        <v>9893</v>
      </c>
      <c r="H801" s="3">
        <v>26.126100000000001</v>
      </c>
      <c r="I801" t="s">
        <v>10155</v>
      </c>
      <c r="J801" t="s">
        <v>12870</v>
      </c>
      <c r="L801" t="s">
        <v>10156</v>
      </c>
      <c r="M801" t="str">
        <f>"https://www.artic.edu/iiif/2/"&amp;Table9[[#This Row],[Image ID]]&amp;"/full/843,/0/default.jpg"</f>
        <v>https://www.artic.edu/iiif/2/837198bb-7a5e-ba0b-79dd-3b91da82fb95/full/843,/0/default.jpg</v>
      </c>
      <c r="N801" s="3">
        <v>0.75600000000000001</v>
      </c>
      <c r="O801" s="3">
        <v>2.4E-2</v>
      </c>
      <c r="P801" s="3">
        <v>0.73199999999999998</v>
      </c>
      <c r="Q801" s="3">
        <v>0.605868339538574</v>
      </c>
    </row>
    <row r="802" spans="1:17" x14ac:dyDescent="0.45">
      <c r="A802" s="3">
        <v>13916</v>
      </c>
      <c r="B802" t="b">
        <v>0</v>
      </c>
      <c r="C802" t="b">
        <v>1</v>
      </c>
      <c r="D802" s="3">
        <v>1871</v>
      </c>
      <c r="E802" s="3">
        <v>1872</v>
      </c>
      <c r="F802" t="s">
        <v>3239</v>
      </c>
      <c r="G802" t="s">
        <v>3240</v>
      </c>
      <c r="H802" s="3">
        <v>21.470500000000001</v>
      </c>
      <c r="I802" t="s">
        <v>442</v>
      </c>
      <c r="J802" t="s">
        <v>13037</v>
      </c>
      <c r="K802" s="5" t="s">
        <v>9</v>
      </c>
      <c r="L802" t="s">
        <v>3241</v>
      </c>
      <c r="M802" t="str">
        <f>"https://www.artic.edu/iiif/2/"&amp;Table9[[#This Row],[Image ID]]&amp;"/full/843,/0/default.jpg"</f>
        <v>https://www.artic.edu/iiif/2/90ef9ea0-419b-f221-5893-99a9ad9b7ad7/full/843,/0/default.jpg</v>
      </c>
      <c r="N802" s="3">
        <v>0.878</v>
      </c>
      <c r="O802" s="3">
        <v>0.14599999999999999</v>
      </c>
      <c r="P802" s="3">
        <v>0.73199999999999998</v>
      </c>
      <c r="Q802" s="3">
        <v>0.79781657457351596</v>
      </c>
    </row>
    <row r="803" spans="1:17" x14ac:dyDescent="0.45">
      <c r="A803" s="3">
        <v>15698</v>
      </c>
      <c r="B803" t="b">
        <v>0</v>
      </c>
      <c r="C803" t="b">
        <v>1</v>
      </c>
      <c r="D803" s="3">
        <v>1625</v>
      </c>
      <c r="E803" s="3">
        <v>1635</v>
      </c>
      <c r="F803" t="s">
        <v>4078</v>
      </c>
      <c r="G803" t="s">
        <v>75</v>
      </c>
      <c r="H803" s="3">
        <v>52.7485</v>
      </c>
      <c r="I803" t="s">
        <v>79</v>
      </c>
      <c r="J803" t="s">
        <v>13071</v>
      </c>
      <c r="L803" t="s">
        <v>4079</v>
      </c>
      <c r="M803" t="str">
        <f>"https://www.artic.edu/iiif/2/"&amp;Table9[[#This Row],[Image ID]]&amp;"/full/843,/0/default.jpg"</f>
        <v>https://www.artic.edu/iiif/2/9420990e-602d-5b82-d82c-538c25bc7e53/full/843,/0/default.jpg</v>
      </c>
      <c r="N803" s="3">
        <v>0.878</v>
      </c>
      <c r="O803" s="3">
        <v>0.14599999999999999</v>
      </c>
      <c r="P803" s="3">
        <v>0.73199999999999998</v>
      </c>
      <c r="Q803" s="3">
        <v>0.80293476581573398</v>
      </c>
    </row>
    <row r="804" spans="1:17" x14ac:dyDescent="0.45">
      <c r="A804" s="3">
        <v>72375</v>
      </c>
      <c r="B804" t="b">
        <v>0</v>
      </c>
      <c r="C804" t="b">
        <v>1</v>
      </c>
      <c r="D804" s="3">
        <v>1814</v>
      </c>
      <c r="E804" s="3">
        <v>1814</v>
      </c>
      <c r="F804" t="s">
        <v>9567</v>
      </c>
      <c r="G804" t="s">
        <v>7</v>
      </c>
      <c r="H804" s="3">
        <v>27.108899999999998</v>
      </c>
      <c r="I804" t="s">
        <v>9568</v>
      </c>
      <c r="J804" t="s">
        <v>14234</v>
      </c>
      <c r="L804" t="s">
        <v>9569</v>
      </c>
      <c r="M804" t="str">
        <f>"https://www.artic.edu/iiif/2/"&amp;Table9[[#This Row],[Image ID]]&amp;"/full/843,/0/default.jpg"</f>
        <v>https://www.artic.edu/iiif/2/eac2c2c9-fe4a-ba6f-948c-b579b0f2bca3/full/843,/0/default.jpg</v>
      </c>
      <c r="N804" s="3">
        <v>0.75600000000000001</v>
      </c>
      <c r="O804" s="3">
        <v>2.4E-2</v>
      </c>
      <c r="P804" s="3">
        <v>0.73199999999999998</v>
      </c>
      <c r="Q804" s="3">
        <v>0.86575245857238703</v>
      </c>
    </row>
    <row r="805" spans="1:17" x14ac:dyDescent="0.45">
      <c r="A805" s="3">
        <v>73344</v>
      </c>
      <c r="B805" t="b">
        <v>0</v>
      </c>
      <c r="C805" t="b">
        <v>0</v>
      </c>
      <c r="D805" s="3">
        <v>1975</v>
      </c>
      <c r="E805" s="3">
        <v>1975</v>
      </c>
      <c r="F805" t="s">
        <v>9608</v>
      </c>
      <c r="G805" t="s">
        <v>785</v>
      </c>
      <c r="H805" s="3">
        <v>21.1876</v>
      </c>
      <c r="I805" t="s">
        <v>54</v>
      </c>
      <c r="J805" t="s">
        <v>11577</v>
      </c>
      <c r="L805" t="s">
        <v>9609</v>
      </c>
      <c r="M805" t="str">
        <f>"https://www.artic.edu/iiif/2/"&amp;Table9[[#This Row],[Image ID]]&amp;"/full/843,/0/default.jpg"</f>
        <v>https://www.artic.edu/iiif/2/297660a2-8355-97a7-d423-c3bf3c70fa1b/full/843,/0/default.jpg</v>
      </c>
      <c r="N805" s="3">
        <v>0.78</v>
      </c>
      <c r="O805" s="3">
        <v>4.9000000000000002E-2</v>
      </c>
      <c r="P805" s="3">
        <v>0.73099999999999998</v>
      </c>
      <c r="Q805" s="3">
        <v>0.69026392698287897</v>
      </c>
    </row>
    <row r="806" spans="1:17" x14ac:dyDescent="0.45">
      <c r="A806" s="3">
        <v>184897</v>
      </c>
      <c r="B806" t="b">
        <v>0</v>
      </c>
      <c r="C806" t="b">
        <v>0</v>
      </c>
      <c r="D806" s="3">
        <v>2003</v>
      </c>
      <c r="E806" s="3">
        <v>2003</v>
      </c>
      <c r="F806" t="s">
        <v>4888</v>
      </c>
      <c r="G806" t="s">
        <v>4823</v>
      </c>
      <c r="H806" s="3">
        <v>7.9433999999999996</v>
      </c>
      <c r="I806" t="s">
        <v>293</v>
      </c>
      <c r="J806" t="s">
        <v>10977</v>
      </c>
      <c r="K806" s="5" t="s">
        <v>15</v>
      </c>
      <c r="L806" t="s">
        <v>4889</v>
      </c>
      <c r="M806" t="str">
        <f>"https://www.artic.edu/iiif/2/"&amp;Table9[[#This Row],[Image ID]]&amp;"/full/843,/0/default.jpg"</f>
        <v>https://www.artic.edu/iiif/2/4c629c65-77cb-01c2-7c4c-54b015bc2c9d/full/843,/0/default.jpg</v>
      </c>
      <c r="N806" s="3">
        <v>0.78</v>
      </c>
      <c r="O806" s="3">
        <v>4.9000000000000002E-2</v>
      </c>
      <c r="P806" s="3">
        <v>0.73099999999999998</v>
      </c>
      <c r="Q806" s="3">
        <v>0.77434843778610196</v>
      </c>
    </row>
    <row r="807" spans="1:17" x14ac:dyDescent="0.45">
      <c r="A807" s="3">
        <v>214080</v>
      </c>
      <c r="B807" t="b">
        <v>0</v>
      </c>
      <c r="C807" t="b">
        <v>0</v>
      </c>
      <c r="D807" s="3">
        <v>1937</v>
      </c>
      <c r="E807" s="3">
        <v>1937</v>
      </c>
      <c r="F807" t="s">
        <v>5611</v>
      </c>
      <c r="G807" t="s">
        <v>7</v>
      </c>
      <c r="H807" s="3">
        <v>44.3842</v>
      </c>
      <c r="I807" t="s">
        <v>5612</v>
      </c>
      <c r="J807" t="s">
        <v>12107</v>
      </c>
      <c r="K807" s="5" t="s">
        <v>45</v>
      </c>
      <c r="L807" t="s">
        <v>5613</v>
      </c>
      <c r="M807" t="str">
        <f>"https://www.artic.edu/iiif/2/"&amp;Table9[[#This Row],[Image ID]]&amp;"/full/843,/0/default.jpg"</f>
        <v>https://www.artic.edu/iiif/2/4ddc34e7-f9cf-5535-a668-090bc18ce23d/full/843,/0/default.jpg</v>
      </c>
      <c r="N807" s="3">
        <v>0.78</v>
      </c>
      <c r="O807" s="3">
        <v>4.9000000000000002E-2</v>
      </c>
      <c r="P807" s="3">
        <v>0.73099999999999998</v>
      </c>
      <c r="Q807" s="3">
        <v>0.81226623058319003</v>
      </c>
    </row>
    <row r="808" spans="1:17" x14ac:dyDescent="0.45">
      <c r="A808" s="3">
        <v>103415</v>
      </c>
      <c r="B808" t="b">
        <v>0</v>
      </c>
      <c r="C808" t="b">
        <v>0</v>
      </c>
      <c r="D808" s="3">
        <v>1969</v>
      </c>
      <c r="E808" s="3">
        <v>1969</v>
      </c>
      <c r="F808" t="s">
        <v>321</v>
      </c>
      <c r="G808" t="s">
        <v>319</v>
      </c>
      <c r="H808" s="3">
        <v>21.920999999999999</v>
      </c>
      <c r="I808" t="s">
        <v>29</v>
      </c>
      <c r="J808" t="s">
        <v>12247</v>
      </c>
      <c r="L808" t="s">
        <v>322</v>
      </c>
      <c r="M808" t="str">
        <f>"https://www.artic.edu/iiif/2/"&amp;Table9[[#This Row],[Image ID]]&amp;"/full/843,/0/default.jpg"</f>
        <v>https://www.artic.edu/iiif/2/569fa73e-901b-cbca-26da-89c163836866/full/843,/0/default.jpg</v>
      </c>
      <c r="N808" s="3">
        <v>0.82899999999999996</v>
      </c>
      <c r="O808" s="3">
        <v>9.8000000000000004E-2</v>
      </c>
      <c r="P808" s="3">
        <v>0.73099999999999998</v>
      </c>
      <c r="Q808" s="3">
        <v>0.95299869775772095</v>
      </c>
    </row>
    <row r="809" spans="1:17" x14ac:dyDescent="0.45">
      <c r="A809" s="3">
        <v>111814</v>
      </c>
      <c r="B809" t="b">
        <v>0</v>
      </c>
      <c r="C809" t="b">
        <v>0</v>
      </c>
      <c r="D809" s="3">
        <v>1937</v>
      </c>
      <c r="E809" s="3">
        <v>1937</v>
      </c>
      <c r="F809" t="s">
        <v>1258</v>
      </c>
      <c r="G809" t="s">
        <v>1259</v>
      </c>
      <c r="H809" s="3">
        <v>52.239600000000003</v>
      </c>
      <c r="I809" t="s">
        <v>1260</v>
      </c>
      <c r="J809" t="s">
        <v>12439</v>
      </c>
      <c r="L809" t="s">
        <v>1261</v>
      </c>
      <c r="M809" t="str">
        <f>"https://www.artic.edu/iiif/2/"&amp;Table9[[#This Row],[Image ID]]&amp;"/full/843,/0/default.jpg"</f>
        <v>https://www.artic.edu/iiif/2/64a9c328-7817-f9ae-862e-40d17d647600/full/843,/0/default.jpg</v>
      </c>
      <c r="N809" s="3">
        <v>0.82899999999999996</v>
      </c>
      <c r="O809" s="3">
        <v>9.8000000000000004E-2</v>
      </c>
      <c r="P809" s="3">
        <v>0.73099999999999998</v>
      </c>
      <c r="Q809" s="3">
        <v>0.78462016582489003</v>
      </c>
    </row>
    <row r="810" spans="1:17" x14ac:dyDescent="0.45">
      <c r="A810" s="3">
        <v>90903</v>
      </c>
      <c r="B810" t="b">
        <v>0</v>
      </c>
      <c r="C810" t="b">
        <v>0</v>
      </c>
      <c r="D810" s="3">
        <v>1909</v>
      </c>
      <c r="E810" s="3">
        <v>1909</v>
      </c>
      <c r="F810" t="s">
        <v>10556</v>
      </c>
      <c r="G810" t="s">
        <v>7</v>
      </c>
      <c r="H810" s="3">
        <v>30.907299999999999</v>
      </c>
      <c r="I810" t="s">
        <v>8663</v>
      </c>
      <c r="J810" t="s">
        <v>12735</v>
      </c>
      <c r="K810" s="5" t="s">
        <v>9</v>
      </c>
      <c r="L810" t="s">
        <v>10557</v>
      </c>
      <c r="M810" t="str">
        <f>"https://www.artic.edu/iiif/2/"&amp;Table9[[#This Row],[Image ID]]&amp;"/full/843,/0/default.jpg"</f>
        <v>https://www.artic.edu/iiif/2/79b12530-6b59-0992-322d-149cf05d4ee5/full/843,/0/default.jpg</v>
      </c>
      <c r="N810" s="3">
        <v>0.78</v>
      </c>
      <c r="O810" s="3">
        <v>4.9000000000000002E-2</v>
      </c>
      <c r="P810" s="3">
        <v>0.73099999999999998</v>
      </c>
      <c r="Q810" s="3">
        <v>0.76067805290222101</v>
      </c>
    </row>
    <row r="811" spans="1:17" x14ac:dyDescent="0.45">
      <c r="A811" s="3">
        <v>217464</v>
      </c>
      <c r="B811" t="b">
        <v>0</v>
      </c>
      <c r="C811" t="b">
        <v>0</v>
      </c>
      <c r="D811" s="3">
        <v>1967</v>
      </c>
      <c r="E811" s="3">
        <v>1967</v>
      </c>
      <c r="F811" t="s">
        <v>5701</v>
      </c>
      <c r="G811" t="s">
        <v>5702</v>
      </c>
      <c r="H811" s="3">
        <v>21.73</v>
      </c>
      <c r="I811" t="s">
        <v>2287</v>
      </c>
      <c r="J811" t="s">
        <v>11857</v>
      </c>
      <c r="L811" t="s">
        <v>5703</v>
      </c>
      <c r="M811" t="str">
        <f>"https://www.artic.edu/iiif/2/"&amp;Table9[[#This Row],[Image ID]]&amp;"/full/843,/0/default.jpg"</f>
        <v>https://www.artic.edu/iiif/2/7bfe4927-e6a5-ef32-c16f-faf89c8ac980/full/843,/0/default.jpg</v>
      </c>
      <c r="N811" s="3">
        <v>0.78</v>
      </c>
      <c r="O811" s="3">
        <v>4.9000000000000002E-2</v>
      </c>
      <c r="P811" s="3">
        <v>0.73099999999999998</v>
      </c>
      <c r="Q811" s="3">
        <v>0.92141538858413696</v>
      </c>
    </row>
    <row r="812" spans="1:17" x14ac:dyDescent="0.45">
      <c r="A812" s="3">
        <v>52188</v>
      </c>
      <c r="B812" t="b">
        <v>0</v>
      </c>
      <c r="C812" t="b">
        <v>0</v>
      </c>
      <c r="D812" s="3">
        <v>1978</v>
      </c>
      <c r="E812" s="3">
        <v>1978</v>
      </c>
      <c r="F812" t="s">
        <v>8183</v>
      </c>
      <c r="G812" t="s">
        <v>7</v>
      </c>
      <c r="H812" s="3">
        <v>3.9965999999999999</v>
      </c>
      <c r="I812" t="s">
        <v>1281</v>
      </c>
      <c r="J812" t="s">
        <v>12828</v>
      </c>
      <c r="L812" t="s">
        <v>8184</v>
      </c>
      <c r="M812" t="str">
        <f>"https://www.artic.edu/iiif/2/"&amp;Table9[[#This Row],[Image ID]]&amp;"/full/843,/0/default.jpg"</f>
        <v>https://www.artic.edu/iiif/2/80788034-c44c-5869-ad9a-c1a87c655653/full/843,/0/default.jpg</v>
      </c>
      <c r="N812" s="3">
        <v>0.78</v>
      </c>
      <c r="O812" s="3">
        <v>4.9000000000000002E-2</v>
      </c>
      <c r="P812" s="3">
        <v>0.73099999999999998</v>
      </c>
      <c r="Q812" s="3">
        <v>0.78685629367828303</v>
      </c>
    </row>
    <row r="813" spans="1:17" x14ac:dyDescent="0.45">
      <c r="A813" s="3">
        <v>206730</v>
      </c>
      <c r="B813" t="b">
        <v>0</v>
      </c>
      <c r="C813" t="b">
        <v>0</v>
      </c>
      <c r="D813" s="3">
        <v>1989</v>
      </c>
      <c r="E813" s="3">
        <v>1989</v>
      </c>
      <c r="F813" t="s">
        <v>5487</v>
      </c>
      <c r="G813" t="s">
        <v>5174</v>
      </c>
      <c r="H813" s="3">
        <v>4.4504999999999999</v>
      </c>
      <c r="I813" t="s">
        <v>2254</v>
      </c>
      <c r="J813" t="s">
        <v>11202</v>
      </c>
      <c r="L813" t="s">
        <v>5488</v>
      </c>
      <c r="M813" t="str">
        <f>"https://www.artic.edu/iiif/2/"&amp;Table9[[#This Row],[Image ID]]&amp;"/full/843,/0/default.jpg"</f>
        <v>https://www.artic.edu/iiif/2/93ee7704-6d92-72a9-02a6-34b9d9c3e4e3/full/843,/0/default.jpg</v>
      </c>
      <c r="N813" s="3">
        <v>0.82899999999999996</v>
      </c>
      <c r="O813" s="3">
        <v>9.8000000000000004E-2</v>
      </c>
      <c r="P813" s="3">
        <v>0.73099999999999998</v>
      </c>
      <c r="Q813" s="3">
        <v>0.92400723695755005</v>
      </c>
    </row>
    <row r="814" spans="1:17" x14ac:dyDescent="0.45">
      <c r="A814" s="3">
        <v>118537</v>
      </c>
      <c r="B814" t="b">
        <v>0</v>
      </c>
      <c r="C814" t="b">
        <v>0</v>
      </c>
      <c r="D814" s="3">
        <v>1957</v>
      </c>
      <c r="E814" s="3">
        <v>1957</v>
      </c>
      <c r="F814" t="s">
        <v>2494</v>
      </c>
      <c r="G814" t="s">
        <v>7</v>
      </c>
      <c r="H814" s="3">
        <v>12.1464</v>
      </c>
      <c r="I814" t="s">
        <v>6932</v>
      </c>
      <c r="J814" t="s">
        <v>2496</v>
      </c>
      <c r="L814" t="s">
        <v>2495</v>
      </c>
      <c r="M814" t="str">
        <f>"https://www.artic.edu/iiif/2/"&amp;Table9[[#This Row],[Image ID]]&amp;"/full/843,/0/default.jpg"</f>
        <v>https://www.artic.edu/iiif/2/98ad3e41-14ec-b957-a12a-c35e865ac61a/full/843,/0/default.jpg</v>
      </c>
      <c r="N814" s="3">
        <v>0.78</v>
      </c>
      <c r="O814" s="3">
        <v>4.9000000000000002E-2</v>
      </c>
      <c r="P814" s="3">
        <v>0.73099999999999998</v>
      </c>
      <c r="Q814" s="3">
        <v>0.81118506193161</v>
      </c>
    </row>
    <row r="815" spans="1:17" x14ac:dyDescent="0.45">
      <c r="A815" s="3">
        <v>230221</v>
      </c>
      <c r="B815" t="b">
        <v>0</v>
      </c>
      <c r="C815" t="b">
        <v>0</v>
      </c>
      <c r="D815" s="3">
        <v>1967</v>
      </c>
      <c r="E815" s="3">
        <v>1967</v>
      </c>
      <c r="F815" t="s">
        <v>6137</v>
      </c>
      <c r="G815" t="s">
        <v>6138</v>
      </c>
      <c r="H815" s="3">
        <v>31.893799999999999</v>
      </c>
      <c r="I815" t="s">
        <v>6139</v>
      </c>
      <c r="J815" t="s">
        <v>13131</v>
      </c>
      <c r="L815" t="s">
        <v>6140</v>
      </c>
      <c r="M815" t="str">
        <f>"https://www.artic.edu/iiif/2/"&amp;Table9[[#This Row],[Image ID]]&amp;"/full/843,/0/default.jpg"</f>
        <v>https://www.artic.edu/iiif/2/98bc675f-dc4e-4f27-9203-455c62f076a4/full/843,/0/default.jpg</v>
      </c>
      <c r="N815" s="3">
        <v>0.82899999999999996</v>
      </c>
      <c r="O815" s="3">
        <v>9.8000000000000004E-2</v>
      </c>
      <c r="P815" s="3">
        <v>0.73099999999999998</v>
      </c>
      <c r="Q815" s="3">
        <v>0.881311476230621</v>
      </c>
    </row>
    <row r="816" spans="1:17" x14ac:dyDescent="0.45">
      <c r="A816" s="3">
        <v>65853</v>
      </c>
      <c r="B816" t="b">
        <v>0</v>
      </c>
      <c r="C816" t="b">
        <v>0</v>
      </c>
      <c r="D816" s="3">
        <v>1930</v>
      </c>
      <c r="E816" s="3">
        <v>1930</v>
      </c>
      <c r="F816" t="s">
        <v>9067</v>
      </c>
      <c r="G816" t="s">
        <v>9068</v>
      </c>
      <c r="H816" s="3">
        <v>45.059899999999999</v>
      </c>
      <c r="I816" t="s">
        <v>1423</v>
      </c>
      <c r="J816" t="s">
        <v>13822</v>
      </c>
      <c r="L816" t="s">
        <v>9069</v>
      </c>
      <c r="M816" t="str">
        <f>"https://www.artic.edu/iiif/2/"&amp;Table9[[#This Row],[Image ID]]&amp;"/full/843,/0/default.jpg"</f>
        <v>https://www.artic.edu/iiif/2/ce225f03-032b-389d-db14-cedbb04fe923/full/843,/0/default.jpg</v>
      </c>
      <c r="N816" s="3">
        <v>0.82899999999999996</v>
      </c>
      <c r="O816" s="3">
        <v>9.8000000000000004E-2</v>
      </c>
      <c r="P816" s="3">
        <v>0.73099999999999998</v>
      </c>
      <c r="Q816" s="3">
        <v>0.79861140251159601</v>
      </c>
    </row>
    <row r="817" spans="1:17" x14ac:dyDescent="0.45">
      <c r="A817" s="3">
        <v>46311</v>
      </c>
      <c r="B817" t="b">
        <v>0</v>
      </c>
      <c r="C817" t="b">
        <v>0</v>
      </c>
      <c r="D817" s="3">
        <v>1930</v>
      </c>
      <c r="E817" s="3">
        <v>1947</v>
      </c>
      <c r="F817" t="s">
        <v>7887</v>
      </c>
      <c r="G817" t="s">
        <v>7888</v>
      </c>
      <c r="H817" s="3">
        <v>49.058500000000002</v>
      </c>
      <c r="I817" t="s">
        <v>749</v>
      </c>
      <c r="J817" t="s">
        <v>13888</v>
      </c>
      <c r="L817" t="s">
        <v>7889</v>
      </c>
      <c r="M817" t="str">
        <f>"https://www.artic.edu/iiif/2/"&amp;Table9[[#This Row],[Image ID]]&amp;"/full/843,/0/default.jpg"</f>
        <v>https://www.artic.edu/iiif/2/d3f28428-17d7-f9d1-afe5-356783821f31/full/843,/0/default.jpg</v>
      </c>
      <c r="N817" s="3">
        <v>0.78</v>
      </c>
      <c r="O817" s="3">
        <v>4.9000000000000002E-2</v>
      </c>
      <c r="P817" s="3">
        <v>0.73099999999999998</v>
      </c>
      <c r="Q817" s="3">
        <v>0.60964733362197798</v>
      </c>
    </row>
    <row r="818" spans="1:17" x14ac:dyDescent="0.45">
      <c r="A818" s="3">
        <v>76781</v>
      </c>
      <c r="B818" t="b">
        <v>0</v>
      </c>
      <c r="C818" t="b">
        <v>0</v>
      </c>
      <c r="D818" s="3">
        <v>1918</v>
      </c>
      <c r="E818" s="3">
        <v>1918</v>
      </c>
      <c r="F818" t="s">
        <v>9799</v>
      </c>
      <c r="G818" t="s">
        <v>7</v>
      </c>
      <c r="H818" s="3">
        <v>39.205800000000004</v>
      </c>
      <c r="I818" t="s">
        <v>3319</v>
      </c>
      <c r="J818" t="s">
        <v>14196</v>
      </c>
      <c r="L818" t="s">
        <v>9800</v>
      </c>
      <c r="M818" t="str">
        <f>"https://www.artic.edu/iiif/2/"&amp;Table9[[#This Row],[Image ID]]&amp;"/full/843,/0/default.jpg"</f>
        <v>https://www.artic.edu/iiif/2/e86b6d07-b669-1ece-8ebf-e013c71e50ce/full/843,/0/default.jpg</v>
      </c>
      <c r="N818" s="3">
        <v>0.82899999999999996</v>
      </c>
      <c r="O818" s="3">
        <v>9.8000000000000004E-2</v>
      </c>
      <c r="P818" s="3">
        <v>0.73099999999999998</v>
      </c>
      <c r="Q818" s="3">
        <v>0.80807048082351596</v>
      </c>
    </row>
    <row r="819" spans="1:17" x14ac:dyDescent="0.45">
      <c r="A819" s="3">
        <v>56089</v>
      </c>
      <c r="B819" t="b">
        <v>0</v>
      </c>
      <c r="C819" t="b">
        <v>0</v>
      </c>
      <c r="D819" s="3">
        <v>1927</v>
      </c>
      <c r="E819" s="3">
        <v>1927</v>
      </c>
      <c r="F819" t="s">
        <v>5979</v>
      </c>
      <c r="G819" t="s">
        <v>7</v>
      </c>
      <c r="H819" s="3">
        <v>19.3018</v>
      </c>
      <c r="I819" t="s">
        <v>8450</v>
      </c>
      <c r="J819" t="s">
        <v>14258</v>
      </c>
      <c r="L819" t="s">
        <v>8451</v>
      </c>
      <c r="M819" t="str">
        <f>"https://www.artic.edu/iiif/2/"&amp;Table9[[#This Row],[Image ID]]&amp;"/full/843,/0/default.jpg"</f>
        <v>https://www.artic.edu/iiif/2/ec5afc47-91bc-328b-63e5-0cc4c404547a/full/843,/0/default.jpg</v>
      </c>
      <c r="N819" s="3">
        <v>0.78</v>
      </c>
      <c r="O819" s="3">
        <v>4.9000000000000002E-2</v>
      </c>
      <c r="P819" s="3">
        <v>0.73099999999999998</v>
      </c>
      <c r="Q819" s="3">
        <v>0.805311679840087</v>
      </c>
    </row>
    <row r="820" spans="1:17" x14ac:dyDescent="0.45">
      <c r="A820" s="3">
        <v>236504</v>
      </c>
      <c r="B820" t="b">
        <v>0</v>
      </c>
      <c r="C820" t="b">
        <v>0</v>
      </c>
      <c r="D820" s="3">
        <v>1965</v>
      </c>
      <c r="E820" s="3">
        <v>1965</v>
      </c>
      <c r="F820" t="s">
        <v>6275</v>
      </c>
      <c r="G820" t="s">
        <v>6276</v>
      </c>
      <c r="H820" s="3">
        <v>65.796899999999994</v>
      </c>
      <c r="I820" t="s">
        <v>517</v>
      </c>
      <c r="J820" t="s">
        <v>14471</v>
      </c>
      <c r="L820" t="s">
        <v>6277</v>
      </c>
      <c r="M820" t="str">
        <f>"https://www.artic.edu/iiif/2/"&amp;Table9[[#This Row],[Image ID]]&amp;"/full/843,/0/default.jpg"</f>
        <v>https://www.artic.edu/iiif/2/fb4ffc1b-675c-6c04-8e31-be9d07b339fc/full/843,/0/default.jpg</v>
      </c>
      <c r="N820" s="3">
        <v>0.82899999999999996</v>
      </c>
      <c r="O820" s="3">
        <v>9.8000000000000004E-2</v>
      </c>
      <c r="P820" s="3">
        <v>0.73099999999999998</v>
      </c>
      <c r="Q820" s="3">
        <v>0.804468274116516</v>
      </c>
    </row>
    <row r="821" spans="1:17" x14ac:dyDescent="0.45">
      <c r="A821" s="3">
        <v>31816</v>
      </c>
      <c r="B821" t="b">
        <v>0</v>
      </c>
      <c r="C821" t="b">
        <v>1</v>
      </c>
      <c r="D821" s="3">
        <v>1873</v>
      </c>
      <c r="E821" s="3">
        <v>1873</v>
      </c>
      <c r="F821" t="s">
        <v>7024</v>
      </c>
      <c r="G821" t="s">
        <v>7</v>
      </c>
      <c r="H821" s="3">
        <v>28.233799999999999</v>
      </c>
      <c r="I821" t="s">
        <v>440</v>
      </c>
      <c r="J821" t="s">
        <v>11093</v>
      </c>
      <c r="K821" s="5" t="s">
        <v>9</v>
      </c>
      <c r="L821" t="s">
        <v>7025</v>
      </c>
      <c r="M821" t="str">
        <f>"https://www.artic.edu/iiif/2/"&amp;Table9[[#This Row],[Image ID]]&amp;"/full/843,/0/default.jpg"</f>
        <v>https://www.artic.edu/iiif/2/08a7289e-5ac0-70f5-a9ff-62d3f6ea9a63/full/843,/0/default.jpg</v>
      </c>
      <c r="N821" s="3">
        <v>0.78</v>
      </c>
      <c r="O821" s="3">
        <v>4.9000000000000002E-2</v>
      </c>
      <c r="P821" s="3">
        <v>0.73099999999999998</v>
      </c>
      <c r="Q821" s="3">
        <v>0.86766427755355802</v>
      </c>
    </row>
    <row r="822" spans="1:17" x14ac:dyDescent="0.45">
      <c r="A822" s="3">
        <v>103419</v>
      </c>
      <c r="B822" t="b">
        <v>0</v>
      </c>
      <c r="C822" t="b">
        <v>1</v>
      </c>
      <c r="D822" s="3">
        <v>1460</v>
      </c>
      <c r="E822" s="3">
        <v>1470</v>
      </c>
      <c r="F822" t="s">
        <v>327</v>
      </c>
      <c r="G822" t="s">
        <v>324</v>
      </c>
      <c r="H822" s="3">
        <v>40.954999999999998</v>
      </c>
      <c r="I822" t="s">
        <v>325</v>
      </c>
      <c r="J822" t="s">
        <v>12452</v>
      </c>
      <c r="K822" s="5" t="s">
        <v>278</v>
      </c>
      <c r="L822" t="s">
        <v>328</v>
      </c>
      <c r="M822" t="str">
        <f>"https://www.artic.edu/iiif/2/"&amp;Table9[[#This Row],[Image ID]]&amp;"/full/843,/0/default.jpg"</f>
        <v>https://www.artic.edu/iiif/2/65430d24-f2ef-f0dd-a33a-c7c57598c36a/full/843,/0/default.jpg</v>
      </c>
      <c r="N822" s="3">
        <v>0.82899999999999996</v>
      </c>
      <c r="O822" s="3">
        <v>9.8000000000000004E-2</v>
      </c>
      <c r="P822" s="3">
        <v>0.73099999999999998</v>
      </c>
      <c r="Q822" s="3">
        <v>0.67424321174621504</v>
      </c>
    </row>
    <row r="823" spans="1:17" x14ac:dyDescent="0.45">
      <c r="A823" s="3">
        <v>107333</v>
      </c>
      <c r="B823" t="b">
        <v>0</v>
      </c>
      <c r="C823" t="b">
        <v>1</v>
      </c>
      <c r="D823" s="3">
        <v>1300</v>
      </c>
      <c r="E823" s="3">
        <v>1399</v>
      </c>
      <c r="F823" t="s">
        <v>662</v>
      </c>
      <c r="G823" t="s">
        <v>584</v>
      </c>
      <c r="H823" s="3">
        <v>21.113900000000001</v>
      </c>
      <c r="J823" t="s">
        <v>13120</v>
      </c>
      <c r="K823" s="5" t="s">
        <v>278</v>
      </c>
      <c r="L823" t="s">
        <v>663</v>
      </c>
      <c r="M823" t="str">
        <f>"https://www.artic.edu/iiif/2/"&amp;Table9[[#This Row],[Image ID]]&amp;"/full/843,/0/default.jpg"</f>
        <v>https://www.artic.edu/iiif/2/97c33380-923f-52c4-0d94-453ab89680bc/full/843,/0/default.jpg</v>
      </c>
      <c r="N823" s="3">
        <v>0.82899999999999996</v>
      </c>
      <c r="O823" s="3">
        <v>9.8000000000000004E-2</v>
      </c>
      <c r="P823" s="3">
        <v>0.73099999999999998</v>
      </c>
      <c r="Q823" s="3">
        <v>0.88107031583786</v>
      </c>
    </row>
    <row r="824" spans="1:17" x14ac:dyDescent="0.45">
      <c r="A824" s="3">
        <v>142521</v>
      </c>
      <c r="B824" t="b">
        <v>0</v>
      </c>
      <c r="C824" t="b">
        <v>1</v>
      </c>
      <c r="D824" s="3">
        <v>1701</v>
      </c>
      <c r="E824" s="3">
        <v>1769</v>
      </c>
      <c r="F824" t="s">
        <v>3278</v>
      </c>
      <c r="G824" t="s">
        <v>3279</v>
      </c>
      <c r="H824" s="3">
        <v>19.900600000000001</v>
      </c>
      <c r="I824" t="s">
        <v>3280</v>
      </c>
      <c r="J824" t="s">
        <v>13713</v>
      </c>
      <c r="K824" s="5" t="s">
        <v>130</v>
      </c>
      <c r="L824" t="s">
        <v>3281</v>
      </c>
      <c r="M824" t="str">
        <f>"https://www.artic.edu/iiif/2/"&amp;Table9[[#This Row],[Image ID]]&amp;"/full/843,/0/default.jpg"</f>
        <v>https://www.artic.edu/iiif/2/c567feca-02a6-466f-f3bf-5ecd08fe27a2/full/843,/0/default.jpg</v>
      </c>
      <c r="N824" s="3">
        <v>0.78</v>
      </c>
      <c r="O824" s="3">
        <v>4.9000000000000002E-2</v>
      </c>
      <c r="P824" s="3">
        <v>0.73099999999999998</v>
      </c>
      <c r="Q824" s="3">
        <v>0.82675856351852395</v>
      </c>
    </row>
    <row r="825" spans="1:17" x14ac:dyDescent="0.45">
      <c r="A825" s="3">
        <v>111615</v>
      </c>
      <c r="B825" t="b">
        <v>0</v>
      </c>
      <c r="C825" t="b">
        <v>1</v>
      </c>
      <c r="D825" s="3">
        <v>1792</v>
      </c>
      <c r="E825" s="3">
        <v>1792</v>
      </c>
      <c r="F825" t="s">
        <v>1139</v>
      </c>
      <c r="G825" t="s">
        <v>7</v>
      </c>
      <c r="H825" s="3">
        <v>25.805199999999999</v>
      </c>
      <c r="I825" t="s">
        <v>1140</v>
      </c>
      <c r="J825" t="s">
        <v>14298</v>
      </c>
      <c r="L825" t="s">
        <v>1141</v>
      </c>
      <c r="M825" t="str">
        <f>"https://www.artic.edu/iiif/2/"&amp;Table9[[#This Row],[Image ID]]&amp;"/full/843,/0/default.jpg"</f>
        <v>https://www.artic.edu/iiif/2/ef091180-c344-5d67-7a4a-6afd4c1193ad/full/843,/0/default.jpg</v>
      </c>
      <c r="N825" s="3">
        <v>0.78</v>
      </c>
      <c r="O825" s="3">
        <v>4.9000000000000002E-2</v>
      </c>
      <c r="P825" s="3">
        <v>0.73099999999999998</v>
      </c>
      <c r="Q825" s="3">
        <v>0.74599903821945102</v>
      </c>
    </row>
    <row r="826" spans="1:17" x14ac:dyDescent="0.45">
      <c r="A826" s="3">
        <v>115707</v>
      </c>
      <c r="B826" t="b">
        <v>0</v>
      </c>
      <c r="C826" t="b">
        <v>1</v>
      </c>
      <c r="D826" s="3">
        <v>1760</v>
      </c>
      <c r="E826" s="3">
        <v>1821</v>
      </c>
      <c r="F826" t="s">
        <v>2075</v>
      </c>
      <c r="G826" t="s">
        <v>1632</v>
      </c>
      <c r="H826" s="3">
        <v>23.339300000000001</v>
      </c>
      <c r="I826" t="s">
        <v>1633</v>
      </c>
      <c r="J826" t="s">
        <v>14324</v>
      </c>
      <c r="L826" t="s">
        <v>2076</v>
      </c>
      <c r="M826" t="str">
        <f>"https://www.artic.edu/iiif/2/"&amp;Table9[[#This Row],[Image ID]]&amp;"/full/843,/0/default.jpg"</f>
        <v>https://www.artic.edu/iiif/2/f0a9c9b6-827f-2f2f-ce4d-2a27045d6a98/full/843,/0/default.jpg</v>
      </c>
      <c r="N826" s="3">
        <v>0.78</v>
      </c>
      <c r="O826" s="3">
        <v>4.9000000000000002E-2</v>
      </c>
      <c r="P826" s="3">
        <v>0.73099999999999998</v>
      </c>
      <c r="Q826" s="3">
        <v>0.60167163610458296</v>
      </c>
    </row>
    <row r="827" spans="1:17" x14ac:dyDescent="0.45">
      <c r="A827" s="3">
        <v>155468</v>
      </c>
      <c r="B827" t="b">
        <v>0</v>
      </c>
      <c r="C827" t="b">
        <v>0</v>
      </c>
      <c r="D827" s="3">
        <v>1966</v>
      </c>
      <c r="E827" s="3">
        <v>1966</v>
      </c>
      <c r="F827" t="s">
        <v>4009</v>
      </c>
      <c r="G827" t="s">
        <v>4010</v>
      </c>
      <c r="H827" s="3">
        <v>46.408999999999999</v>
      </c>
      <c r="I827" t="s">
        <v>2287</v>
      </c>
      <c r="J827" t="s">
        <v>12687</v>
      </c>
      <c r="L827" t="s">
        <v>4011</v>
      </c>
      <c r="M827" t="str">
        <f>"https://www.artic.edu/iiif/2/"&amp;Table9[[#This Row],[Image ID]]&amp;"/full/843,/0/default.jpg"</f>
        <v>https://www.artic.edu/iiif/2/7635d788-6c56-97e6-303a-d96c25b508bf/full/843,/0/default.jpg</v>
      </c>
      <c r="N827" s="3">
        <v>0.81799999999999995</v>
      </c>
      <c r="O827" s="3">
        <v>8.8999999999999996E-2</v>
      </c>
      <c r="P827" s="3">
        <v>0.72899999999999998</v>
      </c>
      <c r="Q827" s="3">
        <v>0.80217319726943903</v>
      </c>
    </row>
    <row r="828" spans="1:17" x14ac:dyDescent="0.45">
      <c r="A828" s="3">
        <v>109228</v>
      </c>
      <c r="B828" t="b">
        <v>0</v>
      </c>
      <c r="C828" t="b">
        <v>1</v>
      </c>
      <c r="D828" s="3">
        <v>1869</v>
      </c>
      <c r="E828" s="3">
        <v>1869</v>
      </c>
      <c r="F828" t="s">
        <v>744</v>
      </c>
      <c r="G828" t="s">
        <v>7</v>
      </c>
      <c r="H828" s="3">
        <v>37.923400000000001</v>
      </c>
      <c r="I828" t="s">
        <v>745</v>
      </c>
      <c r="J828" t="s">
        <v>12149</v>
      </c>
      <c r="L828" t="s">
        <v>746</v>
      </c>
      <c r="M828" t="str">
        <f>"https://www.artic.edu/iiif/2/"&amp;Table9[[#This Row],[Image ID]]&amp;"/full/843,/0/default.jpg"</f>
        <v>https://www.artic.edu/iiif/2/50f98ea2-ea74-d991-b2fc-ddbc616283bd/full/843,/0/default.jpg</v>
      </c>
      <c r="N828" s="3">
        <v>0.875</v>
      </c>
      <c r="O828" s="3">
        <v>0.14599999999999999</v>
      </c>
      <c r="P828" s="3">
        <v>0.72899999999999998</v>
      </c>
      <c r="Q828" s="3">
        <v>0.50204712152481001</v>
      </c>
    </row>
    <row r="829" spans="1:17" x14ac:dyDescent="0.45">
      <c r="A829" s="3">
        <v>35195</v>
      </c>
      <c r="B829" t="b">
        <v>0</v>
      </c>
      <c r="C829" t="b">
        <v>1</v>
      </c>
      <c r="D829" s="3">
        <v>1652</v>
      </c>
      <c r="E829" s="3">
        <v>1652</v>
      </c>
      <c r="F829" t="s">
        <v>5478</v>
      </c>
      <c r="G829" t="s">
        <v>7</v>
      </c>
      <c r="H829" s="3">
        <v>0</v>
      </c>
      <c r="I829" t="s">
        <v>7163</v>
      </c>
      <c r="J829" t="s">
        <v>12684</v>
      </c>
      <c r="L829" t="s">
        <v>7164</v>
      </c>
      <c r="M829" t="str">
        <f>"https://www.artic.edu/iiif/2/"&amp;Table9[[#This Row],[Image ID]]&amp;"/full/843,/0/default.jpg"</f>
        <v>https://www.artic.edu/iiif/2/76017100-be7f-4c3c-2622-064f1472c889/full/843,/0/default.jpg</v>
      </c>
      <c r="N829" s="3">
        <v>0.875</v>
      </c>
      <c r="O829" s="3">
        <v>0.14599999999999999</v>
      </c>
      <c r="P829" s="3">
        <v>0.72899999999999998</v>
      </c>
      <c r="Q829" s="3">
        <v>0.78700220584869296</v>
      </c>
    </row>
    <row r="830" spans="1:17" x14ac:dyDescent="0.45">
      <c r="A830" s="3">
        <v>115492</v>
      </c>
      <c r="B830" t="b">
        <v>0</v>
      </c>
      <c r="C830" t="b">
        <v>1</v>
      </c>
      <c r="D830" s="3">
        <v>1719</v>
      </c>
      <c r="E830" s="3">
        <v>1769</v>
      </c>
      <c r="F830" t="s">
        <v>1948</v>
      </c>
      <c r="G830" t="s">
        <v>1949</v>
      </c>
      <c r="H830" s="3">
        <v>33.409300000000002</v>
      </c>
      <c r="I830" t="s">
        <v>1922</v>
      </c>
      <c r="J830" t="s">
        <v>13756</v>
      </c>
      <c r="L830" t="s">
        <v>1950</v>
      </c>
      <c r="M830" t="str">
        <f>"https://www.artic.edu/iiif/2/"&amp;Table9[[#This Row],[Image ID]]&amp;"/full/843,/0/default.jpg"</f>
        <v>https://www.artic.edu/iiif/2/c85d15b4-7d3a-3a37-1f82-dad72e7b5c99/full/843,/0/default.jpg</v>
      </c>
      <c r="N830" s="3">
        <v>0.875</v>
      </c>
      <c r="O830" s="3">
        <v>0.14599999999999999</v>
      </c>
      <c r="P830" s="3">
        <v>0.72899999999999998</v>
      </c>
      <c r="Q830" s="3">
        <v>0.92448633909225397</v>
      </c>
    </row>
    <row r="831" spans="1:17" x14ac:dyDescent="0.45">
      <c r="A831" s="3">
        <v>184009</v>
      </c>
      <c r="B831" t="b">
        <v>0</v>
      </c>
      <c r="C831" t="b">
        <v>0</v>
      </c>
      <c r="D831" s="3">
        <v>2003</v>
      </c>
      <c r="E831" s="3">
        <v>2003</v>
      </c>
      <c r="F831" t="s">
        <v>4796</v>
      </c>
      <c r="G831" t="s">
        <v>4797</v>
      </c>
      <c r="H831" s="3">
        <v>17.820599999999999</v>
      </c>
      <c r="I831" t="s">
        <v>4791</v>
      </c>
      <c r="J831" t="s">
        <v>11449</v>
      </c>
      <c r="K831" s="5" t="s">
        <v>15</v>
      </c>
      <c r="L831" t="s">
        <v>4798</v>
      </c>
      <c r="M831" t="str">
        <f>"https://www.artic.edu/iiif/2/"&amp;Table9[[#This Row],[Image ID]]&amp;"/full/843,/0/default.jpg"</f>
        <v>https://www.artic.edu/iiif/2/21847a33-08da-918e-1b95-c8e1f830357c/full/843,/0/default.jpg</v>
      </c>
      <c r="N831" s="3">
        <v>0.85</v>
      </c>
      <c r="O831" s="3">
        <v>0.122</v>
      </c>
      <c r="P831" s="3">
        <v>0.72799999999999998</v>
      </c>
      <c r="Q831" s="3">
        <v>0.81276220083236606</v>
      </c>
    </row>
    <row r="832" spans="1:17" x14ac:dyDescent="0.45">
      <c r="A832" s="3">
        <v>107292</v>
      </c>
      <c r="B832" t="b">
        <v>0</v>
      </c>
      <c r="C832" t="b">
        <v>0</v>
      </c>
      <c r="D832" s="3">
        <v>1902</v>
      </c>
      <c r="E832" s="3">
        <v>1962</v>
      </c>
      <c r="F832" t="s">
        <v>641</v>
      </c>
      <c r="G832" t="s">
        <v>642</v>
      </c>
      <c r="H832" s="3">
        <v>32.464799999999997</v>
      </c>
      <c r="I832" t="s">
        <v>643</v>
      </c>
      <c r="J832" t="s">
        <v>12462</v>
      </c>
      <c r="L832" t="s">
        <v>644</v>
      </c>
      <c r="M832" t="str">
        <f>"https://www.artic.edu/iiif/2/"&amp;Table9[[#This Row],[Image ID]]&amp;"/full/843,/0/default.jpg"</f>
        <v>https://www.artic.edu/iiif/2/65a7e991-6083-e966-c734-0559ead85ce7/full/843,/0/default.jpg</v>
      </c>
      <c r="N832" s="3">
        <v>0.85</v>
      </c>
      <c r="O832" s="3">
        <v>0.122</v>
      </c>
      <c r="P832" s="3">
        <v>0.72799999999999998</v>
      </c>
      <c r="Q832" s="3">
        <v>0.62619906663894598</v>
      </c>
    </row>
    <row r="833" spans="1:17" x14ac:dyDescent="0.45">
      <c r="A833" s="3">
        <v>52930</v>
      </c>
      <c r="B833" t="b">
        <v>0</v>
      </c>
      <c r="C833" t="b">
        <v>0</v>
      </c>
      <c r="D833" s="3">
        <v>1944</v>
      </c>
      <c r="E833" s="3">
        <v>1954</v>
      </c>
      <c r="F833" t="s">
        <v>8203</v>
      </c>
      <c r="G833" t="s">
        <v>8204</v>
      </c>
      <c r="H833" s="3">
        <v>16.106000000000002</v>
      </c>
      <c r="I833" t="s">
        <v>1512</v>
      </c>
      <c r="J833" t="s">
        <v>14452</v>
      </c>
      <c r="L833" t="s">
        <v>8205</v>
      </c>
      <c r="M833" t="str">
        <f>"https://www.artic.edu/iiif/2/"&amp;Table9[[#This Row],[Image ID]]&amp;"/full/843,/0/default.jpg"</f>
        <v>https://www.artic.edu/iiif/2/f9f368a4-04f5-db67-0cfd-3727165e2e3d/full/843,/0/default.jpg</v>
      </c>
      <c r="N833" s="3">
        <v>0.85</v>
      </c>
      <c r="O833" s="3">
        <v>0.122</v>
      </c>
      <c r="P833" s="3">
        <v>0.72799999999999998</v>
      </c>
      <c r="Q833" s="3">
        <v>0.77189666032791104</v>
      </c>
    </row>
    <row r="834" spans="1:17" x14ac:dyDescent="0.45">
      <c r="A834" s="3">
        <v>244462</v>
      </c>
      <c r="B834" t="b">
        <v>0</v>
      </c>
      <c r="C834" t="b">
        <v>0</v>
      </c>
      <c r="D834" s="3">
        <v>1964</v>
      </c>
      <c r="E834" s="3">
        <v>1964</v>
      </c>
      <c r="F834" t="s">
        <v>6395</v>
      </c>
      <c r="G834" t="s">
        <v>6396</v>
      </c>
      <c r="H834" s="3">
        <v>32.133400000000002</v>
      </c>
      <c r="I834" t="s">
        <v>762</v>
      </c>
      <c r="J834" t="s">
        <v>12631</v>
      </c>
      <c r="L834" t="s">
        <v>6397</v>
      </c>
      <c r="M834" t="str">
        <f>"https://www.artic.edu/iiif/2/"&amp;Table9[[#This Row],[Image ID]]&amp;"/full/843,/0/default.jpg"</f>
        <v>https://www.artic.edu/iiif/2/71b37c25-5e73-4ec9-d2a2-08d032c5dfb1/full/843,/0/default.jpg</v>
      </c>
      <c r="N834" s="3">
        <v>0.8</v>
      </c>
      <c r="O834" s="3">
        <v>7.2999999999999995E-2</v>
      </c>
      <c r="P834" s="3">
        <v>0.72700000000000009</v>
      </c>
      <c r="Q834" s="3">
        <v>0.78925496339797896</v>
      </c>
    </row>
    <row r="835" spans="1:17" x14ac:dyDescent="0.45">
      <c r="A835" s="3">
        <v>71562</v>
      </c>
      <c r="B835" t="b">
        <v>0</v>
      </c>
      <c r="C835" t="b">
        <v>0</v>
      </c>
      <c r="D835" s="3">
        <v>1913</v>
      </c>
      <c r="E835" s="3">
        <v>1913</v>
      </c>
      <c r="F835" t="s">
        <v>9321</v>
      </c>
      <c r="G835" t="s">
        <v>7</v>
      </c>
      <c r="H835" s="3">
        <v>34.451799999999999</v>
      </c>
      <c r="I835" t="s">
        <v>9513</v>
      </c>
      <c r="J835" t="s">
        <v>12841</v>
      </c>
      <c r="K835" s="5" t="s">
        <v>9</v>
      </c>
      <c r="L835" t="s">
        <v>9514</v>
      </c>
      <c r="M835" t="str">
        <f>"https://www.artic.edu/iiif/2/"&amp;Table9[[#This Row],[Image ID]]&amp;"/full/843,/0/default.jpg"</f>
        <v>https://www.artic.edu/iiif/2/815fb024-96bb-6f38-e6fc-d398d2103c65/full/843,/0/default.jpg</v>
      </c>
      <c r="N835" s="3">
        <v>0.79500000000000004</v>
      </c>
      <c r="O835" s="3">
        <v>6.8000000000000005E-2</v>
      </c>
      <c r="P835" s="3">
        <v>0.72700000000000009</v>
      </c>
      <c r="Q835" s="3">
        <v>0.76540923118591297</v>
      </c>
    </row>
    <row r="836" spans="1:17" x14ac:dyDescent="0.45">
      <c r="A836" s="3">
        <v>83814</v>
      </c>
      <c r="B836" t="b">
        <v>0</v>
      </c>
      <c r="C836" t="b">
        <v>0</v>
      </c>
      <c r="D836" s="3">
        <v>1933</v>
      </c>
      <c r="E836" s="3">
        <v>1940</v>
      </c>
      <c r="F836" t="s">
        <v>10233</v>
      </c>
      <c r="G836" t="s">
        <v>10234</v>
      </c>
      <c r="H836" s="3">
        <v>23.735900000000001</v>
      </c>
      <c r="I836" t="s">
        <v>40</v>
      </c>
      <c r="J836" t="s">
        <v>13165</v>
      </c>
      <c r="L836" t="s">
        <v>10235</v>
      </c>
      <c r="M836" t="str">
        <f>"https://www.artic.edu/iiif/2/"&amp;Table9[[#This Row],[Image ID]]&amp;"/full/843,/0/default.jpg"</f>
        <v>https://www.artic.edu/iiif/2/9aeb1b2f-51fc-8fad-b64d-40a5bd1a60df/full/843,/0/default.jpg</v>
      </c>
      <c r="N836" s="3">
        <v>0.8</v>
      </c>
      <c r="O836" s="3">
        <v>7.2999999999999995E-2</v>
      </c>
      <c r="P836" s="3">
        <v>0.72700000000000009</v>
      </c>
      <c r="Q836" s="3">
        <v>0.78286159038543701</v>
      </c>
    </row>
    <row r="837" spans="1:17" x14ac:dyDescent="0.45">
      <c r="A837" s="3">
        <v>120171</v>
      </c>
      <c r="B837" t="b">
        <v>0</v>
      </c>
      <c r="C837" t="b">
        <v>1</v>
      </c>
      <c r="D837" s="3">
        <v>1881</v>
      </c>
      <c r="E837" s="3">
        <v>1881</v>
      </c>
      <c r="F837" t="s">
        <v>2632</v>
      </c>
      <c r="G837" t="s">
        <v>7</v>
      </c>
      <c r="H837" s="3">
        <v>11.3986</v>
      </c>
      <c r="I837" t="s">
        <v>2633</v>
      </c>
      <c r="J837" t="s">
        <v>11389</v>
      </c>
      <c r="K837" s="5" t="s">
        <v>284</v>
      </c>
      <c r="L837" t="s">
        <v>2634</v>
      </c>
      <c r="M837" t="str">
        <f>"https://www.artic.edu/iiif/2/"&amp;Table9[[#This Row],[Image ID]]&amp;"/full/843,/0/default.jpg"</f>
        <v>https://www.artic.edu/iiif/2/1dec252a-a3bd-aa36-8085-96eba58cdf07/full/843,/0/default.jpg</v>
      </c>
      <c r="N837" s="3">
        <v>0.79500000000000004</v>
      </c>
      <c r="O837" s="3">
        <v>6.8000000000000005E-2</v>
      </c>
      <c r="P837" s="3">
        <v>0.72700000000000009</v>
      </c>
      <c r="Q837" s="3">
        <v>0.73714035749435403</v>
      </c>
    </row>
    <row r="838" spans="1:17" x14ac:dyDescent="0.45">
      <c r="A838" s="3">
        <v>110879</v>
      </c>
      <c r="B838" t="b">
        <v>0</v>
      </c>
      <c r="C838" t="b">
        <v>1</v>
      </c>
      <c r="D838" s="3">
        <v>1880</v>
      </c>
      <c r="E838" s="3">
        <v>1880</v>
      </c>
      <c r="F838" t="s">
        <v>965</v>
      </c>
      <c r="G838" t="s">
        <v>7</v>
      </c>
      <c r="H838" s="3">
        <v>20.6876</v>
      </c>
      <c r="I838" t="s">
        <v>934</v>
      </c>
      <c r="J838" t="s">
        <v>12275</v>
      </c>
      <c r="K838" s="5" t="s">
        <v>9</v>
      </c>
      <c r="L838" t="s">
        <v>966</v>
      </c>
      <c r="M838" t="str">
        <f>"https://www.artic.edu/iiif/2/"&amp;Table9[[#This Row],[Image ID]]&amp;"/full/843,/0/default.jpg"</f>
        <v>https://www.artic.edu/iiif/2/59221fa2-45f9-5674-4fbd-9da3eb648d68/full/843,/0/default.jpg</v>
      </c>
      <c r="N838" s="3">
        <v>0.8</v>
      </c>
      <c r="O838" s="3">
        <v>7.2999999999999995E-2</v>
      </c>
      <c r="P838" s="3">
        <v>0.72700000000000009</v>
      </c>
      <c r="Q838" s="3">
        <v>0.71692067384719804</v>
      </c>
    </row>
    <row r="839" spans="1:17" x14ac:dyDescent="0.45">
      <c r="A839" s="3">
        <v>114859</v>
      </c>
      <c r="B839" t="b">
        <v>0</v>
      </c>
      <c r="C839" t="b">
        <v>1</v>
      </c>
      <c r="D839" s="3">
        <v>1792</v>
      </c>
      <c r="E839" s="3">
        <v>1857</v>
      </c>
      <c r="F839" t="s">
        <v>1742</v>
      </c>
      <c r="G839" t="s">
        <v>1743</v>
      </c>
      <c r="H839" s="3">
        <v>28.725100000000001</v>
      </c>
      <c r="I839" t="s">
        <v>1744</v>
      </c>
      <c r="J839" t="s">
        <v>14105</v>
      </c>
      <c r="L839" t="s">
        <v>1745</v>
      </c>
      <c r="M839" t="str">
        <f>"https://www.artic.edu/iiif/2/"&amp;Table9[[#This Row],[Image ID]]&amp;"/full/843,/0/default.jpg"</f>
        <v>https://www.artic.edu/iiif/2/e22eabb1-6c57-e4f8-89db-43749ad96f9a/full/843,/0/default.jpg</v>
      </c>
      <c r="N839" s="3">
        <v>0.8</v>
      </c>
      <c r="O839" s="3">
        <v>7.2999999999999995E-2</v>
      </c>
      <c r="P839" s="3">
        <v>0.72700000000000009</v>
      </c>
      <c r="Q839" s="3">
        <v>0.85001897811889604</v>
      </c>
    </row>
    <row r="840" spans="1:17" x14ac:dyDescent="0.45">
      <c r="A840" s="3">
        <v>88580</v>
      </c>
      <c r="B840" t="b">
        <v>0</v>
      </c>
      <c r="C840" t="b">
        <v>0</v>
      </c>
      <c r="D840" s="3">
        <v>1960</v>
      </c>
      <c r="E840" s="3">
        <v>1961</v>
      </c>
      <c r="F840" t="s">
        <v>2974</v>
      </c>
      <c r="G840" t="s">
        <v>7</v>
      </c>
      <c r="H840" s="3">
        <v>3.4119000000000002</v>
      </c>
      <c r="I840" t="s">
        <v>62</v>
      </c>
      <c r="J840" t="s">
        <v>14241</v>
      </c>
      <c r="L840" t="s">
        <v>10431</v>
      </c>
      <c r="M840" t="str">
        <f>"https://www.artic.edu/iiif/2/"&amp;Table9[[#This Row],[Image ID]]&amp;"/full/843,/0/default.jpg"</f>
        <v>https://www.artic.edu/iiif/2/eb4de760-69fa-b63e-3926-3055f5b41ef7/full/843,/0/default.jpg</v>
      </c>
      <c r="N840" s="3">
        <v>0.82499999999999996</v>
      </c>
      <c r="O840" s="3">
        <v>9.8000000000000004E-2</v>
      </c>
      <c r="P840" s="3">
        <v>0.72699999999999998</v>
      </c>
      <c r="Q840" s="3">
        <v>0.82842665910720803</v>
      </c>
    </row>
    <row r="841" spans="1:17" x14ac:dyDescent="0.45">
      <c r="A841" s="3">
        <v>65821</v>
      </c>
      <c r="B841" t="b">
        <v>0</v>
      </c>
      <c r="C841" t="b">
        <v>1</v>
      </c>
      <c r="D841" s="3">
        <v>1935</v>
      </c>
      <c r="E841" s="3">
        <v>1935</v>
      </c>
      <c r="F841" t="s">
        <v>9041</v>
      </c>
      <c r="G841" t="s">
        <v>7</v>
      </c>
      <c r="H841" s="3">
        <v>19.0823</v>
      </c>
      <c r="I841" t="s">
        <v>847</v>
      </c>
      <c r="J841" t="s">
        <v>11498</v>
      </c>
      <c r="L841" t="s">
        <v>9042</v>
      </c>
      <c r="M841" t="str">
        <f>"https://www.artic.edu/iiif/2/"&amp;Table9[[#This Row],[Image ID]]&amp;"/full/843,/0/default.jpg"</f>
        <v>https://www.artic.edu/iiif/2/254c654f-354a-0f4f-28b5-8eb01a02e95c/full/843,/0/default.jpg</v>
      </c>
      <c r="N841" s="3">
        <v>0.81799999999999995</v>
      </c>
      <c r="O841" s="3">
        <v>9.0999999999999998E-2</v>
      </c>
      <c r="P841" s="3">
        <v>0.72699999999999998</v>
      </c>
      <c r="Q841" s="3">
        <v>0.88898366689681996</v>
      </c>
    </row>
    <row r="842" spans="1:17" x14ac:dyDescent="0.45">
      <c r="A842" s="3">
        <v>220534</v>
      </c>
      <c r="B842" t="b">
        <v>0</v>
      </c>
      <c r="C842" t="b">
        <v>0</v>
      </c>
      <c r="D842" s="3">
        <v>1974</v>
      </c>
      <c r="E842" s="3">
        <v>1974</v>
      </c>
      <c r="F842" t="s">
        <v>5790</v>
      </c>
      <c r="G842" t="s">
        <v>5791</v>
      </c>
      <c r="H842" s="3">
        <v>17.799199999999999</v>
      </c>
      <c r="I842" t="s">
        <v>4768</v>
      </c>
      <c r="J842" t="s">
        <v>12771</v>
      </c>
      <c r="L842" t="s">
        <v>5792</v>
      </c>
      <c r="M842" t="str">
        <f>"https://www.artic.edu/iiif/2/"&amp;Table9[[#This Row],[Image ID]]&amp;"/full/843,/0/default.jpg"</f>
        <v>https://www.artic.edu/iiif/2/7ca9e2e6-097c-5d79-e1fa-63b21f2b295f/full/843,/0/default.jpg</v>
      </c>
      <c r="N842" s="3">
        <v>0.77500000000000002</v>
      </c>
      <c r="O842" s="3">
        <v>4.9000000000000002E-2</v>
      </c>
      <c r="P842" s="3">
        <v>0.72599999999999998</v>
      </c>
      <c r="Q842" s="3">
        <v>0.78591454029083196</v>
      </c>
    </row>
    <row r="843" spans="1:17" x14ac:dyDescent="0.45">
      <c r="A843" s="3">
        <v>129680</v>
      </c>
      <c r="B843" t="b">
        <v>0</v>
      </c>
      <c r="C843" t="b">
        <v>0</v>
      </c>
      <c r="D843" s="3">
        <v>1941</v>
      </c>
      <c r="E843" s="3">
        <v>1941</v>
      </c>
      <c r="F843" t="s">
        <v>2902</v>
      </c>
      <c r="G843" t="s">
        <v>2892</v>
      </c>
      <c r="H843" s="3">
        <v>26.387899999999998</v>
      </c>
      <c r="I843" t="s">
        <v>14549</v>
      </c>
      <c r="J843" t="s">
        <v>10990</v>
      </c>
      <c r="L843" t="s">
        <v>2903</v>
      </c>
      <c r="M843" t="str">
        <f>"https://www.artic.edu/iiif/2/"&amp;Table9[[#This Row],[Image ID]]&amp;"/full/843,/0/default.jpg"</f>
        <v>https://www.artic.edu/iiif/2/92ff6d6f-462a-15b3-6df0-9e374005328c/full/843,/0/default.jpg</v>
      </c>
      <c r="N843" s="3">
        <v>0.75</v>
      </c>
      <c r="O843" s="3">
        <v>2.4E-2</v>
      </c>
      <c r="P843" s="3">
        <v>0.72599999999999998</v>
      </c>
      <c r="Q843" s="3">
        <v>0.76497930288314797</v>
      </c>
    </row>
    <row r="844" spans="1:17" x14ac:dyDescent="0.45">
      <c r="A844" s="3">
        <v>204439</v>
      </c>
      <c r="B844" t="b">
        <v>0</v>
      </c>
      <c r="C844" t="b">
        <v>0</v>
      </c>
      <c r="D844" s="3">
        <v>1965</v>
      </c>
      <c r="E844" s="3">
        <v>1975</v>
      </c>
      <c r="F844" t="s">
        <v>5427</v>
      </c>
      <c r="G844" t="s">
        <v>5422</v>
      </c>
      <c r="H844" s="3">
        <v>32.302500000000002</v>
      </c>
      <c r="I844" t="s">
        <v>430</v>
      </c>
      <c r="J844" t="s">
        <v>11158</v>
      </c>
      <c r="L844" t="s">
        <v>5428</v>
      </c>
      <c r="M844" t="str">
        <f>"https://www.artic.edu/iiif/2/"&amp;Table9[[#This Row],[Image ID]]&amp;"/full/843,/0/default.jpg"</f>
        <v>https://www.artic.edu/iiif/2/9cbd4dd6-e4b0-821a-da66-544c4ea792d9/full/843,/0/default.jpg</v>
      </c>
      <c r="N844" s="3">
        <v>0.75</v>
      </c>
      <c r="O844" s="3">
        <v>2.4E-2</v>
      </c>
      <c r="P844" s="3">
        <v>0.72599999999999998</v>
      </c>
      <c r="Q844" s="3">
        <v>0.79637664556503296</v>
      </c>
    </row>
    <row r="845" spans="1:17" x14ac:dyDescent="0.45">
      <c r="A845" s="3">
        <v>113086</v>
      </c>
      <c r="B845" t="b">
        <v>0</v>
      </c>
      <c r="C845" t="b">
        <v>0</v>
      </c>
      <c r="D845" s="3">
        <v>1924</v>
      </c>
      <c r="E845" s="3">
        <v>1924</v>
      </c>
      <c r="F845" t="s">
        <v>1345</v>
      </c>
      <c r="G845" t="s">
        <v>1346</v>
      </c>
      <c r="H845" s="3">
        <v>21.605499999999999</v>
      </c>
      <c r="I845" t="s">
        <v>592</v>
      </c>
      <c r="J845" t="s">
        <v>13784</v>
      </c>
      <c r="L845" t="s">
        <v>1347</v>
      </c>
      <c r="M845" t="str">
        <f>"https://www.artic.edu/iiif/2/"&amp;Table9[[#This Row],[Image ID]]&amp;"/full/843,/0/default.jpg"</f>
        <v>https://www.artic.edu/iiif/2/cab96452-9d17-20e8-03bc-8580d0b7f886/full/843,/0/default.jpg</v>
      </c>
      <c r="N845" s="3">
        <v>0.77500000000000002</v>
      </c>
      <c r="O845" s="3">
        <v>4.9000000000000002E-2</v>
      </c>
      <c r="P845" s="3">
        <v>0.72599999999999998</v>
      </c>
      <c r="Q845" s="3">
        <v>0.680394947528839</v>
      </c>
    </row>
    <row r="846" spans="1:17" x14ac:dyDescent="0.45">
      <c r="A846" s="3">
        <v>182381</v>
      </c>
      <c r="B846" t="b">
        <v>0</v>
      </c>
      <c r="C846" t="b">
        <v>1</v>
      </c>
      <c r="D846" s="3">
        <v>1860</v>
      </c>
      <c r="E846" s="3">
        <v>1860</v>
      </c>
      <c r="F846" t="s">
        <v>4742</v>
      </c>
      <c r="G846" t="s">
        <v>7</v>
      </c>
      <c r="H846" s="3">
        <v>43.315600000000003</v>
      </c>
      <c r="I846" t="s">
        <v>4743</v>
      </c>
      <c r="J846" t="s">
        <v>11233</v>
      </c>
      <c r="L846" t="s">
        <v>4744</v>
      </c>
      <c r="M846" t="str">
        <f>"https://www.artic.edu/iiif/2/"&amp;Table9[[#This Row],[Image ID]]&amp;"/full/843,/0/default.jpg"</f>
        <v>https://www.artic.edu/iiif/2/12f32e59-cba2-0a32-972e-cf4d7856560c/full/843,/0/default.jpg</v>
      </c>
      <c r="N846" s="3">
        <v>0.75</v>
      </c>
      <c r="O846" s="3">
        <v>2.4E-2</v>
      </c>
      <c r="P846" s="3">
        <v>0.72599999999999998</v>
      </c>
      <c r="Q846" s="3">
        <v>0.60661995410919101</v>
      </c>
    </row>
    <row r="847" spans="1:17" x14ac:dyDescent="0.45">
      <c r="A847" s="3">
        <v>184091</v>
      </c>
      <c r="B847" t="b">
        <v>0</v>
      </c>
      <c r="C847" t="b">
        <v>0</v>
      </c>
      <c r="D847" s="3">
        <v>2003</v>
      </c>
      <c r="E847" s="3">
        <v>2003</v>
      </c>
      <c r="F847" t="s">
        <v>4692</v>
      </c>
      <c r="G847" t="s">
        <v>2241</v>
      </c>
      <c r="H847" s="3">
        <v>10.1335</v>
      </c>
      <c r="I847" t="s">
        <v>4791</v>
      </c>
      <c r="J847" t="s">
        <v>11449</v>
      </c>
      <c r="K847" s="5" t="s">
        <v>15</v>
      </c>
      <c r="L847" t="s">
        <v>4800</v>
      </c>
      <c r="M847" t="str">
        <f>"https://www.artic.edu/iiif/2/"&amp;Table9[[#This Row],[Image ID]]&amp;"/full/843,/0/default.jpg"</f>
        <v>https://www.artic.edu/iiif/2/26f91b23-3ccc-da86-1c16-4428303d9859/full/843,/0/default.jpg</v>
      </c>
      <c r="N847" s="3">
        <v>0.8</v>
      </c>
      <c r="O847" s="3">
        <v>7.4999999999999997E-2</v>
      </c>
      <c r="P847" s="3">
        <v>0.72500000000000009</v>
      </c>
      <c r="Q847" s="3">
        <v>0.87745231389999301</v>
      </c>
    </row>
    <row r="848" spans="1:17" x14ac:dyDescent="0.45">
      <c r="A848" s="3">
        <v>32596</v>
      </c>
      <c r="B848" t="b">
        <v>0</v>
      </c>
      <c r="C848" t="b">
        <v>0</v>
      </c>
      <c r="D848" s="3">
        <v>1928</v>
      </c>
      <c r="E848" s="3">
        <v>1928</v>
      </c>
      <c r="F848" t="s">
        <v>7056</v>
      </c>
      <c r="G848" t="s">
        <v>7</v>
      </c>
      <c r="H848" s="3">
        <v>7.2847</v>
      </c>
      <c r="I848" t="s">
        <v>378</v>
      </c>
      <c r="J848" t="s">
        <v>12202</v>
      </c>
      <c r="K848" s="5" t="s">
        <v>45</v>
      </c>
      <c r="L848" t="s">
        <v>7057</v>
      </c>
      <c r="M848" t="str">
        <f>"https://www.artic.edu/iiif/2/"&amp;Table9[[#This Row],[Image ID]]&amp;"/full/843,/0/default.jpg"</f>
        <v>https://www.artic.edu/iiif/2/543d2011-2055-35e1-8b69-c93d59d52b01/full/843,/0/default.jpg</v>
      </c>
      <c r="N848" s="3">
        <v>0.8</v>
      </c>
      <c r="O848" s="3">
        <v>7.4999999999999997E-2</v>
      </c>
      <c r="P848" s="3">
        <v>0.72500000000000009</v>
      </c>
      <c r="Q848" s="3">
        <v>0.77598476409912098</v>
      </c>
    </row>
    <row r="849" spans="1:17" x14ac:dyDescent="0.45">
      <c r="A849" s="3">
        <v>104268</v>
      </c>
      <c r="B849" t="b">
        <v>0</v>
      </c>
      <c r="C849" t="b">
        <v>0</v>
      </c>
      <c r="D849" s="3">
        <v>1982</v>
      </c>
      <c r="E849" s="3">
        <v>1982</v>
      </c>
      <c r="F849" t="s">
        <v>397</v>
      </c>
      <c r="G849" t="s">
        <v>272</v>
      </c>
      <c r="H849" s="3">
        <v>28.544799999999999</v>
      </c>
      <c r="I849" t="s">
        <v>378</v>
      </c>
      <c r="J849" t="s">
        <v>12099</v>
      </c>
      <c r="K849" s="5" t="s">
        <v>45</v>
      </c>
      <c r="L849" t="s">
        <v>398</v>
      </c>
      <c r="M849" t="str">
        <f>"https://www.artic.edu/iiif/2/"&amp;Table9[[#This Row],[Image ID]]&amp;"/full/843,/0/default.jpg"</f>
        <v>https://www.artic.edu/iiif/2/644a2dc5-cb8b-1f3d-6d61-40f5686c3c5e/full/843,/0/default.jpg</v>
      </c>
      <c r="N849" s="3">
        <v>0.92500000000000004</v>
      </c>
      <c r="O849" s="3">
        <v>0.2</v>
      </c>
      <c r="P849" s="3">
        <v>0.72500000000000009</v>
      </c>
      <c r="Q849" s="3">
        <v>0.87505042552947998</v>
      </c>
    </row>
    <row r="850" spans="1:17" x14ac:dyDescent="0.45">
      <c r="A850" s="3">
        <v>228833</v>
      </c>
      <c r="B850" t="b">
        <v>0</v>
      </c>
      <c r="C850" t="b">
        <v>0</v>
      </c>
      <c r="D850" s="3">
        <v>2013</v>
      </c>
      <c r="E850" s="3">
        <v>2013</v>
      </c>
      <c r="F850" t="s">
        <v>6013</v>
      </c>
      <c r="G850" t="s">
        <v>6010</v>
      </c>
      <c r="H850" s="3">
        <v>20.051300000000001</v>
      </c>
      <c r="I850" t="s">
        <v>6011</v>
      </c>
      <c r="J850" t="s">
        <v>12566</v>
      </c>
      <c r="K850" s="5" t="s">
        <v>15</v>
      </c>
      <c r="L850" t="s">
        <v>6014</v>
      </c>
      <c r="M850" t="str">
        <f>"https://www.artic.edu/iiif/2/"&amp;Table9[[#This Row],[Image ID]]&amp;"/full/843,/0/default.jpg"</f>
        <v>https://www.artic.edu/iiif/2/6d80ce96-88af-8a5a-ea95-6a5323bfd4f3/full/843,/0/default.jpg</v>
      </c>
      <c r="N850" s="3">
        <v>0.8</v>
      </c>
      <c r="O850" s="3">
        <v>7.4999999999999997E-2</v>
      </c>
      <c r="P850" s="3">
        <v>0.72500000000000009</v>
      </c>
      <c r="Q850" s="3">
        <v>0.89621651172637895</v>
      </c>
    </row>
    <row r="851" spans="1:17" x14ac:dyDescent="0.45">
      <c r="A851" s="3">
        <v>188445</v>
      </c>
      <c r="B851" t="b">
        <v>0</v>
      </c>
      <c r="C851" t="b">
        <v>0</v>
      </c>
      <c r="D851" s="3">
        <v>2000</v>
      </c>
      <c r="E851" s="3">
        <v>2010</v>
      </c>
      <c r="F851" t="s">
        <v>5121</v>
      </c>
      <c r="G851" t="s">
        <v>5122</v>
      </c>
      <c r="H851" s="3">
        <v>15.261799999999999</v>
      </c>
      <c r="I851" t="s">
        <v>5123</v>
      </c>
      <c r="J851" t="s">
        <v>12649</v>
      </c>
      <c r="K851" s="5" t="s">
        <v>130</v>
      </c>
      <c r="L851" t="s">
        <v>5124</v>
      </c>
      <c r="M851" t="str">
        <f>"https://www.artic.edu/iiif/2/"&amp;Table9[[#This Row],[Image ID]]&amp;"/full/843,/0/default.jpg"</f>
        <v>https://www.artic.edu/iiif/2/7361d158-3833-149c-734d-d38324721659/full/843,/0/default.jpg</v>
      </c>
      <c r="N851" s="3">
        <v>0.8</v>
      </c>
      <c r="O851" s="3">
        <v>7.4999999999999997E-2</v>
      </c>
      <c r="P851" s="3">
        <v>0.72500000000000009</v>
      </c>
      <c r="Q851" s="3">
        <v>0.71702527999877896</v>
      </c>
    </row>
    <row r="852" spans="1:17" x14ac:dyDescent="0.45">
      <c r="A852" s="3">
        <v>100248</v>
      </c>
      <c r="B852" t="b">
        <v>0</v>
      </c>
      <c r="C852" t="b">
        <v>0</v>
      </c>
      <c r="D852" s="3">
        <v>1939</v>
      </c>
      <c r="E852" s="3">
        <v>1939</v>
      </c>
      <c r="F852" t="s">
        <v>11</v>
      </c>
      <c r="G852" t="s">
        <v>55</v>
      </c>
      <c r="H852" s="3">
        <v>12.271599999999999</v>
      </c>
      <c r="I852" t="s">
        <v>14662</v>
      </c>
      <c r="J852" t="s">
        <v>12860</v>
      </c>
      <c r="K852" s="5" t="s">
        <v>56</v>
      </c>
      <c r="L852" t="s">
        <v>57</v>
      </c>
      <c r="M852" t="str">
        <f>"https://www.artic.edu/iiif/2/"&amp;Table9[[#This Row],[Image ID]]&amp;"/full/843,/0/default.jpg"</f>
        <v>https://www.artic.edu/iiif/2/82f79520-a9cc-921f-c5b0-c652dae7155c/full/843,/0/default.jpg</v>
      </c>
      <c r="N852" s="3">
        <v>0.8</v>
      </c>
      <c r="O852" s="3">
        <v>7.4999999999999997E-2</v>
      </c>
      <c r="P852" s="3">
        <v>0.72500000000000009</v>
      </c>
      <c r="Q852" s="3">
        <v>0.850929856300354</v>
      </c>
    </row>
    <row r="853" spans="1:17" x14ac:dyDescent="0.45">
      <c r="A853" s="3">
        <v>14669</v>
      </c>
      <c r="B853" t="b">
        <v>0</v>
      </c>
      <c r="C853" t="b">
        <v>0</v>
      </c>
      <c r="D853" s="3">
        <v>1924</v>
      </c>
      <c r="E853" s="3">
        <v>1924</v>
      </c>
      <c r="F853" t="s">
        <v>3466</v>
      </c>
      <c r="G853" t="s">
        <v>3467</v>
      </c>
      <c r="H853" s="3">
        <v>15.5472</v>
      </c>
      <c r="I853" t="s">
        <v>3468</v>
      </c>
      <c r="J853" t="s">
        <v>12960</v>
      </c>
      <c r="L853" t="s">
        <v>3469</v>
      </c>
      <c r="M853" t="str">
        <f>"https://www.artic.edu/iiif/2/"&amp;Table9[[#This Row],[Image ID]]&amp;"/full/843,/0/default.jpg"</f>
        <v>https://www.artic.edu/iiif/2/8b42a3dc-b530-ac39-f3db-0cb56b85ffa5/full/843,/0/default.jpg</v>
      </c>
      <c r="N853" s="3">
        <v>0.8</v>
      </c>
      <c r="O853" s="3">
        <v>7.4999999999999997E-2</v>
      </c>
      <c r="P853" s="3">
        <v>0.72500000000000009</v>
      </c>
      <c r="Q853" s="3">
        <v>0.57797574996948198</v>
      </c>
    </row>
    <row r="854" spans="1:17" x14ac:dyDescent="0.45">
      <c r="A854" s="3">
        <v>185778</v>
      </c>
      <c r="B854" t="b">
        <v>0</v>
      </c>
      <c r="C854" t="b">
        <v>0</v>
      </c>
      <c r="D854" s="3">
        <v>1930</v>
      </c>
      <c r="E854" s="3">
        <v>1930</v>
      </c>
      <c r="F854" t="s">
        <v>5019</v>
      </c>
      <c r="G854" t="s">
        <v>5020</v>
      </c>
      <c r="H854" s="3">
        <v>68.264300000000006</v>
      </c>
      <c r="I854" t="s">
        <v>5021</v>
      </c>
      <c r="J854" t="s">
        <v>13043</v>
      </c>
      <c r="K854" s="5" t="s">
        <v>45</v>
      </c>
      <c r="L854" t="s">
        <v>5022</v>
      </c>
      <c r="M854" t="str">
        <f>"https://www.artic.edu/iiif/2/"&amp;Table9[[#This Row],[Image ID]]&amp;"/full/843,/0/default.jpg"</f>
        <v>https://www.artic.edu/iiif/2/91833784-463a-9fea-fbc6-3b485a2c5fdb/full/843,/0/default.jpg</v>
      </c>
      <c r="N854" s="3">
        <v>0.8</v>
      </c>
      <c r="O854" s="3">
        <v>7.4999999999999997E-2</v>
      </c>
      <c r="P854" s="3">
        <v>0.72500000000000009</v>
      </c>
      <c r="Q854" s="3">
        <v>0.77694004774093595</v>
      </c>
    </row>
    <row r="855" spans="1:17" x14ac:dyDescent="0.45">
      <c r="A855" s="3">
        <v>66375</v>
      </c>
      <c r="B855" t="b">
        <v>0</v>
      </c>
      <c r="C855" t="b">
        <v>0</v>
      </c>
      <c r="D855" s="3">
        <v>1956</v>
      </c>
      <c r="E855" s="3">
        <v>1957</v>
      </c>
      <c r="F855" t="s">
        <v>9237</v>
      </c>
      <c r="G855" t="s">
        <v>9238</v>
      </c>
      <c r="H855" s="3">
        <v>36.148200000000003</v>
      </c>
      <c r="I855" t="s">
        <v>1091</v>
      </c>
      <c r="J855" t="s">
        <v>13272</v>
      </c>
      <c r="L855" t="s">
        <v>9239</v>
      </c>
      <c r="M855" t="str">
        <f>"https://www.artic.edu/iiif/2/"&amp;Table9[[#This Row],[Image ID]]&amp;"/full/843,/0/default.jpg"</f>
        <v>https://www.artic.edu/iiif/2/a2ebef13-7629-7837-b266-6172a2881768/full/843,/0/default.jpg</v>
      </c>
      <c r="N855" s="3">
        <v>0.8</v>
      </c>
      <c r="O855" s="3">
        <v>7.4999999999999997E-2</v>
      </c>
      <c r="P855" s="3">
        <v>0.72500000000000009</v>
      </c>
      <c r="Q855" s="3">
        <v>0.75625592470169001</v>
      </c>
    </row>
    <row r="856" spans="1:17" x14ac:dyDescent="0.45">
      <c r="A856" s="3">
        <v>220502</v>
      </c>
      <c r="B856" t="b">
        <v>0</v>
      </c>
      <c r="C856" t="b">
        <v>0</v>
      </c>
      <c r="D856" s="3">
        <v>1948</v>
      </c>
      <c r="E856" s="3">
        <v>1948</v>
      </c>
      <c r="F856" t="s">
        <v>5782</v>
      </c>
      <c r="G856" t="s">
        <v>5783</v>
      </c>
      <c r="H856" s="3">
        <v>18.096499999999999</v>
      </c>
      <c r="I856" t="s">
        <v>4768</v>
      </c>
      <c r="J856" t="s">
        <v>13281</v>
      </c>
      <c r="L856" t="s">
        <v>5784</v>
      </c>
      <c r="M856" t="str">
        <f>"https://www.artic.edu/iiif/2/"&amp;Table9[[#This Row],[Image ID]]&amp;"/full/843,/0/default.jpg"</f>
        <v>https://www.artic.edu/iiif/2/a38e768f-0746-f8c5-3a2a-1e54ccc2ee80/full/843,/0/default.jpg</v>
      </c>
      <c r="N856" s="3">
        <v>0.8</v>
      </c>
      <c r="O856" s="3">
        <v>7.4999999999999997E-2</v>
      </c>
      <c r="P856" s="3">
        <v>0.72500000000000009</v>
      </c>
      <c r="Q856" s="3">
        <v>0.82962203025817804</v>
      </c>
    </row>
    <row r="857" spans="1:17" x14ac:dyDescent="0.45">
      <c r="A857" s="3">
        <v>52983</v>
      </c>
      <c r="B857" t="b">
        <v>0</v>
      </c>
      <c r="C857" t="b">
        <v>0</v>
      </c>
      <c r="D857" s="3">
        <v>1945</v>
      </c>
      <c r="E857" s="3">
        <v>1945</v>
      </c>
      <c r="F857" t="s">
        <v>8208</v>
      </c>
      <c r="G857" t="s">
        <v>2516</v>
      </c>
      <c r="H857" s="3">
        <v>25.104600000000001</v>
      </c>
      <c r="I857" t="s">
        <v>3073</v>
      </c>
      <c r="J857" t="s">
        <v>13511</v>
      </c>
      <c r="K857" s="5" t="s">
        <v>2</v>
      </c>
      <c r="L857" t="s">
        <v>8209</v>
      </c>
      <c r="M857" t="str">
        <f>"https://www.artic.edu/iiif/2/"&amp;Table9[[#This Row],[Image ID]]&amp;"/full/843,/0/default.jpg"</f>
        <v>https://www.artic.edu/iiif/2/bd4991b1-dd2c-da63-d259-14d908e00644/full/843,/0/default.jpg</v>
      </c>
      <c r="N857" s="3">
        <v>0.8</v>
      </c>
      <c r="O857" s="3">
        <v>7.4999999999999997E-2</v>
      </c>
      <c r="P857" s="3">
        <v>0.72500000000000009</v>
      </c>
      <c r="Q857" s="3">
        <v>0.69898051023483199</v>
      </c>
    </row>
    <row r="858" spans="1:17" x14ac:dyDescent="0.45">
      <c r="A858" s="3">
        <v>44858</v>
      </c>
      <c r="B858" t="b">
        <v>0</v>
      </c>
      <c r="C858" t="b">
        <v>0</v>
      </c>
      <c r="D858" s="3">
        <v>1928</v>
      </c>
      <c r="E858" s="3">
        <v>1942</v>
      </c>
      <c r="F858" t="s">
        <v>7805</v>
      </c>
      <c r="G858" t="s">
        <v>7806</v>
      </c>
      <c r="H858" s="3">
        <v>34.529200000000003</v>
      </c>
      <c r="I858" t="s">
        <v>7807</v>
      </c>
      <c r="J858" t="s">
        <v>13811</v>
      </c>
      <c r="L858" t="s">
        <v>7808</v>
      </c>
      <c r="M858" t="str">
        <f>"https://www.artic.edu/iiif/2/"&amp;Table9[[#This Row],[Image ID]]&amp;"/full/843,/0/default.jpg"</f>
        <v>https://www.artic.edu/iiif/2/cceee6fd-e62d-fd3f-7923-e8ba6a7581d1/full/843,/0/default.jpg</v>
      </c>
      <c r="N858" s="3">
        <v>0.8</v>
      </c>
      <c r="O858" s="3">
        <v>7.4999999999999997E-2</v>
      </c>
      <c r="P858" s="3">
        <v>0.72500000000000009</v>
      </c>
      <c r="Q858" s="3">
        <v>0.49538022279739302</v>
      </c>
    </row>
    <row r="859" spans="1:17" x14ac:dyDescent="0.45">
      <c r="A859" s="3">
        <v>235037</v>
      </c>
      <c r="B859" t="b">
        <v>0</v>
      </c>
      <c r="C859" t="b">
        <v>0</v>
      </c>
      <c r="D859" s="3">
        <v>1965</v>
      </c>
      <c r="E859" s="3">
        <v>1965</v>
      </c>
      <c r="F859" t="s">
        <v>6220</v>
      </c>
      <c r="G859" t="s">
        <v>6221</v>
      </c>
      <c r="H859" s="3">
        <v>42.496499999999997</v>
      </c>
      <c r="I859" t="s">
        <v>6222</v>
      </c>
      <c r="J859" t="s">
        <v>13837</v>
      </c>
      <c r="L859" t="s">
        <v>6223</v>
      </c>
      <c r="M859" t="str">
        <f>"https://www.artic.edu/iiif/2/"&amp;Table9[[#This Row],[Image ID]]&amp;"/full/843,/0/default.jpg"</f>
        <v>https://www.artic.edu/iiif/2/cf9b92b8-492f-5b64-e267-ae940ce0afe6/full/843,/0/default.jpg</v>
      </c>
      <c r="N859" s="3">
        <v>0.8</v>
      </c>
      <c r="O859" s="3">
        <v>7.4999999999999997E-2</v>
      </c>
      <c r="P859" s="3">
        <v>0.72500000000000009</v>
      </c>
      <c r="Q859" s="3">
        <v>0.85808098316192605</v>
      </c>
    </row>
    <row r="860" spans="1:17" x14ac:dyDescent="0.45">
      <c r="A860" s="3">
        <v>107041</v>
      </c>
      <c r="B860" t="b">
        <v>0</v>
      </c>
      <c r="C860" t="b">
        <v>0</v>
      </c>
      <c r="D860" s="3">
        <v>1967</v>
      </c>
      <c r="E860" s="3">
        <v>1967</v>
      </c>
      <c r="F860" t="s">
        <v>596</v>
      </c>
      <c r="G860" t="s">
        <v>597</v>
      </c>
      <c r="H860" s="3">
        <v>10.627700000000001</v>
      </c>
      <c r="I860" t="s">
        <v>29</v>
      </c>
      <c r="J860" t="s">
        <v>14036</v>
      </c>
      <c r="L860" t="s">
        <v>598</v>
      </c>
      <c r="M860" t="str">
        <f>"https://www.artic.edu/iiif/2/"&amp;Table9[[#This Row],[Image ID]]&amp;"/full/843,/0/default.jpg"</f>
        <v>https://www.artic.edu/iiif/2/ddff311b-3391-accd-0cb9-33b541d4bc34/full/843,/0/default.jpg</v>
      </c>
      <c r="N860" s="3">
        <v>0.8</v>
      </c>
      <c r="O860" s="3">
        <v>7.4999999999999997E-2</v>
      </c>
      <c r="P860" s="3">
        <v>0.72500000000000009</v>
      </c>
      <c r="Q860" s="3">
        <v>0.90000277757644598</v>
      </c>
    </row>
    <row r="861" spans="1:17" x14ac:dyDescent="0.45">
      <c r="A861" s="3">
        <v>64374</v>
      </c>
      <c r="B861" t="b">
        <v>0</v>
      </c>
      <c r="C861" t="b">
        <v>0</v>
      </c>
      <c r="D861" s="3">
        <v>1932</v>
      </c>
      <c r="E861" s="3">
        <v>1965</v>
      </c>
      <c r="F861" t="s">
        <v>8977</v>
      </c>
      <c r="G861" t="s">
        <v>8978</v>
      </c>
      <c r="H861" s="3">
        <v>28.161000000000001</v>
      </c>
      <c r="I861" t="s">
        <v>14639</v>
      </c>
      <c r="J861" t="s">
        <v>14078</v>
      </c>
      <c r="L861" t="s">
        <v>8979</v>
      </c>
      <c r="M861" t="str">
        <f>"https://www.artic.edu/iiif/2/"&amp;Table9[[#This Row],[Image ID]]&amp;"/full/843,/0/default.jpg"</f>
        <v>https://www.artic.edu/iiif/2/e0f50570-320d-5d2d-32cf-e739d30088e8/full/843,/0/default.jpg</v>
      </c>
      <c r="N861" s="3">
        <v>0.8</v>
      </c>
      <c r="O861" s="3">
        <v>7.4999999999999997E-2</v>
      </c>
      <c r="P861" s="3">
        <v>0.72500000000000009</v>
      </c>
      <c r="Q861" s="3">
        <v>0.75666415691375699</v>
      </c>
    </row>
    <row r="862" spans="1:17" x14ac:dyDescent="0.45">
      <c r="A862" s="3">
        <v>242223</v>
      </c>
      <c r="B862" t="b">
        <v>0</v>
      </c>
      <c r="C862" t="b">
        <v>0</v>
      </c>
      <c r="D862" s="3">
        <v>1917</v>
      </c>
      <c r="E862" s="3">
        <v>1917</v>
      </c>
      <c r="F862" t="s">
        <v>14648</v>
      </c>
      <c r="G862" t="s">
        <v>5323</v>
      </c>
      <c r="H862" s="3">
        <v>34.422800000000002</v>
      </c>
      <c r="I862" t="s">
        <v>273</v>
      </c>
      <c r="J862" t="s">
        <v>14176</v>
      </c>
      <c r="K862" s="5" t="s">
        <v>2558</v>
      </c>
      <c r="L862" t="s">
        <v>6379</v>
      </c>
      <c r="M862" t="str">
        <f>"https://www.artic.edu/iiif/2/"&amp;Table9[[#This Row],[Image ID]]&amp;"/full/843,/0/default.jpg"</f>
        <v>https://www.artic.edu/iiif/2/e7280dd2-7b6b-e515-eeaa-ba92da0ccbd6/full/843,/0/default.jpg</v>
      </c>
      <c r="N862" s="3">
        <v>0.8</v>
      </c>
      <c r="O862" s="3">
        <v>7.4999999999999997E-2</v>
      </c>
      <c r="P862" s="3">
        <v>0.72500000000000009</v>
      </c>
      <c r="Q862" s="3">
        <v>0.78454101085662797</v>
      </c>
    </row>
    <row r="863" spans="1:17" x14ac:dyDescent="0.45">
      <c r="A863" s="3">
        <v>184727</v>
      </c>
      <c r="B863" t="b">
        <v>0</v>
      </c>
      <c r="C863" t="b">
        <v>0</v>
      </c>
      <c r="D863" s="3">
        <v>2003</v>
      </c>
      <c r="E863" s="3">
        <v>2003</v>
      </c>
      <c r="F863" t="s">
        <v>4831</v>
      </c>
      <c r="G863" t="s">
        <v>4823</v>
      </c>
      <c r="H863" s="3">
        <v>10.7669</v>
      </c>
      <c r="I863" t="s">
        <v>293</v>
      </c>
      <c r="J863" t="s">
        <v>10977</v>
      </c>
      <c r="K863" s="5" t="s">
        <v>15</v>
      </c>
      <c r="L863" t="s">
        <v>4832</v>
      </c>
      <c r="M863" t="str">
        <f>"https://www.artic.edu/iiif/2/"&amp;Table9[[#This Row],[Image ID]]&amp;"/full/843,/0/default.jpg"</f>
        <v>https://www.artic.edu/iiif/2/f28892f1-0230-6e42-789c-2cb3558f6328/full/843,/0/default.jpg</v>
      </c>
      <c r="N863" s="3">
        <v>0.8</v>
      </c>
      <c r="O863" s="3">
        <v>7.4999999999999997E-2</v>
      </c>
      <c r="P863" s="3">
        <v>0.72500000000000009</v>
      </c>
      <c r="Q863" s="3">
        <v>0.83336532115936202</v>
      </c>
    </row>
    <row r="864" spans="1:17" x14ac:dyDescent="0.45">
      <c r="A864" s="3">
        <v>115503</v>
      </c>
      <c r="B864" t="b">
        <v>0</v>
      </c>
      <c r="C864" t="b">
        <v>1</v>
      </c>
      <c r="D864" s="3">
        <v>1719</v>
      </c>
      <c r="E864" s="3">
        <v>1769</v>
      </c>
      <c r="F864" t="s">
        <v>1975</v>
      </c>
      <c r="G864" t="s">
        <v>1921</v>
      </c>
      <c r="H864" s="3">
        <v>29.4392</v>
      </c>
      <c r="I864" t="s">
        <v>1922</v>
      </c>
      <c r="J864" t="s">
        <v>11082</v>
      </c>
      <c r="L864" t="s">
        <v>1976</v>
      </c>
      <c r="M864" t="str">
        <f>"https://www.artic.edu/iiif/2/"&amp;Table9[[#This Row],[Image ID]]&amp;"/full/843,/0/default.jpg"</f>
        <v>https://www.artic.edu/iiif/2/07e51bf3-8ddb-e949-35bc-c8443b763dfd/full/843,/0/default.jpg</v>
      </c>
      <c r="N864" s="3">
        <v>0.8</v>
      </c>
      <c r="O864" s="3">
        <v>7.4999999999999997E-2</v>
      </c>
      <c r="P864" s="3">
        <v>0.72500000000000009</v>
      </c>
      <c r="Q864" s="3">
        <v>0.86121183633804299</v>
      </c>
    </row>
    <row r="865" spans="1:17" x14ac:dyDescent="0.45">
      <c r="A865" s="3">
        <v>16365</v>
      </c>
      <c r="B865" t="b">
        <v>0</v>
      </c>
      <c r="C865" t="b">
        <v>1</v>
      </c>
      <c r="D865" s="3">
        <v>1801</v>
      </c>
      <c r="E865" s="3">
        <v>1811</v>
      </c>
      <c r="F865" t="s">
        <v>4391</v>
      </c>
      <c r="G865" t="s">
        <v>75</v>
      </c>
      <c r="H865" s="3">
        <v>28.1084</v>
      </c>
      <c r="I865" t="s">
        <v>14559</v>
      </c>
      <c r="J865" t="s">
        <v>11246</v>
      </c>
      <c r="L865" t="s">
        <v>4392</v>
      </c>
      <c r="M865" t="str">
        <f>"https://www.artic.edu/iiif/2/"&amp;Table9[[#This Row],[Image ID]]&amp;"/full/843,/0/default.jpg"</f>
        <v>https://www.artic.edu/iiif/2/13e89aac-382a-ae03-aa87-48ed1740c28d/full/843,/0/default.jpg</v>
      </c>
      <c r="N865" s="3">
        <v>0.8</v>
      </c>
      <c r="O865" s="3">
        <v>7.4999999999999997E-2</v>
      </c>
      <c r="P865" s="3">
        <v>0.72500000000000009</v>
      </c>
      <c r="Q865" s="3">
        <v>0.74602514505386297</v>
      </c>
    </row>
    <row r="866" spans="1:17" x14ac:dyDescent="0.45">
      <c r="A866" s="3">
        <v>5513</v>
      </c>
      <c r="B866" t="b">
        <v>0</v>
      </c>
      <c r="C866" t="b">
        <v>1</v>
      </c>
      <c r="D866" s="3">
        <v>1887</v>
      </c>
      <c r="E866" s="3">
        <v>1897</v>
      </c>
      <c r="F866" t="s">
        <v>8322</v>
      </c>
      <c r="G866" t="s">
        <v>8323</v>
      </c>
      <c r="H866" s="3">
        <v>48.103299999999997</v>
      </c>
      <c r="I866" t="s">
        <v>872</v>
      </c>
      <c r="J866" t="s">
        <v>11297</v>
      </c>
      <c r="L866" t="s">
        <v>8324</v>
      </c>
      <c r="M866" t="str">
        <f>"https://www.artic.edu/iiif/2/"&amp;Table9[[#This Row],[Image ID]]&amp;"/full/843,/0/default.jpg"</f>
        <v>https://www.artic.edu/iiif/2/1747f921-5112-2be8-6afa-0d0dba3e6e05/full/843,/0/default.jpg</v>
      </c>
      <c r="N866" s="3">
        <v>0.8</v>
      </c>
      <c r="O866" s="3">
        <v>7.4999999999999997E-2</v>
      </c>
      <c r="P866" s="3">
        <v>0.72500000000000009</v>
      </c>
      <c r="Q866" s="3">
        <v>0.76482230424880904</v>
      </c>
    </row>
    <row r="867" spans="1:17" x14ac:dyDescent="0.45">
      <c r="A867" s="3">
        <v>110341</v>
      </c>
      <c r="B867" t="b">
        <v>0</v>
      </c>
      <c r="C867" t="b">
        <v>1</v>
      </c>
      <c r="D867" s="3">
        <v>1800</v>
      </c>
      <c r="E867" s="3">
        <v>1899</v>
      </c>
      <c r="F867" t="s">
        <v>895</v>
      </c>
      <c r="G867" t="s">
        <v>896</v>
      </c>
      <c r="H867" s="3">
        <v>34.43</v>
      </c>
      <c r="I867" t="s">
        <v>16</v>
      </c>
      <c r="J867" t="s">
        <v>11390</v>
      </c>
      <c r="L867" t="s">
        <v>897</v>
      </c>
      <c r="M867" t="str">
        <f>"https://www.artic.edu/iiif/2/"&amp;Table9[[#This Row],[Image ID]]&amp;"/full/843,/0/default.jpg"</f>
        <v>https://www.artic.edu/iiif/2/1df6e267-0c9d-a6da-e5d4-8e80b90488b8/full/843,/0/default.jpg</v>
      </c>
      <c r="N867" s="3">
        <v>0.8</v>
      </c>
      <c r="O867" s="3">
        <v>7.4999999999999997E-2</v>
      </c>
      <c r="P867" s="3">
        <v>0.72500000000000009</v>
      </c>
      <c r="Q867" s="3">
        <v>0.87384492158889704</v>
      </c>
    </row>
    <row r="868" spans="1:17" x14ac:dyDescent="0.45">
      <c r="A868" s="3">
        <v>16542</v>
      </c>
      <c r="B868" t="b">
        <v>0</v>
      </c>
      <c r="C868" t="b">
        <v>1</v>
      </c>
      <c r="D868" s="3">
        <v>1897</v>
      </c>
      <c r="E868" s="3">
        <v>1897</v>
      </c>
      <c r="F868" t="s">
        <v>4475</v>
      </c>
      <c r="G868" t="s">
        <v>7</v>
      </c>
      <c r="H868" s="3">
        <v>13.150399999999999</v>
      </c>
      <c r="I868" t="s">
        <v>43</v>
      </c>
      <c r="J868" t="s">
        <v>11606</v>
      </c>
      <c r="K868" s="5" t="s">
        <v>9</v>
      </c>
      <c r="L868" t="s">
        <v>4476</v>
      </c>
      <c r="M868" t="str">
        <f>"https://www.artic.edu/iiif/2/"&amp;Table9[[#This Row],[Image ID]]&amp;"/full/843,/0/default.jpg"</f>
        <v>https://www.artic.edu/iiif/2/2b30e687-4526-f487-cedc-448b3188fd19/full/843,/0/default.jpg</v>
      </c>
      <c r="N868" s="3">
        <v>0.8</v>
      </c>
      <c r="O868" s="3">
        <v>7.4999999999999997E-2</v>
      </c>
      <c r="P868" s="3">
        <v>0.72500000000000009</v>
      </c>
      <c r="Q868" s="3">
        <v>0.70762741565704301</v>
      </c>
    </row>
    <row r="869" spans="1:17" x14ac:dyDescent="0.45">
      <c r="A869" s="3">
        <v>16958</v>
      </c>
      <c r="B869" t="b">
        <v>0</v>
      </c>
      <c r="C869" t="b">
        <v>1</v>
      </c>
      <c r="D869" s="3">
        <v>1527</v>
      </c>
      <c r="E869" s="3">
        <v>1530</v>
      </c>
      <c r="F869" t="s">
        <v>770</v>
      </c>
      <c r="G869" t="s">
        <v>75</v>
      </c>
      <c r="H869" s="3">
        <v>55.209600000000002</v>
      </c>
      <c r="I869" t="s">
        <v>4629</v>
      </c>
      <c r="J869" t="s">
        <v>11695</v>
      </c>
      <c r="L869" t="s">
        <v>4630</v>
      </c>
      <c r="M869" t="str">
        <f>"https://www.artic.edu/iiif/2/"&amp;Table9[[#This Row],[Image ID]]&amp;"/full/843,/0/default.jpg"</f>
        <v>https://www.artic.edu/iiif/2/315d1927-efc2-a249-a35d-7df1ed7afe1f/full/843,/0/default.jpg</v>
      </c>
      <c r="N869" s="3">
        <v>0.8</v>
      </c>
      <c r="O869" s="3">
        <v>7.4999999999999997E-2</v>
      </c>
      <c r="P869" s="3">
        <v>0.72500000000000009</v>
      </c>
      <c r="Q869" s="3">
        <v>0.83473271131515503</v>
      </c>
    </row>
    <row r="870" spans="1:17" x14ac:dyDescent="0.45">
      <c r="A870" s="3">
        <v>151897</v>
      </c>
      <c r="B870" t="b">
        <v>0</v>
      </c>
      <c r="C870" t="b">
        <v>1</v>
      </c>
      <c r="D870" s="3">
        <v>1300</v>
      </c>
      <c r="E870" s="3">
        <v>1500</v>
      </c>
      <c r="F870" t="s">
        <v>3868</v>
      </c>
      <c r="G870" t="s">
        <v>3852</v>
      </c>
      <c r="H870" s="3">
        <v>40.495699999999999</v>
      </c>
      <c r="J870" t="s">
        <v>11733</v>
      </c>
      <c r="L870" t="s">
        <v>3869</v>
      </c>
      <c r="M870" t="str">
        <f>"https://www.artic.edu/iiif/2/"&amp;Table9[[#This Row],[Image ID]]&amp;"/full/843,/0/default.jpg"</f>
        <v>https://www.artic.edu/iiif/2/342bdd50-e350-6049-849c-decb7685cd39/full/843,/0/default.jpg</v>
      </c>
      <c r="N870" s="3">
        <v>0.8</v>
      </c>
      <c r="O870" s="3">
        <v>7.4999999999999997E-2</v>
      </c>
      <c r="P870" s="3">
        <v>0.72500000000000009</v>
      </c>
      <c r="Q870" s="3">
        <v>0.85772061347961404</v>
      </c>
    </row>
    <row r="871" spans="1:17" x14ac:dyDescent="0.45">
      <c r="A871" s="3">
        <v>115505</v>
      </c>
      <c r="B871" t="b">
        <v>0</v>
      </c>
      <c r="C871" t="b">
        <v>1</v>
      </c>
      <c r="D871" s="3">
        <v>1719</v>
      </c>
      <c r="E871" s="3">
        <v>1769</v>
      </c>
      <c r="F871" t="s">
        <v>1979</v>
      </c>
      <c r="G871" t="s">
        <v>1921</v>
      </c>
      <c r="H871" s="3">
        <v>11.4679</v>
      </c>
      <c r="I871" t="s">
        <v>1922</v>
      </c>
      <c r="J871" t="s">
        <v>12039</v>
      </c>
      <c r="L871" t="s">
        <v>1980</v>
      </c>
      <c r="M871" t="str">
        <f>"https://www.artic.edu/iiif/2/"&amp;Table9[[#This Row],[Image ID]]&amp;"/full/843,/0/default.jpg"</f>
        <v>https://www.artic.edu/iiif/2/48977035-eead-0dd5-ca76-e614e8a76ca2/full/843,/0/default.jpg</v>
      </c>
      <c r="N871" s="3">
        <v>0.8</v>
      </c>
      <c r="O871" s="3">
        <v>7.4999999999999997E-2</v>
      </c>
      <c r="P871" s="3">
        <v>0.72500000000000009</v>
      </c>
      <c r="Q871" s="3">
        <v>0.80516725778579701</v>
      </c>
    </row>
    <row r="872" spans="1:17" x14ac:dyDescent="0.45">
      <c r="A872" s="3">
        <v>8969</v>
      </c>
      <c r="B872" t="b">
        <v>0</v>
      </c>
      <c r="C872" t="b">
        <v>1</v>
      </c>
      <c r="D872" s="3">
        <v>1860</v>
      </c>
      <c r="E872" s="3">
        <v>1870</v>
      </c>
      <c r="F872" t="s">
        <v>10464</v>
      </c>
      <c r="G872" t="s">
        <v>7</v>
      </c>
      <c r="H872" s="3">
        <v>10.5854</v>
      </c>
      <c r="I872" t="s">
        <v>14636</v>
      </c>
      <c r="J872" t="s">
        <v>12109</v>
      </c>
      <c r="K872" s="5" t="s">
        <v>284</v>
      </c>
      <c r="L872" t="s">
        <v>10465</v>
      </c>
      <c r="M872" t="str">
        <f>"https://www.artic.edu/iiif/2/"&amp;Table9[[#This Row],[Image ID]]&amp;"/full/843,/0/default.jpg"</f>
        <v>https://www.artic.edu/iiif/2/4e074d70-4424-331b-ec89-0776a45d6825/full/843,/0/default.jpg</v>
      </c>
      <c r="N872" s="3">
        <v>0.8</v>
      </c>
      <c r="O872" s="3">
        <v>7.4999999999999997E-2</v>
      </c>
      <c r="P872" s="3">
        <v>0.72500000000000009</v>
      </c>
      <c r="Q872" s="3">
        <v>0.68359839916229204</v>
      </c>
    </row>
    <row r="873" spans="1:17" x14ac:dyDescent="0.45">
      <c r="A873" s="3">
        <v>131884</v>
      </c>
      <c r="B873" t="b">
        <v>0</v>
      </c>
      <c r="C873" t="b">
        <v>1</v>
      </c>
      <c r="D873" s="3">
        <v>1866</v>
      </c>
      <c r="E873" s="3">
        <v>1866</v>
      </c>
      <c r="F873" t="s">
        <v>2993</v>
      </c>
      <c r="G873" t="s">
        <v>7</v>
      </c>
      <c r="H873" s="3">
        <v>21.378599999999999</v>
      </c>
      <c r="I873" t="s">
        <v>2994</v>
      </c>
      <c r="J873" t="s">
        <v>12255</v>
      </c>
      <c r="L873" t="s">
        <v>2995</v>
      </c>
      <c r="M873" t="str">
        <f>"https://www.artic.edu/iiif/2/"&amp;Table9[[#This Row],[Image ID]]&amp;"/full/843,/0/default.jpg"</f>
        <v>https://www.artic.edu/iiif/2/57279626-f248-4b4d-7ce1-37105c3bc186/full/843,/0/default.jpg</v>
      </c>
      <c r="N873" s="3">
        <v>0.8</v>
      </c>
      <c r="O873" s="3">
        <v>7.4999999999999997E-2</v>
      </c>
      <c r="P873" s="3">
        <v>0.72500000000000009</v>
      </c>
      <c r="Q873" s="3">
        <v>0.85287237167358398</v>
      </c>
    </row>
    <row r="874" spans="1:17" x14ac:dyDescent="0.45">
      <c r="A874" s="3">
        <v>47181</v>
      </c>
      <c r="B874" t="b">
        <v>0</v>
      </c>
      <c r="C874" t="b">
        <v>1</v>
      </c>
      <c r="D874" s="3">
        <v>1837</v>
      </c>
      <c r="E874" s="3">
        <v>1837</v>
      </c>
      <c r="F874" t="s">
        <v>7924</v>
      </c>
      <c r="G874" t="s">
        <v>7</v>
      </c>
      <c r="H874" s="3">
        <v>0</v>
      </c>
      <c r="I874" t="s">
        <v>7925</v>
      </c>
      <c r="J874" t="s">
        <v>12358</v>
      </c>
      <c r="L874" t="s">
        <v>7926</v>
      </c>
      <c r="M874" t="str">
        <f>"https://www.artic.edu/iiif/2/"&amp;Table9[[#This Row],[Image ID]]&amp;"/full/843,/0/default.jpg"</f>
        <v>https://www.artic.edu/iiif/2/5ec4aa8b-bbc6-4417-8c77-aca4f24ceb58/full/843,/0/default.jpg</v>
      </c>
      <c r="N874" s="3">
        <v>0.8</v>
      </c>
      <c r="O874" s="3">
        <v>7.4999999999999997E-2</v>
      </c>
      <c r="P874" s="3">
        <v>0.72500000000000009</v>
      </c>
      <c r="Q874" s="3">
        <v>0.83630728721618597</v>
      </c>
    </row>
    <row r="875" spans="1:17" x14ac:dyDescent="0.45">
      <c r="A875" s="3">
        <v>39690</v>
      </c>
      <c r="B875" t="b">
        <v>0</v>
      </c>
      <c r="C875" t="b">
        <v>1</v>
      </c>
      <c r="D875" s="3">
        <v>1902</v>
      </c>
      <c r="E875" s="3">
        <v>1902</v>
      </c>
      <c r="F875" t="s">
        <v>7601</v>
      </c>
      <c r="G875" t="s">
        <v>7</v>
      </c>
      <c r="H875" s="3">
        <v>12.8416</v>
      </c>
      <c r="I875" t="s">
        <v>882</v>
      </c>
      <c r="J875" t="s">
        <v>12396</v>
      </c>
      <c r="K875" s="5" t="s">
        <v>284</v>
      </c>
      <c r="L875" t="s">
        <v>7602</v>
      </c>
      <c r="M875" t="str">
        <f>"https://www.artic.edu/iiif/2/"&amp;Table9[[#This Row],[Image ID]]&amp;"/full/843,/0/default.jpg"</f>
        <v>https://www.artic.edu/iiif/2/610db6a0-d4f9-13d9-11e7-41c4460859aa/full/843,/0/default.jpg</v>
      </c>
      <c r="N875" s="3">
        <v>0.8</v>
      </c>
      <c r="O875" s="3">
        <v>7.4999999999999997E-2</v>
      </c>
      <c r="P875" s="3">
        <v>0.72500000000000009</v>
      </c>
      <c r="Q875" s="3">
        <v>0.734369337558746</v>
      </c>
    </row>
    <row r="876" spans="1:17" x14ac:dyDescent="0.45">
      <c r="A876" s="3">
        <v>31176</v>
      </c>
      <c r="B876" t="b">
        <v>0</v>
      </c>
      <c r="C876" t="b">
        <v>1</v>
      </c>
      <c r="D876" s="3">
        <v>1640</v>
      </c>
      <c r="E876" s="3">
        <v>1660</v>
      </c>
      <c r="F876" t="s">
        <v>297</v>
      </c>
      <c r="G876" t="s">
        <v>512</v>
      </c>
      <c r="H876" s="3">
        <v>0</v>
      </c>
      <c r="I876" t="s">
        <v>6995</v>
      </c>
      <c r="J876" t="s">
        <v>12638</v>
      </c>
      <c r="L876" t="s">
        <v>6996</v>
      </c>
      <c r="M876" t="str">
        <f>"https://www.artic.edu/iiif/2/"&amp;Table9[[#This Row],[Image ID]]&amp;"/full/843,/0/default.jpg"</f>
        <v>https://www.artic.edu/iiif/2/7294d631-6406-924b-ee40-6e4c9d1ac907/full/843,/0/default.jpg</v>
      </c>
      <c r="N876" s="3">
        <v>0.9</v>
      </c>
      <c r="O876" s="3">
        <v>0.17499999999999999</v>
      </c>
      <c r="P876" s="3">
        <v>0.72500000000000009</v>
      </c>
      <c r="Q876" s="3">
        <v>0.82981860637664795</v>
      </c>
    </row>
    <row r="877" spans="1:17" x14ac:dyDescent="0.45">
      <c r="A877" s="3">
        <v>5515</v>
      </c>
      <c r="B877" t="b">
        <v>0</v>
      </c>
      <c r="C877" t="b">
        <v>1</v>
      </c>
      <c r="D877" s="3">
        <v>1894</v>
      </c>
      <c r="E877" s="3">
        <v>1903</v>
      </c>
      <c r="F877" t="s">
        <v>8325</v>
      </c>
      <c r="G877" t="s">
        <v>8326</v>
      </c>
      <c r="H877" s="3">
        <v>30.976900000000001</v>
      </c>
      <c r="I877" t="s">
        <v>872</v>
      </c>
      <c r="J877" t="s">
        <v>12931</v>
      </c>
      <c r="L877" t="s">
        <v>8327</v>
      </c>
      <c r="M877" t="str">
        <f>"https://www.artic.edu/iiif/2/"&amp;Table9[[#This Row],[Image ID]]&amp;"/full/843,/0/default.jpg"</f>
        <v>https://www.artic.edu/iiif/2/88c7bd4e-c93f-dedb-feca-0e180239108f/full/843,/0/default.jpg</v>
      </c>
      <c r="N877" s="3">
        <v>0.8</v>
      </c>
      <c r="O877" s="3">
        <v>7.4999999999999997E-2</v>
      </c>
      <c r="P877" s="3">
        <v>0.72500000000000009</v>
      </c>
      <c r="Q877" s="3">
        <v>0.89721351861953702</v>
      </c>
    </row>
    <row r="878" spans="1:17" x14ac:dyDescent="0.45">
      <c r="A878" s="3">
        <v>16319</v>
      </c>
      <c r="B878" t="b">
        <v>0</v>
      </c>
      <c r="C878" t="b">
        <v>1</v>
      </c>
      <c r="D878" s="3">
        <v>1490</v>
      </c>
      <c r="E878" s="3">
        <v>1500</v>
      </c>
      <c r="F878" t="s">
        <v>14603</v>
      </c>
      <c r="G878" t="s">
        <v>75</v>
      </c>
      <c r="H878" s="3">
        <v>59.309800000000003</v>
      </c>
      <c r="I878" t="s">
        <v>1007</v>
      </c>
      <c r="J878" t="s">
        <v>13063</v>
      </c>
      <c r="L878" t="s">
        <v>4358</v>
      </c>
      <c r="M878" t="str">
        <f>"https://www.artic.edu/iiif/2/"&amp;Table9[[#This Row],[Image ID]]&amp;"/full/843,/0/default.jpg"</f>
        <v>https://www.artic.edu/iiif/2/932f72b9-800d-dbb4-9f5c-3071be1476b1/full/843,/0/default.jpg</v>
      </c>
      <c r="N878" s="3">
        <v>0.8</v>
      </c>
      <c r="O878" s="3">
        <v>7.4999999999999997E-2</v>
      </c>
      <c r="P878" s="3">
        <v>0.72500000000000009</v>
      </c>
      <c r="Q878" s="3">
        <v>0.83588272333145097</v>
      </c>
    </row>
    <row r="879" spans="1:17" x14ac:dyDescent="0.45">
      <c r="A879" s="3">
        <v>39121</v>
      </c>
      <c r="B879" t="b">
        <v>0</v>
      </c>
      <c r="C879" t="b">
        <v>1</v>
      </c>
      <c r="D879" s="3">
        <v>1830</v>
      </c>
      <c r="E879" s="3">
        <v>1840</v>
      </c>
      <c r="F879" t="s">
        <v>7455</v>
      </c>
      <c r="G879" t="s">
        <v>1085</v>
      </c>
      <c r="H879" s="3">
        <v>41.948599999999999</v>
      </c>
      <c r="I879" t="s">
        <v>1086</v>
      </c>
      <c r="J879" t="s">
        <v>13358</v>
      </c>
      <c r="L879" t="s">
        <v>7456</v>
      </c>
      <c r="M879" t="str">
        <f>"https://www.artic.edu/iiif/2/"&amp;Table9[[#This Row],[Image ID]]&amp;"/full/843,/0/default.jpg"</f>
        <v>https://www.artic.edu/iiif/2/a8b6e339-6fb8-5809-4122-daa66e13f74f/full/843,/0/default.jpg</v>
      </c>
      <c r="N879" s="3">
        <v>0.9</v>
      </c>
      <c r="O879" s="3">
        <v>0.17499999999999999</v>
      </c>
      <c r="P879" s="3">
        <v>0.72500000000000009</v>
      </c>
      <c r="Q879" s="3">
        <v>0.71536946296691895</v>
      </c>
    </row>
    <row r="880" spans="1:17" x14ac:dyDescent="0.45">
      <c r="A880" s="3">
        <v>32086</v>
      </c>
      <c r="B880" t="b">
        <v>0</v>
      </c>
      <c r="C880" t="b">
        <v>1</v>
      </c>
      <c r="D880" s="3">
        <v>1795</v>
      </c>
      <c r="E880" s="3">
        <v>1805</v>
      </c>
      <c r="F880" t="s">
        <v>7043</v>
      </c>
      <c r="G880" t="s">
        <v>7</v>
      </c>
      <c r="H880" s="3">
        <v>0</v>
      </c>
      <c r="I880" t="s">
        <v>2353</v>
      </c>
      <c r="J880" t="s">
        <v>13443</v>
      </c>
      <c r="L880" t="s">
        <v>7044</v>
      </c>
      <c r="M880" t="str">
        <f>"https://www.artic.edu/iiif/2/"&amp;Table9[[#This Row],[Image ID]]&amp;"/full/843,/0/default.jpg"</f>
        <v>https://www.artic.edu/iiif/2/afa5d7bf-fa98-a267-b9e2-d8ba8b77a0b2/full/843,/0/default.jpg</v>
      </c>
      <c r="N880" s="3">
        <v>0.9</v>
      </c>
      <c r="O880" s="3">
        <v>0.17499999999999999</v>
      </c>
      <c r="P880" s="3">
        <v>0.72500000000000009</v>
      </c>
      <c r="Q880" s="3">
        <v>0.76581549644470204</v>
      </c>
    </row>
    <row r="881" spans="1:17" x14ac:dyDescent="0.45">
      <c r="A881" s="3">
        <v>105469</v>
      </c>
      <c r="B881" t="b">
        <v>0</v>
      </c>
      <c r="C881" t="b">
        <v>1</v>
      </c>
      <c r="D881" s="3">
        <v>1840</v>
      </c>
      <c r="E881" s="3">
        <v>1847</v>
      </c>
      <c r="F881" t="s">
        <v>513</v>
      </c>
      <c r="G881" t="s">
        <v>514</v>
      </c>
      <c r="H881" s="3">
        <v>26.828900000000001</v>
      </c>
      <c r="I881" t="s">
        <v>14693</v>
      </c>
      <c r="J881" t="s">
        <v>13475</v>
      </c>
      <c r="L881" t="s">
        <v>515</v>
      </c>
      <c r="M881" t="str">
        <f>"https://www.artic.edu/iiif/2/"&amp;Table9[[#This Row],[Image ID]]&amp;"/full/843,/0/default.jpg"</f>
        <v>https://www.artic.edu/iiif/2/b1b82f80-25e9-6540-52f1-386affaa1c20/full/843,/0/default.jpg</v>
      </c>
      <c r="N881" s="3">
        <v>0.8</v>
      </c>
      <c r="O881" s="3">
        <v>7.4999999999999997E-2</v>
      </c>
      <c r="P881" s="3">
        <v>0.72500000000000009</v>
      </c>
      <c r="Q881" s="3">
        <v>0.55225974321365301</v>
      </c>
    </row>
    <row r="882" spans="1:17" x14ac:dyDescent="0.45">
      <c r="A882" s="3">
        <v>86323</v>
      </c>
      <c r="B882" t="b">
        <v>0</v>
      </c>
      <c r="C882" t="b">
        <v>1</v>
      </c>
      <c r="D882" s="3">
        <v>1651</v>
      </c>
      <c r="E882" s="3">
        <v>1661</v>
      </c>
      <c r="F882" t="s">
        <v>717</v>
      </c>
      <c r="G882" t="s">
        <v>7</v>
      </c>
      <c r="H882" s="3">
        <v>41.893099999999997</v>
      </c>
      <c r="I882" t="s">
        <v>730</v>
      </c>
      <c r="J882" t="s">
        <v>13492</v>
      </c>
      <c r="L882" t="s">
        <v>10330</v>
      </c>
      <c r="M882" t="str">
        <f>"https://www.artic.edu/iiif/2/"&amp;Table9[[#This Row],[Image ID]]&amp;"/full/843,/0/default.jpg"</f>
        <v>https://www.artic.edu/iiif/2/b30b708a-be47-c3cc-f3af-2a6798b7b088/full/843,/0/default.jpg</v>
      </c>
      <c r="N882" s="3">
        <v>0.92500000000000004</v>
      </c>
      <c r="O882" s="3">
        <v>0.2</v>
      </c>
      <c r="P882" s="3">
        <v>0.72500000000000009</v>
      </c>
      <c r="Q882" s="3">
        <v>0.84886521100997903</v>
      </c>
    </row>
    <row r="883" spans="1:17" x14ac:dyDescent="0.45">
      <c r="A883" s="3">
        <v>70133</v>
      </c>
      <c r="B883" t="b">
        <v>0</v>
      </c>
      <c r="C883" t="b">
        <v>1</v>
      </c>
      <c r="D883" s="3">
        <v>1767</v>
      </c>
      <c r="E883" s="3">
        <v>1767</v>
      </c>
      <c r="F883" t="s">
        <v>9440</v>
      </c>
      <c r="G883" t="s">
        <v>7</v>
      </c>
      <c r="H883" s="3">
        <v>31.7803</v>
      </c>
      <c r="I883" t="s">
        <v>7285</v>
      </c>
      <c r="J883" t="s">
        <v>13658</v>
      </c>
      <c r="L883" t="s">
        <v>9441</v>
      </c>
      <c r="M883" t="str">
        <f>"https://www.artic.edu/iiif/2/"&amp;Table9[[#This Row],[Image ID]]&amp;"/full/843,/0/default.jpg"</f>
        <v>https://www.artic.edu/iiif/2/c06a60ae-f4a5-451c-b6e9-7054fe824813/full/843,/0/default.jpg</v>
      </c>
      <c r="N883" s="3">
        <v>0.8</v>
      </c>
      <c r="O883" s="3">
        <v>7.4999999999999997E-2</v>
      </c>
      <c r="P883" s="3">
        <v>0.72500000000000009</v>
      </c>
      <c r="Q883" s="3">
        <v>0.823053479194641</v>
      </c>
    </row>
    <row r="884" spans="1:17" x14ac:dyDescent="0.45">
      <c r="A884" s="3">
        <v>71191</v>
      </c>
      <c r="B884" t="b">
        <v>0</v>
      </c>
      <c r="C884" t="b">
        <v>1</v>
      </c>
      <c r="D884" s="3">
        <v>1887</v>
      </c>
      <c r="E884" s="3">
        <v>1887</v>
      </c>
      <c r="F884" t="s">
        <v>9476</v>
      </c>
      <c r="G884" t="s">
        <v>7</v>
      </c>
      <c r="H884" s="3">
        <v>27.752099999999999</v>
      </c>
      <c r="I884" t="s">
        <v>3217</v>
      </c>
      <c r="J884" t="s">
        <v>13823</v>
      </c>
      <c r="L884" t="s">
        <v>9477</v>
      </c>
      <c r="M884" t="str">
        <f>"https://www.artic.edu/iiif/2/"&amp;Table9[[#This Row],[Image ID]]&amp;"/full/843,/0/default.jpg"</f>
        <v>https://www.artic.edu/iiif/2/ce26526c-dcc1-8967-05f8-bf74fa8d7eb8/full/843,/0/default.jpg</v>
      </c>
      <c r="N884" s="3">
        <v>0.8</v>
      </c>
      <c r="O884" s="3">
        <v>7.4999999999999997E-2</v>
      </c>
      <c r="P884" s="3">
        <v>0.72500000000000009</v>
      </c>
      <c r="Q884" s="3">
        <v>0.76836079359054499</v>
      </c>
    </row>
    <row r="885" spans="1:17" x14ac:dyDescent="0.45">
      <c r="A885" s="3">
        <v>24701</v>
      </c>
      <c r="B885" t="b">
        <v>0</v>
      </c>
      <c r="C885" t="b">
        <v>1</v>
      </c>
      <c r="D885" s="3">
        <v>1805</v>
      </c>
      <c r="E885" s="3">
        <v>1805</v>
      </c>
      <c r="F885" t="s">
        <v>6433</v>
      </c>
      <c r="G885" t="s">
        <v>5693</v>
      </c>
      <c r="H885" s="3">
        <v>27.529900000000001</v>
      </c>
      <c r="I885" t="s">
        <v>1266</v>
      </c>
      <c r="J885" t="s">
        <v>14005</v>
      </c>
      <c r="L885" t="s">
        <v>6434</v>
      </c>
      <c r="M885" t="str">
        <f>"https://www.artic.edu/iiif/2/"&amp;Table9[[#This Row],[Image ID]]&amp;"/full/843,/0/default.jpg"</f>
        <v>https://www.artic.edu/iiif/2/dbd9b8e8-7fe4-ce63-e301-e5e8811a0683/full/843,/0/default.jpg</v>
      </c>
      <c r="N885" s="3">
        <v>0.9</v>
      </c>
      <c r="O885" s="3">
        <v>0.17499999999999999</v>
      </c>
      <c r="P885" s="3">
        <v>0.72500000000000009</v>
      </c>
      <c r="Q885" s="3">
        <v>0.77058893442153897</v>
      </c>
    </row>
    <row r="886" spans="1:17" x14ac:dyDescent="0.45">
      <c r="A886" s="3">
        <v>44065</v>
      </c>
      <c r="B886" t="b">
        <v>0</v>
      </c>
      <c r="C886" t="b">
        <v>1</v>
      </c>
      <c r="D886" s="3">
        <v>1891</v>
      </c>
      <c r="E886" s="3">
        <v>1891</v>
      </c>
      <c r="F886" t="s">
        <v>7766</v>
      </c>
      <c r="G886" t="s">
        <v>7</v>
      </c>
      <c r="H886" s="3">
        <v>30.797799999999999</v>
      </c>
      <c r="I886" t="s">
        <v>1088</v>
      </c>
      <c r="J886" t="s">
        <v>14142</v>
      </c>
      <c r="K886" s="5" t="s">
        <v>284</v>
      </c>
      <c r="L886" t="s">
        <v>7767</v>
      </c>
      <c r="M886" t="str">
        <f>"https://www.artic.edu/iiif/2/"&amp;Table9[[#This Row],[Image ID]]&amp;"/full/843,/0/default.jpg"</f>
        <v>https://www.artic.edu/iiif/2/e49ad195-1f62-2fd4-f4df-61f0f0f4951f/full/843,/0/default.jpg</v>
      </c>
      <c r="N886" s="3">
        <v>0.8</v>
      </c>
      <c r="O886" s="3">
        <v>7.4999999999999997E-2</v>
      </c>
      <c r="P886" s="3">
        <v>0.72500000000000009</v>
      </c>
      <c r="Q886" s="3">
        <v>0.60095453262329102</v>
      </c>
    </row>
    <row r="887" spans="1:17" x14ac:dyDescent="0.45">
      <c r="A887" s="3">
        <v>30899</v>
      </c>
      <c r="B887" t="b">
        <v>0</v>
      </c>
      <c r="C887" t="b">
        <v>1</v>
      </c>
      <c r="D887" s="3">
        <v>1773</v>
      </c>
      <c r="E887" s="3">
        <v>1773</v>
      </c>
      <c r="F887" t="s">
        <v>6959</v>
      </c>
      <c r="G887" t="s">
        <v>75</v>
      </c>
      <c r="H887" s="3">
        <v>37.962000000000003</v>
      </c>
      <c r="I887" t="s">
        <v>6960</v>
      </c>
      <c r="J887" t="s">
        <v>14157</v>
      </c>
      <c r="L887" t="s">
        <v>6961</v>
      </c>
      <c r="M887" t="str">
        <f>"https://www.artic.edu/iiif/2/"&amp;Table9[[#This Row],[Image ID]]&amp;"/full/843,/0/default.jpg"</f>
        <v>https://www.artic.edu/iiif/2/e53b4972-30dc-5aed-1696-2b5778277d60/full/843,/0/default.jpg</v>
      </c>
      <c r="N887" s="3">
        <v>0.8</v>
      </c>
      <c r="O887" s="3">
        <v>7.4999999999999997E-2</v>
      </c>
      <c r="P887" s="3">
        <v>0.72500000000000009</v>
      </c>
      <c r="Q887" s="3">
        <v>0.92770147323608398</v>
      </c>
    </row>
    <row r="888" spans="1:17" x14ac:dyDescent="0.45">
      <c r="A888" s="3">
        <v>35184</v>
      </c>
      <c r="B888" t="b">
        <v>0</v>
      </c>
      <c r="C888" t="b">
        <v>1</v>
      </c>
      <c r="D888" s="3">
        <v>1544</v>
      </c>
      <c r="E888" s="3">
        <v>1544</v>
      </c>
      <c r="F888" t="s">
        <v>7160</v>
      </c>
      <c r="G888" t="s">
        <v>75</v>
      </c>
      <c r="H888" s="3">
        <v>0</v>
      </c>
      <c r="I888" t="s">
        <v>7161</v>
      </c>
      <c r="J888" t="s">
        <v>14230</v>
      </c>
      <c r="L888" t="s">
        <v>7162</v>
      </c>
      <c r="M888" t="str">
        <f>"https://www.artic.edu/iiif/2/"&amp;Table9[[#This Row],[Image ID]]&amp;"/full/843,/0/default.jpg"</f>
        <v>https://www.artic.edu/iiif/2/ea6031f9-0588-1f5c-126e-fe297744a4af/full/843,/0/default.jpg</v>
      </c>
      <c r="N888" s="3">
        <v>0.8</v>
      </c>
      <c r="O888" s="3">
        <v>7.4999999999999997E-2</v>
      </c>
      <c r="P888" s="3">
        <v>0.72500000000000009</v>
      </c>
      <c r="Q888" s="3">
        <v>0.69380933046340898</v>
      </c>
    </row>
    <row r="889" spans="1:17" x14ac:dyDescent="0.45">
      <c r="A889" s="3">
        <v>44816</v>
      </c>
      <c r="B889" t="b">
        <v>0</v>
      </c>
      <c r="C889" t="b">
        <v>1</v>
      </c>
      <c r="D889" s="3">
        <v>1565</v>
      </c>
      <c r="E889" s="3">
        <v>1575</v>
      </c>
      <c r="F889" t="s">
        <v>1122</v>
      </c>
      <c r="G889" t="s">
        <v>7</v>
      </c>
      <c r="H889" s="3">
        <v>18.875900000000001</v>
      </c>
      <c r="I889" t="s">
        <v>843</v>
      </c>
      <c r="J889" t="s">
        <v>14351</v>
      </c>
      <c r="L889" t="s">
        <v>7794</v>
      </c>
      <c r="M889" t="str">
        <f>"https://www.artic.edu/iiif/2/"&amp;Table9[[#This Row],[Image ID]]&amp;"/full/843,/0/default.jpg"</f>
        <v>https://www.artic.edu/iiif/2/f2a05278-c678-41d0-f72b-fc7e0b6e42f8/full/843,/0/default.jpg</v>
      </c>
      <c r="N889" s="3">
        <v>0.8</v>
      </c>
      <c r="O889" s="3">
        <v>7.4999999999999997E-2</v>
      </c>
      <c r="P889" s="3">
        <v>0.72500000000000009</v>
      </c>
      <c r="Q889" s="3">
        <v>0.90018433332443204</v>
      </c>
    </row>
    <row r="890" spans="1:17" x14ac:dyDescent="0.45">
      <c r="A890" s="3">
        <v>24315</v>
      </c>
      <c r="B890" t="b">
        <v>0</v>
      </c>
      <c r="C890" t="b">
        <v>1</v>
      </c>
      <c r="D890" s="3">
        <v>1585</v>
      </c>
      <c r="E890" s="3">
        <v>1595</v>
      </c>
      <c r="F890" t="s">
        <v>955</v>
      </c>
      <c r="G890" t="s">
        <v>7</v>
      </c>
      <c r="H890" s="3">
        <v>22.783000000000001</v>
      </c>
      <c r="I890" t="s">
        <v>560</v>
      </c>
      <c r="J890" t="s">
        <v>14470</v>
      </c>
      <c r="L890" t="s">
        <v>6384</v>
      </c>
      <c r="M890" t="str">
        <f>"https://www.artic.edu/iiif/2/"&amp;Table9[[#This Row],[Image ID]]&amp;"/full/843,/0/default.jpg"</f>
        <v>https://www.artic.edu/iiif/2/fb2f5e90-003e-5505-e8b6-5eafd01fc3a1/full/843,/0/default.jpg</v>
      </c>
      <c r="N890" s="3">
        <v>0.8</v>
      </c>
      <c r="O890" s="3">
        <v>7.4999999999999997E-2</v>
      </c>
      <c r="P890" s="3">
        <v>0.72500000000000009</v>
      </c>
      <c r="Q890" s="3">
        <v>0.752996385097503</v>
      </c>
    </row>
    <row r="891" spans="1:17" x14ac:dyDescent="0.45">
      <c r="A891" s="3">
        <v>39213</v>
      </c>
      <c r="B891" t="b">
        <v>0</v>
      </c>
      <c r="C891" t="b">
        <v>1</v>
      </c>
      <c r="D891" s="3">
        <v>1835</v>
      </c>
      <c r="E891" s="3">
        <v>1882</v>
      </c>
      <c r="F891" t="s">
        <v>7509</v>
      </c>
      <c r="G891" t="s">
        <v>7510</v>
      </c>
      <c r="H891" s="3">
        <v>36.973999999999997</v>
      </c>
      <c r="I891" t="s">
        <v>5317</v>
      </c>
      <c r="J891" t="s">
        <v>14520</v>
      </c>
      <c r="L891" t="s">
        <v>7511</v>
      </c>
      <c r="M891" t="str">
        <f>"https://www.artic.edu/iiif/2/"&amp;Table9[[#This Row],[Image ID]]&amp;"/full/843,/0/default.jpg"</f>
        <v>https://www.artic.edu/iiif/2/febe37c6-c437-d503-fa3a-9629ec0846a4/full/843,/0/default.jpg</v>
      </c>
      <c r="N891" s="3">
        <v>0.8</v>
      </c>
      <c r="O891" s="3">
        <v>7.4999999999999997E-2</v>
      </c>
      <c r="P891" s="3">
        <v>0.72500000000000009</v>
      </c>
      <c r="Q891" s="3">
        <v>0.77182209491729703</v>
      </c>
    </row>
    <row r="892" spans="1:17" x14ac:dyDescent="0.45">
      <c r="A892" s="3">
        <v>6201</v>
      </c>
      <c r="B892" t="b">
        <v>0</v>
      </c>
      <c r="C892" t="b">
        <v>1</v>
      </c>
      <c r="D892" s="3">
        <v>1827</v>
      </c>
      <c r="E892" s="3">
        <v>1837</v>
      </c>
      <c r="F892" t="s">
        <v>1911</v>
      </c>
      <c r="G892" t="s">
        <v>8860</v>
      </c>
      <c r="H892" s="3">
        <v>30.894300000000001</v>
      </c>
      <c r="I892" t="s">
        <v>230</v>
      </c>
      <c r="J892" t="s">
        <v>14544</v>
      </c>
      <c r="L892" t="s">
        <v>8861</v>
      </c>
      <c r="M892" t="str">
        <f>"https://www.artic.edu/iiif/2/"&amp;Table9[[#This Row],[Image ID]]&amp;"/full/843,/0/default.jpg"</f>
        <v>https://www.artic.edu/iiif/2/ffc2e917-6349-2674-0159-b566fdaec601/full/843,/0/default.jpg</v>
      </c>
      <c r="N892" s="3">
        <v>0.8</v>
      </c>
      <c r="O892" s="3">
        <v>7.4999999999999997E-2</v>
      </c>
      <c r="P892" s="3">
        <v>0.72500000000000009</v>
      </c>
      <c r="Q892" s="3">
        <v>0.67528784275054898</v>
      </c>
    </row>
    <row r="893" spans="1:17" x14ac:dyDescent="0.45">
      <c r="A893" s="3">
        <v>115884</v>
      </c>
      <c r="B893" t="b">
        <v>0</v>
      </c>
      <c r="C893" t="b">
        <v>0</v>
      </c>
      <c r="F893" t="s">
        <v>2171</v>
      </c>
      <c r="G893" t="s">
        <v>2112</v>
      </c>
      <c r="H893" s="3">
        <v>31.817900000000002</v>
      </c>
      <c r="I893" t="s">
        <v>2172</v>
      </c>
      <c r="J893" t="s">
        <v>2174</v>
      </c>
      <c r="L893" t="s">
        <v>2173</v>
      </c>
      <c r="M893" t="str">
        <f>"https://www.artic.edu/iiif/2/"&amp;Table9[[#This Row],[Image ID]]&amp;"/full/843,/0/default.jpg"</f>
        <v>https://www.artic.edu/iiif/2/045c3d07-c60d-1cd3-14fc-1f44c48e4ae7/full/843,/0/default.jpg</v>
      </c>
      <c r="N893" s="3">
        <v>0.875</v>
      </c>
      <c r="O893" s="3">
        <v>0.15</v>
      </c>
      <c r="P893" s="3">
        <v>0.72499999999999998</v>
      </c>
      <c r="Q893" s="3">
        <v>0.59456652402877797</v>
      </c>
    </row>
    <row r="894" spans="1:17" x14ac:dyDescent="0.45">
      <c r="A894" s="3">
        <v>109278</v>
      </c>
      <c r="B894" t="b">
        <v>0</v>
      </c>
      <c r="C894" t="b">
        <v>0</v>
      </c>
      <c r="D894" s="3">
        <v>1930</v>
      </c>
      <c r="E894" s="3">
        <v>1930</v>
      </c>
      <c r="F894" t="s">
        <v>759</v>
      </c>
      <c r="G894" t="s">
        <v>75</v>
      </c>
      <c r="H894" s="3">
        <v>19.3903</v>
      </c>
      <c r="I894" t="s">
        <v>133</v>
      </c>
      <c r="J894" t="s">
        <v>11086</v>
      </c>
      <c r="K894" s="5" t="s">
        <v>2</v>
      </c>
      <c r="L894" t="s">
        <v>760</v>
      </c>
      <c r="M894" t="str">
        <f>"https://www.artic.edu/iiif/2/"&amp;Table9[[#This Row],[Image ID]]&amp;"/full/843,/0/default.jpg"</f>
        <v>https://www.artic.edu/iiif/2/080c3376-0a60-6d09-f23b-449742a1efeb/full/843,/0/default.jpg</v>
      </c>
      <c r="N894" s="3">
        <v>0.77500000000000002</v>
      </c>
      <c r="O894" s="3">
        <v>0.05</v>
      </c>
      <c r="P894" s="3">
        <v>0.72499999999999998</v>
      </c>
      <c r="Q894" s="3">
        <v>0.89058452844619695</v>
      </c>
    </row>
    <row r="895" spans="1:17" x14ac:dyDescent="0.45">
      <c r="A895" s="3">
        <v>129686</v>
      </c>
      <c r="B895" t="b">
        <v>0</v>
      </c>
      <c r="C895" t="b">
        <v>0</v>
      </c>
      <c r="D895" s="3">
        <v>1941</v>
      </c>
      <c r="E895" s="3">
        <v>1941</v>
      </c>
      <c r="F895" t="s">
        <v>2912</v>
      </c>
      <c r="G895" t="s">
        <v>2892</v>
      </c>
      <c r="H895" s="3">
        <v>29.118200000000002</v>
      </c>
      <c r="I895" t="s">
        <v>14549</v>
      </c>
      <c r="J895" t="s">
        <v>10990</v>
      </c>
      <c r="L895" t="s">
        <v>2913</v>
      </c>
      <c r="M895" t="str">
        <f>"https://www.artic.edu/iiif/2/"&amp;Table9[[#This Row],[Image ID]]&amp;"/full/843,/0/default.jpg"</f>
        <v>https://www.artic.edu/iiif/2/0b81e083-0ed8-82e6-e066-3e28d73eca65/full/843,/0/default.jpg</v>
      </c>
      <c r="N895" s="3">
        <v>0.77500000000000002</v>
      </c>
      <c r="O895" s="3">
        <v>0.05</v>
      </c>
      <c r="P895" s="3">
        <v>0.72499999999999998</v>
      </c>
      <c r="Q895" s="3">
        <v>0.87243670225143399</v>
      </c>
    </row>
    <row r="896" spans="1:17" x14ac:dyDescent="0.45">
      <c r="A896" s="3">
        <v>28542</v>
      </c>
      <c r="B896" t="b">
        <v>0</v>
      </c>
      <c r="C896" t="b">
        <v>0</v>
      </c>
      <c r="D896" s="3">
        <v>1958</v>
      </c>
      <c r="E896" s="3">
        <v>1958</v>
      </c>
      <c r="F896" t="s">
        <v>6809</v>
      </c>
      <c r="G896" t="s">
        <v>7</v>
      </c>
      <c r="H896" s="3">
        <v>17.3401</v>
      </c>
      <c r="I896" t="s">
        <v>172</v>
      </c>
      <c r="J896" t="s">
        <v>11191</v>
      </c>
      <c r="L896" t="s">
        <v>6810</v>
      </c>
      <c r="M896" t="str">
        <f>"https://www.artic.edu/iiif/2/"&amp;Table9[[#This Row],[Image ID]]&amp;"/full/843,/0/default.jpg"</f>
        <v>https://www.artic.edu/iiif/2/10af2bf0-434b-d27c-9ce6-17eaddf4c71f/full/843,/0/default.jpg</v>
      </c>
      <c r="N896" s="3">
        <v>0.77500000000000002</v>
      </c>
      <c r="O896" s="3">
        <v>0.05</v>
      </c>
      <c r="P896" s="3">
        <v>0.72499999999999998</v>
      </c>
      <c r="Q896" s="3">
        <v>0.69433927536010698</v>
      </c>
    </row>
    <row r="897" spans="1:17" x14ac:dyDescent="0.45">
      <c r="A897" s="3">
        <v>159810</v>
      </c>
      <c r="B897" t="b">
        <v>0</v>
      </c>
      <c r="C897" t="b">
        <v>0</v>
      </c>
      <c r="D897" s="3">
        <v>1950</v>
      </c>
      <c r="E897" s="3">
        <v>1960</v>
      </c>
      <c r="F897" t="s">
        <v>4214</v>
      </c>
      <c r="G897" t="s">
        <v>7</v>
      </c>
      <c r="H897" s="3">
        <v>24.767399999999999</v>
      </c>
      <c r="I897" t="s">
        <v>190</v>
      </c>
      <c r="J897" t="s">
        <v>11359</v>
      </c>
      <c r="K897" s="5" t="s">
        <v>2</v>
      </c>
      <c r="L897" t="s">
        <v>4215</v>
      </c>
      <c r="M897" t="str">
        <f>"https://www.artic.edu/iiif/2/"&amp;Table9[[#This Row],[Image ID]]&amp;"/full/843,/0/default.jpg"</f>
        <v>https://www.artic.edu/iiif/2/1c2074ad-4242-d31c-3b1b-19054416677a/full/843,/0/default.jpg</v>
      </c>
      <c r="N897" s="3">
        <v>0.77500000000000002</v>
      </c>
      <c r="O897" s="3">
        <v>0.05</v>
      </c>
      <c r="P897" s="3">
        <v>0.72499999999999998</v>
      </c>
      <c r="Q897" s="3">
        <v>0.68902808427810602</v>
      </c>
    </row>
    <row r="898" spans="1:17" x14ac:dyDescent="0.45">
      <c r="A898" s="3">
        <v>225730</v>
      </c>
      <c r="B898" t="b">
        <v>0</v>
      </c>
      <c r="C898" t="b">
        <v>0</v>
      </c>
      <c r="D898" s="3">
        <v>1959</v>
      </c>
      <c r="E898" s="3">
        <v>1959</v>
      </c>
      <c r="F898" t="s">
        <v>5920</v>
      </c>
      <c r="G898" t="s">
        <v>5917</v>
      </c>
      <c r="H898" s="3">
        <v>37.991100000000003</v>
      </c>
      <c r="I898" t="s">
        <v>5918</v>
      </c>
      <c r="J898" t="s">
        <v>11203</v>
      </c>
      <c r="L898" t="s">
        <v>5921</v>
      </c>
      <c r="M898" t="str">
        <f>"https://www.artic.edu/iiif/2/"&amp;Table9[[#This Row],[Image ID]]&amp;"/full/843,/0/default.jpg"</f>
        <v>https://www.artic.edu/iiif/2/2279b206-3d93-427c-36dc-94db5badde99/full/843,/0/default.jpg</v>
      </c>
      <c r="N898" s="3">
        <v>0.85</v>
      </c>
      <c r="O898" s="3">
        <v>0.125</v>
      </c>
      <c r="P898" s="3">
        <v>0.72499999999999998</v>
      </c>
      <c r="Q898" s="3">
        <v>0.79276722669601396</v>
      </c>
    </row>
    <row r="899" spans="1:17" x14ac:dyDescent="0.45">
      <c r="A899" s="3">
        <v>15844</v>
      </c>
      <c r="B899" t="b">
        <v>0</v>
      </c>
      <c r="C899" t="b">
        <v>0</v>
      </c>
      <c r="D899" s="3">
        <v>1897</v>
      </c>
      <c r="E899" s="3">
        <v>1933</v>
      </c>
      <c r="F899" t="s">
        <v>4136</v>
      </c>
      <c r="G899" t="s">
        <v>4137</v>
      </c>
      <c r="H899" s="3">
        <v>18.3064</v>
      </c>
      <c r="I899" t="s">
        <v>4138</v>
      </c>
      <c r="J899" t="s">
        <v>11479</v>
      </c>
      <c r="L899" t="s">
        <v>4139</v>
      </c>
      <c r="M899" t="str">
        <f>"https://www.artic.edu/iiif/2/"&amp;Table9[[#This Row],[Image ID]]&amp;"/full/843,/0/default.jpg"</f>
        <v>https://www.artic.edu/iiif/2/235de5b4-fa2c-1e09-0906-36399a652b00/full/843,/0/default.jpg</v>
      </c>
      <c r="N899" s="3">
        <v>0.75</v>
      </c>
      <c r="O899" s="3">
        <v>2.5000000000000001E-2</v>
      </c>
      <c r="P899" s="3">
        <v>0.72499999999999998</v>
      </c>
      <c r="Q899" s="3">
        <v>0.71681612730026201</v>
      </c>
    </row>
    <row r="900" spans="1:17" x14ac:dyDescent="0.45">
      <c r="A900" s="3">
        <v>193332</v>
      </c>
      <c r="B900" t="b">
        <v>0</v>
      </c>
      <c r="C900" t="b">
        <v>0</v>
      </c>
      <c r="D900" s="3">
        <v>1953</v>
      </c>
      <c r="E900" s="3">
        <v>1963</v>
      </c>
      <c r="F900" t="s">
        <v>14</v>
      </c>
      <c r="G900" t="s">
        <v>5231</v>
      </c>
      <c r="H900" s="3">
        <v>28.698699999999999</v>
      </c>
      <c r="I900" t="s">
        <v>5142</v>
      </c>
      <c r="J900" t="s">
        <v>11482</v>
      </c>
      <c r="K900" s="5" t="s">
        <v>130</v>
      </c>
      <c r="L900" t="s">
        <v>5232</v>
      </c>
      <c r="M900" t="str">
        <f>"https://www.artic.edu/iiif/2/"&amp;Table9[[#This Row],[Image ID]]&amp;"/full/843,/0/default.jpg"</f>
        <v>https://www.artic.edu/iiif/2/23abd1b7-b39a-9d54-64b6-fe7a68726517/full/843,/0/default.jpg</v>
      </c>
      <c r="N900" s="3">
        <v>0.82499999999999996</v>
      </c>
      <c r="O900" s="3">
        <v>0.1</v>
      </c>
      <c r="P900" s="3">
        <v>0.72499999999999998</v>
      </c>
      <c r="Q900" s="3">
        <v>0.73727118968963601</v>
      </c>
    </row>
    <row r="901" spans="1:17" x14ac:dyDescent="0.45">
      <c r="A901" s="3">
        <v>127281</v>
      </c>
      <c r="B901" t="b">
        <v>0</v>
      </c>
      <c r="C901" t="b">
        <v>0</v>
      </c>
      <c r="D901" s="3">
        <v>1935</v>
      </c>
      <c r="E901" s="3">
        <v>1942</v>
      </c>
      <c r="F901" t="s">
        <v>2817</v>
      </c>
      <c r="G901" t="s">
        <v>451</v>
      </c>
      <c r="H901" s="3">
        <v>18.979299999999999</v>
      </c>
      <c r="I901" t="s">
        <v>2790</v>
      </c>
      <c r="J901" t="s">
        <v>11490</v>
      </c>
      <c r="L901" t="s">
        <v>2818</v>
      </c>
      <c r="M901" t="str">
        <f>"https://www.artic.edu/iiif/2/"&amp;Table9[[#This Row],[Image ID]]&amp;"/full/843,/0/default.jpg"</f>
        <v>https://www.artic.edu/iiif/2/2453bde3-efba-2a1a-c17c-fd28b1c1deef/full/843,/0/default.jpg</v>
      </c>
      <c r="N901" s="3">
        <v>0.75</v>
      </c>
      <c r="O901" s="3">
        <v>2.5000000000000001E-2</v>
      </c>
      <c r="P901" s="3">
        <v>0.72499999999999998</v>
      </c>
      <c r="Q901" s="3">
        <v>0.79283237457275302</v>
      </c>
    </row>
    <row r="902" spans="1:17" x14ac:dyDescent="0.45">
      <c r="A902" s="3">
        <v>24667</v>
      </c>
      <c r="B902" t="b">
        <v>0</v>
      </c>
      <c r="C902" t="b">
        <v>0</v>
      </c>
      <c r="D902" s="3">
        <v>1958</v>
      </c>
      <c r="E902" s="3">
        <v>1958</v>
      </c>
      <c r="F902" t="s">
        <v>5313</v>
      </c>
      <c r="G902" t="s">
        <v>6414</v>
      </c>
      <c r="H902" s="3">
        <v>41.881599999999999</v>
      </c>
      <c r="I902" t="s">
        <v>63</v>
      </c>
      <c r="J902" t="s">
        <v>11528</v>
      </c>
      <c r="L902" t="s">
        <v>6415</v>
      </c>
      <c r="M902" t="str">
        <f>"https://www.artic.edu/iiif/2/"&amp;Table9[[#This Row],[Image ID]]&amp;"/full/843,/0/default.jpg"</f>
        <v>https://www.artic.edu/iiif/2/268c1e98-dcd5-2150-1cdc-3cf0c036b919/full/843,/0/default.jpg</v>
      </c>
      <c r="N902" s="3">
        <v>0.82499999999999996</v>
      </c>
      <c r="O902" s="3">
        <v>0.1</v>
      </c>
      <c r="P902" s="3">
        <v>0.72499999999999998</v>
      </c>
      <c r="Q902" s="3">
        <v>0.74998545646667403</v>
      </c>
    </row>
    <row r="903" spans="1:17" x14ac:dyDescent="0.45">
      <c r="A903" s="3">
        <v>230054</v>
      </c>
      <c r="B903" t="b">
        <v>0</v>
      </c>
      <c r="C903" t="b">
        <v>0</v>
      </c>
      <c r="D903" s="3">
        <v>1958</v>
      </c>
      <c r="E903" s="3">
        <v>1958</v>
      </c>
      <c r="F903" t="s">
        <v>6134</v>
      </c>
      <c r="G903" t="s">
        <v>6135</v>
      </c>
      <c r="H903" s="3">
        <v>88.763199999999998</v>
      </c>
      <c r="I903" t="s">
        <v>2302</v>
      </c>
      <c r="J903" t="s">
        <v>11681</v>
      </c>
      <c r="L903" t="s">
        <v>6136</v>
      </c>
      <c r="M903" t="str">
        <f>"https://www.artic.edu/iiif/2/"&amp;Table9[[#This Row],[Image ID]]&amp;"/full/843,/0/default.jpg"</f>
        <v>https://www.artic.edu/iiif/2/30588fbb-c3d5-56a0-0f2e-6267269ea434/full/843,/0/default.jpg</v>
      </c>
      <c r="N903" s="3">
        <v>0.77500000000000002</v>
      </c>
      <c r="O903" s="3">
        <v>0.05</v>
      </c>
      <c r="P903" s="3">
        <v>0.72499999999999998</v>
      </c>
      <c r="Q903" s="3">
        <v>0.79202997684478704</v>
      </c>
    </row>
    <row r="904" spans="1:17" x14ac:dyDescent="0.45">
      <c r="A904" s="3">
        <v>55748</v>
      </c>
      <c r="B904" t="b">
        <v>0</v>
      </c>
      <c r="C904" t="b">
        <v>0</v>
      </c>
      <c r="D904" s="3">
        <v>1962</v>
      </c>
      <c r="E904" s="3">
        <v>1965</v>
      </c>
      <c r="F904" t="s">
        <v>8398</v>
      </c>
      <c r="G904" t="s">
        <v>8399</v>
      </c>
      <c r="H904" s="3">
        <v>40.911299999999997</v>
      </c>
      <c r="I904" t="s">
        <v>599</v>
      </c>
      <c r="J904" t="s">
        <v>11739</v>
      </c>
      <c r="L904" t="s">
        <v>8400</v>
      </c>
      <c r="M904" t="str">
        <f>"https://www.artic.edu/iiif/2/"&amp;Table9[[#This Row],[Image ID]]&amp;"/full/843,/0/default.jpg"</f>
        <v>https://www.artic.edu/iiif/2/34b08526-61fc-d16a-bd5d-d0e4370f6459/full/843,/0/default.jpg</v>
      </c>
      <c r="N904" s="3">
        <v>0.875</v>
      </c>
      <c r="O904" s="3">
        <v>0.15</v>
      </c>
      <c r="P904" s="3">
        <v>0.72499999999999998</v>
      </c>
      <c r="Q904" s="3">
        <v>0.814031541347503</v>
      </c>
    </row>
    <row r="905" spans="1:17" x14ac:dyDescent="0.45">
      <c r="A905" s="3">
        <v>228846</v>
      </c>
      <c r="B905" t="b">
        <v>0</v>
      </c>
      <c r="C905" t="b">
        <v>0</v>
      </c>
      <c r="D905" s="3">
        <v>2003</v>
      </c>
      <c r="E905" s="3">
        <v>2003</v>
      </c>
      <c r="F905" t="s">
        <v>6032</v>
      </c>
      <c r="G905" t="s">
        <v>6033</v>
      </c>
      <c r="H905" s="3">
        <v>63.533999999999999</v>
      </c>
      <c r="I905" t="s">
        <v>6034</v>
      </c>
      <c r="J905" t="s">
        <v>11749</v>
      </c>
      <c r="K905" s="5" t="s">
        <v>15</v>
      </c>
      <c r="L905" t="s">
        <v>6035</v>
      </c>
      <c r="M905" t="str">
        <f>"https://www.artic.edu/iiif/2/"&amp;Table9[[#This Row],[Image ID]]&amp;"/full/843,/0/default.jpg"</f>
        <v>https://www.artic.edu/iiif/2/3572974a-2d8c-dd4c-5d5c-04fbdc71784b/full/843,/0/default.jpg</v>
      </c>
      <c r="N905" s="3">
        <v>0.77500000000000002</v>
      </c>
      <c r="O905" s="3">
        <v>0.05</v>
      </c>
      <c r="P905" s="3">
        <v>0.72499999999999998</v>
      </c>
      <c r="Q905" s="3">
        <v>0.902920842170715</v>
      </c>
    </row>
    <row r="906" spans="1:17" x14ac:dyDescent="0.45">
      <c r="A906" s="3">
        <v>110961</v>
      </c>
      <c r="B906" t="b">
        <v>0</v>
      </c>
      <c r="C906" t="b">
        <v>0</v>
      </c>
      <c r="D906" s="3">
        <v>1975</v>
      </c>
      <c r="E906" s="3">
        <v>1975</v>
      </c>
      <c r="F906" t="s">
        <v>967</v>
      </c>
      <c r="G906" t="s">
        <v>7</v>
      </c>
      <c r="H906" s="3">
        <v>37.267299999999999</v>
      </c>
      <c r="I906" t="s">
        <v>18</v>
      </c>
      <c r="J906" t="s">
        <v>11773</v>
      </c>
      <c r="L906" t="s">
        <v>968</v>
      </c>
      <c r="M906" t="str">
        <f>"https://www.artic.edu/iiif/2/"&amp;Table9[[#This Row],[Image ID]]&amp;"/full/843,/0/default.jpg"</f>
        <v>https://www.artic.edu/iiif/2/375dd6c4-efc1-3604-adca-4a7338933836/full/843,/0/default.jpg</v>
      </c>
      <c r="N906" s="3">
        <v>0.77500000000000002</v>
      </c>
      <c r="O906" s="3">
        <v>0.05</v>
      </c>
      <c r="P906" s="3">
        <v>0.72499999999999998</v>
      </c>
      <c r="Q906" s="3">
        <v>0.81832635402679399</v>
      </c>
    </row>
    <row r="907" spans="1:17" x14ac:dyDescent="0.45">
      <c r="A907" s="3">
        <v>181712</v>
      </c>
      <c r="B907" t="b">
        <v>0</v>
      </c>
      <c r="C907" t="b">
        <v>0</v>
      </c>
      <c r="D907" s="3">
        <v>1989</v>
      </c>
      <c r="E907" s="3">
        <v>1989</v>
      </c>
      <c r="F907" t="s">
        <v>4731</v>
      </c>
      <c r="G907" t="s">
        <v>4732</v>
      </c>
      <c r="H907" s="3">
        <v>15.208</v>
      </c>
      <c r="I907" t="s">
        <v>4047</v>
      </c>
      <c r="J907" t="s">
        <v>11907</v>
      </c>
      <c r="L907" t="s">
        <v>4733</v>
      </c>
      <c r="M907" t="str">
        <f>"https://www.artic.edu/iiif/2/"&amp;Table9[[#This Row],[Image ID]]&amp;"/full/843,/0/default.jpg"</f>
        <v>https://www.artic.edu/iiif/2/3f6682ea-cd61-510b-8fe3-eb6f885ad21e/full/843,/0/default.jpg</v>
      </c>
      <c r="N907" s="3">
        <v>0.72499999999999998</v>
      </c>
      <c r="O907" s="3">
        <v>0</v>
      </c>
      <c r="P907" s="3">
        <v>0.72499999999999998</v>
      </c>
      <c r="Q907" s="3">
        <v>0.89997863769531194</v>
      </c>
    </row>
    <row r="908" spans="1:17" x14ac:dyDescent="0.45">
      <c r="A908" s="3">
        <v>158377</v>
      </c>
      <c r="B908" t="b">
        <v>0</v>
      </c>
      <c r="C908" t="b">
        <v>0</v>
      </c>
      <c r="D908" s="3">
        <v>1983</v>
      </c>
      <c r="E908" s="3">
        <v>1983</v>
      </c>
      <c r="F908" t="s">
        <v>4127</v>
      </c>
      <c r="G908" t="s">
        <v>1064</v>
      </c>
      <c r="H908" s="3">
        <v>20.024000000000001</v>
      </c>
      <c r="I908" t="s">
        <v>2424</v>
      </c>
      <c r="J908" t="s">
        <v>11909</v>
      </c>
      <c r="L908" t="s">
        <v>4128</v>
      </c>
      <c r="M908" t="str">
        <f>"https://www.artic.edu/iiif/2/"&amp;Table9[[#This Row],[Image ID]]&amp;"/full/843,/0/default.jpg"</f>
        <v>https://www.artic.edu/iiif/2/3f80cf16-9ee5-ff84-6c3b-63922941ecd6/full/843,/0/default.jpg</v>
      </c>
      <c r="N908" s="3">
        <v>0.875</v>
      </c>
      <c r="O908" s="3">
        <v>0.15</v>
      </c>
      <c r="P908" s="3">
        <v>0.72499999999999998</v>
      </c>
      <c r="Q908" s="3">
        <v>0.880809426307678</v>
      </c>
    </row>
    <row r="909" spans="1:17" x14ac:dyDescent="0.45">
      <c r="A909" s="3">
        <v>49594</v>
      </c>
      <c r="B909" t="b">
        <v>0</v>
      </c>
      <c r="C909" t="b">
        <v>0</v>
      </c>
      <c r="D909" s="3">
        <v>1966</v>
      </c>
      <c r="E909" s="3">
        <v>1966</v>
      </c>
      <c r="F909" t="s">
        <v>8060</v>
      </c>
      <c r="G909" t="s">
        <v>59</v>
      </c>
      <c r="H909" s="3">
        <v>41.482999999999997</v>
      </c>
      <c r="I909" t="s">
        <v>5985</v>
      </c>
      <c r="J909" t="s">
        <v>11927</v>
      </c>
      <c r="L909" t="s">
        <v>8061</v>
      </c>
      <c r="M909" t="str">
        <f>"https://www.artic.edu/iiif/2/"&amp;Table9[[#This Row],[Image ID]]&amp;"/full/843,/0/default.jpg"</f>
        <v>https://www.artic.edu/iiif/2/40a8a8d9-2dba-9a94-1229-339cd463e9ef/full/843,/0/default.jpg</v>
      </c>
      <c r="N909" s="3">
        <v>0.82499999999999996</v>
      </c>
      <c r="O909" s="3">
        <v>0.1</v>
      </c>
      <c r="P909" s="3">
        <v>0.72499999999999998</v>
      </c>
      <c r="Q909" s="3">
        <v>0.90929889678955</v>
      </c>
    </row>
    <row r="910" spans="1:17" x14ac:dyDescent="0.45">
      <c r="A910" s="3">
        <v>129696</v>
      </c>
      <c r="B910" t="b">
        <v>0</v>
      </c>
      <c r="C910" t="b">
        <v>0</v>
      </c>
      <c r="D910" s="3">
        <v>1941</v>
      </c>
      <c r="E910" s="3">
        <v>1941</v>
      </c>
      <c r="F910" t="s">
        <v>2932</v>
      </c>
      <c r="G910" t="s">
        <v>2892</v>
      </c>
      <c r="H910" s="3">
        <v>52.004399999999997</v>
      </c>
      <c r="I910" t="s">
        <v>14549</v>
      </c>
      <c r="J910" t="s">
        <v>10990</v>
      </c>
      <c r="L910" t="s">
        <v>2933</v>
      </c>
      <c r="M910" t="str">
        <f>"https://www.artic.edu/iiif/2/"&amp;Table9[[#This Row],[Image ID]]&amp;"/full/843,/0/default.jpg"</f>
        <v>https://www.artic.edu/iiif/2/416e6166-57b9-9541-4cab-b03ac4a3208d/full/843,/0/default.jpg</v>
      </c>
      <c r="N910" s="3">
        <v>0.85</v>
      </c>
      <c r="O910" s="3">
        <v>0.125</v>
      </c>
      <c r="P910" s="3">
        <v>0.72499999999999998</v>
      </c>
      <c r="Q910" s="3">
        <v>0.83074581623077304</v>
      </c>
    </row>
    <row r="911" spans="1:17" x14ac:dyDescent="0.45">
      <c r="A911" s="3">
        <v>54891</v>
      </c>
      <c r="B911" t="b">
        <v>0</v>
      </c>
      <c r="C911" t="b">
        <v>0</v>
      </c>
      <c r="D911" s="3">
        <v>1937</v>
      </c>
      <c r="E911" s="3">
        <v>1937</v>
      </c>
      <c r="F911" t="s">
        <v>2566</v>
      </c>
      <c r="G911" t="s">
        <v>8311</v>
      </c>
      <c r="H911" s="3">
        <v>38.037100000000002</v>
      </c>
      <c r="I911" t="s">
        <v>748</v>
      </c>
      <c r="J911" t="s">
        <v>12045</v>
      </c>
      <c r="L911" t="s">
        <v>8312</v>
      </c>
      <c r="M911" t="str">
        <f>"https://www.artic.edu/iiif/2/"&amp;Table9[[#This Row],[Image ID]]&amp;"/full/843,/0/default.jpg"</f>
        <v>https://www.artic.edu/iiif/2/490b43a2-72a0-e246-c716-c305ac9aac48/full/843,/0/default.jpg</v>
      </c>
      <c r="N911" s="3">
        <v>0.77500000000000002</v>
      </c>
      <c r="O911" s="3">
        <v>0.05</v>
      </c>
      <c r="P911" s="3">
        <v>0.72499999999999998</v>
      </c>
      <c r="Q911" s="3">
        <v>0.83965992927551203</v>
      </c>
    </row>
    <row r="912" spans="1:17" x14ac:dyDescent="0.45">
      <c r="A912" s="3">
        <v>97401</v>
      </c>
      <c r="B912" t="b">
        <v>0</v>
      </c>
      <c r="C912" t="b">
        <v>0</v>
      </c>
      <c r="D912" s="3">
        <v>1972</v>
      </c>
      <c r="E912" s="3">
        <v>1972</v>
      </c>
      <c r="F912" t="s">
        <v>10825</v>
      </c>
      <c r="G912" t="s">
        <v>59</v>
      </c>
      <c r="H912" s="3">
        <v>61.176699999999997</v>
      </c>
      <c r="I912" t="s">
        <v>4121</v>
      </c>
      <c r="J912" t="s">
        <v>12049</v>
      </c>
      <c r="L912" t="s">
        <v>10826</v>
      </c>
      <c r="M912" t="str">
        <f>"https://www.artic.edu/iiif/2/"&amp;Table9[[#This Row],[Image ID]]&amp;"/full/843,/0/default.jpg"</f>
        <v>https://www.artic.edu/iiif/2/49752e67-4777-94d0-830e-3877969b776b/full/843,/0/default.jpg</v>
      </c>
      <c r="N912" s="3">
        <v>0.72499999999999998</v>
      </c>
      <c r="O912" s="3">
        <v>0</v>
      </c>
      <c r="P912" s="3">
        <v>0.72499999999999998</v>
      </c>
      <c r="Q912" s="3">
        <v>0.91806721687316895</v>
      </c>
    </row>
    <row r="913" spans="1:17" x14ac:dyDescent="0.45">
      <c r="A913" s="3">
        <v>93805</v>
      </c>
      <c r="B913" t="b">
        <v>0</v>
      </c>
      <c r="C913" t="b">
        <v>0</v>
      </c>
      <c r="D913" s="3">
        <v>1926</v>
      </c>
      <c r="E913" s="3">
        <v>1927</v>
      </c>
      <c r="F913" t="s">
        <v>10632</v>
      </c>
      <c r="G913" t="s">
        <v>7</v>
      </c>
      <c r="H913" s="3">
        <v>5.9922000000000004</v>
      </c>
      <c r="I913" t="s">
        <v>378</v>
      </c>
      <c r="J913" t="s">
        <v>12125</v>
      </c>
      <c r="K913" s="5" t="s">
        <v>45</v>
      </c>
      <c r="L913" t="s">
        <v>10633</v>
      </c>
      <c r="M913" t="str">
        <f>"https://www.artic.edu/iiif/2/"&amp;Table9[[#This Row],[Image ID]]&amp;"/full/843,/0/default.jpg"</f>
        <v>https://www.artic.edu/iiif/2/4f5de2f2-125c-0d50-dd3d-0161dc9aa189/full/843,/0/default.jpg</v>
      </c>
      <c r="N913" s="3">
        <v>0.82499999999999996</v>
      </c>
      <c r="O913" s="3">
        <v>0.1</v>
      </c>
      <c r="P913" s="3">
        <v>0.72499999999999998</v>
      </c>
      <c r="Q913" s="3">
        <v>0.84336560964584295</v>
      </c>
    </row>
    <row r="914" spans="1:17" x14ac:dyDescent="0.45">
      <c r="A914" s="3">
        <v>2893</v>
      </c>
      <c r="B914" t="b">
        <v>0</v>
      </c>
      <c r="C914" t="b">
        <v>0</v>
      </c>
      <c r="D914" s="3">
        <v>1908</v>
      </c>
      <c r="E914" s="3">
        <v>1908</v>
      </c>
      <c r="F914" t="s">
        <v>6850</v>
      </c>
      <c r="G914" t="s">
        <v>7</v>
      </c>
      <c r="H914" s="3">
        <v>37.352499999999999</v>
      </c>
      <c r="I914" t="s">
        <v>2719</v>
      </c>
      <c r="J914" t="s">
        <v>12153</v>
      </c>
      <c r="L914" t="s">
        <v>6851</v>
      </c>
      <c r="M914" t="str">
        <f>"https://www.artic.edu/iiif/2/"&amp;Table9[[#This Row],[Image ID]]&amp;"/full/843,/0/default.jpg"</f>
        <v>https://www.artic.edu/iiif/2/513f71f2-18d3-7d99-25a3-d9d1110bf729/full/843,/0/default.jpg</v>
      </c>
      <c r="N914" s="3">
        <v>0.85</v>
      </c>
      <c r="O914" s="3">
        <v>0.125</v>
      </c>
      <c r="P914" s="3">
        <v>0.72499999999999998</v>
      </c>
      <c r="Q914" s="3">
        <v>0.80145978927612305</v>
      </c>
    </row>
    <row r="915" spans="1:17" x14ac:dyDescent="0.45">
      <c r="A915" s="3">
        <v>3095</v>
      </c>
      <c r="B915" t="b">
        <v>0</v>
      </c>
      <c r="C915" t="b">
        <v>0</v>
      </c>
      <c r="D915" s="3">
        <v>1921</v>
      </c>
      <c r="E915" s="3">
        <v>1929</v>
      </c>
      <c r="F915" t="s">
        <v>6969</v>
      </c>
      <c r="G915" t="s">
        <v>6970</v>
      </c>
      <c r="H915" s="3">
        <v>33.212299999999999</v>
      </c>
      <c r="I915" t="s">
        <v>6971</v>
      </c>
      <c r="J915" t="s">
        <v>12223</v>
      </c>
      <c r="L915" t="s">
        <v>6972</v>
      </c>
      <c r="M915" t="str">
        <f>"https://www.artic.edu/iiif/2/"&amp;Table9[[#This Row],[Image ID]]&amp;"/full/843,/0/default.jpg"</f>
        <v>https://www.artic.edu/iiif/2/553725da-24a2-c646-7cc3-bae92a0b71d4/full/843,/0/default.jpg</v>
      </c>
      <c r="N915" s="3">
        <v>0.82499999999999996</v>
      </c>
      <c r="O915" s="3">
        <v>0.1</v>
      </c>
      <c r="P915" s="3">
        <v>0.72499999999999998</v>
      </c>
      <c r="Q915" s="3">
        <v>0.57979351282119695</v>
      </c>
    </row>
    <row r="916" spans="1:17" x14ac:dyDescent="0.45">
      <c r="A916" s="3">
        <v>205198</v>
      </c>
      <c r="B916" t="b">
        <v>0</v>
      </c>
      <c r="C916" t="b">
        <v>0</v>
      </c>
      <c r="D916" s="3">
        <v>1965</v>
      </c>
      <c r="E916" s="3">
        <v>1975</v>
      </c>
      <c r="F916" t="s">
        <v>11</v>
      </c>
      <c r="G916" t="s">
        <v>5422</v>
      </c>
      <c r="H916" s="3">
        <v>12.137499999999999</v>
      </c>
      <c r="I916" t="s">
        <v>430</v>
      </c>
      <c r="J916" t="s">
        <v>12272</v>
      </c>
      <c r="L916" t="s">
        <v>5444</v>
      </c>
      <c r="M916" t="str">
        <f>"https://www.artic.edu/iiif/2/"&amp;Table9[[#This Row],[Image ID]]&amp;"/full/843,/0/default.jpg"</f>
        <v>https://www.artic.edu/iiif/2/58da86dd-205b-8156-6cb1-7fd81a2ec1b8/full/843,/0/default.jpg</v>
      </c>
      <c r="N916" s="3">
        <v>0.77500000000000002</v>
      </c>
      <c r="O916" s="3">
        <v>0.05</v>
      </c>
      <c r="P916" s="3">
        <v>0.72499999999999998</v>
      </c>
      <c r="Q916" s="3">
        <v>0.82568150758743197</v>
      </c>
    </row>
    <row r="917" spans="1:17" x14ac:dyDescent="0.45">
      <c r="A917" s="3">
        <v>53233</v>
      </c>
      <c r="B917" t="b">
        <v>0</v>
      </c>
      <c r="C917" t="b">
        <v>0</v>
      </c>
      <c r="D917" s="3">
        <v>1933</v>
      </c>
      <c r="E917" s="3">
        <v>1933</v>
      </c>
      <c r="F917" t="s">
        <v>8252</v>
      </c>
      <c r="G917" t="s">
        <v>8253</v>
      </c>
      <c r="H917" s="3">
        <v>27.7578</v>
      </c>
      <c r="I917" t="s">
        <v>8254</v>
      </c>
      <c r="J917" t="s">
        <v>12296</v>
      </c>
      <c r="L917" t="s">
        <v>8255</v>
      </c>
      <c r="M917" t="str">
        <f>"https://www.artic.edu/iiif/2/"&amp;Table9[[#This Row],[Image ID]]&amp;"/full/843,/0/default.jpg"</f>
        <v>https://www.artic.edu/iiif/2/5a58f204-16e2-e655-39b9-8be35a688b5d/full/843,/0/default.jpg</v>
      </c>
      <c r="N917" s="3">
        <v>0.85</v>
      </c>
      <c r="O917" s="3">
        <v>0.125</v>
      </c>
      <c r="P917" s="3">
        <v>0.72499999999999998</v>
      </c>
      <c r="Q917" s="3">
        <v>0.86430996656417802</v>
      </c>
    </row>
    <row r="918" spans="1:17" x14ac:dyDescent="0.45">
      <c r="A918" s="3">
        <v>117349</v>
      </c>
      <c r="B918" t="b">
        <v>0</v>
      </c>
      <c r="C918" t="b">
        <v>0</v>
      </c>
      <c r="D918" s="3">
        <v>1936</v>
      </c>
      <c r="E918" s="3">
        <v>1936</v>
      </c>
      <c r="F918" t="s">
        <v>11</v>
      </c>
      <c r="G918" t="s">
        <v>2299</v>
      </c>
      <c r="H918" s="3">
        <v>25.693100000000001</v>
      </c>
      <c r="I918" t="s">
        <v>71</v>
      </c>
      <c r="J918" t="s">
        <v>12332</v>
      </c>
      <c r="K918" s="5" t="s">
        <v>2</v>
      </c>
      <c r="L918" t="s">
        <v>2300</v>
      </c>
      <c r="M918" t="str">
        <f>"https://www.artic.edu/iiif/2/"&amp;Table9[[#This Row],[Image ID]]&amp;"/full/843,/0/default.jpg"</f>
        <v>https://www.artic.edu/iiif/2/5cc38b59-d001-5ce5-aac6-a8a79d6128d6/full/843,/0/default.jpg</v>
      </c>
      <c r="N918" s="3">
        <v>0.72499999999999998</v>
      </c>
      <c r="O918" s="3">
        <v>0</v>
      </c>
      <c r="P918" s="3">
        <v>0.72499999999999998</v>
      </c>
      <c r="Q918" s="3">
        <v>0.688279509544372</v>
      </c>
    </row>
    <row r="919" spans="1:17" x14ac:dyDescent="0.45">
      <c r="A919" s="3">
        <v>59445</v>
      </c>
      <c r="B919" t="b">
        <v>0</v>
      </c>
      <c r="C919" t="b">
        <v>0</v>
      </c>
      <c r="D919" s="3">
        <v>1933</v>
      </c>
      <c r="E919" s="3">
        <v>1943</v>
      </c>
      <c r="F919" t="s">
        <v>1397</v>
      </c>
      <c r="G919" t="s">
        <v>7</v>
      </c>
      <c r="H919" s="3">
        <v>26.918099999999999</v>
      </c>
      <c r="I919" t="s">
        <v>8564</v>
      </c>
      <c r="J919" t="s">
        <v>12413</v>
      </c>
      <c r="L919" t="s">
        <v>8565</v>
      </c>
      <c r="M919" t="str">
        <f>"https://www.artic.edu/iiif/2/"&amp;Table9[[#This Row],[Image ID]]&amp;"/full/843,/0/default.jpg"</f>
        <v>https://www.artic.edu/iiif/2/62c97df6-5d26-e9f8-764e-602961915a39/full/843,/0/default.jpg</v>
      </c>
      <c r="N919" s="3">
        <v>0.72499999999999998</v>
      </c>
      <c r="O919" s="3">
        <v>0</v>
      </c>
      <c r="P919" s="3">
        <v>0.72499999999999998</v>
      </c>
      <c r="Q919" s="3">
        <v>0.69853931665420499</v>
      </c>
    </row>
    <row r="920" spans="1:17" x14ac:dyDescent="0.45">
      <c r="A920" s="3">
        <v>65861</v>
      </c>
      <c r="B920" t="b">
        <v>0</v>
      </c>
      <c r="C920" t="b">
        <v>0</v>
      </c>
      <c r="D920" s="3">
        <v>1921</v>
      </c>
      <c r="E920" s="3">
        <v>1921</v>
      </c>
      <c r="F920" t="s">
        <v>9075</v>
      </c>
      <c r="G920" t="s">
        <v>5975</v>
      </c>
      <c r="H920" s="3">
        <v>34.688699999999997</v>
      </c>
      <c r="I920" t="s">
        <v>1423</v>
      </c>
      <c r="J920" t="s">
        <v>12415</v>
      </c>
      <c r="K920" s="5" t="s">
        <v>45</v>
      </c>
      <c r="L920" t="s">
        <v>9076</v>
      </c>
      <c r="M920" t="str">
        <f>"https://www.artic.edu/iiif/2/"&amp;Table9[[#This Row],[Image ID]]&amp;"/full/843,/0/default.jpg"</f>
        <v>https://www.artic.edu/iiif/2/62df25ca-c159-18b9-b94f-00afc08503b1/full/843,/0/default.jpg</v>
      </c>
      <c r="N920" s="3">
        <v>0.75</v>
      </c>
      <c r="O920" s="3">
        <v>2.5000000000000001E-2</v>
      </c>
      <c r="P920" s="3">
        <v>0.72499999999999998</v>
      </c>
      <c r="Q920" s="3">
        <v>0.74303734302520696</v>
      </c>
    </row>
    <row r="921" spans="1:17" x14ac:dyDescent="0.45">
      <c r="A921" s="3">
        <v>52660</v>
      </c>
      <c r="B921" t="b">
        <v>0</v>
      </c>
      <c r="C921" t="b">
        <v>0</v>
      </c>
      <c r="D921" s="3">
        <v>1942</v>
      </c>
      <c r="E921" s="3">
        <v>1942</v>
      </c>
      <c r="F921" t="s">
        <v>2794</v>
      </c>
      <c r="G921" t="s">
        <v>7</v>
      </c>
      <c r="H921" s="3">
        <v>28.646999999999998</v>
      </c>
      <c r="I921" t="s">
        <v>8192</v>
      </c>
      <c r="J921" t="s">
        <v>12444</v>
      </c>
      <c r="K921" s="5" t="s">
        <v>45</v>
      </c>
      <c r="L921" t="s">
        <v>8193</v>
      </c>
      <c r="M921" t="str">
        <f>"https://www.artic.edu/iiif/2/"&amp;Table9[[#This Row],[Image ID]]&amp;"/full/843,/0/default.jpg"</f>
        <v>https://www.artic.edu/iiif/2/6503a528-7691-65bf-d1b9-0af69edb17a1/full/843,/0/default.jpg</v>
      </c>
      <c r="N921" s="3">
        <v>0.72499999999999998</v>
      </c>
      <c r="O921" s="3">
        <v>0</v>
      </c>
      <c r="P921" s="3">
        <v>0.72499999999999998</v>
      </c>
      <c r="Q921" s="3">
        <v>0.77661281824111905</v>
      </c>
    </row>
    <row r="922" spans="1:17" x14ac:dyDescent="0.45">
      <c r="A922" s="3">
        <v>149014</v>
      </c>
      <c r="B922" t="b">
        <v>0</v>
      </c>
      <c r="C922" t="b">
        <v>0</v>
      </c>
      <c r="D922" s="3">
        <v>1918</v>
      </c>
      <c r="E922" s="3">
        <v>1918</v>
      </c>
      <c r="F922" t="s">
        <v>11</v>
      </c>
      <c r="G922" t="s">
        <v>3736</v>
      </c>
      <c r="H922" s="3">
        <v>58.3018</v>
      </c>
      <c r="I922" t="s">
        <v>40</v>
      </c>
      <c r="J922" t="s">
        <v>12481</v>
      </c>
      <c r="L922" t="s">
        <v>3737</v>
      </c>
      <c r="M922" t="str">
        <f>"https://www.artic.edu/iiif/2/"&amp;Table9[[#This Row],[Image ID]]&amp;"/full/843,/0/default.jpg"</f>
        <v>https://www.artic.edu/iiif/2/676362f1-89d3-4714-8657-af67b8e1bc08/full/843,/0/default.jpg</v>
      </c>
      <c r="N922" s="3">
        <v>0.82499999999999996</v>
      </c>
      <c r="O922" s="3">
        <v>0.1</v>
      </c>
      <c r="P922" s="3">
        <v>0.72499999999999998</v>
      </c>
      <c r="Q922" s="3">
        <v>0.73066651821136397</v>
      </c>
    </row>
    <row r="923" spans="1:17" x14ac:dyDescent="0.45">
      <c r="A923" s="3">
        <v>82542</v>
      </c>
      <c r="B923" t="b">
        <v>0</v>
      </c>
      <c r="C923" t="b">
        <v>0</v>
      </c>
      <c r="D923" s="3">
        <v>1949</v>
      </c>
      <c r="E923" s="3">
        <v>1949</v>
      </c>
      <c r="F923" t="s">
        <v>499</v>
      </c>
      <c r="G923" t="s">
        <v>10189</v>
      </c>
      <c r="H923" s="3">
        <v>96.053200000000004</v>
      </c>
      <c r="I923" t="s">
        <v>758</v>
      </c>
      <c r="J923" t="s">
        <v>12494</v>
      </c>
      <c r="L923" t="s">
        <v>10190</v>
      </c>
      <c r="M923" t="str">
        <f>"https://www.artic.edu/iiif/2/"&amp;Table9[[#This Row],[Image ID]]&amp;"/full/843,/0/default.jpg"</f>
        <v>https://www.artic.edu/iiif/2/68229901-e7a6-7fc7-b053-0a81969b520c/full/843,/0/default.jpg</v>
      </c>
      <c r="N923" s="3">
        <v>0.75</v>
      </c>
      <c r="O923" s="3">
        <v>2.5000000000000001E-2</v>
      </c>
      <c r="P923" s="3">
        <v>0.72499999999999998</v>
      </c>
      <c r="Q923" s="3">
        <v>0.82227003574371305</v>
      </c>
    </row>
    <row r="924" spans="1:17" x14ac:dyDescent="0.45">
      <c r="A924" s="3">
        <v>242485</v>
      </c>
      <c r="B924" t="b">
        <v>0</v>
      </c>
      <c r="C924" t="b">
        <v>0</v>
      </c>
      <c r="D924" s="3">
        <v>1971</v>
      </c>
      <c r="E924" s="3">
        <v>1971</v>
      </c>
      <c r="F924" t="s">
        <v>6380</v>
      </c>
      <c r="G924" t="s">
        <v>7</v>
      </c>
      <c r="H924" s="3">
        <v>44.3065</v>
      </c>
      <c r="I924" t="s">
        <v>6381</v>
      </c>
      <c r="J924" t="s">
        <v>12505</v>
      </c>
      <c r="K924" s="5" t="s">
        <v>15</v>
      </c>
      <c r="L924" t="s">
        <v>6382</v>
      </c>
      <c r="M924" t="str">
        <f>"https://www.artic.edu/iiif/2/"&amp;Table9[[#This Row],[Image ID]]&amp;"/full/843,/0/default.jpg"</f>
        <v>https://www.artic.edu/iiif/2/69590877-38ac-38b6-de73-b0285bd643ef/full/843,/0/default.jpg</v>
      </c>
      <c r="N924" s="3">
        <v>0.82499999999999996</v>
      </c>
      <c r="O924" s="3">
        <v>0.1</v>
      </c>
      <c r="P924" s="3">
        <v>0.72499999999999998</v>
      </c>
      <c r="Q924" s="3">
        <v>0.73606532812118497</v>
      </c>
    </row>
    <row r="925" spans="1:17" x14ac:dyDescent="0.45">
      <c r="A925" s="3">
        <v>50317</v>
      </c>
      <c r="B925" t="b">
        <v>0</v>
      </c>
      <c r="C925" t="b">
        <v>0</v>
      </c>
      <c r="D925" s="3">
        <v>1975</v>
      </c>
      <c r="E925" s="3">
        <v>1975</v>
      </c>
      <c r="F925" t="s">
        <v>8097</v>
      </c>
      <c r="G925" t="s">
        <v>59</v>
      </c>
      <c r="H925" s="3">
        <v>40.165799999999997</v>
      </c>
      <c r="I925" t="s">
        <v>4015</v>
      </c>
      <c r="J925" t="s">
        <v>12584</v>
      </c>
      <c r="L925" t="s">
        <v>8098</v>
      </c>
      <c r="M925" t="str">
        <f>"https://www.artic.edu/iiif/2/"&amp;Table9[[#This Row],[Image ID]]&amp;"/full/843,/0/default.jpg"</f>
        <v>https://www.artic.edu/iiif/2/6eeb9454-7f05-80a3-01d5-d3810da74795/full/843,/0/default.jpg</v>
      </c>
      <c r="N925" s="3">
        <v>0.77500000000000002</v>
      </c>
      <c r="O925" s="3">
        <v>0.05</v>
      </c>
      <c r="P925" s="3">
        <v>0.72499999999999998</v>
      </c>
      <c r="Q925" s="3">
        <v>0.69186085462570102</v>
      </c>
    </row>
    <row r="926" spans="1:17" x14ac:dyDescent="0.45">
      <c r="A926" s="3">
        <v>23387</v>
      </c>
      <c r="B926" t="b">
        <v>0</v>
      </c>
      <c r="C926" t="b">
        <v>0</v>
      </c>
      <c r="D926" s="3">
        <v>1954</v>
      </c>
      <c r="E926" s="3">
        <v>1954</v>
      </c>
      <c r="F926" t="s">
        <v>72</v>
      </c>
      <c r="G926" t="s">
        <v>7</v>
      </c>
      <c r="H926" s="3">
        <v>41.596600000000002</v>
      </c>
      <c r="I926" t="s">
        <v>1278</v>
      </c>
      <c r="J926" t="s">
        <v>12632</v>
      </c>
      <c r="L926" t="s">
        <v>6187</v>
      </c>
      <c r="M926" t="str">
        <f>"https://www.artic.edu/iiif/2/"&amp;Table9[[#This Row],[Image ID]]&amp;"/full/843,/0/default.jpg"</f>
        <v>https://www.artic.edu/iiif/2/71b3d58e-52da-0034-e5bc-520bb893baca/full/843,/0/default.jpg</v>
      </c>
      <c r="N926" s="3">
        <v>0.82499999999999996</v>
      </c>
      <c r="O926" s="3">
        <v>0.1</v>
      </c>
      <c r="P926" s="3">
        <v>0.72499999999999998</v>
      </c>
      <c r="Q926" s="3">
        <v>0.83331924676895097</v>
      </c>
    </row>
    <row r="927" spans="1:17" x14ac:dyDescent="0.45">
      <c r="A927" s="3">
        <v>188892</v>
      </c>
      <c r="B927" t="b">
        <v>0</v>
      </c>
      <c r="C927" t="b">
        <v>0</v>
      </c>
      <c r="D927" s="3">
        <v>1972</v>
      </c>
      <c r="E927" s="3">
        <v>1982</v>
      </c>
      <c r="F927" t="s">
        <v>5132</v>
      </c>
      <c r="G927" t="s">
        <v>4991</v>
      </c>
      <c r="H927" s="3">
        <v>43.517899999999997</v>
      </c>
      <c r="I927" t="s">
        <v>1001</v>
      </c>
      <c r="J927" t="s">
        <v>12655</v>
      </c>
      <c r="K927" s="5" t="s">
        <v>13</v>
      </c>
      <c r="L927" t="s">
        <v>5133</v>
      </c>
      <c r="M927" t="str">
        <f>"https://www.artic.edu/iiif/2/"&amp;Table9[[#This Row],[Image ID]]&amp;"/full/843,/0/default.jpg"</f>
        <v>https://www.artic.edu/iiif/2/73ca53e6-b62d-f8b6-a286-0837ec614a94/full/843,/0/default.jpg</v>
      </c>
      <c r="N927" s="3">
        <v>0.77500000000000002</v>
      </c>
      <c r="O927" s="3">
        <v>0.05</v>
      </c>
      <c r="P927" s="3">
        <v>0.72499999999999998</v>
      </c>
      <c r="Q927" s="3">
        <v>0.73674851655960005</v>
      </c>
    </row>
    <row r="928" spans="1:17" x14ac:dyDescent="0.45">
      <c r="A928" s="3">
        <v>238755</v>
      </c>
      <c r="B928" t="b">
        <v>0</v>
      </c>
      <c r="C928" t="b">
        <v>0</v>
      </c>
      <c r="D928" s="3">
        <v>1988</v>
      </c>
      <c r="E928" s="3">
        <v>1988</v>
      </c>
      <c r="F928" t="s">
        <v>11</v>
      </c>
      <c r="G928" t="s">
        <v>3118</v>
      </c>
      <c r="H928" s="3">
        <v>9.3620000000000001</v>
      </c>
      <c r="I928" t="s">
        <v>14552</v>
      </c>
      <c r="J928" t="s">
        <v>12669</v>
      </c>
      <c r="L928" t="s">
        <v>6336</v>
      </c>
      <c r="M928" t="str">
        <f>"https://www.artic.edu/iiif/2/"&amp;Table9[[#This Row],[Image ID]]&amp;"/full/843,/0/default.jpg"</f>
        <v>https://www.artic.edu/iiif/2/74ba3e47-d9ed-bebe-bac0-4d9d4736e412/full/843,/0/default.jpg</v>
      </c>
      <c r="N928" s="3">
        <v>0.77500000000000002</v>
      </c>
      <c r="O928" s="3">
        <v>0.05</v>
      </c>
      <c r="P928" s="3">
        <v>0.72499999999999998</v>
      </c>
      <c r="Q928" s="3">
        <v>0.828194379806518</v>
      </c>
    </row>
    <row r="929" spans="1:17" ht="57" x14ac:dyDescent="0.45">
      <c r="A929" s="3">
        <v>186682</v>
      </c>
      <c r="B929" t="b">
        <v>0</v>
      </c>
      <c r="C929" t="b">
        <v>0</v>
      </c>
      <c r="D929" s="3">
        <v>1955</v>
      </c>
      <c r="E929" s="3">
        <v>1955</v>
      </c>
      <c r="F929" t="s">
        <v>5067</v>
      </c>
      <c r="G929" t="s">
        <v>5068</v>
      </c>
      <c r="H929" s="3">
        <v>59.917900000000003</v>
      </c>
      <c r="I929" t="s">
        <v>5069</v>
      </c>
      <c r="J929" s="1" t="s">
        <v>12703</v>
      </c>
      <c r="K929" s="5" t="s">
        <v>45</v>
      </c>
      <c r="L929" t="s">
        <v>5070</v>
      </c>
      <c r="M929" t="str">
        <f>"https://www.artic.edu/iiif/2/"&amp;Table9[[#This Row],[Image ID]]&amp;"/full/843,/0/default.jpg"</f>
        <v>https://www.artic.edu/iiif/2/774ca6e8-8b8e-47e5-f194-3226795c3ffc/full/843,/0/default.jpg</v>
      </c>
      <c r="N929" s="3">
        <v>0.77500000000000002</v>
      </c>
      <c r="O929" s="3">
        <v>0.05</v>
      </c>
      <c r="P929" s="3">
        <v>0.72499999999999998</v>
      </c>
      <c r="Q929" s="3">
        <v>0.95100426673889105</v>
      </c>
    </row>
    <row r="930" spans="1:17" x14ac:dyDescent="0.45">
      <c r="A930" s="3">
        <v>111665</v>
      </c>
      <c r="B930" t="b">
        <v>0</v>
      </c>
      <c r="C930" t="b">
        <v>0</v>
      </c>
      <c r="D930" s="3">
        <v>1930</v>
      </c>
      <c r="E930" s="3">
        <v>1930</v>
      </c>
      <c r="F930" t="s">
        <v>1219</v>
      </c>
      <c r="G930" t="s">
        <v>7</v>
      </c>
      <c r="H930" s="3">
        <v>10.7567</v>
      </c>
      <c r="I930" t="s">
        <v>40</v>
      </c>
      <c r="J930" t="s">
        <v>12753</v>
      </c>
      <c r="L930" t="s">
        <v>1220</v>
      </c>
      <c r="M930" t="str">
        <f>"https://www.artic.edu/iiif/2/"&amp;Table9[[#This Row],[Image ID]]&amp;"/full/843,/0/default.jpg"</f>
        <v>https://www.artic.edu/iiif/2/7adb2405-9282-ffdd-3c20-4e33baa9bd08/full/843,/0/default.jpg</v>
      </c>
      <c r="N930" s="3">
        <v>0.72499999999999998</v>
      </c>
      <c r="O930" s="3">
        <v>0</v>
      </c>
      <c r="P930" s="3">
        <v>0.72499999999999998</v>
      </c>
      <c r="Q930" s="3">
        <v>0.709386646747589</v>
      </c>
    </row>
    <row r="931" spans="1:17" x14ac:dyDescent="0.45">
      <c r="A931" s="3">
        <v>50303</v>
      </c>
      <c r="B931" t="b">
        <v>0</v>
      </c>
      <c r="C931" t="b">
        <v>0</v>
      </c>
      <c r="D931" s="3">
        <v>1836</v>
      </c>
      <c r="E931" s="3">
        <v>1846</v>
      </c>
      <c r="F931" t="s">
        <v>1041</v>
      </c>
      <c r="G931" t="s">
        <v>7</v>
      </c>
      <c r="H931" s="3">
        <v>17.334399999999999</v>
      </c>
      <c r="I931" t="s">
        <v>14668</v>
      </c>
      <c r="J931" t="s">
        <v>8091</v>
      </c>
      <c r="L931" t="s">
        <v>8090</v>
      </c>
      <c r="M931" t="str">
        <f>"https://www.artic.edu/iiif/2/"&amp;Table9[[#This Row],[Image ID]]&amp;"/full/843,/0/default.jpg"</f>
        <v>https://www.artic.edu/iiif/2/7b540d96-1b2a-3e23-c2e4-ddb8096d70a6/full/843,/0/default.jpg</v>
      </c>
      <c r="N931" s="3">
        <v>0.85</v>
      </c>
      <c r="O931" s="3">
        <v>0.125</v>
      </c>
      <c r="P931" s="3">
        <v>0.72499999999999998</v>
      </c>
      <c r="Q931" s="3">
        <v>0.79644960165023804</v>
      </c>
    </row>
    <row r="932" spans="1:17" x14ac:dyDescent="0.45">
      <c r="A932" s="3">
        <v>204403</v>
      </c>
      <c r="B932" t="b">
        <v>0</v>
      </c>
      <c r="C932" t="b">
        <v>0</v>
      </c>
      <c r="D932" s="3">
        <v>1974</v>
      </c>
      <c r="E932" s="3">
        <v>1974</v>
      </c>
      <c r="F932">
        <v>27139</v>
      </c>
      <c r="G932" t="s">
        <v>5014</v>
      </c>
      <c r="H932" s="3">
        <v>10.0701</v>
      </c>
      <c r="I932" t="s">
        <v>5411</v>
      </c>
      <c r="J932" t="s">
        <v>12789</v>
      </c>
      <c r="L932" t="s">
        <v>5412</v>
      </c>
      <c r="M932" t="str">
        <f>"https://www.artic.edu/iiif/2/"&amp;Table9[[#This Row],[Image ID]]&amp;"/full/843,/0/default.jpg"</f>
        <v>https://www.artic.edu/iiif/2/7e37267b-e774-d716-c9e0-258faf1ad8ad/full/843,/0/default.jpg</v>
      </c>
      <c r="N932" s="3">
        <v>0.82499999999999996</v>
      </c>
      <c r="O932" s="3">
        <v>0.1</v>
      </c>
      <c r="P932" s="3">
        <v>0.72499999999999998</v>
      </c>
      <c r="Q932" s="3">
        <v>0.84471470117568903</v>
      </c>
    </row>
    <row r="933" spans="1:17" x14ac:dyDescent="0.45">
      <c r="A933" s="3">
        <v>184924</v>
      </c>
      <c r="B933" t="b">
        <v>0</v>
      </c>
      <c r="C933" t="b">
        <v>0</v>
      </c>
      <c r="D933" s="3">
        <v>2003</v>
      </c>
      <c r="E933" s="3">
        <v>2003</v>
      </c>
      <c r="F933" t="s">
        <v>4906</v>
      </c>
      <c r="G933" t="s">
        <v>4823</v>
      </c>
      <c r="H933" s="3">
        <v>9.5828000000000007</v>
      </c>
      <c r="I933" t="s">
        <v>293</v>
      </c>
      <c r="J933" t="s">
        <v>10977</v>
      </c>
      <c r="K933" s="5" t="s">
        <v>15</v>
      </c>
      <c r="L933" t="s">
        <v>4907</v>
      </c>
      <c r="M933" t="str">
        <f>"https://www.artic.edu/iiif/2/"&amp;Table9[[#This Row],[Image ID]]&amp;"/full/843,/0/default.jpg"</f>
        <v>https://www.artic.edu/iiif/2/7f3b678a-6b8f-e132-e72f-71ff82ecd64a/full/843,/0/default.jpg</v>
      </c>
      <c r="N933" s="3">
        <v>0.75</v>
      </c>
      <c r="O933" s="3">
        <v>2.5000000000000001E-2</v>
      </c>
      <c r="P933" s="3">
        <v>0.72499999999999998</v>
      </c>
      <c r="Q933" s="3">
        <v>0.76833140850067105</v>
      </c>
    </row>
    <row r="934" spans="1:17" x14ac:dyDescent="0.45">
      <c r="A934" s="3">
        <v>27999</v>
      </c>
      <c r="B934" t="b">
        <v>0</v>
      </c>
      <c r="C934" t="b">
        <v>0</v>
      </c>
      <c r="D934" s="3">
        <v>1914</v>
      </c>
      <c r="E934" s="3">
        <v>1914</v>
      </c>
      <c r="F934" t="s">
        <v>6773</v>
      </c>
      <c r="G934" t="s">
        <v>7</v>
      </c>
      <c r="H934" s="3">
        <v>30.863700000000001</v>
      </c>
      <c r="I934" t="s">
        <v>524</v>
      </c>
      <c r="J934" t="s">
        <v>12895</v>
      </c>
      <c r="L934" t="s">
        <v>6774</v>
      </c>
      <c r="M934" t="str">
        <f>"https://www.artic.edu/iiif/2/"&amp;Table9[[#This Row],[Image ID]]&amp;"/full/843,/0/default.jpg"</f>
        <v>https://www.artic.edu/iiif/2/8574f0a6-8713-bd6e-0f22-29af8894c36c/full/843,/0/default.jpg</v>
      </c>
      <c r="N934" s="3">
        <v>0.82499999999999996</v>
      </c>
      <c r="O934" s="3">
        <v>0.1</v>
      </c>
      <c r="P934" s="3">
        <v>0.72499999999999998</v>
      </c>
      <c r="Q934" s="3">
        <v>0.67092174291610696</v>
      </c>
    </row>
    <row r="935" spans="1:17" x14ac:dyDescent="0.45">
      <c r="A935" s="3">
        <v>146881</v>
      </c>
      <c r="B935" t="b">
        <v>0</v>
      </c>
      <c r="C935" t="b">
        <v>0</v>
      </c>
      <c r="D935" s="3">
        <v>1977</v>
      </c>
      <c r="E935" s="3">
        <v>1977</v>
      </c>
      <c r="F935" t="s">
        <v>3500</v>
      </c>
      <c r="G935" t="s">
        <v>642</v>
      </c>
      <c r="H935" s="3">
        <v>20.9069</v>
      </c>
      <c r="I935" t="s">
        <v>350</v>
      </c>
      <c r="J935" t="s">
        <v>11882</v>
      </c>
      <c r="L935" t="s">
        <v>3501</v>
      </c>
      <c r="M935" t="str">
        <f>"https://www.artic.edu/iiif/2/"&amp;Table9[[#This Row],[Image ID]]&amp;"/full/843,/0/default.jpg"</f>
        <v>https://www.artic.edu/iiif/2/8f3ce42d-cf16-adc5-85c6-44ff3e396ea2/full/843,/0/default.jpg</v>
      </c>
      <c r="N935" s="3">
        <v>0.85</v>
      </c>
      <c r="O935" s="3">
        <v>0.125</v>
      </c>
      <c r="P935" s="3">
        <v>0.72499999999999998</v>
      </c>
      <c r="Q935" s="3">
        <v>0.87126952409744196</v>
      </c>
    </row>
    <row r="936" spans="1:17" x14ac:dyDescent="0.45">
      <c r="A936" s="3">
        <v>45259</v>
      </c>
      <c r="B936" t="b">
        <v>0</v>
      </c>
      <c r="C936" t="b">
        <v>0</v>
      </c>
      <c r="D936" s="3">
        <v>1901</v>
      </c>
      <c r="E936" s="3">
        <v>1901</v>
      </c>
      <c r="F936" t="s">
        <v>7836</v>
      </c>
      <c r="G936" t="s">
        <v>434</v>
      </c>
      <c r="H936" s="3">
        <v>23.7545</v>
      </c>
      <c r="I936" t="s">
        <v>133</v>
      </c>
      <c r="J936" t="s">
        <v>13106</v>
      </c>
      <c r="K936" s="5" t="s">
        <v>134</v>
      </c>
      <c r="L936" t="s">
        <v>7837</v>
      </c>
      <c r="M936" t="str">
        <f>"https://www.artic.edu/iiif/2/"&amp;Table9[[#This Row],[Image ID]]&amp;"/full/843,/0/default.jpg"</f>
        <v>https://www.artic.edu/iiif/2/96c25381-bdfb-81c4-de91-1186aa38ace4/full/843,/0/default.jpg</v>
      </c>
      <c r="N936" s="3">
        <v>0.75</v>
      </c>
      <c r="O936" s="3">
        <v>2.5000000000000001E-2</v>
      </c>
      <c r="P936" s="3">
        <v>0.72499999999999998</v>
      </c>
      <c r="Q936" s="3">
        <v>0.84134978055953902</v>
      </c>
    </row>
    <row r="937" spans="1:17" x14ac:dyDescent="0.45">
      <c r="A937" s="3">
        <v>36726</v>
      </c>
      <c r="B937" t="b">
        <v>0</v>
      </c>
      <c r="C937" t="b">
        <v>0</v>
      </c>
      <c r="D937" s="3">
        <v>1969</v>
      </c>
      <c r="E937" s="3">
        <v>1969</v>
      </c>
      <c r="F937" t="s">
        <v>7244</v>
      </c>
      <c r="G937" t="s">
        <v>7245</v>
      </c>
      <c r="H937" s="3">
        <v>40.9968</v>
      </c>
      <c r="I937" t="s">
        <v>7246</v>
      </c>
      <c r="J937" t="s">
        <v>13171</v>
      </c>
      <c r="L937" t="s">
        <v>7247</v>
      </c>
      <c r="M937" t="str">
        <f>"https://www.artic.edu/iiif/2/"&amp;Table9[[#This Row],[Image ID]]&amp;"/full/843,/0/default.jpg"</f>
        <v>https://www.artic.edu/iiif/2/9b7673ac-c076-d883-7aac-a5d3e8993b98/full/843,/0/default.jpg</v>
      </c>
      <c r="N937" s="3">
        <v>0.82499999999999996</v>
      </c>
      <c r="O937" s="3">
        <v>0.1</v>
      </c>
      <c r="P937" s="3">
        <v>0.72499999999999998</v>
      </c>
      <c r="Q937" s="3">
        <v>0.75581640005111606</v>
      </c>
    </row>
    <row r="938" spans="1:17" x14ac:dyDescent="0.45">
      <c r="A938" s="3">
        <v>218575</v>
      </c>
      <c r="B938" t="b">
        <v>0</v>
      </c>
      <c r="C938" t="b">
        <v>0</v>
      </c>
      <c r="D938" s="3">
        <v>1974</v>
      </c>
      <c r="E938" s="3">
        <v>1974</v>
      </c>
      <c r="F938" t="s">
        <v>5768</v>
      </c>
      <c r="G938" t="s">
        <v>7</v>
      </c>
      <c r="H938" s="3">
        <v>93.575599999999994</v>
      </c>
      <c r="I938" t="s">
        <v>5769</v>
      </c>
      <c r="J938" t="s">
        <v>12560</v>
      </c>
      <c r="L938" t="s">
        <v>5770</v>
      </c>
      <c r="M938" t="str">
        <f>"https://www.artic.edu/iiif/2/"&amp;Table9[[#This Row],[Image ID]]&amp;"/full/843,/0/default.jpg"</f>
        <v>https://www.artic.edu/iiif/2/9c12c0d0-669f-ab3f-fad0-630b0cdaf1c2/full/843,/0/default.jpg</v>
      </c>
      <c r="N938" s="3">
        <v>0.82499999999999996</v>
      </c>
      <c r="O938" s="3">
        <v>0.1</v>
      </c>
      <c r="P938" s="3">
        <v>0.72499999999999998</v>
      </c>
      <c r="Q938" s="3">
        <v>0.77509695291519098</v>
      </c>
    </row>
    <row r="939" spans="1:17" x14ac:dyDescent="0.45">
      <c r="A939" s="3">
        <v>14700</v>
      </c>
      <c r="B939" t="b">
        <v>0</v>
      </c>
      <c r="C939" t="b">
        <v>0</v>
      </c>
      <c r="D939" s="3">
        <v>1925</v>
      </c>
      <c r="E939" s="3">
        <v>1925</v>
      </c>
      <c r="F939" t="s">
        <v>3563</v>
      </c>
      <c r="G939" t="s">
        <v>1064</v>
      </c>
      <c r="H939" s="3">
        <v>41.209699999999998</v>
      </c>
      <c r="I939" t="s">
        <v>1423</v>
      </c>
      <c r="J939" t="s">
        <v>13223</v>
      </c>
      <c r="L939" t="s">
        <v>3564</v>
      </c>
      <c r="M939" t="str">
        <f>"https://www.artic.edu/iiif/2/"&amp;Table9[[#This Row],[Image ID]]&amp;"/full/843,/0/default.jpg"</f>
        <v>https://www.artic.edu/iiif/2/9f7e24ec-c27d-024f-5d6b-6ba27570efe5/full/843,/0/default.jpg</v>
      </c>
      <c r="N939" s="3">
        <v>0.72499999999999998</v>
      </c>
      <c r="O939" s="3">
        <v>0</v>
      </c>
      <c r="P939" s="3">
        <v>0.72499999999999998</v>
      </c>
      <c r="Q939" s="3">
        <v>0.852264463901519</v>
      </c>
    </row>
    <row r="940" spans="1:17" x14ac:dyDescent="0.45">
      <c r="A940" s="3">
        <v>224170</v>
      </c>
      <c r="B940" t="b">
        <v>0</v>
      </c>
      <c r="C940" t="b">
        <v>0</v>
      </c>
      <c r="D940" s="3">
        <v>2014</v>
      </c>
      <c r="E940" s="3">
        <v>2014</v>
      </c>
      <c r="F940" t="s">
        <v>5879</v>
      </c>
      <c r="G940" t="s">
        <v>7</v>
      </c>
      <c r="H940" s="3">
        <v>22.341100000000001</v>
      </c>
      <c r="I940" t="s">
        <v>5880</v>
      </c>
      <c r="J940" t="s">
        <v>13266</v>
      </c>
      <c r="K940" s="5" t="s">
        <v>15</v>
      </c>
      <c r="L940" t="s">
        <v>5881</v>
      </c>
      <c r="M940" t="str">
        <f>"https://www.artic.edu/iiif/2/"&amp;Table9[[#This Row],[Image ID]]&amp;"/full/843,/0/default.jpg"</f>
        <v>https://www.artic.edu/iiif/2/a2a20b85-04ba-8cc9-3453-88077d7189a2/full/843,/0/default.jpg</v>
      </c>
      <c r="N940" s="3">
        <v>0.77500000000000002</v>
      </c>
      <c r="O940" s="3">
        <v>0.05</v>
      </c>
      <c r="P940" s="3">
        <v>0.72499999999999998</v>
      </c>
      <c r="Q940" s="3">
        <v>0.85943901538848799</v>
      </c>
    </row>
    <row r="941" spans="1:17" x14ac:dyDescent="0.45">
      <c r="A941" s="3">
        <v>20507</v>
      </c>
      <c r="B941" t="b">
        <v>0</v>
      </c>
      <c r="C941" t="b">
        <v>0</v>
      </c>
      <c r="D941" s="3">
        <v>1964</v>
      </c>
      <c r="E941" s="3">
        <v>1964</v>
      </c>
      <c r="F941" t="s">
        <v>5442</v>
      </c>
      <c r="G941" t="s">
        <v>141</v>
      </c>
      <c r="H941" s="3">
        <v>33.463200000000001</v>
      </c>
      <c r="I941" t="s">
        <v>293</v>
      </c>
      <c r="J941" t="s">
        <v>13300</v>
      </c>
      <c r="L941" t="s">
        <v>5443</v>
      </c>
      <c r="M941" t="str">
        <f>"https://www.artic.edu/iiif/2/"&amp;Table9[[#This Row],[Image ID]]&amp;"/full/843,/0/default.jpg"</f>
        <v>https://www.artic.edu/iiif/2/a4f87056-47b2-3be5-35bd-54196999cbf1/full/843,/0/default.jpg</v>
      </c>
      <c r="N941" s="3">
        <v>0.77500000000000002</v>
      </c>
      <c r="O941" s="3">
        <v>0.05</v>
      </c>
      <c r="P941" s="3">
        <v>0.72499999999999998</v>
      </c>
      <c r="Q941" s="3">
        <v>0.72334319353103604</v>
      </c>
    </row>
    <row r="942" spans="1:17" x14ac:dyDescent="0.45">
      <c r="A942" s="3">
        <v>15572</v>
      </c>
      <c r="B942" t="b">
        <v>0</v>
      </c>
      <c r="C942" t="b">
        <v>0</v>
      </c>
      <c r="D942" s="3">
        <v>1957</v>
      </c>
      <c r="E942" s="3">
        <v>1957</v>
      </c>
      <c r="F942" t="s">
        <v>4026</v>
      </c>
      <c r="G942" t="s">
        <v>4027</v>
      </c>
      <c r="H942" s="3">
        <v>0</v>
      </c>
      <c r="I942" t="s">
        <v>4028</v>
      </c>
      <c r="J942" t="s">
        <v>4030</v>
      </c>
      <c r="L942" t="s">
        <v>4029</v>
      </c>
      <c r="M942" t="str">
        <f>"https://www.artic.edu/iiif/2/"&amp;Table9[[#This Row],[Image ID]]&amp;"/full/843,/0/default.jpg"</f>
        <v>https://www.artic.edu/iiif/2/a9753ac8-6553-4550-ab96-94442544797d/full/843,/0/default.jpg</v>
      </c>
      <c r="N942" s="3">
        <v>0.77500000000000002</v>
      </c>
      <c r="O942" s="3">
        <v>0.05</v>
      </c>
      <c r="P942" s="3">
        <v>0.72499999999999998</v>
      </c>
      <c r="Q942" s="3">
        <v>0.74458712339401201</v>
      </c>
    </row>
    <row r="943" spans="1:17" x14ac:dyDescent="0.45">
      <c r="A943" s="3">
        <v>117242</v>
      </c>
      <c r="B943" t="b">
        <v>0</v>
      </c>
      <c r="C943" t="b">
        <v>0</v>
      </c>
      <c r="D943" s="3">
        <v>1915</v>
      </c>
      <c r="E943" s="3">
        <v>1915</v>
      </c>
      <c r="F943" t="s">
        <v>2262</v>
      </c>
      <c r="G943" t="s">
        <v>7</v>
      </c>
      <c r="H943" s="3">
        <v>50.203600000000002</v>
      </c>
      <c r="I943" t="s">
        <v>915</v>
      </c>
      <c r="J943" t="s">
        <v>13414</v>
      </c>
      <c r="L943" t="s">
        <v>2263</v>
      </c>
      <c r="M943" t="str">
        <f>"https://www.artic.edu/iiif/2/"&amp;Table9[[#This Row],[Image ID]]&amp;"/full/843,/0/default.jpg"</f>
        <v>https://www.artic.edu/iiif/2/ad7bc963-3511-da53-b729-79f3546a8d66/full/843,/0/default.jpg</v>
      </c>
      <c r="N943" s="3">
        <v>0.82499999999999996</v>
      </c>
      <c r="O943" s="3">
        <v>0.1</v>
      </c>
      <c r="P943" s="3">
        <v>0.72499999999999998</v>
      </c>
      <c r="Q943" s="3">
        <v>0.64483314752578702</v>
      </c>
    </row>
    <row r="944" spans="1:17" x14ac:dyDescent="0.45">
      <c r="A944" s="3">
        <v>185561</v>
      </c>
      <c r="B944" t="b">
        <v>0</v>
      </c>
      <c r="C944" t="b">
        <v>0</v>
      </c>
      <c r="D944" s="3">
        <v>1992</v>
      </c>
      <c r="E944" s="3">
        <v>1992</v>
      </c>
      <c r="F944" t="s">
        <v>4995</v>
      </c>
      <c r="G944" t="s">
        <v>3506</v>
      </c>
      <c r="H944" s="3">
        <v>116.27</v>
      </c>
      <c r="I944" t="s">
        <v>4958</v>
      </c>
      <c r="J944" t="s">
        <v>13423</v>
      </c>
      <c r="L944" t="s">
        <v>4996</v>
      </c>
      <c r="M944" t="str">
        <f>"https://www.artic.edu/iiif/2/"&amp;Table9[[#This Row],[Image ID]]&amp;"/full/843,/0/default.jpg"</f>
        <v>https://www.artic.edu/iiif/2/ae116aa2-35d0-81ba-1ac6-da86dae5f12a/full/843,/0/default.jpg</v>
      </c>
      <c r="N944" s="3">
        <v>0.85</v>
      </c>
      <c r="O944" s="3">
        <v>0.125</v>
      </c>
      <c r="P944" s="3">
        <v>0.72499999999999998</v>
      </c>
      <c r="Q944" s="3">
        <v>0.77869278192520097</v>
      </c>
    </row>
    <row r="945" spans="1:17" x14ac:dyDescent="0.45">
      <c r="A945" s="3">
        <v>17658</v>
      </c>
      <c r="B945" t="b">
        <v>0</v>
      </c>
      <c r="C945" t="b">
        <v>0</v>
      </c>
      <c r="D945" s="3">
        <v>1907</v>
      </c>
      <c r="E945" s="3">
        <v>1963</v>
      </c>
      <c r="F945" t="s">
        <v>4676</v>
      </c>
      <c r="G945" t="s">
        <v>4677</v>
      </c>
      <c r="H945" s="3">
        <v>36.546900000000001</v>
      </c>
      <c r="I945" t="s">
        <v>14639</v>
      </c>
      <c r="J945" t="s">
        <v>13471</v>
      </c>
      <c r="L945" t="s">
        <v>4678</v>
      </c>
      <c r="M945" t="str">
        <f>"https://www.artic.edu/iiif/2/"&amp;Table9[[#This Row],[Image ID]]&amp;"/full/843,/0/default.jpg"</f>
        <v>https://www.artic.edu/iiif/2/b16e8db9-5f79-04de-588a-965354edf080/full/843,/0/default.jpg</v>
      </c>
      <c r="N945" s="3">
        <v>0.77500000000000002</v>
      </c>
      <c r="O945" s="3">
        <v>0.05</v>
      </c>
      <c r="P945" s="3">
        <v>0.72499999999999998</v>
      </c>
      <c r="Q945" s="3">
        <v>0.759316146373748</v>
      </c>
    </row>
    <row r="946" spans="1:17" x14ac:dyDescent="0.45">
      <c r="A946" s="3">
        <v>113428</v>
      </c>
      <c r="B946" t="b">
        <v>0</v>
      </c>
      <c r="C946" t="b">
        <v>0</v>
      </c>
      <c r="D946" s="3">
        <v>1929</v>
      </c>
      <c r="E946" s="3">
        <v>1939</v>
      </c>
      <c r="F946" t="s">
        <v>1428</v>
      </c>
      <c r="G946" t="s">
        <v>1429</v>
      </c>
      <c r="H946" s="3">
        <v>23.2133</v>
      </c>
      <c r="I946" t="s">
        <v>1430</v>
      </c>
      <c r="J946" t="s">
        <v>13509</v>
      </c>
      <c r="L946" t="s">
        <v>1431</v>
      </c>
      <c r="M946" t="str">
        <f>"https://www.artic.edu/iiif/2/"&amp;Table9[[#This Row],[Image ID]]&amp;"/full/843,/0/default.jpg"</f>
        <v>https://www.artic.edu/iiif/2/b4e77a48-1c20-8caf-d185-2071787fe946/full/843,/0/default.jpg</v>
      </c>
      <c r="N946" s="3">
        <v>0.72499999999999998</v>
      </c>
      <c r="O946" s="3">
        <v>0</v>
      </c>
      <c r="P946" s="3">
        <v>0.72499999999999998</v>
      </c>
      <c r="Q946" s="3">
        <v>0.78800225257873502</v>
      </c>
    </row>
    <row r="947" spans="1:17" x14ac:dyDescent="0.45">
      <c r="A947" s="3">
        <v>185070</v>
      </c>
      <c r="B947" t="b">
        <v>0</v>
      </c>
      <c r="C947" t="b">
        <v>0</v>
      </c>
      <c r="D947" s="3">
        <v>2003</v>
      </c>
      <c r="E947" s="3">
        <v>2003</v>
      </c>
      <c r="F947" t="s">
        <v>4962</v>
      </c>
      <c r="G947" t="s">
        <v>7</v>
      </c>
      <c r="H947" s="3">
        <v>17.93</v>
      </c>
      <c r="I947" t="s">
        <v>4963</v>
      </c>
      <c r="J947" t="s">
        <v>13553</v>
      </c>
      <c r="K947" s="5" t="s">
        <v>15</v>
      </c>
      <c r="L947" t="s">
        <v>4964</v>
      </c>
      <c r="M947" t="str">
        <f>"https://www.artic.edu/iiif/2/"&amp;Table9[[#This Row],[Image ID]]&amp;"/full/843,/0/default.jpg"</f>
        <v>https://www.artic.edu/iiif/2/b8ae2529-0103-7b2e-c381-f1b7ad301bb8/full/843,/0/default.jpg</v>
      </c>
      <c r="N947" s="3">
        <v>0.82499999999999996</v>
      </c>
      <c r="O947" s="3">
        <v>0.1</v>
      </c>
      <c r="P947" s="3">
        <v>0.72499999999999998</v>
      </c>
      <c r="Q947" s="3">
        <v>0.80449682474136297</v>
      </c>
    </row>
    <row r="948" spans="1:17" x14ac:dyDescent="0.45">
      <c r="A948" s="3">
        <v>229367</v>
      </c>
      <c r="B948" t="b">
        <v>0</v>
      </c>
      <c r="C948" t="b">
        <v>0</v>
      </c>
      <c r="D948" s="3">
        <v>1981</v>
      </c>
      <c r="E948" s="3">
        <v>1981</v>
      </c>
      <c r="F948" t="s">
        <v>6094</v>
      </c>
      <c r="G948" t="s">
        <v>7</v>
      </c>
      <c r="H948" s="3">
        <v>12.5527</v>
      </c>
      <c r="I948" t="s">
        <v>52</v>
      </c>
      <c r="J948" t="s">
        <v>13642</v>
      </c>
      <c r="L948" t="s">
        <v>6095</v>
      </c>
      <c r="M948" t="str">
        <f>"https://www.artic.edu/iiif/2/"&amp;Table9[[#This Row],[Image ID]]&amp;"/full/843,/0/default.jpg"</f>
        <v>https://www.artic.edu/iiif/2/beee4148-35ff-4a0b-7752-74967746cb8d/full/843,/0/default.jpg</v>
      </c>
      <c r="N948" s="3">
        <v>0.75</v>
      </c>
      <c r="O948" s="3">
        <v>2.5000000000000001E-2</v>
      </c>
      <c r="P948" s="3">
        <v>0.72499999999999998</v>
      </c>
      <c r="Q948" s="3">
        <v>0.56798899173736495</v>
      </c>
    </row>
    <row r="949" spans="1:17" x14ac:dyDescent="0.45">
      <c r="A949" s="3">
        <v>222981</v>
      </c>
      <c r="B949" t="b">
        <v>0</v>
      </c>
      <c r="C949" t="b">
        <v>0</v>
      </c>
      <c r="D949" s="3">
        <v>1967</v>
      </c>
      <c r="E949" s="3">
        <v>1967</v>
      </c>
      <c r="F949" t="s">
        <v>5849</v>
      </c>
      <c r="G949" t="s">
        <v>5850</v>
      </c>
      <c r="H949" s="3">
        <v>10.9756</v>
      </c>
      <c r="I949" t="s">
        <v>14616</v>
      </c>
      <c r="J949" t="s">
        <v>13686</v>
      </c>
      <c r="L949" t="s">
        <v>5851</v>
      </c>
      <c r="M949" t="str">
        <f>"https://www.artic.edu/iiif/2/"&amp;Table9[[#This Row],[Image ID]]&amp;"/full/843,/0/default.jpg"</f>
        <v>https://www.artic.edu/iiif/2/c30c5c12-f011-3fd8-71b9-3681577c24c2/full/843,/0/default.jpg</v>
      </c>
      <c r="N949" s="3">
        <v>0.85</v>
      </c>
      <c r="O949" s="3">
        <v>0.125</v>
      </c>
      <c r="P949" s="3">
        <v>0.72499999999999998</v>
      </c>
      <c r="Q949" s="3">
        <v>0.77994012832641602</v>
      </c>
    </row>
    <row r="950" spans="1:17" x14ac:dyDescent="0.45">
      <c r="A950" s="3">
        <v>107341</v>
      </c>
      <c r="B950" t="b">
        <v>0</v>
      </c>
      <c r="C950" t="b">
        <v>0</v>
      </c>
      <c r="D950" s="3">
        <v>1890</v>
      </c>
      <c r="E950" s="3">
        <v>1930</v>
      </c>
      <c r="F950" t="s">
        <v>681</v>
      </c>
      <c r="G950" t="s">
        <v>682</v>
      </c>
      <c r="H950" s="3">
        <v>22.758299999999998</v>
      </c>
      <c r="J950" t="s">
        <v>13688</v>
      </c>
      <c r="K950" s="5" t="s">
        <v>278</v>
      </c>
      <c r="L950" t="s">
        <v>683</v>
      </c>
      <c r="M950" t="str">
        <f>"https://www.artic.edu/iiif/2/"&amp;Table9[[#This Row],[Image ID]]&amp;"/full/843,/0/default.jpg"</f>
        <v>https://www.artic.edu/iiif/2/c36ea2f6-1c1f-7afb-c7af-723db5c98903/full/843,/0/default.jpg</v>
      </c>
      <c r="N950" s="3">
        <v>0.75</v>
      </c>
      <c r="O950" s="3">
        <v>2.5000000000000001E-2</v>
      </c>
      <c r="P950" s="3">
        <v>0.72499999999999998</v>
      </c>
      <c r="Q950" s="3">
        <v>0.82912456989288297</v>
      </c>
    </row>
    <row r="951" spans="1:17" x14ac:dyDescent="0.45">
      <c r="A951" s="3">
        <v>156391</v>
      </c>
      <c r="B951" t="b">
        <v>0</v>
      </c>
      <c r="C951" t="b">
        <v>0</v>
      </c>
      <c r="D951" s="3">
        <v>1941</v>
      </c>
      <c r="E951" s="3">
        <v>1941</v>
      </c>
      <c r="F951" t="s">
        <v>4066</v>
      </c>
      <c r="G951" t="s">
        <v>4067</v>
      </c>
      <c r="H951" s="3">
        <v>25.844899999999999</v>
      </c>
      <c r="I951" t="s">
        <v>4064</v>
      </c>
      <c r="J951" t="s">
        <v>13689</v>
      </c>
      <c r="L951" t="s">
        <v>4068</v>
      </c>
      <c r="M951" t="str">
        <f>"https://www.artic.edu/iiif/2/"&amp;Table9[[#This Row],[Image ID]]&amp;"/full/843,/0/default.jpg"</f>
        <v>https://www.artic.edu/iiif/2/c370f12b-e473-62cc-ad4a-b1da40fd560a/full/843,/0/default.jpg</v>
      </c>
      <c r="N951" s="3">
        <v>0.77500000000000002</v>
      </c>
      <c r="O951" s="3">
        <v>0.05</v>
      </c>
      <c r="P951" s="3">
        <v>0.72499999999999998</v>
      </c>
      <c r="Q951" s="3">
        <v>0.69695693254470803</v>
      </c>
    </row>
    <row r="952" spans="1:17" x14ac:dyDescent="0.45">
      <c r="A952" s="3">
        <v>24658</v>
      </c>
      <c r="B952" t="b">
        <v>0</v>
      </c>
      <c r="C952" t="b">
        <v>0</v>
      </c>
      <c r="D952" s="3">
        <v>1960</v>
      </c>
      <c r="E952" s="3">
        <v>1960</v>
      </c>
      <c r="F952">
        <v>21992</v>
      </c>
      <c r="G952" t="s">
        <v>7</v>
      </c>
      <c r="H952" s="3">
        <v>28.632899999999999</v>
      </c>
      <c r="I952" t="s">
        <v>5318</v>
      </c>
      <c r="J952" t="s">
        <v>13696</v>
      </c>
      <c r="L952" t="s">
        <v>6412</v>
      </c>
      <c r="M952" t="str">
        <f>"https://www.artic.edu/iiif/2/"&amp;Table9[[#This Row],[Image ID]]&amp;"/full/843,/0/default.jpg"</f>
        <v>https://www.artic.edu/iiif/2/c46618a1-bbe9-1194-cf8f-ce596b822713/full/843,/0/default.jpg</v>
      </c>
      <c r="N952" s="3">
        <v>0.75</v>
      </c>
      <c r="O952" s="3">
        <v>2.5000000000000001E-2</v>
      </c>
      <c r="P952" s="3">
        <v>0.72499999999999998</v>
      </c>
      <c r="Q952" s="3">
        <v>0.73193991184234597</v>
      </c>
    </row>
    <row r="953" spans="1:17" x14ac:dyDescent="0.45">
      <c r="A953" s="3">
        <v>153702</v>
      </c>
      <c r="B953" t="b">
        <v>0</v>
      </c>
      <c r="C953" t="b">
        <v>0</v>
      </c>
      <c r="D953" s="3">
        <v>1926</v>
      </c>
      <c r="E953" s="3">
        <v>1926</v>
      </c>
      <c r="F953" t="s">
        <v>1397</v>
      </c>
      <c r="G953" t="s">
        <v>7</v>
      </c>
      <c r="H953" s="3">
        <v>62.8367</v>
      </c>
      <c r="I953" t="s">
        <v>14565</v>
      </c>
      <c r="J953" t="s">
        <v>13814</v>
      </c>
      <c r="L953" t="s">
        <v>3951</v>
      </c>
      <c r="M953" t="str">
        <f>"https://www.artic.edu/iiif/2/"&amp;Table9[[#This Row],[Image ID]]&amp;"/full/843,/0/default.jpg"</f>
        <v>https://www.artic.edu/iiif/2/cd277f61-c27e-f8d5-766a-96e81fa9c061/full/843,/0/default.jpg</v>
      </c>
      <c r="N953" s="3">
        <v>0.82499999999999996</v>
      </c>
      <c r="O953" s="3">
        <v>0.1</v>
      </c>
      <c r="P953" s="3">
        <v>0.72499999999999998</v>
      </c>
      <c r="Q953" s="3">
        <v>0.842271268367767</v>
      </c>
    </row>
    <row r="954" spans="1:17" x14ac:dyDescent="0.45">
      <c r="A954" s="3">
        <v>81034</v>
      </c>
      <c r="B954" t="b">
        <v>0</v>
      </c>
      <c r="C954" t="b">
        <v>0</v>
      </c>
      <c r="D954" s="3">
        <v>1899</v>
      </c>
      <c r="E954" s="3">
        <v>1922</v>
      </c>
      <c r="F954" t="s">
        <v>10079</v>
      </c>
      <c r="G954" t="s">
        <v>10080</v>
      </c>
      <c r="H954" s="3">
        <v>45.933100000000003</v>
      </c>
      <c r="I954" t="s">
        <v>9926</v>
      </c>
      <c r="J954" t="s">
        <v>13825</v>
      </c>
      <c r="L954" t="s">
        <v>10081</v>
      </c>
      <c r="M954" t="str">
        <f>"https://www.artic.edu/iiif/2/"&amp;Table9[[#This Row],[Image ID]]&amp;"/full/843,/0/default.jpg"</f>
        <v>https://www.artic.edu/iiif/2/ce6da1e9-ac33-c264-ad90-fdd74d9f9b27/full/843,/0/default.jpg</v>
      </c>
      <c r="N954" s="3">
        <v>0.75</v>
      </c>
      <c r="O954" s="3">
        <v>2.5000000000000001E-2</v>
      </c>
      <c r="P954" s="3">
        <v>0.72499999999999998</v>
      </c>
      <c r="Q954" s="3">
        <v>0.68032205104827803</v>
      </c>
    </row>
    <row r="955" spans="1:17" x14ac:dyDescent="0.45">
      <c r="A955" s="3">
        <v>74569</v>
      </c>
      <c r="B955" t="b">
        <v>0</v>
      </c>
      <c r="C955" t="b">
        <v>0</v>
      </c>
      <c r="D955" s="3">
        <v>1914</v>
      </c>
      <c r="E955" s="3">
        <v>1914</v>
      </c>
      <c r="F955" t="s">
        <v>9691</v>
      </c>
      <c r="G955" t="s">
        <v>7</v>
      </c>
      <c r="H955" s="3">
        <v>26.630700000000001</v>
      </c>
      <c r="I955" t="s">
        <v>1277</v>
      </c>
      <c r="J955" t="s">
        <v>13863</v>
      </c>
      <c r="L955" t="s">
        <v>9692</v>
      </c>
      <c r="M955" t="str">
        <f>"https://www.artic.edu/iiif/2/"&amp;Table9[[#This Row],[Image ID]]&amp;"/full/843,/0/default.jpg"</f>
        <v>https://www.artic.edu/iiif/2/d1af9565-b81f-f1a0-b294-d9eb916785a9/full/843,/0/default.jpg</v>
      </c>
      <c r="N955" s="3">
        <v>0.77500000000000002</v>
      </c>
      <c r="O955" s="3">
        <v>0.05</v>
      </c>
      <c r="P955" s="3">
        <v>0.72499999999999998</v>
      </c>
      <c r="Q955" s="3">
        <v>0.68830859661102295</v>
      </c>
    </row>
    <row r="956" spans="1:17" x14ac:dyDescent="0.45">
      <c r="A956" s="3">
        <v>159825</v>
      </c>
      <c r="B956" t="b">
        <v>0</v>
      </c>
      <c r="C956" t="b">
        <v>0</v>
      </c>
      <c r="D956" s="3">
        <v>2002</v>
      </c>
      <c r="E956" s="3">
        <v>2002</v>
      </c>
      <c r="F956" t="s">
        <v>4219</v>
      </c>
      <c r="G956" t="s">
        <v>4220</v>
      </c>
      <c r="H956" s="3">
        <v>47.6464</v>
      </c>
      <c r="I956" t="s">
        <v>2941</v>
      </c>
      <c r="J956" t="s">
        <v>12839</v>
      </c>
      <c r="K956" s="5" t="s">
        <v>15</v>
      </c>
      <c r="L956" t="s">
        <v>4221</v>
      </c>
      <c r="M956" t="str">
        <f>"https://www.artic.edu/iiif/2/"&amp;Table9[[#This Row],[Image ID]]&amp;"/full/843,/0/default.jpg"</f>
        <v>https://www.artic.edu/iiif/2/d247ccfa-b3e8-2a9c-78e6-dc42ba3b81c9/full/843,/0/default.jpg</v>
      </c>
      <c r="N956" s="3">
        <v>0.75</v>
      </c>
      <c r="O956" s="3">
        <v>2.5000000000000001E-2</v>
      </c>
      <c r="P956" s="3">
        <v>0.72499999999999998</v>
      </c>
      <c r="Q956" s="3">
        <v>0.84779000282287598</v>
      </c>
    </row>
    <row r="957" spans="1:17" x14ac:dyDescent="0.45">
      <c r="A957" s="3">
        <v>5421</v>
      </c>
      <c r="B957" t="b">
        <v>0</v>
      </c>
      <c r="C957" t="b">
        <v>0</v>
      </c>
      <c r="D957" s="3">
        <v>1944</v>
      </c>
      <c r="E957" s="3">
        <v>1944</v>
      </c>
      <c r="F957" t="s">
        <v>11</v>
      </c>
      <c r="G957" t="s">
        <v>8296</v>
      </c>
      <c r="H957" s="3">
        <v>35.383499999999998</v>
      </c>
      <c r="I957" t="s">
        <v>758</v>
      </c>
      <c r="J957" t="s">
        <v>13891</v>
      </c>
      <c r="L957" t="s">
        <v>8297</v>
      </c>
      <c r="M957" t="str">
        <f>"https://www.artic.edu/iiif/2/"&amp;Table9[[#This Row],[Image ID]]&amp;"/full/843,/0/default.jpg"</f>
        <v>https://www.artic.edu/iiif/2/d413cf18-0d3c-63f9-c472-384370a8c4c8/full/843,/0/default.jpg</v>
      </c>
      <c r="N957" s="3">
        <v>0.82499999999999996</v>
      </c>
      <c r="O957" s="3">
        <v>0.1</v>
      </c>
      <c r="P957" s="3">
        <v>0.72499999999999998</v>
      </c>
      <c r="Q957" s="3">
        <v>0.79385900497436501</v>
      </c>
    </row>
    <row r="958" spans="1:17" x14ac:dyDescent="0.45">
      <c r="A958" s="3">
        <v>96545</v>
      </c>
      <c r="B958" t="b">
        <v>0</v>
      </c>
      <c r="C958" t="b">
        <v>0</v>
      </c>
      <c r="D958" s="3">
        <v>1944</v>
      </c>
      <c r="E958" s="3">
        <v>1944</v>
      </c>
      <c r="F958" t="s">
        <v>10793</v>
      </c>
      <c r="G958" t="s">
        <v>7</v>
      </c>
      <c r="H958" s="3">
        <v>17.316400000000002</v>
      </c>
      <c r="I958" t="s">
        <v>2517</v>
      </c>
      <c r="J958" t="s">
        <v>14059</v>
      </c>
      <c r="L958" t="s">
        <v>10794</v>
      </c>
      <c r="M958" t="str">
        <f>"https://www.artic.edu/iiif/2/"&amp;Table9[[#This Row],[Image ID]]&amp;"/full/843,/0/default.jpg"</f>
        <v>https://www.artic.edu/iiif/2/dfead5a3-efeb-d3ea-59e8-c13935267893/full/843,/0/default.jpg</v>
      </c>
      <c r="N958" s="3">
        <v>0.77500000000000002</v>
      </c>
      <c r="O958" s="3">
        <v>0.05</v>
      </c>
      <c r="P958" s="3">
        <v>0.72499999999999998</v>
      </c>
      <c r="Q958" s="3">
        <v>0.65075379610061601</v>
      </c>
    </row>
    <row r="959" spans="1:17" x14ac:dyDescent="0.45">
      <c r="A959" s="3">
        <v>2895</v>
      </c>
      <c r="B959" t="b">
        <v>0</v>
      </c>
      <c r="C959" t="b">
        <v>0</v>
      </c>
      <c r="D959" s="3">
        <v>1932</v>
      </c>
      <c r="E959" s="3">
        <v>1932</v>
      </c>
      <c r="F959" t="s">
        <v>6852</v>
      </c>
      <c r="G959" t="s">
        <v>7</v>
      </c>
      <c r="H959" s="3">
        <v>49.764899999999997</v>
      </c>
      <c r="I959" t="s">
        <v>144</v>
      </c>
      <c r="J959" t="s">
        <v>14122</v>
      </c>
      <c r="K959" s="5" t="s">
        <v>45</v>
      </c>
      <c r="L959" t="s">
        <v>6853</v>
      </c>
      <c r="M959" t="str">
        <f>"https://www.artic.edu/iiif/2/"&amp;Table9[[#This Row],[Image ID]]&amp;"/full/843,/0/default.jpg"</f>
        <v>https://www.artic.edu/iiif/2/e358588d-f0b2-69a2-5b26-7d8594687a29/full/843,/0/default.jpg</v>
      </c>
      <c r="N959" s="3">
        <v>0.77500000000000002</v>
      </c>
      <c r="O959" s="3">
        <v>0.05</v>
      </c>
      <c r="P959" s="3">
        <v>0.72499999999999998</v>
      </c>
      <c r="Q959" s="3">
        <v>0.76666420698165805</v>
      </c>
    </row>
    <row r="960" spans="1:17" x14ac:dyDescent="0.45">
      <c r="A960" s="3">
        <v>16449</v>
      </c>
      <c r="B960" t="b">
        <v>0</v>
      </c>
      <c r="C960" t="b">
        <v>0</v>
      </c>
      <c r="D960" s="3">
        <v>1910</v>
      </c>
      <c r="E960" s="3">
        <v>1910</v>
      </c>
      <c r="F960" t="s">
        <v>4433</v>
      </c>
      <c r="G960" t="s">
        <v>434</v>
      </c>
      <c r="H960" s="3">
        <v>0</v>
      </c>
      <c r="I960" t="s">
        <v>14563</v>
      </c>
      <c r="J960" t="s">
        <v>14149</v>
      </c>
      <c r="L960" t="s">
        <v>4434</v>
      </c>
      <c r="M960" t="str">
        <f>"https://www.artic.edu/iiif/2/"&amp;Table9[[#This Row],[Image ID]]&amp;"/full/843,/0/default.jpg"</f>
        <v>https://www.artic.edu/iiif/2/e4bdd265-9a71-d844-1e47-006a62d18d63/full/843,/0/default.jpg</v>
      </c>
      <c r="N960" s="3">
        <v>0.85</v>
      </c>
      <c r="O960" s="3">
        <v>0.125</v>
      </c>
      <c r="P960" s="3">
        <v>0.72499999999999998</v>
      </c>
      <c r="Q960" s="3">
        <v>0.454034984111785</v>
      </c>
    </row>
    <row r="961" spans="1:17" x14ac:dyDescent="0.45">
      <c r="A961" s="3">
        <v>203112</v>
      </c>
      <c r="B961" t="b">
        <v>0</v>
      </c>
      <c r="C961" t="b">
        <v>0</v>
      </c>
      <c r="D961" s="3">
        <v>1928</v>
      </c>
      <c r="E961" s="3">
        <v>1961</v>
      </c>
      <c r="F961" t="s">
        <v>5367</v>
      </c>
      <c r="G961" t="s">
        <v>5370</v>
      </c>
      <c r="H961" s="3">
        <v>43.769599999999997</v>
      </c>
      <c r="I961" t="s">
        <v>3358</v>
      </c>
      <c r="J961" t="s">
        <v>11301</v>
      </c>
      <c r="L961" t="s">
        <v>5371</v>
      </c>
      <c r="M961" t="str">
        <f>"https://www.artic.edu/iiif/2/"&amp;Table9[[#This Row],[Image ID]]&amp;"/full/843,/0/default.jpg"</f>
        <v>https://www.artic.edu/iiif/2/e6cb960f-1350-2a0e-5066-b204a8c7c582/full/843,/0/default.jpg</v>
      </c>
      <c r="N961" s="3">
        <v>0.875</v>
      </c>
      <c r="O961" s="3">
        <v>0.15</v>
      </c>
      <c r="P961" s="3">
        <v>0.72499999999999998</v>
      </c>
      <c r="Q961" s="3">
        <v>0.75091135501861495</v>
      </c>
    </row>
    <row r="962" spans="1:17" x14ac:dyDescent="0.45">
      <c r="A962" s="3">
        <v>184948</v>
      </c>
      <c r="B962" t="b">
        <v>0</v>
      </c>
      <c r="C962" t="b">
        <v>0</v>
      </c>
      <c r="D962" s="3">
        <v>2003</v>
      </c>
      <c r="E962" s="3">
        <v>2003</v>
      </c>
      <c r="F962" t="s">
        <v>4940</v>
      </c>
      <c r="G962" t="s">
        <v>4823</v>
      </c>
      <c r="H962" s="3">
        <v>9.0313999999999997</v>
      </c>
      <c r="I962" t="s">
        <v>293</v>
      </c>
      <c r="J962" t="s">
        <v>10977</v>
      </c>
      <c r="K962" s="5" t="s">
        <v>15</v>
      </c>
      <c r="L962" t="s">
        <v>4941</v>
      </c>
      <c r="M962" t="str">
        <f>"https://www.artic.edu/iiif/2/"&amp;Table9[[#This Row],[Image ID]]&amp;"/full/843,/0/default.jpg"</f>
        <v>https://www.artic.edu/iiif/2/e7c9d755-ec78-109f-5659-3249e1808822/full/843,/0/default.jpg</v>
      </c>
      <c r="N962" s="3">
        <v>0.85</v>
      </c>
      <c r="O962" s="3">
        <v>0.125</v>
      </c>
      <c r="P962" s="3">
        <v>0.72499999999999998</v>
      </c>
      <c r="Q962" s="3">
        <v>0.88790303468704201</v>
      </c>
    </row>
    <row r="963" spans="1:17" x14ac:dyDescent="0.45">
      <c r="A963" s="3">
        <v>13797</v>
      </c>
      <c r="B963" t="b">
        <v>0</v>
      </c>
      <c r="C963" t="b">
        <v>0</v>
      </c>
      <c r="D963" s="3">
        <v>1910</v>
      </c>
      <c r="E963" s="3">
        <v>1924</v>
      </c>
      <c r="F963" t="s">
        <v>3218</v>
      </c>
      <c r="G963" t="s">
        <v>1552</v>
      </c>
      <c r="H963" s="3">
        <v>26.266500000000001</v>
      </c>
      <c r="I963" t="s">
        <v>14554</v>
      </c>
      <c r="J963" t="s">
        <v>14210</v>
      </c>
      <c r="L963" t="s">
        <v>3219</v>
      </c>
      <c r="M963" t="str">
        <f>"https://www.artic.edu/iiif/2/"&amp;Table9[[#This Row],[Image ID]]&amp;"/full/843,/0/default.jpg"</f>
        <v>https://www.artic.edu/iiif/2/e922e118-a295-702d-068b-a5b8e067de95/full/843,/0/default.jpg</v>
      </c>
      <c r="N963" s="3">
        <v>0.75</v>
      </c>
      <c r="O963" s="3">
        <v>2.5000000000000001E-2</v>
      </c>
      <c r="P963" s="3">
        <v>0.72499999999999998</v>
      </c>
      <c r="Q963" s="3">
        <v>0.62571138143539395</v>
      </c>
    </row>
    <row r="964" spans="1:17" x14ac:dyDescent="0.45">
      <c r="A964" s="3">
        <v>196106</v>
      </c>
      <c r="B964" t="b">
        <v>0</v>
      </c>
      <c r="C964" t="b">
        <v>0</v>
      </c>
      <c r="D964" s="3">
        <v>1972</v>
      </c>
      <c r="E964" s="3">
        <v>1972</v>
      </c>
      <c r="F964" t="s">
        <v>5273</v>
      </c>
      <c r="G964" t="s">
        <v>5274</v>
      </c>
      <c r="H964" s="3">
        <v>49.087899999999998</v>
      </c>
      <c r="I964" t="s">
        <v>3132</v>
      </c>
      <c r="J964" t="s">
        <v>14284</v>
      </c>
      <c r="L964" t="s">
        <v>5275</v>
      </c>
      <c r="M964" t="str">
        <f>"https://www.artic.edu/iiif/2/"&amp;Table9[[#This Row],[Image ID]]&amp;"/full/843,/0/default.jpg"</f>
        <v>https://www.artic.edu/iiif/2/ede9658e-e024-2b13-25dc-e49ded33eba5/full/843,/0/default.jpg</v>
      </c>
      <c r="N964" s="3">
        <v>0.75</v>
      </c>
      <c r="O964" s="3">
        <v>2.5000000000000001E-2</v>
      </c>
      <c r="P964" s="3">
        <v>0.72499999999999998</v>
      </c>
      <c r="Q964" s="3">
        <v>0.88688641786575295</v>
      </c>
    </row>
    <row r="965" spans="1:17" x14ac:dyDescent="0.45">
      <c r="A965" s="3">
        <v>117328</v>
      </c>
      <c r="B965" t="b">
        <v>0</v>
      </c>
      <c r="C965" t="b">
        <v>0</v>
      </c>
      <c r="D965" s="3">
        <v>1944</v>
      </c>
      <c r="E965" s="3">
        <v>1986</v>
      </c>
      <c r="F965" t="s">
        <v>2292</v>
      </c>
      <c r="G965" t="s">
        <v>2293</v>
      </c>
      <c r="H965" s="3">
        <v>51.936599999999999</v>
      </c>
      <c r="I965" t="s">
        <v>2294</v>
      </c>
      <c r="J965" t="s">
        <v>14289</v>
      </c>
      <c r="L965" t="s">
        <v>2295</v>
      </c>
      <c r="M965" t="str">
        <f>"https://www.artic.edu/iiif/2/"&amp;Table9[[#This Row],[Image ID]]&amp;"/full/843,/0/default.jpg"</f>
        <v>https://www.artic.edu/iiif/2/ee0f279a-1e40-7a03-53b2-9aaa198aaff3/full/843,/0/default.jpg</v>
      </c>
      <c r="N965" s="3">
        <v>0.85</v>
      </c>
      <c r="O965" s="3">
        <v>0.125</v>
      </c>
      <c r="P965" s="3">
        <v>0.72499999999999998</v>
      </c>
      <c r="Q965" s="3">
        <v>0.84512400627136197</v>
      </c>
    </row>
    <row r="966" spans="1:17" x14ac:dyDescent="0.45">
      <c r="A966" s="3">
        <v>94019</v>
      </c>
      <c r="B966" t="b">
        <v>0</v>
      </c>
      <c r="C966" t="b">
        <v>0</v>
      </c>
      <c r="D966" s="3">
        <v>1969</v>
      </c>
      <c r="E966" s="3">
        <v>1969</v>
      </c>
      <c r="F966" t="s">
        <v>10687</v>
      </c>
      <c r="G966" t="s">
        <v>10688</v>
      </c>
      <c r="H966" s="3">
        <v>24.003900000000002</v>
      </c>
      <c r="I966" t="s">
        <v>378</v>
      </c>
      <c r="J966" t="s">
        <v>14322</v>
      </c>
      <c r="L966" t="s">
        <v>10689</v>
      </c>
      <c r="M966" t="str">
        <f>"https://www.artic.edu/iiif/2/"&amp;Table9[[#This Row],[Image ID]]&amp;"/full/843,/0/default.jpg"</f>
        <v>https://www.artic.edu/iiif/2/f07ab6b9-b20a-f6a7-9f24-472ae2679cb7/full/843,/0/default.jpg</v>
      </c>
      <c r="N966" s="3">
        <v>0.77500000000000002</v>
      </c>
      <c r="O966" s="3">
        <v>0.05</v>
      </c>
      <c r="P966" s="3">
        <v>0.72499999999999998</v>
      </c>
      <c r="Q966" s="3">
        <v>0.64915204048156705</v>
      </c>
    </row>
    <row r="967" spans="1:17" x14ac:dyDescent="0.45">
      <c r="A967" s="3">
        <v>34191</v>
      </c>
      <c r="B967" t="b">
        <v>0</v>
      </c>
      <c r="C967" t="b">
        <v>0</v>
      </c>
      <c r="D967" s="3">
        <v>1917</v>
      </c>
      <c r="E967" s="3">
        <v>1969</v>
      </c>
      <c r="F967" t="s">
        <v>7111</v>
      </c>
      <c r="G967" t="s">
        <v>7112</v>
      </c>
      <c r="H967" s="3">
        <v>74.322800000000001</v>
      </c>
      <c r="I967" t="s">
        <v>4713</v>
      </c>
      <c r="J967" t="s">
        <v>14358</v>
      </c>
      <c r="L967" t="s">
        <v>7113</v>
      </c>
      <c r="M967" t="str">
        <f>"https://www.artic.edu/iiif/2/"&amp;Table9[[#This Row],[Image ID]]&amp;"/full/843,/0/default.jpg"</f>
        <v>https://www.artic.edu/iiif/2/f2ecf32e-81c0-9723-2a9c-1f2e6632d912/full/843,/0/default.jpg</v>
      </c>
      <c r="N967" s="3">
        <v>0.75</v>
      </c>
      <c r="O967" s="3">
        <v>2.5000000000000001E-2</v>
      </c>
      <c r="P967" s="3">
        <v>0.72499999999999998</v>
      </c>
      <c r="Q967" s="3">
        <v>0.80966305732726995</v>
      </c>
    </row>
    <row r="968" spans="1:17" x14ac:dyDescent="0.45">
      <c r="A968" s="3">
        <v>31129</v>
      </c>
      <c r="B968" t="b">
        <v>0</v>
      </c>
      <c r="C968" t="b">
        <v>0</v>
      </c>
      <c r="D968" s="3">
        <v>1906</v>
      </c>
      <c r="E968" s="3">
        <v>1939</v>
      </c>
      <c r="F968" t="s">
        <v>69</v>
      </c>
      <c r="G968" t="s">
        <v>6990</v>
      </c>
      <c r="H968" s="3">
        <v>55.0503</v>
      </c>
      <c r="I968" t="s">
        <v>3238</v>
      </c>
      <c r="J968" t="s">
        <v>14375</v>
      </c>
      <c r="L968" t="s">
        <v>6991</v>
      </c>
      <c r="M968" t="str">
        <f>"https://www.artic.edu/iiif/2/"&amp;Table9[[#This Row],[Image ID]]&amp;"/full/843,/0/default.jpg"</f>
        <v>https://www.artic.edu/iiif/2/f4cf14de-118f-16f8-86e9-8e344c6fa5dc/full/843,/0/default.jpg</v>
      </c>
      <c r="N968" s="3">
        <v>0.85</v>
      </c>
      <c r="O968" s="3">
        <v>0.125</v>
      </c>
      <c r="P968" s="3">
        <v>0.72499999999999998</v>
      </c>
      <c r="Q968" s="3">
        <v>0.73018193244934004</v>
      </c>
    </row>
    <row r="969" spans="1:17" x14ac:dyDescent="0.45">
      <c r="A969" s="3">
        <v>117777</v>
      </c>
      <c r="B969" t="b">
        <v>0</v>
      </c>
      <c r="C969" t="b">
        <v>0</v>
      </c>
      <c r="D969" s="3">
        <v>1980</v>
      </c>
      <c r="E969" s="3">
        <v>1980</v>
      </c>
      <c r="F969" t="s">
        <v>2433</v>
      </c>
      <c r="G969" t="s">
        <v>2072</v>
      </c>
      <c r="H969" s="3">
        <v>12.0359</v>
      </c>
      <c r="I969" t="s">
        <v>2434</v>
      </c>
      <c r="J969" t="s">
        <v>14385</v>
      </c>
      <c r="L969" t="s">
        <v>2435</v>
      </c>
      <c r="M969" t="str">
        <f>"https://www.artic.edu/iiif/2/"&amp;Table9[[#This Row],[Image ID]]&amp;"/full/843,/0/default.jpg"</f>
        <v>https://www.artic.edu/iiif/2/f56dc396-7c69-46a9-42c5-4416ac98d9d1/full/843,/0/default.jpg</v>
      </c>
      <c r="N969" s="3">
        <v>0.72499999999999998</v>
      </c>
      <c r="O969" s="3">
        <v>0</v>
      </c>
      <c r="P969" s="3">
        <v>0.72499999999999998</v>
      </c>
      <c r="Q969" s="3">
        <v>0.49832123517990101</v>
      </c>
    </row>
    <row r="970" spans="1:17" x14ac:dyDescent="0.45">
      <c r="A970" s="3">
        <v>184728</v>
      </c>
      <c r="B970" t="b">
        <v>0</v>
      </c>
      <c r="C970" t="b">
        <v>0</v>
      </c>
      <c r="D970" s="3">
        <v>2003</v>
      </c>
      <c r="E970" s="3">
        <v>2003</v>
      </c>
      <c r="F970" t="s">
        <v>4833</v>
      </c>
      <c r="G970" t="s">
        <v>4823</v>
      </c>
      <c r="H970" s="3">
        <v>7.5471000000000004</v>
      </c>
      <c r="I970" t="s">
        <v>293</v>
      </c>
      <c r="J970" t="s">
        <v>10977</v>
      </c>
      <c r="K970" s="5" t="s">
        <v>15</v>
      </c>
      <c r="L970" t="s">
        <v>4834</v>
      </c>
      <c r="M970" t="str">
        <f>"https://www.artic.edu/iiif/2/"&amp;Table9[[#This Row],[Image ID]]&amp;"/full/843,/0/default.jpg"</f>
        <v>https://www.artic.edu/iiif/2/f6d1371d-e943-e513-23ce-0e7460884ddf/full/843,/0/default.jpg</v>
      </c>
      <c r="N970" s="3">
        <v>0.77500000000000002</v>
      </c>
      <c r="O970" s="3">
        <v>0.05</v>
      </c>
      <c r="P970" s="3">
        <v>0.72499999999999998</v>
      </c>
      <c r="Q970" s="3">
        <v>0.82568860054016102</v>
      </c>
    </row>
    <row r="971" spans="1:17" x14ac:dyDescent="0.45">
      <c r="A971" s="3">
        <v>152761</v>
      </c>
      <c r="B971" t="b">
        <v>0</v>
      </c>
      <c r="C971" t="b">
        <v>0</v>
      </c>
      <c r="D971" s="3">
        <v>1989</v>
      </c>
      <c r="E971" s="3">
        <v>1999</v>
      </c>
      <c r="F971" t="s">
        <v>3914</v>
      </c>
      <c r="G971" t="s">
        <v>3915</v>
      </c>
      <c r="H971" s="3">
        <v>105.411</v>
      </c>
      <c r="I971" t="s">
        <v>62</v>
      </c>
      <c r="J971" t="s">
        <v>14521</v>
      </c>
      <c r="L971" t="s">
        <v>3927</v>
      </c>
      <c r="M971" t="str">
        <f>"https://www.artic.edu/iiif/2/"&amp;Table9[[#This Row],[Image ID]]&amp;"/full/843,/0/default.jpg"</f>
        <v>https://www.artic.edu/iiif/2/fec58d3b-be37-a4df-d174-c516f98cbc4c/full/843,/0/default.jpg</v>
      </c>
      <c r="N971" s="3">
        <v>0.77500000000000002</v>
      </c>
      <c r="O971" s="3">
        <v>0.05</v>
      </c>
      <c r="P971" s="3">
        <v>0.72499999999999998</v>
      </c>
      <c r="Q971" s="3">
        <v>0.907592713832855</v>
      </c>
    </row>
    <row r="972" spans="1:17" x14ac:dyDescent="0.45">
      <c r="A972" s="3">
        <v>80560</v>
      </c>
      <c r="B972" t="b">
        <v>0</v>
      </c>
      <c r="C972" t="b">
        <v>1</v>
      </c>
      <c r="D972" s="3">
        <v>1627</v>
      </c>
      <c r="E972" s="3">
        <v>1637</v>
      </c>
      <c r="F972" t="s">
        <v>10019</v>
      </c>
      <c r="G972" t="s">
        <v>7</v>
      </c>
      <c r="H972" s="3">
        <v>18.053799999999999</v>
      </c>
      <c r="I972" t="s">
        <v>14650</v>
      </c>
      <c r="J972" t="s">
        <v>11091</v>
      </c>
      <c r="L972" t="s">
        <v>10020</v>
      </c>
      <c r="M972" t="str">
        <f>"https://www.artic.edu/iiif/2/"&amp;Table9[[#This Row],[Image ID]]&amp;"/full/843,/0/default.jpg"</f>
        <v>https://www.artic.edu/iiif/2/0893821b-474d-c87c-b528-a059919089e7/full/843,/0/default.jpg</v>
      </c>
      <c r="N972" s="3">
        <v>0.85</v>
      </c>
      <c r="O972" s="3">
        <v>0.125</v>
      </c>
      <c r="P972" s="3">
        <v>0.72499999999999998</v>
      </c>
      <c r="Q972" s="3">
        <v>0.72579222917556696</v>
      </c>
    </row>
    <row r="973" spans="1:17" ht="71.25" x14ac:dyDescent="0.45">
      <c r="A973" s="3">
        <v>59960</v>
      </c>
      <c r="B973" t="b">
        <v>0</v>
      </c>
      <c r="C973" t="b">
        <v>1</v>
      </c>
      <c r="D973" s="3">
        <v>1515</v>
      </c>
      <c r="E973" s="3">
        <v>1535</v>
      </c>
      <c r="F973" t="s">
        <v>297</v>
      </c>
      <c r="G973" t="s">
        <v>8659</v>
      </c>
      <c r="H973" s="3">
        <v>41.218800000000002</v>
      </c>
      <c r="I973" t="s">
        <v>8660</v>
      </c>
      <c r="J973" s="1" t="s">
        <v>11171</v>
      </c>
      <c r="L973" t="s">
        <v>8661</v>
      </c>
      <c r="M973" t="str">
        <f>"https://www.artic.edu/iiif/2/"&amp;Table9[[#This Row],[Image ID]]&amp;"/full/843,/0/default.jpg"</f>
        <v>https://www.artic.edu/iiif/2/0f1b4de0-bf06-fd85-3646-9671e349efbb/full/843,/0/default.jpg</v>
      </c>
      <c r="N973" s="3">
        <v>0.77500000000000002</v>
      </c>
      <c r="O973" s="3">
        <v>0.05</v>
      </c>
      <c r="P973" s="3">
        <v>0.72499999999999998</v>
      </c>
      <c r="Q973" s="3">
        <v>0.87145447731018</v>
      </c>
    </row>
    <row r="974" spans="1:17" x14ac:dyDescent="0.45">
      <c r="A974" s="3">
        <v>115190</v>
      </c>
      <c r="B974" t="b">
        <v>0</v>
      </c>
      <c r="C974" t="b">
        <v>1</v>
      </c>
      <c r="D974" s="3">
        <v>1835</v>
      </c>
      <c r="E974" s="3">
        <v>1882</v>
      </c>
      <c r="F974" t="s">
        <v>1826</v>
      </c>
      <c r="G974" t="s">
        <v>1774</v>
      </c>
      <c r="H974" s="3">
        <v>13.131399999999999</v>
      </c>
      <c r="I974" t="s">
        <v>1555</v>
      </c>
      <c r="J974" t="s">
        <v>11433</v>
      </c>
      <c r="L974" t="s">
        <v>1827</v>
      </c>
      <c r="M974" t="str">
        <f>"https://www.artic.edu/iiif/2/"&amp;Table9[[#This Row],[Image ID]]&amp;"/full/843,/0/default.jpg"</f>
        <v>https://www.artic.edu/iiif/2/202d9824-7f68-96a6-9180-a3f3998eab19/full/843,/0/default.jpg</v>
      </c>
      <c r="N974" s="3">
        <v>0.82499999999999996</v>
      </c>
      <c r="O974" s="3">
        <v>0.1</v>
      </c>
      <c r="P974" s="3">
        <v>0.72499999999999998</v>
      </c>
      <c r="Q974" s="3">
        <v>0.82835018634796098</v>
      </c>
    </row>
    <row r="975" spans="1:17" x14ac:dyDescent="0.45">
      <c r="A975" s="3">
        <v>60804</v>
      </c>
      <c r="B975" t="b">
        <v>0</v>
      </c>
      <c r="C975" t="b">
        <v>1</v>
      </c>
      <c r="D975" s="3">
        <v>1740</v>
      </c>
      <c r="E975" s="3">
        <v>1750</v>
      </c>
      <c r="F975" t="s">
        <v>8746</v>
      </c>
      <c r="G975" t="s">
        <v>7</v>
      </c>
      <c r="H975" s="3">
        <v>44.624400000000001</v>
      </c>
      <c r="I975" t="s">
        <v>355</v>
      </c>
      <c r="J975" t="s">
        <v>11492</v>
      </c>
      <c r="L975" t="s">
        <v>8747</v>
      </c>
      <c r="M975" t="str">
        <f>"https://www.artic.edu/iiif/2/"&amp;Table9[[#This Row],[Image ID]]&amp;"/full/843,/0/default.jpg"</f>
        <v>https://www.artic.edu/iiif/2/247e6198-73d4-1c31-f6d7-1ffc2c5e4622/full/843,/0/default.jpg</v>
      </c>
      <c r="N975" s="3">
        <v>0.75</v>
      </c>
      <c r="O975" s="3">
        <v>2.5000000000000001E-2</v>
      </c>
      <c r="P975" s="3">
        <v>0.72499999999999998</v>
      </c>
      <c r="Q975" s="3">
        <v>0.83526134490966797</v>
      </c>
    </row>
    <row r="976" spans="1:17" x14ac:dyDescent="0.45">
      <c r="A976" s="3">
        <v>79025</v>
      </c>
      <c r="B976" t="b">
        <v>0</v>
      </c>
      <c r="C976" t="b">
        <v>1</v>
      </c>
      <c r="D976" s="3">
        <v>1837</v>
      </c>
      <c r="E976" s="3">
        <v>1863</v>
      </c>
      <c r="F976" t="s">
        <v>9863</v>
      </c>
      <c r="G976" t="s">
        <v>250</v>
      </c>
      <c r="H976" s="3">
        <v>33.7791</v>
      </c>
      <c r="I976" t="s">
        <v>21</v>
      </c>
      <c r="J976" t="s">
        <v>11506</v>
      </c>
      <c r="L976" t="s">
        <v>9864</v>
      </c>
      <c r="M976" t="str">
        <f>"https://www.artic.edu/iiif/2/"&amp;Table9[[#This Row],[Image ID]]&amp;"/full/843,/0/default.jpg"</f>
        <v>https://www.artic.edu/iiif/2/25af23d1-e955-7a98-457c-84c2b7b1beff/full/843,/0/default.jpg</v>
      </c>
      <c r="N976" s="3">
        <v>0.85</v>
      </c>
      <c r="O976" s="3">
        <v>0.125</v>
      </c>
      <c r="P976" s="3">
        <v>0.72499999999999998</v>
      </c>
      <c r="Q976" s="3">
        <v>0.87403357028961104</v>
      </c>
    </row>
    <row r="977" spans="1:17" x14ac:dyDescent="0.45">
      <c r="A977" s="3">
        <v>25749</v>
      </c>
      <c r="B977" t="b">
        <v>0</v>
      </c>
      <c r="C977" t="b">
        <v>1</v>
      </c>
      <c r="D977" s="3">
        <v>1500</v>
      </c>
      <c r="E977" s="3">
        <v>1505</v>
      </c>
      <c r="F977" t="s">
        <v>6573</v>
      </c>
      <c r="G977" t="s">
        <v>75</v>
      </c>
      <c r="H977" s="3">
        <v>37.058399999999999</v>
      </c>
      <c r="I977" t="s">
        <v>4364</v>
      </c>
      <c r="J977" t="s">
        <v>11524</v>
      </c>
      <c r="L977" t="s">
        <v>6574</v>
      </c>
      <c r="M977" t="str">
        <f>"https://www.artic.edu/iiif/2/"&amp;Table9[[#This Row],[Image ID]]&amp;"/full/843,/0/default.jpg"</f>
        <v>https://www.artic.edu/iiif/2/266ebd5c-bc67-1e1e-9696-5a8e40e6de80/full/843,/0/default.jpg</v>
      </c>
      <c r="N977" s="3">
        <v>0.82499999999999996</v>
      </c>
      <c r="O977" s="3">
        <v>0.1</v>
      </c>
      <c r="P977" s="3">
        <v>0.72499999999999998</v>
      </c>
      <c r="Q977" s="3">
        <v>0.83537322282791104</v>
      </c>
    </row>
    <row r="978" spans="1:17" x14ac:dyDescent="0.45">
      <c r="A978" s="3">
        <v>16177</v>
      </c>
      <c r="B978" t="b">
        <v>0</v>
      </c>
      <c r="C978" t="b">
        <v>1</v>
      </c>
      <c r="D978" s="3">
        <v>1401</v>
      </c>
      <c r="E978" s="3">
        <v>1410</v>
      </c>
      <c r="F978" t="s">
        <v>4290</v>
      </c>
      <c r="G978" t="s">
        <v>103</v>
      </c>
      <c r="H978" s="3">
        <v>62.707500000000003</v>
      </c>
      <c r="I978" t="s">
        <v>4291</v>
      </c>
      <c r="J978" t="s">
        <v>11555</v>
      </c>
      <c r="L978" t="s">
        <v>4292</v>
      </c>
      <c r="M978" t="str">
        <f>"https://www.artic.edu/iiif/2/"&amp;Table9[[#This Row],[Image ID]]&amp;"/full/843,/0/default.jpg"</f>
        <v>https://www.artic.edu/iiif/2/2831d07d-1b69-50ed-2865-6a5b7d9bfc6a/full/843,/0/default.jpg</v>
      </c>
      <c r="N978" s="3">
        <v>0.85</v>
      </c>
      <c r="O978" s="3">
        <v>0.125</v>
      </c>
      <c r="P978" s="3">
        <v>0.72499999999999998</v>
      </c>
      <c r="Q978" s="3">
        <v>0.746851086616516</v>
      </c>
    </row>
    <row r="979" spans="1:17" x14ac:dyDescent="0.45">
      <c r="A979" s="3">
        <v>94126</v>
      </c>
      <c r="B979" t="b">
        <v>0</v>
      </c>
      <c r="C979" t="b">
        <v>1</v>
      </c>
      <c r="D979" s="3">
        <v>1724</v>
      </c>
      <c r="E979" s="3">
        <v>1724</v>
      </c>
      <c r="F979" t="s">
        <v>10731</v>
      </c>
      <c r="G979" t="s">
        <v>7</v>
      </c>
      <c r="H979" s="3">
        <v>24.0167</v>
      </c>
      <c r="I979" t="s">
        <v>550</v>
      </c>
      <c r="J979" t="s">
        <v>11575</v>
      </c>
      <c r="L979" t="s">
        <v>10732</v>
      </c>
      <c r="M979" t="str">
        <f>"https://www.artic.edu/iiif/2/"&amp;Table9[[#This Row],[Image ID]]&amp;"/full/843,/0/default.jpg"</f>
        <v>https://www.artic.edu/iiif/2/293ab61e-5536-c2d3-936a-4116f027260c/full/843,/0/default.jpg</v>
      </c>
      <c r="N979" s="3">
        <v>0.77500000000000002</v>
      </c>
      <c r="O979" s="3">
        <v>0.05</v>
      </c>
      <c r="P979" s="3">
        <v>0.72499999999999998</v>
      </c>
      <c r="Q979" s="3">
        <v>0.60434025526046697</v>
      </c>
    </row>
    <row r="980" spans="1:17" x14ac:dyDescent="0.45">
      <c r="A980" s="3">
        <v>93780</v>
      </c>
      <c r="B980" t="b">
        <v>0</v>
      </c>
      <c r="C980" t="b">
        <v>1</v>
      </c>
      <c r="D980" s="3">
        <v>1770</v>
      </c>
      <c r="E980" s="3">
        <v>1770</v>
      </c>
      <c r="F980" t="s">
        <v>10602</v>
      </c>
      <c r="G980" t="s">
        <v>7</v>
      </c>
      <c r="H980" s="3">
        <v>44.055300000000003</v>
      </c>
      <c r="I980" t="s">
        <v>10603</v>
      </c>
      <c r="J980" t="s">
        <v>11635</v>
      </c>
      <c r="L980" t="s">
        <v>10604</v>
      </c>
      <c r="M980" t="str">
        <f>"https://www.artic.edu/iiif/2/"&amp;Table9[[#This Row],[Image ID]]&amp;"/full/843,/0/default.jpg"</f>
        <v>https://www.artic.edu/iiif/2/2d717e79-f94a-83fd-0e18-3e1a82f85310/full/843,/0/default.jpg</v>
      </c>
      <c r="N980" s="3">
        <v>0.875</v>
      </c>
      <c r="O980" s="3">
        <v>0.15</v>
      </c>
      <c r="P980" s="3">
        <v>0.72499999999999998</v>
      </c>
      <c r="Q980" s="3">
        <v>0.82827979326248102</v>
      </c>
    </row>
    <row r="981" spans="1:17" x14ac:dyDescent="0.45">
      <c r="A981" s="3">
        <v>20535</v>
      </c>
      <c r="B981" t="b">
        <v>0</v>
      </c>
      <c r="C981" t="b">
        <v>1</v>
      </c>
      <c r="D981" s="3">
        <v>1885</v>
      </c>
      <c r="E981" s="3">
        <v>1885</v>
      </c>
      <c r="F981" t="s">
        <v>14638</v>
      </c>
      <c r="G981" t="s">
        <v>7</v>
      </c>
      <c r="H981" s="3">
        <v>23.732700000000001</v>
      </c>
      <c r="I981" t="s">
        <v>43</v>
      </c>
      <c r="J981" t="s">
        <v>11744</v>
      </c>
      <c r="K981" s="5" t="s">
        <v>9</v>
      </c>
      <c r="L981" t="s">
        <v>5456</v>
      </c>
      <c r="M981" t="str">
        <f>"https://www.artic.edu/iiif/2/"&amp;Table9[[#This Row],[Image ID]]&amp;"/full/843,/0/default.jpg"</f>
        <v>https://www.artic.edu/iiif/2/350b7e7f-e1d8-e58b-8890-0ef6b04afe18/full/843,/0/default.jpg</v>
      </c>
      <c r="N981" s="3">
        <v>0.85</v>
      </c>
      <c r="O981" s="3">
        <v>0.125</v>
      </c>
      <c r="P981" s="3">
        <v>0.72499999999999998</v>
      </c>
      <c r="Q981" s="3">
        <v>0.56804883480071999</v>
      </c>
    </row>
    <row r="982" spans="1:17" x14ac:dyDescent="0.45">
      <c r="A982" s="3">
        <v>35155</v>
      </c>
      <c r="B982" t="b">
        <v>0</v>
      </c>
      <c r="C982" t="b">
        <v>1</v>
      </c>
      <c r="D982" s="3">
        <v>1854</v>
      </c>
      <c r="E982" s="3">
        <v>1864</v>
      </c>
      <c r="F982" t="s">
        <v>7151</v>
      </c>
      <c r="G982" t="s">
        <v>75</v>
      </c>
      <c r="H982" s="3">
        <v>29.209700000000002</v>
      </c>
      <c r="I982" t="s">
        <v>7152</v>
      </c>
      <c r="J982" t="s">
        <v>11879</v>
      </c>
      <c r="L982" t="s">
        <v>7153</v>
      </c>
      <c r="M982" t="str">
        <f>"https://www.artic.edu/iiif/2/"&amp;Table9[[#This Row],[Image ID]]&amp;"/full/843,/0/default.jpg"</f>
        <v>https://www.artic.edu/iiif/2/3dae143d-6840-2e6e-dff5-cd2eea745da2/full/843,/0/default.jpg</v>
      </c>
      <c r="N982" s="3">
        <v>0.82499999999999996</v>
      </c>
      <c r="O982" s="3">
        <v>0.1</v>
      </c>
      <c r="P982" s="3">
        <v>0.72499999999999998</v>
      </c>
      <c r="Q982" s="3">
        <v>0.92215418815612704</v>
      </c>
    </row>
    <row r="983" spans="1:17" x14ac:dyDescent="0.45">
      <c r="A983" s="3">
        <v>16512</v>
      </c>
      <c r="B983" t="b">
        <v>0</v>
      </c>
      <c r="C983" t="b">
        <v>1</v>
      </c>
      <c r="D983" s="3">
        <v>1885</v>
      </c>
      <c r="E983" s="3">
        <v>1900</v>
      </c>
      <c r="F983" t="s">
        <v>4467</v>
      </c>
      <c r="G983" t="s">
        <v>7</v>
      </c>
      <c r="H983" s="3">
        <v>27.836500000000001</v>
      </c>
      <c r="I983" t="s">
        <v>4468</v>
      </c>
      <c r="J983" t="s">
        <v>11937</v>
      </c>
      <c r="L983" t="s">
        <v>4469</v>
      </c>
      <c r="M983" t="str">
        <f>"https://www.artic.edu/iiif/2/"&amp;Table9[[#This Row],[Image ID]]&amp;"/full/843,/0/default.jpg"</f>
        <v>https://www.artic.edu/iiif/2/41458ec7-da2d-773d-159c-9ae9afb53516/full/843,/0/default.jpg</v>
      </c>
      <c r="N983" s="3">
        <v>0.82499999999999996</v>
      </c>
      <c r="O983" s="3">
        <v>0.1</v>
      </c>
      <c r="P983" s="3">
        <v>0.72499999999999998</v>
      </c>
      <c r="Q983" s="3">
        <v>0.60786247253417902</v>
      </c>
    </row>
    <row r="984" spans="1:17" x14ac:dyDescent="0.45">
      <c r="A984" s="3">
        <v>46383</v>
      </c>
      <c r="B984" t="b">
        <v>0</v>
      </c>
      <c r="C984" t="b">
        <v>1</v>
      </c>
      <c r="D984" s="3">
        <v>1735</v>
      </c>
      <c r="E984" s="3">
        <v>1745</v>
      </c>
      <c r="F984" t="s">
        <v>7902</v>
      </c>
      <c r="G984" t="s">
        <v>512</v>
      </c>
      <c r="H984" s="3">
        <v>0</v>
      </c>
      <c r="I984" t="s">
        <v>7900</v>
      </c>
      <c r="J984" t="s">
        <v>11968</v>
      </c>
      <c r="L984" t="s">
        <v>7903</v>
      </c>
      <c r="M984" t="str">
        <f>"https://www.artic.edu/iiif/2/"&amp;Table9[[#This Row],[Image ID]]&amp;"/full/843,/0/default.jpg"</f>
        <v>https://www.artic.edu/iiif/2/4346487d-e18a-d27e-76c1-7529c7f53742/full/843,/0/default.jpg</v>
      </c>
      <c r="N984" s="3">
        <v>0.85</v>
      </c>
      <c r="O984" s="3">
        <v>0.125</v>
      </c>
      <c r="P984" s="3">
        <v>0.72499999999999998</v>
      </c>
      <c r="Q984" s="3">
        <v>0.70687067508697499</v>
      </c>
    </row>
    <row r="985" spans="1:17" x14ac:dyDescent="0.45">
      <c r="A985" s="3">
        <v>115593</v>
      </c>
      <c r="B985" t="b">
        <v>0</v>
      </c>
      <c r="C985" t="b">
        <v>1</v>
      </c>
      <c r="D985" s="3">
        <v>1872</v>
      </c>
      <c r="E985" s="3">
        <v>1872</v>
      </c>
      <c r="F985" t="s">
        <v>2027</v>
      </c>
      <c r="G985" t="s">
        <v>2028</v>
      </c>
      <c r="H985" s="3">
        <v>29.557400000000001</v>
      </c>
      <c r="I985" t="s">
        <v>2029</v>
      </c>
      <c r="J985" t="s">
        <v>11978</v>
      </c>
      <c r="L985" t="s">
        <v>2030</v>
      </c>
      <c r="M985" t="str">
        <f>"https://www.artic.edu/iiif/2/"&amp;Table9[[#This Row],[Image ID]]&amp;"/full/843,/0/default.jpg"</f>
        <v>https://www.artic.edu/iiif/2/43ed8302-d19e-8351-ddd0-47358d82cee1/full/843,/0/default.jpg</v>
      </c>
      <c r="N985" s="3">
        <v>0.75</v>
      </c>
      <c r="O985" s="3">
        <v>2.5000000000000001E-2</v>
      </c>
      <c r="P985" s="3">
        <v>0.72499999999999998</v>
      </c>
      <c r="Q985" s="3">
        <v>0.66919022798538197</v>
      </c>
    </row>
    <row r="986" spans="1:17" x14ac:dyDescent="0.45">
      <c r="A986" s="3">
        <v>56133</v>
      </c>
      <c r="B986" t="b">
        <v>0</v>
      </c>
      <c r="C986" t="b">
        <v>1</v>
      </c>
      <c r="D986" s="3">
        <v>1575</v>
      </c>
      <c r="E986" s="3">
        <v>1625</v>
      </c>
      <c r="F986" t="s">
        <v>4114</v>
      </c>
      <c r="G986" t="s">
        <v>75</v>
      </c>
      <c r="H986" s="3">
        <v>30.066400000000002</v>
      </c>
      <c r="J986" t="s">
        <v>12022</v>
      </c>
      <c r="L986" t="s">
        <v>8455</v>
      </c>
      <c r="M986" t="str">
        <f>"https://www.artic.edu/iiif/2/"&amp;Table9[[#This Row],[Image ID]]&amp;"/full/843,/0/default.jpg"</f>
        <v>https://www.artic.edu/iiif/2/474d2283-78fc-1dbe-1d45-f67908f69033/full/843,/0/default.jpg</v>
      </c>
      <c r="N986" s="3">
        <v>0.77500000000000002</v>
      </c>
      <c r="O986" s="3">
        <v>0.05</v>
      </c>
      <c r="P986" s="3">
        <v>0.72499999999999998</v>
      </c>
      <c r="Q986" s="3">
        <v>0.74552798271179199</v>
      </c>
    </row>
    <row r="987" spans="1:17" x14ac:dyDescent="0.45">
      <c r="A987" s="3">
        <v>20697</v>
      </c>
      <c r="B987" t="b">
        <v>0</v>
      </c>
      <c r="C987" t="b">
        <v>1</v>
      </c>
      <c r="D987" s="3">
        <v>1885</v>
      </c>
      <c r="E987" s="3">
        <v>1885</v>
      </c>
      <c r="F987" t="s">
        <v>5496</v>
      </c>
      <c r="G987" t="s">
        <v>7</v>
      </c>
      <c r="H987" s="3">
        <v>0</v>
      </c>
      <c r="I987" t="s">
        <v>14682</v>
      </c>
      <c r="J987" t="s">
        <v>12032</v>
      </c>
      <c r="L987" t="s">
        <v>5497</v>
      </c>
      <c r="M987" t="str">
        <f>"https://www.artic.edu/iiif/2/"&amp;Table9[[#This Row],[Image ID]]&amp;"/full/843,/0/default.jpg"</f>
        <v>https://www.artic.edu/iiif/2/4836e5c6-9b17-29b0-d3ab-a008f8bd0536/full/843,/0/default.jpg</v>
      </c>
      <c r="N987" s="3">
        <v>0.85</v>
      </c>
      <c r="O987" s="3">
        <v>0.125</v>
      </c>
      <c r="P987" s="3">
        <v>0.72499999999999998</v>
      </c>
      <c r="Q987" s="3">
        <v>0.67316299676895097</v>
      </c>
    </row>
    <row r="988" spans="1:17" x14ac:dyDescent="0.45">
      <c r="A988" s="3">
        <v>149966</v>
      </c>
      <c r="B988" t="b">
        <v>0</v>
      </c>
      <c r="C988" t="b">
        <v>1</v>
      </c>
      <c r="D988" s="3">
        <v>1766</v>
      </c>
      <c r="E988" s="3">
        <v>1776</v>
      </c>
      <c r="F988" t="s">
        <v>3770</v>
      </c>
      <c r="G988" t="s">
        <v>7</v>
      </c>
      <c r="H988" s="3">
        <v>27.923300000000001</v>
      </c>
      <c r="I988" t="s">
        <v>21</v>
      </c>
      <c r="J988" t="s">
        <v>12065</v>
      </c>
      <c r="L988" t="s">
        <v>3771</v>
      </c>
      <c r="M988" t="str">
        <f>"https://www.artic.edu/iiif/2/"&amp;Table9[[#This Row],[Image ID]]&amp;"/full/843,/0/default.jpg"</f>
        <v>https://www.artic.edu/iiif/2/4adb181f-854b-bbcc-48ef-1382d51670bb/full/843,/0/default.jpg</v>
      </c>
      <c r="N988" s="3">
        <v>0.85</v>
      </c>
      <c r="O988" s="3">
        <v>0.125</v>
      </c>
      <c r="P988" s="3">
        <v>0.72499999999999998</v>
      </c>
      <c r="Q988" s="3">
        <v>0.76507443189620905</v>
      </c>
    </row>
    <row r="989" spans="1:17" x14ac:dyDescent="0.45">
      <c r="A989" s="3">
        <v>113913</v>
      </c>
      <c r="B989" t="b">
        <v>0</v>
      </c>
      <c r="C989" t="b">
        <v>1</v>
      </c>
      <c r="D989" s="3">
        <v>1884</v>
      </c>
      <c r="E989" s="3">
        <v>1903</v>
      </c>
      <c r="F989" t="s">
        <v>1519</v>
      </c>
      <c r="G989" t="s">
        <v>1520</v>
      </c>
      <c r="H989" s="3">
        <v>47.185400000000001</v>
      </c>
      <c r="I989" t="s">
        <v>872</v>
      </c>
      <c r="J989" t="s">
        <v>12162</v>
      </c>
      <c r="L989" t="s">
        <v>1521</v>
      </c>
      <c r="M989" t="str">
        <f>"https://www.artic.edu/iiif/2/"&amp;Table9[[#This Row],[Image ID]]&amp;"/full/843,/0/default.jpg"</f>
        <v>https://www.artic.edu/iiif/2/518ce07d-56cb-220b-74db-bc43969b8a2a/full/843,/0/default.jpg</v>
      </c>
      <c r="N989" s="3">
        <v>0.77500000000000002</v>
      </c>
      <c r="O989" s="3">
        <v>0.05</v>
      </c>
      <c r="P989" s="3">
        <v>0.72499999999999998</v>
      </c>
      <c r="Q989" s="3">
        <v>0.70396244525909402</v>
      </c>
    </row>
    <row r="990" spans="1:17" x14ac:dyDescent="0.45">
      <c r="A990" s="3">
        <v>87515</v>
      </c>
      <c r="B990" t="b">
        <v>0</v>
      </c>
      <c r="C990" t="b">
        <v>1</v>
      </c>
      <c r="D990" s="3">
        <v>1618</v>
      </c>
      <c r="E990" s="3">
        <v>1630</v>
      </c>
      <c r="F990" t="s">
        <v>5764</v>
      </c>
      <c r="G990" t="s">
        <v>7</v>
      </c>
      <c r="H990" s="3">
        <v>34.7117</v>
      </c>
      <c r="I990" t="s">
        <v>1100</v>
      </c>
      <c r="J990" t="s">
        <v>12199</v>
      </c>
      <c r="L990" t="s">
        <v>10388</v>
      </c>
      <c r="M990" t="str">
        <f>"https://www.artic.edu/iiif/2/"&amp;Table9[[#This Row],[Image ID]]&amp;"/full/843,/0/default.jpg"</f>
        <v>https://www.artic.edu/iiif/2/5403c6fd-fb8b-c22c-abaa-9c30eb3710f4/full/843,/0/default.jpg</v>
      </c>
      <c r="N990" s="3">
        <v>0.77500000000000002</v>
      </c>
      <c r="O990" s="3">
        <v>0.05</v>
      </c>
      <c r="P990" s="3">
        <v>0.72499999999999998</v>
      </c>
      <c r="Q990" s="3">
        <v>0.86615633964538497</v>
      </c>
    </row>
    <row r="991" spans="1:17" x14ac:dyDescent="0.45">
      <c r="A991" s="3">
        <v>109426</v>
      </c>
      <c r="B991" t="b">
        <v>0</v>
      </c>
      <c r="C991" t="b">
        <v>1</v>
      </c>
      <c r="D991" s="3">
        <v>1685</v>
      </c>
      <c r="E991" s="3">
        <v>1701</v>
      </c>
      <c r="F991" t="s">
        <v>64</v>
      </c>
      <c r="G991" t="s">
        <v>7</v>
      </c>
      <c r="H991" s="3">
        <v>0</v>
      </c>
      <c r="I991" t="s">
        <v>782</v>
      </c>
      <c r="J991" t="s">
        <v>12204</v>
      </c>
      <c r="L991" t="s">
        <v>783</v>
      </c>
      <c r="M991" t="str">
        <f>"https://www.artic.edu/iiif/2/"&amp;Table9[[#This Row],[Image ID]]&amp;"/full/843,/0/default.jpg"</f>
        <v>https://www.artic.edu/iiif/2/544b3f30-4860-73a1-1a04-c84d0dafd005/full/843,/0/default.jpg</v>
      </c>
      <c r="N991" s="3">
        <v>0.77500000000000002</v>
      </c>
      <c r="O991" s="3">
        <v>0.05</v>
      </c>
      <c r="P991" s="3">
        <v>0.72499999999999998</v>
      </c>
      <c r="Q991" s="3">
        <v>0.55938458442687899</v>
      </c>
    </row>
    <row r="992" spans="1:17" x14ac:dyDescent="0.45">
      <c r="A992" s="3">
        <v>80524</v>
      </c>
      <c r="B992" t="b">
        <v>0</v>
      </c>
      <c r="C992" t="b">
        <v>1</v>
      </c>
      <c r="D992" s="3">
        <v>1650</v>
      </c>
      <c r="E992" s="3">
        <v>1660</v>
      </c>
      <c r="F992" t="s">
        <v>9994</v>
      </c>
      <c r="G992" t="s">
        <v>7</v>
      </c>
      <c r="H992" s="3">
        <v>0</v>
      </c>
      <c r="I992" t="s">
        <v>2772</v>
      </c>
      <c r="J992" t="s">
        <v>12289</v>
      </c>
      <c r="L992" t="s">
        <v>9995</v>
      </c>
      <c r="M992" t="str">
        <f>"https://www.artic.edu/iiif/2/"&amp;Table9[[#This Row],[Image ID]]&amp;"/full/843,/0/default.jpg"</f>
        <v>https://www.artic.edu/iiif/2/59bda4ff-c59a-ed97-5c82-b3b7556693b3/full/843,/0/default.jpg</v>
      </c>
      <c r="N992" s="3">
        <v>0.85</v>
      </c>
      <c r="O992" s="3">
        <v>0.125</v>
      </c>
      <c r="P992" s="3">
        <v>0.72499999999999998</v>
      </c>
      <c r="Q992" s="3">
        <v>0.80517905950546198</v>
      </c>
    </row>
    <row r="993" spans="1:17" x14ac:dyDescent="0.45">
      <c r="A993" s="3">
        <v>59907</v>
      </c>
      <c r="B993" t="b">
        <v>0</v>
      </c>
      <c r="C993" t="b">
        <v>1</v>
      </c>
      <c r="D993" s="3">
        <v>1735</v>
      </c>
      <c r="E993" s="3">
        <v>1745</v>
      </c>
      <c r="F993" t="s">
        <v>8628</v>
      </c>
      <c r="G993" t="s">
        <v>3371</v>
      </c>
      <c r="H993" s="3">
        <v>0</v>
      </c>
      <c r="I993" t="s">
        <v>4080</v>
      </c>
      <c r="J993" t="s">
        <v>12379</v>
      </c>
      <c r="L993" t="s">
        <v>8629</v>
      </c>
      <c r="M993" t="str">
        <f>"https://www.artic.edu/iiif/2/"&amp;Table9[[#This Row],[Image ID]]&amp;"/full/843,/0/default.jpg"</f>
        <v>https://www.artic.edu/iiif/2/6010f431-9cce-39c8-e53b-ebaf9906ccdb/full/843,/0/default.jpg</v>
      </c>
      <c r="N993" s="3">
        <v>0.72499999999999998</v>
      </c>
      <c r="O993" s="3">
        <v>0</v>
      </c>
      <c r="P993" s="3">
        <v>0.72499999999999998</v>
      </c>
      <c r="Q993" s="3">
        <v>0.81587529182434004</v>
      </c>
    </row>
    <row r="994" spans="1:17" x14ac:dyDescent="0.45">
      <c r="A994" s="3">
        <v>66568</v>
      </c>
      <c r="B994" t="b">
        <v>0</v>
      </c>
      <c r="C994" t="b">
        <v>1</v>
      </c>
      <c r="D994" s="3">
        <v>1866</v>
      </c>
      <c r="E994" s="3">
        <v>1901</v>
      </c>
      <c r="F994" t="s">
        <v>9310</v>
      </c>
      <c r="G994" t="s">
        <v>2028</v>
      </c>
      <c r="H994" s="3">
        <v>26.366900000000001</v>
      </c>
      <c r="I994" t="s">
        <v>1527</v>
      </c>
      <c r="J994" t="s">
        <v>12408</v>
      </c>
      <c r="L994" t="s">
        <v>9311</v>
      </c>
      <c r="M994" t="str">
        <f>"https://www.artic.edu/iiif/2/"&amp;Table9[[#This Row],[Image ID]]&amp;"/full/843,/0/default.jpg"</f>
        <v>https://www.artic.edu/iiif/2/62665cba-9a1b-d06f-d597-9c3989ad40ea/full/843,/0/default.jpg</v>
      </c>
      <c r="N994" s="3">
        <v>0.75</v>
      </c>
      <c r="O994" s="3">
        <v>2.5000000000000001E-2</v>
      </c>
      <c r="P994" s="3">
        <v>0.72499999999999998</v>
      </c>
      <c r="Q994" s="3">
        <v>0.91801470518112105</v>
      </c>
    </row>
    <row r="995" spans="1:17" x14ac:dyDescent="0.45">
      <c r="A995" s="3">
        <v>97909</v>
      </c>
      <c r="B995" t="b">
        <v>0</v>
      </c>
      <c r="C995" t="b">
        <v>1</v>
      </c>
      <c r="D995" s="3">
        <v>1890</v>
      </c>
      <c r="E995" s="3">
        <v>1899</v>
      </c>
      <c r="F995" t="s">
        <v>10899</v>
      </c>
      <c r="G995" t="s">
        <v>7</v>
      </c>
      <c r="H995" s="3">
        <v>40.975999999999999</v>
      </c>
      <c r="I995" t="s">
        <v>192</v>
      </c>
      <c r="J995" t="s">
        <v>12504</v>
      </c>
      <c r="L995" t="s">
        <v>10900</v>
      </c>
      <c r="M995" t="str">
        <f>"https://www.artic.edu/iiif/2/"&amp;Table9[[#This Row],[Image ID]]&amp;"/full/843,/0/default.jpg"</f>
        <v>https://www.artic.edu/iiif/2/69364a3b-57ac-ce93-59e4-3aa3c548da49/full/843,/0/default.jpg</v>
      </c>
      <c r="N995" s="3">
        <v>0.75</v>
      </c>
      <c r="O995" s="3">
        <v>2.5000000000000001E-2</v>
      </c>
      <c r="P995" s="3">
        <v>0.72499999999999998</v>
      </c>
      <c r="Q995" s="3">
        <v>0.64528560638427701</v>
      </c>
    </row>
    <row r="996" spans="1:17" x14ac:dyDescent="0.45">
      <c r="A996" s="3">
        <v>113246</v>
      </c>
      <c r="B996" t="b">
        <v>0</v>
      </c>
      <c r="C996" t="b">
        <v>1</v>
      </c>
      <c r="D996" s="3">
        <v>1837</v>
      </c>
      <c r="E996" s="3">
        <v>1864</v>
      </c>
      <c r="F996" t="s">
        <v>1379</v>
      </c>
      <c r="G996" t="s">
        <v>1374</v>
      </c>
      <c r="H996" s="3">
        <v>27.950299999999999</v>
      </c>
      <c r="I996" t="s">
        <v>1295</v>
      </c>
      <c r="J996" t="s">
        <v>12512</v>
      </c>
      <c r="L996" t="s">
        <v>1380</v>
      </c>
      <c r="M996" t="str">
        <f>"https://www.artic.edu/iiif/2/"&amp;Table9[[#This Row],[Image ID]]&amp;"/full/843,/0/default.jpg"</f>
        <v>https://www.artic.edu/iiif/2/69b7369c-a91a-99d2-7ec9-3619eb386810/full/843,/0/default.jpg</v>
      </c>
      <c r="N996" s="3">
        <v>0.75</v>
      </c>
      <c r="O996" s="3">
        <v>2.5000000000000001E-2</v>
      </c>
      <c r="P996" s="3">
        <v>0.72499999999999998</v>
      </c>
      <c r="Q996" s="3">
        <v>0.82671439647674505</v>
      </c>
    </row>
    <row r="997" spans="1:17" x14ac:dyDescent="0.45">
      <c r="A997" s="3">
        <v>39237</v>
      </c>
      <c r="B997" t="b">
        <v>0</v>
      </c>
      <c r="C997" t="b">
        <v>1</v>
      </c>
      <c r="D997" s="3">
        <v>1835</v>
      </c>
      <c r="E997" s="3">
        <v>1882</v>
      </c>
      <c r="F997" t="s">
        <v>7542</v>
      </c>
      <c r="G997" t="s">
        <v>7543</v>
      </c>
      <c r="H997" s="3">
        <v>25.200800000000001</v>
      </c>
      <c r="I997" t="s">
        <v>5317</v>
      </c>
      <c r="J997" t="s">
        <v>7545</v>
      </c>
      <c r="L997" t="s">
        <v>7544</v>
      </c>
      <c r="M997" t="str">
        <f>"https://www.artic.edu/iiif/2/"&amp;Table9[[#This Row],[Image ID]]&amp;"/full/843,/0/default.jpg"</f>
        <v>https://www.artic.edu/iiif/2/6d7417b2-451b-516f-5151-c0c5fca45648/full/843,/0/default.jpg</v>
      </c>
      <c r="N997" s="3">
        <v>0.82499999999999996</v>
      </c>
      <c r="O997" s="3">
        <v>0.1</v>
      </c>
      <c r="P997" s="3">
        <v>0.72499999999999998</v>
      </c>
      <c r="Q997" s="3">
        <v>0.86504358053207397</v>
      </c>
    </row>
    <row r="998" spans="1:17" x14ac:dyDescent="0.45">
      <c r="A998" s="3">
        <v>123544</v>
      </c>
      <c r="B998" t="b">
        <v>0</v>
      </c>
      <c r="C998" t="b">
        <v>1</v>
      </c>
      <c r="D998" s="3">
        <v>1756</v>
      </c>
      <c r="E998" s="3">
        <v>1827</v>
      </c>
      <c r="F998" t="s">
        <v>2712</v>
      </c>
      <c r="G998" t="s">
        <v>2713</v>
      </c>
      <c r="H998" s="3">
        <v>27.1294</v>
      </c>
      <c r="I998" t="s">
        <v>1266</v>
      </c>
      <c r="J998" t="s">
        <v>12573</v>
      </c>
      <c r="L998" t="s">
        <v>2714</v>
      </c>
      <c r="M998" t="str">
        <f>"https://www.artic.edu/iiif/2/"&amp;Table9[[#This Row],[Image ID]]&amp;"/full/843,/0/default.jpg"</f>
        <v>https://www.artic.edu/iiif/2/6e8375f0-e76c-9159-4831-548ae39b8c9a/full/843,/0/default.jpg</v>
      </c>
      <c r="N998" s="3">
        <v>0.875</v>
      </c>
      <c r="O998" s="3">
        <v>0.15</v>
      </c>
      <c r="P998" s="3">
        <v>0.72499999999999998</v>
      </c>
      <c r="Q998" s="3">
        <v>0.86113971471786499</v>
      </c>
    </row>
    <row r="999" spans="1:17" x14ac:dyDescent="0.45">
      <c r="A999" s="3">
        <v>88372</v>
      </c>
      <c r="B999" t="b">
        <v>0</v>
      </c>
      <c r="C999" t="b">
        <v>1</v>
      </c>
      <c r="D999" s="3">
        <v>1746</v>
      </c>
      <c r="E999" s="3">
        <v>1749</v>
      </c>
      <c r="F999" t="s">
        <v>10415</v>
      </c>
      <c r="G999" t="s">
        <v>7</v>
      </c>
      <c r="H999" s="3">
        <v>20.9496</v>
      </c>
      <c r="I999" t="s">
        <v>6960</v>
      </c>
      <c r="J999" t="s">
        <v>12612</v>
      </c>
      <c r="L999" t="s">
        <v>10416</v>
      </c>
      <c r="M999" t="str">
        <f>"https://www.artic.edu/iiif/2/"&amp;Table9[[#This Row],[Image ID]]&amp;"/full/843,/0/default.jpg"</f>
        <v>https://www.artic.edu/iiif/2/707eaea7-b325-b93d-37c1-b79b1876384b/full/843,/0/default.jpg</v>
      </c>
      <c r="N999" s="3">
        <v>0.82499999999999996</v>
      </c>
      <c r="O999" s="3">
        <v>0.1</v>
      </c>
      <c r="P999" s="3">
        <v>0.72499999999999998</v>
      </c>
      <c r="Q999" s="3">
        <v>0.82367575168609597</v>
      </c>
    </row>
    <row r="1000" spans="1:17" x14ac:dyDescent="0.45">
      <c r="A1000" s="3">
        <v>81576</v>
      </c>
      <c r="B1000" t="b">
        <v>0</v>
      </c>
      <c r="C1000" t="b">
        <v>1</v>
      </c>
      <c r="D1000" s="3">
        <v>1893</v>
      </c>
      <c r="E1000" s="3">
        <v>1893</v>
      </c>
      <c r="F1000" t="s">
        <v>2648</v>
      </c>
      <c r="G1000" t="s">
        <v>7</v>
      </c>
      <c r="H1000" s="3">
        <v>27.091000000000001</v>
      </c>
      <c r="I1000" t="s">
        <v>458</v>
      </c>
      <c r="J1000" t="s">
        <v>12720</v>
      </c>
      <c r="L1000" t="s">
        <v>10149</v>
      </c>
      <c r="M1000" t="str">
        <f>"https://www.artic.edu/iiif/2/"&amp;Table9[[#This Row],[Image ID]]&amp;"/full/843,/0/default.jpg"</f>
        <v>https://www.artic.edu/iiif/2/78adbac9-61fa-f039-4ee4-58ad5e6c36db/full/843,/0/default.jpg</v>
      </c>
      <c r="N1000" s="3">
        <v>0.72499999999999998</v>
      </c>
      <c r="O1000" s="3">
        <v>0</v>
      </c>
      <c r="P1000" s="3">
        <v>0.72499999999999998</v>
      </c>
      <c r="Q1000" s="3">
        <v>0.777346551418304</v>
      </c>
    </row>
    <row r="1001" spans="1:17" x14ac:dyDescent="0.45">
      <c r="A1001" s="3">
        <v>20534</v>
      </c>
      <c r="B1001" t="b">
        <v>0</v>
      </c>
      <c r="C1001" t="b">
        <v>1</v>
      </c>
      <c r="D1001" s="3">
        <v>1881</v>
      </c>
      <c r="E1001" s="3">
        <v>1881</v>
      </c>
      <c r="F1001" t="s">
        <v>5454</v>
      </c>
      <c r="G1001" t="s">
        <v>7</v>
      </c>
      <c r="H1001" s="3">
        <v>25.730399999999999</v>
      </c>
      <c r="I1001" t="s">
        <v>1269</v>
      </c>
      <c r="J1001" t="s">
        <v>12752</v>
      </c>
      <c r="K1001" s="5" t="s">
        <v>9</v>
      </c>
      <c r="L1001" t="s">
        <v>5455</v>
      </c>
      <c r="M1001" t="str">
        <f>"https://www.artic.edu/iiif/2/"&amp;Table9[[#This Row],[Image ID]]&amp;"/full/843,/0/default.jpg"</f>
        <v>https://www.artic.edu/iiif/2/7abbfd97-fb03-2366-cfe5-b53738a3d93e/full/843,/0/default.jpg</v>
      </c>
      <c r="N1001" s="3">
        <v>0.77500000000000002</v>
      </c>
      <c r="O1001" s="3">
        <v>0.05</v>
      </c>
      <c r="P1001" s="3">
        <v>0.72499999999999998</v>
      </c>
      <c r="Q1001" s="3">
        <v>0.61579346656799305</v>
      </c>
    </row>
    <row r="1002" spans="1:17" ht="85.5" x14ac:dyDescent="0.45">
      <c r="A1002" s="3">
        <v>16303</v>
      </c>
      <c r="B1002" t="b">
        <v>0</v>
      </c>
      <c r="C1002" t="b">
        <v>1</v>
      </c>
      <c r="D1002" s="3">
        <v>1460</v>
      </c>
      <c r="E1002" s="3">
        <v>1500</v>
      </c>
      <c r="F1002" t="s">
        <v>201</v>
      </c>
      <c r="G1002" t="s">
        <v>75</v>
      </c>
      <c r="H1002" s="3">
        <v>36.703699999999998</v>
      </c>
      <c r="I1002" t="s">
        <v>4349</v>
      </c>
      <c r="J1002" s="1" t="s">
        <v>12784</v>
      </c>
      <c r="L1002" t="s">
        <v>4350</v>
      </c>
      <c r="M1002" t="str">
        <f>"https://www.artic.edu/iiif/2/"&amp;Table9[[#This Row],[Image ID]]&amp;"/full/843,/0/default.jpg"</f>
        <v>https://www.artic.edu/iiif/2/7db6cf67-3cd0-40dc-112b-4494eca99d73/full/843,/0/default.jpg</v>
      </c>
      <c r="N1002" s="3">
        <v>0.875</v>
      </c>
      <c r="O1002" s="3">
        <v>0.15</v>
      </c>
      <c r="P1002" s="3">
        <v>0.72499999999999998</v>
      </c>
      <c r="Q1002" s="3">
        <v>0.91108167171478205</v>
      </c>
    </row>
    <row r="1003" spans="1:17" x14ac:dyDescent="0.45">
      <c r="A1003" s="3">
        <v>115494</v>
      </c>
      <c r="B1003" t="b">
        <v>0</v>
      </c>
      <c r="C1003" t="b">
        <v>1</v>
      </c>
      <c r="D1003" s="3">
        <v>1719</v>
      </c>
      <c r="E1003" s="3">
        <v>1769</v>
      </c>
      <c r="F1003" t="s">
        <v>1954</v>
      </c>
      <c r="G1003" t="s">
        <v>1955</v>
      </c>
      <c r="H1003" s="3">
        <v>34.638100000000001</v>
      </c>
      <c r="I1003" t="s">
        <v>1922</v>
      </c>
      <c r="J1003" t="s">
        <v>11944</v>
      </c>
      <c r="L1003" t="s">
        <v>1956</v>
      </c>
      <c r="M1003" t="str">
        <f>"https://www.artic.edu/iiif/2/"&amp;Table9[[#This Row],[Image ID]]&amp;"/full/843,/0/default.jpg"</f>
        <v>https://www.artic.edu/iiif/2/7ed6a0e7-980e-1222-4da2-e089bdec236b/full/843,/0/default.jpg</v>
      </c>
      <c r="N1003" s="3">
        <v>0.77500000000000002</v>
      </c>
      <c r="O1003" s="3">
        <v>0.05</v>
      </c>
      <c r="P1003" s="3">
        <v>0.72499999999999998</v>
      </c>
      <c r="Q1003" s="3">
        <v>0.80252611637115401</v>
      </c>
    </row>
    <row r="1004" spans="1:17" x14ac:dyDescent="0.45">
      <c r="A1004" s="3">
        <v>115483</v>
      </c>
      <c r="B1004" t="b">
        <v>0</v>
      </c>
      <c r="C1004" t="b">
        <v>1</v>
      </c>
      <c r="D1004" s="3">
        <v>1719</v>
      </c>
      <c r="E1004" s="3">
        <v>1769</v>
      </c>
      <c r="F1004" t="s">
        <v>1924</v>
      </c>
      <c r="G1004" t="s">
        <v>1925</v>
      </c>
      <c r="H1004" s="3">
        <v>43.985199999999999</v>
      </c>
      <c r="I1004" t="s">
        <v>1922</v>
      </c>
      <c r="J1004" t="s">
        <v>12847</v>
      </c>
      <c r="L1004" t="s">
        <v>1926</v>
      </c>
      <c r="M1004" t="str">
        <f>"https://www.artic.edu/iiif/2/"&amp;Table9[[#This Row],[Image ID]]&amp;"/full/843,/0/default.jpg"</f>
        <v>https://www.artic.edu/iiif/2/82404ab8-e953-a9de-7103-4feb04f63223/full/843,/0/default.jpg</v>
      </c>
      <c r="N1004" s="3">
        <v>0.85</v>
      </c>
      <c r="O1004" s="3">
        <v>0.125</v>
      </c>
      <c r="P1004" s="3">
        <v>0.72499999999999998</v>
      </c>
      <c r="Q1004" s="3">
        <v>0.87057858705520597</v>
      </c>
    </row>
    <row r="1005" spans="1:17" x14ac:dyDescent="0.45">
      <c r="A1005" s="3">
        <v>80478</v>
      </c>
      <c r="B1005" t="b">
        <v>0</v>
      </c>
      <c r="C1005" t="b">
        <v>1</v>
      </c>
      <c r="D1005" s="3">
        <v>1830</v>
      </c>
      <c r="E1005" s="3">
        <v>1840</v>
      </c>
      <c r="F1005" t="s">
        <v>9975</v>
      </c>
      <c r="G1005" t="s">
        <v>7</v>
      </c>
      <c r="H1005" s="3">
        <v>16.247399999999999</v>
      </c>
      <c r="I1005" t="s">
        <v>6657</v>
      </c>
      <c r="J1005" t="s">
        <v>12741</v>
      </c>
      <c r="L1005" t="s">
        <v>9976</v>
      </c>
      <c r="M1005" t="str">
        <f>"https://www.artic.edu/iiif/2/"&amp;Table9[[#This Row],[Image ID]]&amp;"/full/843,/0/default.jpg"</f>
        <v>https://www.artic.edu/iiif/2/867b4435-fc3c-9e3d-ca53-0c4ee875c1ad/full/843,/0/default.jpg</v>
      </c>
      <c r="N1005" s="3">
        <v>0.77500000000000002</v>
      </c>
      <c r="O1005" s="3">
        <v>0.05</v>
      </c>
      <c r="P1005" s="3">
        <v>0.72499999999999998</v>
      </c>
      <c r="Q1005" s="3">
        <v>0.85940700769424405</v>
      </c>
    </row>
    <row r="1006" spans="1:17" x14ac:dyDescent="0.45">
      <c r="A1006" s="3">
        <v>39114</v>
      </c>
      <c r="B1006" t="b">
        <v>0</v>
      </c>
      <c r="C1006" t="b">
        <v>1</v>
      </c>
      <c r="D1006" s="3">
        <v>1820</v>
      </c>
      <c r="E1006" s="3">
        <v>1840</v>
      </c>
      <c r="F1006" t="s">
        <v>7448</v>
      </c>
      <c r="G1006" t="s">
        <v>7449</v>
      </c>
      <c r="H1006" s="3">
        <v>52.899299999999997</v>
      </c>
      <c r="I1006" t="s">
        <v>7450</v>
      </c>
      <c r="J1006" t="s">
        <v>12959</v>
      </c>
      <c r="L1006" t="s">
        <v>7451</v>
      </c>
      <c r="M1006" t="str">
        <f>"https://www.artic.edu/iiif/2/"&amp;Table9[[#This Row],[Image ID]]&amp;"/full/843,/0/default.jpg"</f>
        <v>https://www.artic.edu/iiif/2/8b3ba335-be8f-8426-5803-b6df1cecca1f/full/843,/0/default.jpg</v>
      </c>
      <c r="N1006" s="3">
        <v>0.77500000000000002</v>
      </c>
      <c r="O1006" s="3">
        <v>0.05</v>
      </c>
      <c r="P1006" s="3">
        <v>0.72499999999999998</v>
      </c>
      <c r="Q1006" s="3">
        <v>0.79121708869934004</v>
      </c>
    </row>
    <row r="1007" spans="1:17" x14ac:dyDescent="0.45">
      <c r="A1007" s="3">
        <v>47153</v>
      </c>
      <c r="B1007" t="b">
        <v>0</v>
      </c>
      <c r="C1007" t="b">
        <v>1</v>
      </c>
      <c r="D1007" s="3">
        <v>1885</v>
      </c>
      <c r="E1007" s="3">
        <v>1895</v>
      </c>
      <c r="F1007" t="s">
        <v>7919</v>
      </c>
      <c r="G1007" t="s">
        <v>75</v>
      </c>
      <c r="H1007" s="3">
        <v>37.115200000000002</v>
      </c>
      <c r="I1007" t="s">
        <v>307</v>
      </c>
      <c r="J1007" t="s">
        <v>13018</v>
      </c>
      <c r="L1007" t="s">
        <v>7920</v>
      </c>
      <c r="M1007" t="str">
        <f>"https://www.artic.edu/iiif/2/"&amp;Table9[[#This Row],[Image ID]]&amp;"/full/843,/0/default.jpg"</f>
        <v>https://www.artic.edu/iiif/2/8f60ebd1-f959-01a6-78b8-58aa1fadcf4b/full/843,/0/default.jpg</v>
      </c>
      <c r="N1007" s="3">
        <v>0.77500000000000002</v>
      </c>
      <c r="O1007" s="3">
        <v>0.05</v>
      </c>
      <c r="P1007" s="3">
        <v>0.72499999999999998</v>
      </c>
      <c r="Q1007" s="3">
        <v>0.74925166368484497</v>
      </c>
    </row>
    <row r="1008" spans="1:17" x14ac:dyDescent="0.45">
      <c r="A1008" s="3">
        <v>133456</v>
      </c>
      <c r="B1008" t="b">
        <v>0</v>
      </c>
      <c r="C1008" t="b">
        <v>1</v>
      </c>
      <c r="D1008" s="3">
        <v>1903</v>
      </c>
      <c r="E1008" s="3">
        <v>1913</v>
      </c>
      <c r="F1008" t="s">
        <v>3037</v>
      </c>
      <c r="G1008" t="s">
        <v>3038</v>
      </c>
      <c r="H1008" s="3">
        <v>25.052</v>
      </c>
      <c r="I1008" t="s">
        <v>934</v>
      </c>
      <c r="J1008" t="s">
        <v>13061</v>
      </c>
      <c r="L1008" t="s">
        <v>3039</v>
      </c>
      <c r="M1008" t="str">
        <f>"https://www.artic.edu/iiif/2/"&amp;Table9[[#This Row],[Image ID]]&amp;"/full/843,/0/default.jpg"</f>
        <v>https://www.artic.edu/iiif/2/931edccd-9a37-bfa7-d9a5-13d644956b40/full/843,/0/default.jpg</v>
      </c>
      <c r="N1008" s="3">
        <v>0.82499999999999996</v>
      </c>
      <c r="O1008" s="3">
        <v>0.1</v>
      </c>
      <c r="P1008" s="3">
        <v>0.72499999999999998</v>
      </c>
      <c r="Q1008" s="3">
        <v>0.63807874917983998</v>
      </c>
    </row>
    <row r="1009" spans="1:17" x14ac:dyDescent="0.45">
      <c r="A1009" s="3">
        <v>95108</v>
      </c>
      <c r="B1009" t="b">
        <v>0</v>
      </c>
      <c r="C1009" t="b">
        <v>1</v>
      </c>
      <c r="D1009" s="3">
        <v>1805</v>
      </c>
      <c r="E1009" s="3">
        <v>1815</v>
      </c>
      <c r="F1009" t="s">
        <v>955</v>
      </c>
      <c r="G1009" t="s">
        <v>7</v>
      </c>
      <c r="H1009" s="3">
        <v>0</v>
      </c>
      <c r="I1009" t="s">
        <v>7664</v>
      </c>
      <c r="J1009" t="s">
        <v>13087</v>
      </c>
      <c r="L1009" t="s">
        <v>10754</v>
      </c>
      <c r="M1009" t="str">
        <f>"https://www.artic.edu/iiif/2/"&amp;Table9[[#This Row],[Image ID]]&amp;"/full/843,/0/default.jpg"</f>
        <v>https://www.artic.edu/iiif/2/957b0506-85bc-6159-36f1-9347090c5906/full/843,/0/default.jpg</v>
      </c>
      <c r="N1009" s="3">
        <v>0.85</v>
      </c>
      <c r="O1009" s="3">
        <v>0.125</v>
      </c>
      <c r="P1009" s="3">
        <v>0.72499999999999998</v>
      </c>
      <c r="Q1009" s="3">
        <v>0.75614982843399003</v>
      </c>
    </row>
    <row r="1010" spans="1:17" x14ac:dyDescent="0.45">
      <c r="A1010" s="3">
        <v>156596</v>
      </c>
      <c r="B1010" t="b">
        <v>0</v>
      </c>
      <c r="C1010" t="b">
        <v>1</v>
      </c>
      <c r="D1010" s="3">
        <v>1860</v>
      </c>
      <c r="E1010" s="3">
        <v>1860</v>
      </c>
      <c r="F1010" t="s">
        <v>4069</v>
      </c>
      <c r="G1010" t="s">
        <v>7</v>
      </c>
      <c r="H1010" s="3">
        <v>31.5641</v>
      </c>
      <c r="I1010" t="s">
        <v>4070</v>
      </c>
      <c r="J1010" t="s">
        <v>12616</v>
      </c>
      <c r="L1010" t="s">
        <v>4071</v>
      </c>
      <c r="M1010" t="str">
        <f>"https://www.artic.edu/iiif/2/"&amp;Table9[[#This Row],[Image ID]]&amp;"/full/843,/0/default.jpg"</f>
        <v>https://www.artic.edu/iiif/2/998674f9-207f-6b56-8ece-79a6a5039a2a/full/843,/0/default.jpg</v>
      </c>
      <c r="N1010" s="3">
        <v>0.82499999999999996</v>
      </c>
      <c r="O1010" s="3">
        <v>0.1</v>
      </c>
      <c r="P1010" s="3">
        <v>0.72499999999999998</v>
      </c>
      <c r="Q1010" s="3">
        <v>0.72109872102737405</v>
      </c>
    </row>
    <row r="1011" spans="1:17" x14ac:dyDescent="0.45">
      <c r="A1011" s="3">
        <v>115504</v>
      </c>
      <c r="B1011" t="b">
        <v>0</v>
      </c>
      <c r="C1011" t="b">
        <v>1</v>
      </c>
      <c r="D1011" s="3">
        <v>1719</v>
      </c>
      <c r="E1011" s="3">
        <v>1769</v>
      </c>
      <c r="F1011" t="s">
        <v>1977</v>
      </c>
      <c r="G1011" t="s">
        <v>1928</v>
      </c>
      <c r="H1011" s="3">
        <v>29.841200000000001</v>
      </c>
      <c r="I1011" t="s">
        <v>1922</v>
      </c>
      <c r="J1011" t="s">
        <v>13215</v>
      </c>
      <c r="L1011" t="s">
        <v>1978</v>
      </c>
      <c r="M1011" t="str">
        <f>"https://www.artic.edu/iiif/2/"&amp;Table9[[#This Row],[Image ID]]&amp;"/full/843,/0/default.jpg"</f>
        <v>https://www.artic.edu/iiif/2/9e4fed1c-53bc-25c2-ee77-27311da8c55b/full/843,/0/default.jpg</v>
      </c>
      <c r="N1011" s="3">
        <v>0.77500000000000002</v>
      </c>
      <c r="O1011" s="3">
        <v>0.05</v>
      </c>
      <c r="P1011" s="3">
        <v>0.72499999999999998</v>
      </c>
      <c r="Q1011" s="3">
        <v>0.88075596094131403</v>
      </c>
    </row>
    <row r="1012" spans="1:17" x14ac:dyDescent="0.45">
      <c r="A1012" s="3">
        <v>16324</v>
      </c>
      <c r="B1012" t="b">
        <v>0</v>
      </c>
      <c r="C1012" t="b">
        <v>1</v>
      </c>
      <c r="D1012" s="3">
        <v>1545</v>
      </c>
      <c r="E1012" s="3">
        <v>1565</v>
      </c>
      <c r="F1012" t="s">
        <v>4361</v>
      </c>
      <c r="G1012" t="s">
        <v>75</v>
      </c>
      <c r="H1012" s="3">
        <v>61.184699999999999</v>
      </c>
      <c r="I1012" t="s">
        <v>4362</v>
      </c>
      <c r="J1012" t="s">
        <v>13370</v>
      </c>
      <c r="L1012" t="s">
        <v>4363</v>
      </c>
      <c r="M1012" t="str">
        <f>"https://www.artic.edu/iiif/2/"&amp;Table9[[#This Row],[Image ID]]&amp;"/full/843,/0/default.jpg"</f>
        <v>https://www.artic.edu/iiif/2/a9a7c804-dc4e-d779-22b7-eaae989c6acd/full/843,/0/default.jpg</v>
      </c>
      <c r="N1012" s="3">
        <v>0.85</v>
      </c>
      <c r="O1012" s="3">
        <v>0.125</v>
      </c>
      <c r="P1012" s="3">
        <v>0.72499999999999998</v>
      </c>
      <c r="Q1012" s="3">
        <v>0.86013531684875399</v>
      </c>
    </row>
    <row r="1013" spans="1:17" x14ac:dyDescent="0.45">
      <c r="A1013" s="3">
        <v>21668</v>
      </c>
      <c r="B1013" t="b">
        <v>0</v>
      </c>
      <c r="C1013" t="b">
        <v>1</v>
      </c>
      <c r="D1013" s="3">
        <v>1525</v>
      </c>
      <c r="E1013" s="3">
        <v>1542</v>
      </c>
      <c r="F1013" t="s">
        <v>3185</v>
      </c>
      <c r="G1013" t="s">
        <v>75</v>
      </c>
      <c r="H1013" s="3">
        <v>32.01</v>
      </c>
      <c r="I1013" t="s">
        <v>1240</v>
      </c>
      <c r="J1013" t="s">
        <v>11020</v>
      </c>
      <c r="L1013" t="s">
        <v>5654</v>
      </c>
      <c r="M1013" t="str">
        <f>"https://www.artic.edu/iiif/2/"&amp;Table9[[#This Row],[Image ID]]&amp;"/full/843,/0/default.jpg"</f>
        <v>https://www.artic.edu/iiif/2/b07c2b88-f2a2-4d0a-e401-ebf8d7928373/full/843,/0/default.jpg</v>
      </c>
      <c r="N1013" s="3">
        <v>0.82499999999999996</v>
      </c>
      <c r="O1013" s="3">
        <v>0.1</v>
      </c>
      <c r="P1013" s="3">
        <v>0.72499999999999998</v>
      </c>
      <c r="Q1013" s="3">
        <v>0.893954098224639</v>
      </c>
    </row>
    <row r="1014" spans="1:17" x14ac:dyDescent="0.45">
      <c r="A1014" s="3">
        <v>137048</v>
      </c>
      <c r="B1014" t="b">
        <v>0</v>
      </c>
      <c r="C1014" t="b">
        <v>1</v>
      </c>
      <c r="D1014" s="3">
        <v>1810</v>
      </c>
      <c r="E1014" s="3">
        <v>1818</v>
      </c>
      <c r="F1014" t="s">
        <v>3181</v>
      </c>
      <c r="G1014" t="s">
        <v>2241</v>
      </c>
      <c r="H1014" s="3">
        <v>12.1625</v>
      </c>
      <c r="I1014" t="s">
        <v>3182</v>
      </c>
      <c r="J1014" t="s">
        <v>13517</v>
      </c>
      <c r="L1014" t="s">
        <v>3183</v>
      </c>
      <c r="M1014" t="str">
        <f>"https://www.artic.edu/iiif/2/"&amp;Table9[[#This Row],[Image ID]]&amp;"/full/843,/0/default.jpg"</f>
        <v>https://www.artic.edu/iiif/2/b597db82-6a98-f24b-8b07-e54032264281/full/843,/0/default.jpg</v>
      </c>
      <c r="N1014" s="3">
        <v>0.875</v>
      </c>
      <c r="O1014" s="3">
        <v>0.15</v>
      </c>
      <c r="P1014" s="3">
        <v>0.72499999999999998</v>
      </c>
      <c r="Q1014" s="3">
        <v>0.49036258459091098</v>
      </c>
    </row>
    <row r="1015" spans="1:17" x14ac:dyDescent="0.45">
      <c r="A1015" s="3">
        <v>66517</v>
      </c>
      <c r="B1015" t="b">
        <v>0</v>
      </c>
      <c r="C1015" t="b">
        <v>1</v>
      </c>
      <c r="D1015" s="3">
        <v>1866</v>
      </c>
      <c r="E1015" s="3">
        <v>1901</v>
      </c>
      <c r="F1015" t="s">
        <v>9292</v>
      </c>
      <c r="G1015" t="s">
        <v>9293</v>
      </c>
      <c r="H1015" s="3">
        <v>25.231100000000001</v>
      </c>
      <c r="I1015" t="s">
        <v>1527</v>
      </c>
      <c r="J1015" t="s">
        <v>13522</v>
      </c>
      <c r="L1015" t="s">
        <v>9294</v>
      </c>
      <c r="M1015" t="str">
        <f>"https://www.artic.edu/iiif/2/"&amp;Table9[[#This Row],[Image ID]]&amp;"/full/843,/0/default.jpg"</f>
        <v>https://www.artic.edu/iiif/2/b5ff639f-51b8-5465-47e7-98483dc4d312/full/843,/0/default.jpg</v>
      </c>
      <c r="N1015" s="3">
        <v>0.85</v>
      </c>
      <c r="O1015" s="3">
        <v>0.125</v>
      </c>
      <c r="P1015" s="3">
        <v>0.72499999999999998</v>
      </c>
      <c r="Q1015" s="3">
        <v>0.75993657112121504</v>
      </c>
    </row>
    <row r="1016" spans="1:17" x14ac:dyDescent="0.45">
      <c r="A1016" s="3">
        <v>72190</v>
      </c>
      <c r="B1016" t="b">
        <v>0</v>
      </c>
      <c r="C1016" t="b">
        <v>1</v>
      </c>
      <c r="D1016" s="3">
        <v>1601</v>
      </c>
      <c r="E1016" s="3">
        <v>1700</v>
      </c>
      <c r="F1016" t="s">
        <v>9545</v>
      </c>
      <c r="G1016" t="s">
        <v>93</v>
      </c>
      <c r="H1016" s="3">
        <v>22.472000000000001</v>
      </c>
      <c r="I1016" t="s">
        <v>9546</v>
      </c>
      <c r="J1016" t="s">
        <v>13545</v>
      </c>
      <c r="L1016" t="s">
        <v>9547</v>
      </c>
      <c r="M1016" t="str">
        <f>"https://www.artic.edu/iiif/2/"&amp;Table9[[#This Row],[Image ID]]&amp;"/full/843,/0/default.jpg"</f>
        <v>https://www.artic.edu/iiif/2/b7a594db-5c71-253b-aedc-4226d8661f11/full/843,/0/default.jpg</v>
      </c>
      <c r="N1016" s="3">
        <v>0.77500000000000002</v>
      </c>
      <c r="O1016" s="3">
        <v>0.05</v>
      </c>
      <c r="P1016" s="3">
        <v>0.72499999999999998</v>
      </c>
      <c r="Q1016" s="3">
        <v>0.66521430015563898</v>
      </c>
    </row>
    <row r="1017" spans="1:17" x14ac:dyDescent="0.45">
      <c r="A1017" s="3">
        <v>107836</v>
      </c>
      <c r="B1017" t="b">
        <v>0</v>
      </c>
      <c r="C1017" t="b">
        <v>1</v>
      </c>
      <c r="D1017" s="3">
        <v>1815</v>
      </c>
      <c r="E1017" s="3">
        <v>1825</v>
      </c>
      <c r="F1017" t="s">
        <v>702</v>
      </c>
      <c r="G1017" t="s">
        <v>7</v>
      </c>
      <c r="H1017" s="3">
        <v>0</v>
      </c>
      <c r="I1017" t="s">
        <v>703</v>
      </c>
      <c r="J1017" t="s">
        <v>13562</v>
      </c>
      <c r="L1017" t="s">
        <v>704</v>
      </c>
      <c r="M1017" t="str">
        <f>"https://www.artic.edu/iiif/2/"&amp;Table9[[#This Row],[Image ID]]&amp;"/full/843,/0/default.jpg"</f>
        <v>https://www.artic.edu/iiif/2/b9800e22-0a17-9eb4-ab32-0a3117e9dda2/full/843,/0/default.jpg</v>
      </c>
      <c r="N1017" s="3">
        <v>0.82499999999999996</v>
      </c>
      <c r="O1017" s="3">
        <v>0.1</v>
      </c>
      <c r="P1017" s="3">
        <v>0.72499999999999998</v>
      </c>
      <c r="Q1017" s="3">
        <v>0.82019698619842496</v>
      </c>
    </row>
    <row r="1018" spans="1:17" x14ac:dyDescent="0.45">
      <c r="A1018" s="3">
        <v>115212</v>
      </c>
      <c r="B1018" t="b">
        <v>0</v>
      </c>
      <c r="C1018" t="b">
        <v>1</v>
      </c>
      <c r="D1018" s="3">
        <v>1800</v>
      </c>
      <c r="E1018" s="3">
        <v>1899</v>
      </c>
      <c r="F1018" t="s">
        <v>1866</v>
      </c>
      <c r="G1018" t="s">
        <v>1867</v>
      </c>
      <c r="H1018" s="3">
        <v>27.9651</v>
      </c>
      <c r="I1018" t="s">
        <v>1868</v>
      </c>
      <c r="J1018" t="s">
        <v>13579</v>
      </c>
      <c r="L1018" t="s">
        <v>1869</v>
      </c>
      <c r="M1018" t="str">
        <f>"https://www.artic.edu/iiif/2/"&amp;Table9[[#This Row],[Image ID]]&amp;"/full/843,/0/default.jpg"</f>
        <v>https://www.artic.edu/iiif/2/bada26f4-9f8a-76cf-e8fe-e6705a431889/full/843,/0/default.jpg</v>
      </c>
      <c r="N1018" s="3">
        <v>0.77500000000000002</v>
      </c>
      <c r="O1018" s="3">
        <v>0.05</v>
      </c>
      <c r="P1018" s="3">
        <v>0.72499999999999998</v>
      </c>
      <c r="Q1018" s="3">
        <v>0.72864758968353205</v>
      </c>
    </row>
    <row r="1019" spans="1:17" x14ac:dyDescent="0.45">
      <c r="A1019" s="3">
        <v>81545</v>
      </c>
      <c r="B1019" t="b">
        <v>0</v>
      </c>
      <c r="C1019" t="b">
        <v>1</v>
      </c>
      <c r="D1019" s="3">
        <v>1891</v>
      </c>
      <c r="E1019" s="3">
        <v>1891</v>
      </c>
      <c r="F1019" t="s">
        <v>10126</v>
      </c>
      <c r="G1019" t="s">
        <v>7</v>
      </c>
      <c r="H1019" s="3">
        <v>30.671600000000002</v>
      </c>
      <c r="I1019" t="s">
        <v>43</v>
      </c>
      <c r="J1019" t="s">
        <v>13620</v>
      </c>
      <c r="K1019" s="5" t="s">
        <v>9</v>
      </c>
      <c r="L1019" t="s">
        <v>10127</v>
      </c>
      <c r="M1019" t="str">
        <f>"https://www.artic.edu/iiif/2/"&amp;Table9[[#This Row],[Image ID]]&amp;"/full/843,/0/default.jpg"</f>
        <v>https://www.artic.edu/iiif/2/be0d3e50-a600-6f33-ea8f-16a34d892442/full/843,/0/default.jpg</v>
      </c>
      <c r="N1019" s="3">
        <v>0.77500000000000002</v>
      </c>
      <c r="O1019" s="3">
        <v>0.05</v>
      </c>
      <c r="P1019" s="3">
        <v>0.72499999999999998</v>
      </c>
      <c r="Q1019" s="3">
        <v>0.78245985507964999</v>
      </c>
    </row>
    <row r="1020" spans="1:17" x14ac:dyDescent="0.45">
      <c r="A1020" s="3">
        <v>39194</v>
      </c>
      <c r="B1020" t="b">
        <v>0</v>
      </c>
      <c r="C1020" t="b">
        <v>1</v>
      </c>
      <c r="D1020" s="3">
        <v>1835</v>
      </c>
      <c r="E1020" s="3">
        <v>1882</v>
      </c>
      <c r="F1020" t="s">
        <v>7499</v>
      </c>
      <c r="G1020" t="s">
        <v>7500</v>
      </c>
      <c r="H1020" s="3">
        <v>24.075099999999999</v>
      </c>
      <c r="I1020" t="s">
        <v>5317</v>
      </c>
      <c r="J1020" t="s">
        <v>7502</v>
      </c>
      <c r="L1020" t="s">
        <v>7501</v>
      </c>
      <c r="M1020" t="str">
        <f>"https://www.artic.edu/iiif/2/"&amp;Table9[[#This Row],[Image ID]]&amp;"/full/843,/0/default.jpg"</f>
        <v>https://www.artic.edu/iiif/2/cb64485c-9784-6bab-0042-7b500664633f/full/843,/0/default.jpg</v>
      </c>
      <c r="N1020" s="3">
        <v>0.75</v>
      </c>
      <c r="O1020" s="3">
        <v>2.5000000000000001E-2</v>
      </c>
      <c r="P1020" s="3">
        <v>0.72499999999999998</v>
      </c>
      <c r="Q1020" s="3">
        <v>0.75281399488449097</v>
      </c>
    </row>
    <row r="1021" spans="1:17" x14ac:dyDescent="0.45">
      <c r="A1021" s="3">
        <v>16137</v>
      </c>
      <c r="B1021" t="b">
        <v>0</v>
      </c>
      <c r="C1021" t="b">
        <v>1</v>
      </c>
      <c r="D1021" s="3">
        <v>1480</v>
      </c>
      <c r="E1021" s="3">
        <v>1490</v>
      </c>
      <c r="F1021" t="s">
        <v>4260</v>
      </c>
      <c r="G1021" t="s">
        <v>4257</v>
      </c>
      <c r="H1021" s="3">
        <v>51.028300000000002</v>
      </c>
      <c r="I1021" t="s">
        <v>4258</v>
      </c>
      <c r="J1021" t="s">
        <v>13810</v>
      </c>
      <c r="L1021" t="s">
        <v>4261</v>
      </c>
      <c r="M1021" t="str">
        <f>"https://www.artic.edu/iiif/2/"&amp;Table9[[#This Row],[Image ID]]&amp;"/full/843,/0/default.jpg"</f>
        <v>https://www.artic.edu/iiif/2/ccc244d4-d151-38ef-ac6f-69a5cbadaf10/full/843,/0/default.jpg</v>
      </c>
      <c r="N1021" s="3">
        <v>0.82499999999999996</v>
      </c>
      <c r="O1021" s="3">
        <v>0.1</v>
      </c>
      <c r="P1021" s="3">
        <v>0.72499999999999998</v>
      </c>
      <c r="Q1021" s="3">
        <v>0.79501944780349698</v>
      </c>
    </row>
    <row r="1022" spans="1:17" x14ac:dyDescent="0.45">
      <c r="A1022" s="3">
        <v>187831</v>
      </c>
      <c r="B1022" t="b">
        <v>0</v>
      </c>
      <c r="C1022" t="b">
        <v>1</v>
      </c>
      <c r="D1022" s="3">
        <v>1499</v>
      </c>
      <c r="E1022" s="3">
        <v>1699</v>
      </c>
      <c r="F1022" t="s">
        <v>5117</v>
      </c>
      <c r="G1022" t="s">
        <v>5118</v>
      </c>
      <c r="H1022" s="3">
        <v>34.7746</v>
      </c>
      <c r="I1022" t="s">
        <v>117</v>
      </c>
      <c r="L1022" t="s">
        <v>5119</v>
      </c>
      <c r="M1022" t="str">
        <f>"https://www.artic.edu/iiif/2/"&amp;Table9[[#This Row],[Image ID]]&amp;"/full/843,/0/default.jpg"</f>
        <v>https://www.artic.edu/iiif/2/ccccb05c-0150-0b53-a04d-b79decb6e391/full/843,/0/default.jpg</v>
      </c>
      <c r="N1022" s="3">
        <v>0.77500000000000002</v>
      </c>
      <c r="O1022" s="3">
        <v>0.05</v>
      </c>
      <c r="P1022" s="3">
        <v>0.72499999999999998</v>
      </c>
      <c r="Q1022" s="3">
        <v>0.90513497591018599</v>
      </c>
    </row>
    <row r="1023" spans="1:17" x14ac:dyDescent="0.45">
      <c r="A1023" s="3">
        <v>142527</v>
      </c>
      <c r="B1023" t="b">
        <v>0</v>
      </c>
      <c r="C1023" t="b">
        <v>1</v>
      </c>
      <c r="D1023" s="3">
        <v>1499</v>
      </c>
      <c r="E1023" s="3">
        <v>1599</v>
      </c>
      <c r="F1023" t="s">
        <v>3282</v>
      </c>
      <c r="G1023" t="s">
        <v>3283</v>
      </c>
      <c r="H1023" s="3">
        <v>46.322899999999997</v>
      </c>
      <c r="J1023" t="s">
        <v>13827</v>
      </c>
      <c r="K1023" s="5" t="s">
        <v>5</v>
      </c>
      <c r="L1023" t="s">
        <v>3284</v>
      </c>
      <c r="M1023" t="str">
        <f>"https://www.artic.edu/iiif/2/"&amp;Table9[[#This Row],[Image ID]]&amp;"/full/843,/0/default.jpg"</f>
        <v>https://www.artic.edu/iiif/2/ce81599e-bf41-a72d-7095-6512b37f5ef3/full/843,/0/default.jpg</v>
      </c>
      <c r="N1023" s="3">
        <v>0.85</v>
      </c>
      <c r="O1023" s="3">
        <v>0.125</v>
      </c>
      <c r="P1023" s="3">
        <v>0.72499999999999998</v>
      </c>
      <c r="Q1023" s="3">
        <v>0.78724730014801003</v>
      </c>
    </row>
    <row r="1024" spans="1:17" x14ac:dyDescent="0.45">
      <c r="A1024" s="3">
        <v>51582</v>
      </c>
      <c r="B1024" t="b">
        <v>0</v>
      </c>
      <c r="C1024" t="b">
        <v>1</v>
      </c>
      <c r="D1024" s="3">
        <v>1792</v>
      </c>
      <c r="E1024" s="3">
        <v>1802</v>
      </c>
      <c r="F1024" t="s">
        <v>8151</v>
      </c>
      <c r="G1024" t="s">
        <v>7</v>
      </c>
      <c r="H1024" s="3">
        <v>0</v>
      </c>
      <c r="I1024" t="s">
        <v>8152</v>
      </c>
      <c r="J1024" t="s">
        <v>11134</v>
      </c>
      <c r="L1024" t="s">
        <v>8153</v>
      </c>
      <c r="M1024" t="str">
        <f>"https://www.artic.edu/iiif/2/"&amp;Table9[[#This Row],[Image ID]]&amp;"/full/843,/0/default.jpg"</f>
        <v>https://www.artic.edu/iiif/2/d1f47e86-bad8-3a32-8da9-b921b5d66b66/full/843,/0/default.jpg</v>
      </c>
      <c r="N1024" s="3">
        <v>0.875</v>
      </c>
      <c r="O1024" s="3">
        <v>0.15</v>
      </c>
      <c r="P1024" s="3">
        <v>0.72499999999999998</v>
      </c>
      <c r="Q1024" s="3">
        <v>0.77427119016647294</v>
      </c>
    </row>
    <row r="1025" spans="1:17" x14ac:dyDescent="0.45">
      <c r="A1025" s="3">
        <v>111746</v>
      </c>
      <c r="B1025" t="b">
        <v>0</v>
      </c>
      <c r="C1025" t="b">
        <v>1</v>
      </c>
      <c r="D1025" s="3">
        <v>1888</v>
      </c>
      <c r="E1025" s="3">
        <v>1889</v>
      </c>
      <c r="F1025" t="s">
        <v>1253</v>
      </c>
      <c r="G1025" t="s">
        <v>7</v>
      </c>
      <c r="H1025" s="3">
        <v>38.568300000000001</v>
      </c>
      <c r="I1025" t="s">
        <v>14621</v>
      </c>
      <c r="J1025" t="s">
        <v>13989</v>
      </c>
      <c r="L1025" t="s">
        <v>1254</v>
      </c>
      <c r="M1025" t="str">
        <f>"https://www.artic.edu/iiif/2/"&amp;Table9[[#This Row],[Image ID]]&amp;"/full/843,/0/default.jpg"</f>
        <v>https://www.artic.edu/iiif/2/dac4ead1-77cd-a46f-5c35-9f8b5132525d/full/843,/0/default.jpg</v>
      </c>
      <c r="N1025" s="3">
        <v>0.77500000000000002</v>
      </c>
      <c r="O1025" s="3">
        <v>0.05</v>
      </c>
      <c r="P1025" s="3">
        <v>0.72499999999999998</v>
      </c>
      <c r="Q1025" s="3">
        <v>0.711625456809997</v>
      </c>
    </row>
    <row r="1026" spans="1:17" x14ac:dyDescent="0.45">
      <c r="A1026" s="3">
        <v>87467</v>
      </c>
      <c r="B1026" t="b">
        <v>0</v>
      </c>
      <c r="C1026" t="b">
        <v>1</v>
      </c>
      <c r="D1026" s="3">
        <v>1867</v>
      </c>
      <c r="E1026" s="3">
        <v>1867</v>
      </c>
      <c r="F1026" t="s">
        <v>14636</v>
      </c>
      <c r="G1026" t="s">
        <v>7</v>
      </c>
      <c r="H1026" s="3">
        <v>19.412700000000001</v>
      </c>
      <c r="I1026" t="s">
        <v>1269</v>
      </c>
      <c r="J1026" t="s">
        <v>14025</v>
      </c>
      <c r="K1026" s="5" t="s">
        <v>9</v>
      </c>
      <c r="L1026" t="s">
        <v>10387</v>
      </c>
      <c r="M1026" t="str">
        <f>"https://www.artic.edu/iiif/2/"&amp;Table9[[#This Row],[Image ID]]&amp;"/full/843,/0/default.jpg"</f>
        <v>https://www.artic.edu/iiif/2/dd4f9115-150c-2f1a-0f37-50899553d6b4/full/843,/0/default.jpg</v>
      </c>
      <c r="N1026" s="3">
        <v>0.75</v>
      </c>
      <c r="O1026" s="3">
        <v>2.5000000000000001E-2</v>
      </c>
      <c r="P1026" s="3">
        <v>0.72499999999999998</v>
      </c>
      <c r="Q1026" s="3">
        <v>0.84333622455596902</v>
      </c>
    </row>
    <row r="1027" spans="1:17" x14ac:dyDescent="0.45">
      <c r="A1027" s="3">
        <v>64996</v>
      </c>
      <c r="B1027" t="b">
        <v>0</v>
      </c>
      <c r="C1027" t="b">
        <v>1</v>
      </c>
      <c r="D1027" s="3">
        <v>1607</v>
      </c>
      <c r="E1027" s="3">
        <v>1618</v>
      </c>
      <c r="F1027" t="s">
        <v>9018</v>
      </c>
      <c r="G1027" t="s">
        <v>7</v>
      </c>
      <c r="H1027" s="3">
        <v>32.288800000000002</v>
      </c>
      <c r="I1027" t="s">
        <v>9019</v>
      </c>
      <c r="J1027" t="s">
        <v>14028</v>
      </c>
      <c r="L1027" t="s">
        <v>9020</v>
      </c>
      <c r="M1027" t="str">
        <f>"https://www.artic.edu/iiif/2/"&amp;Table9[[#This Row],[Image ID]]&amp;"/full/843,/0/default.jpg"</f>
        <v>https://www.artic.edu/iiif/2/dd6290e0-9a2b-27c8-c9ae-19837939b934/full/843,/0/default.jpg</v>
      </c>
      <c r="N1027" s="3">
        <v>0.85</v>
      </c>
      <c r="O1027" s="3">
        <v>0.125</v>
      </c>
      <c r="P1027" s="3">
        <v>0.72499999999999998</v>
      </c>
      <c r="Q1027" s="3">
        <v>0.82280498743057195</v>
      </c>
    </row>
    <row r="1028" spans="1:17" x14ac:dyDescent="0.45">
      <c r="A1028" s="3">
        <v>39030</v>
      </c>
      <c r="B1028" t="b">
        <v>0</v>
      </c>
      <c r="C1028" t="b">
        <v>1</v>
      </c>
      <c r="D1028" s="3">
        <v>1813</v>
      </c>
      <c r="E1028" s="3">
        <v>1816</v>
      </c>
      <c r="F1028" t="s">
        <v>7387</v>
      </c>
      <c r="G1028" t="s">
        <v>7388</v>
      </c>
      <c r="H1028" s="3">
        <v>35.042200000000001</v>
      </c>
      <c r="I1028" t="s">
        <v>1359</v>
      </c>
      <c r="J1028" t="s">
        <v>14083</v>
      </c>
      <c r="L1028" t="s">
        <v>7389</v>
      </c>
      <c r="M1028" t="str">
        <f>"https://www.artic.edu/iiif/2/"&amp;Table9[[#This Row],[Image ID]]&amp;"/full/843,/0/default.jpg"</f>
        <v>https://www.artic.edu/iiif/2/e120da94-53f8-c223-6216-1fdb9d939e12/full/843,/0/default.jpg</v>
      </c>
      <c r="N1028" s="3">
        <v>0.82499999999999996</v>
      </c>
      <c r="O1028" s="3">
        <v>0.1</v>
      </c>
      <c r="P1028" s="3">
        <v>0.72499999999999998</v>
      </c>
      <c r="Q1028" s="3">
        <v>0.69577556848526001</v>
      </c>
    </row>
    <row r="1029" spans="1:17" x14ac:dyDescent="0.45">
      <c r="A1029" s="3">
        <v>88619</v>
      </c>
      <c r="B1029" t="b">
        <v>0</v>
      </c>
      <c r="C1029" t="b">
        <v>1</v>
      </c>
      <c r="D1029" s="3">
        <v>1605</v>
      </c>
      <c r="E1029" s="3">
        <v>1620</v>
      </c>
      <c r="F1029" t="s">
        <v>10433</v>
      </c>
      <c r="G1029" t="s">
        <v>75</v>
      </c>
      <c r="H1029" s="3">
        <v>0</v>
      </c>
      <c r="I1029" t="s">
        <v>10434</v>
      </c>
      <c r="J1029" t="s">
        <v>14093</v>
      </c>
      <c r="L1029" t="s">
        <v>10435</v>
      </c>
      <c r="M1029" t="str">
        <f>"https://www.artic.edu/iiif/2/"&amp;Table9[[#This Row],[Image ID]]&amp;"/full/843,/0/default.jpg"</f>
        <v>https://www.artic.edu/iiif/2/e1befa02-cfce-08bf-a2f6-1da4ebaa2887/full/843,/0/default.jpg</v>
      </c>
      <c r="N1029" s="3">
        <v>0.875</v>
      </c>
      <c r="O1029" s="3">
        <v>0.15</v>
      </c>
      <c r="P1029" s="3">
        <v>0.72499999999999998</v>
      </c>
      <c r="Q1029" s="3">
        <v>0.61934447288513095</v>
      </c>
    </row>
    <row r="1030" spans="1:17" x14ac:dyDescent="0.45">
      <c r="A1030" s="3">
        <v>111657</v>
      </c>
      <c r="B1030" t="b">
        <v>0</v>
      </c>
      <c r="C1030" t="b">
        <v>1</v>
      </c>
      <c r="D1030" s="3">
        <v>1845</v>
      </c>
      <c r="E1030" s="3">
        <v>1845</v>
      </c>
      <c r="F1030" t="s">
        <v>1210</v>
      </c>
      <c r="G1030" t="s">
        <v>7</v>
      </c>
      <c r="H1030" s="3">
        <v>0</v>
      </c>
      <c r="J1030" t="s">
        <v>14162</v>
      </c>
      <c r="L1030" t="s">
        <v>1211</v>
      </c>
      <c r="M1030" t="str">
        <f>"https://www.artic.edu/iiif/2/"&amp;Table9[[#This Row],[Image ID]]&amp;"/full/843,/0/default.jpg"</f>
        <v>https://www.artic.edu/iiif/2/e5c64849-d732-07c7-f945-66e851089d9d/full/843,/0/default.jpg</v>
      </c>
      <c r="N1030" s="3">
        <v>0.82499999999999996</v>
      </c>
      <c r="O1030" s="3">
        <v>0.1</v>
      </c>
      <c r="P1030" s="3">
        <v>0.72499999999999998</v>
      </c>
      <c r="Q1030" s="3">
        <v>0.77295863628387396</v>
      </c>
    </row>
    <row r="1031" spans="1:17" x14ac:dyDescent="0.45">
      <c r="A1031" s="3">
        <v>24420</v>
      </c>
      <c r="B1031" t="b">
        <v>0</v>
      </c>
      <c r="C1031" t="b">
        <v>1</v>
      </c>
      <c r="D1031" s="3">
        <v>1869</v>
      </c>
      <c r="E1031" s="3">
        <v>1908</v>
      </c>
      <c r="F1031" t="s">
        <v>6392</v>
      </c>
      <c r="G1031" t="s">
        <v>5152</v>
      </c>
      <c r="H1031" s="3">
        <v>31.793399999999998</v>
      </c>
      <c r="I1031" t="s">
        <v>6393</v>
      </c>
      <c r="J1031" t="s">
        <v>14178</v>
      </c>
      <c r="L1031" t="s">
        <v>6394</v>
      </c>
      <c r="M1031" t="str">
        <f>"https://www.artic.edu/iiif/2/"&amp;Table9[[#This Row],[Image ID]]&amp;"/full/843,/0/default.jpg"</f>
        <v>https://www.artic.edu/iiif/2/e733a86c-3037-de40-0802-d171d22f0fba/full/843,/0/default.jpg</v>
      </c>
      <c r="N1031" s="3">
        <v>0.75</v>
      </c>
      <c r="O1031" s="3">
        <v>2.5000000000000001E-2</v>
      </c>
      <c r="P1031" s="3">
        <v>0.72499999999999998</v>
      </c>
      <c r="Q1031" s="3">
        <v>0.88606053590774503</v>
      </c>
    </row>
    <row r="1032" spans="1:17" x14ac:dyDescent="0.45">
      <c r="A1032" s="3">
        <v>52177</v>
      </c>
      <c r="B1032" t="b">
        <v>0</v>
      </c>
      <c r="C1032" t="b">
        <v>1</v>
      </c>
      <c r="D1032" s="3">
        <v>1695</v>
      </c>
      <c r="E1032" s="3">
        <v>1705</v>
      </c>
      <c r="F1032" t="s">
        <v>8178</v>
      </c>
      <c r="G1032" t="s">
        <v>7</v>
      </c>
      <c r="H1032" s="3">
        <v>0</v>
      </c>
      <c r="I1032" t="s">
        <v>8179</v>
      </c>
      <c r="J1032" t="s">
        <v>14216</v>
      </c>
      <c r="L1032" t="s">
        <v>8180</v>
      </c>
      <c r="M1032" t="str">
        <f>"https://www.artic.edu/iiif/2/"&amp;Table9[[#This Row],[Image ID]]&amp;"/full/843,/0/default.jpg"</f>
        <v>https://www.artic.edu/iiif/2/e9855650-5773-cddc-34ac-7240cd634a2f/full/843,/0/default.jpg</v>
      </c>
      <c r="N1032" s="3">
        <v>0.77500000000000002</v>
      </c>
      <c r="O1032" s="3">
        <v>0.05</v>
      </c>
      <c r="P1032" s="3">
        <v>0.72499999999999998</v>
      </c>
      <c r="Q1032" s="3">
        <v>0.76564228534698398</v>
      </c>
    </row>
    <row r="1033" spans="1:17" x14ac:dyDescent="0.45">
      <c r="A1033" s="3">
        <v>152851</v>
      </c>
      <c r="B1033" t="b">
        <v>0</v>
      </c>
      <c r="C1033" t="b">
        <v>1</v>
      </c>
      <c r="D1033" s="3">
        <v>1805</v>
      </c>
      <c r="E1033" s="3">
        <v>1815</v>
      </c>
      <c r="F1033" t="s">
        <v>3935</v>
      </c>
      <c r="G1033" t="s">
        <v>3936</v>
      </c>
      <c r="H1033" s="3">
        <v>49.933199999999999</v>
      </c>
      <c r="I1033" t="s">
        <v>178</v>
      </c>
      <c r="J1033" t="s">
        <v>14250</v>
      </c>
      <c r="L1033" t="s">
        <v>3937</v>
      </c>
      <c r="M1033" t="str">
        <f>"https://www.artic.edu/iiif/2/"&amp;Table9[[#This Row],[Image ID]]&amp;"/full/843,/0/default.jpg"</f>
        <v>https://www.artic.edu/iiif/2/ec14e825-ed02-c8a5-c25d-c04cbbc6a471/full/843,/0/default.jpg</v>
      </c>
      <c r="N1033" s="3">
        <v>0.82499999999999996</v>
      </c>
      <c r="O1033" s="3">
        <v>0.1</v>
      </c>
      <c r="P1033" s="3">
        <v>0.72499999999999998</v>
      </c>
      <c r="Q1033" s="3">
        <v>0.69065427780151301</v>
      </c>
    </row>
    <row r="1034" spans="1:17" x14ac:dyDescent="0.45">
      <c r="A1034" s="3">
        <v>115123</v>
      </c>
      <c r="B1034" t="b">
        <v>0</v>
      </c>
      <c r="C1034" t="b">
        <v>1</v>
      </c>
      <c r="D1034" s="3">
        <v>1825</v>
      </c>
      <c r="E1034" s="3">
        <v>1882</v>
      </c>
      <c r="F1034" t="s">
        <v>1783</v>
      </c>
      <c r="G1034" t="s">
        <v>1784</v>
      </c>
      <c r="H1034" s="3">
        <v>17.905000000000001</v>
      </c>
      <c r="I1034" t="s">
        <v>1555</v>
      </c>
      <c r="J1034" t="s">
        <v>14264</v>
      </c>
      <c r="L1034" t="s">
        <v>1785</v>
      </c>
      <c r="M1034" t="str">
        <f>"https://www.artic.edu/iiif/2/"&amp;Table9[[#This Row],[Image ID]]&amp;"/full/843,/0/default.jpg"</f>
        <v>https://www.artic.edu/iiif/2/ed091570-2a37-58e0-3099-43ce77fc3d3e/full/843,/0/default.jpg</v>
      </c>
      <c r="N1034" s="3">
        <v>0.77500000000000002</v>
      </c>
      <c r="O1034" s="3">
        <v>0.05</v>
      </c>
      <c r="P1034" s="3">
        <v>0.72499999999999998</v>
      </c>
      <c r="Q1034" s="3">
        <v>0.64475399255752497</v>
      </c>
    </row>
    <row r="1035" spans="1:17" x14ac:dyDescent="0.45">
      <c r="A1035" s="3">
        <v>16451</v>
      </c>
      <c r="B1035" t="b">
        <v>0</v>
      </c>
      <c r="C1035" t="b">
        <v>1</v>
      </c>
      <c r="D1035" s="3">
        <v>1869</v>
      </c>
      <c r="E1035" s="3">
        <v>1883</v>
      </c>
      <c r="F1035" t="s">
        <v>4435</v>
      </c>
      <c r="G1035" t="s">
        <v>4436</v>
      </c>
      <c r="H1035" s="3">
        <v>33.874600000000001</v>
      </c>
      <c r="I1035" t="s">
        <v>14553</v>
      </c>
      <c r="J1035" t="s">
        <v>14355</v>
      </c>
      <c r="L1035" t="s">
        <v>4437</v>
      </c>
      <c r="M1035" t="str">
        <f>"https://www.artic.edu/iiif/2/"&amp;Table9[[#This Row],[Image ID]]&amp;"/full/843,/0/default.jpg"</f>
        <v>https://www.artic.edu/iiif/2/f2cf3e4d-7a0f-db2f-3ce6-07f7189bfcb1/full/843,/0/default.jpg</v>
      </c>
      <c r="N1035" s="3">
        <v>0.77500000000000002</v>
      </c>
      <c r="O1035" s="3">
        <v>0.05</v>
      </c>
      <c r="P1035" s="3">
        <v>0.72499999999999998</v>
      </c>
      <c r="Q1035" s="3">
        <v>0.56477010250091497</v>
      </c>
    </row>
    <row r="1036" spans="1:17" x14ac:dyDescent="0.45">
      <c r="A1036" s="3">
        <v>59969</v>
      </c>
      <c r="B1036" t="b">
        <v>0</v>
      </c>
      <c r="C1036" t="b">
        <v>1</v>
      </c>
      <c r="D1036" s="3">
        <v>1550</v>
      </c>
      <c r="E1036" s="3">
        <v>1560</v>
      </c>
      <c r="F1036" t="s">
        <v>8667</v>
      </c>
      <c r="G1036" t="s">
        <v>75</v>
      </c>
      <c r="H1036" s="3">
        <v>47.456699999999998</v>
      </c>
      <c r="I1036" t="s">
        <v>1291</v>
      </c>
      <c r="J1036" t="s">
        <v>14365</v>
      </c>
      <c r="L1036" t="s">
        <v>8668</v>
      </c>
      <c r="M1036" t="str">
        <f>"https://www.artic.edu/iiif/2/"&amp;Table9[[#This Row],[Image ID]]&amp;"/full/843,/0/default.jpg"</f>
        <v>https://www.artic.edu/iiif/2/f3b42980-b546-95d6-2052-65e60ecf7ff5/full/843,/0/default.jpg</v>
      </c>
      <c r="N1036" s="3">
        <v>0.75</v>
      </c>
      <c r="O1036" s="3">
        <v>2.5000000000000001E-2</v>
      </c>
      <c r="P1036" s="3">
        <v>0.72499999999999998</v>
      </c>
      <c r="Q1036" s="3">
        <v>0.83513969182968095</v>
      </c>
    </row>
    <row r="1037" spans="1:17" x14ac:dyDescent="0.45">
      <c r="A1037" s="3">
        <v>14796</v>
      </c>
      <c r="B1037" t="b">
        <v>0</v>
      </c>
      <c r="C1037" t="b">
        <v>0</v>
      </c>
      <c r="D1037" s="3">
        <v>1911</v>
      </c>
      <c r="E1037" s="3">
        <v>1911</v>
      </c>
      <c r="F1037" t="s">
        <v>3688</v>
      </c>
      <c r="G1037" t="s">
        <v>3689</v>
      </c>
      <c r="H1037" s="3">
        <v>26.864100000000001</v>
      </c>
      <c r="I1037" t="s">
        <v>934</v>
      </c>
      <c r="J1037" t="s">
        <v>14371</v>
      </c>
      <c r="K1037" s="5" t="s">
        <v>9</v>
      </c>
      <c r="L1037" t="s">
        <v>3690</v>
      </c>
      <c r="M1037" t="str">
        <f>"https://www.artic.edu/iiif/2/"&amp;Table9[[#This Row],[Image ID]]&amp;"/full/843,/0/default.jpg"</f>
        <v>https://www.artic.edu/iiif/2/f471b95a-2677-d98b-c449-bca661ab965e/full/843,/0/default.jpg</v>
      </c>
      <c r="N1037" s="3">
        <v>0.79100000000000004</v>
      </c>
      <c r="O1037" s="3">
        <v>7.0000000000000007E-2</v>
      </c>
      <c r="P1037" s="3">
        <v>0.72100000000000009</v>
      </c>
      <c r="Q1037" s="3">
        <v>0.71875774860382002</v>
      </c>
    </row>
    <row r="1038" spans="1:17" x14ac:dyDescent="0.45">
      <c r="A1038" s="3">
        <v>4113</v>
      </c>
      <c r="B1038" t="b">
        <v>0</v>
      </c>
      <c r="C1038" t="b">
        <v>0</v>
      </c>
      <c r="D1038" s="3">
        <v>1899</v>
      </c>
      <c r="E1038" s="3">
        <v>1910</v>
      </c>
      <c r="F1038" t="s">
        <v>1033</v>
      </c>
      <c r="G1038" t="s">
        <v>7</v>
      </c>
      <c r="H1038" s="3">
        <v>24.724</v>
      </c>
      <c r="I1038" t="s">
        <v>592</v>
      </c>
      <c r="J1038" t="s">
        <v>11331</v>
      </c>
      <c r="L1038" t="s">
        <v>7685</v>
      </c>
      <c r="M1038" t="str">
        <f>"https://www.artic.edu/iiif/2/"&amp;Table9[[#This Row],[Image ID]]&amp;"/full/843,/0/default.jpg"</f>
        <v>https://www.artic.edu/iiif/2/19e681d5-4586-a390-bdb0-a66fd3c3aea4/full/843,/0/default.jpg</v>
      </c>
      <c r="N1038" s="3">
        <v>0.81399999999999995</v>
      </c>
      <c r="O1038" s="3">
        <v>9.2999999999999999E-2</v>
      </c>
      <c r="P1038" s="3">
        <v>0.72099999999999997</v>
      </c>
      <c r="Q1038" s="3">
        <v>0.57026046514511097</v>
      </c>
    </row>
    <row r="1039" spans="1:17" x14ac:dyDescent="0.45">
      <c r="A1039" s="3">
        <v>142551</v>
      </c>
      <c r="B1039" t="b">
        <v>0</v>
      </c>
      <c r="C1039" t="b">
        <v>0</v>
      </c>
      <c r="D1039" s="3">
        <v>1987</v>
      </c>
      <c r="E1039" s="3">
        <v>1987</v>
      </c>
      <c r="F1039" t="s">
        <v>3289</v>
      </c>
      <c r="G1039" t="s">
        <v>3290</v>
      </c>
      <c r="H1039" s="3">
        <v>7.6528999999999998</v>
      </c>
      <c r="I1039" t="s">
        <v>14566</v>
      </c>
      <c r="J1039" t="s">
        <v>11470</v>
      </c>
      <c r="L1039" t="s">
        <v>3291</v>
      </c>
      <c r="M1039" t="str">
        <f>"https://www.artic.edu/iiif/2/"&amp;Table9[[#This Row],[Image ID]]&amp;"/full/843,/0/default.jpg"</f>
        <v>https://www.artic.edu/iiif/2/22f31281-3173-c0c0-5d60-4dd8a44aa8f7/full/843,/0/default.jpg</v>
      </c>
      <c r="N1039" s="3">
        <v>0.81399999999999995</v>
      </c>
      <c r="O1039" s="3">
        <v>9.2999999999999999E-2</v>
      </c>
      <c r="P1039" s="3">
        <v>0.72099999999999997</v>
      </c>
      <c r="Q1039" s="3">
        <v>0.88388931751251198</v>
      </c>
    </row>
    <row r="1040" spans="1:17" x14ac:dyDescent="0.45">
      <c r="A1040" s="3">
        <v>59856</v>
      </c>
      <c r="B1040" t="b">
        <v>0</v>
      </c>
      <c r="C1040" t="b">
        <v>1</v>
      </c>
      <c r="D1040" s="3">
        <v>1538</v>
      </c>
      <c r="E1040" s="3">
        <v>1538</v>
      </c>
      <c r="F1040" t="s">
        <v>1153</v>
      </c>
      <c r="G1040" t="s">
        <v>75</v>
      </c>
      <c r="H1040" s="3">
        <v>29.164300000000001</v>
      </c>
      <c r="I1040" t="s">
        <v>1240</v>
      </c>
      <c r="J1040" t="s">
        <v>14390</v>
      </c>
      <c r="L1040" t="s">
        <v>8601</v>
      </c>
      <c r="M1040" t="str">
        <f>"https://www.artic.edu/iiif/2/"&amp;Table9[[#This Row],[Image ID]]&amp;"/full/843,/0/default.jpg"</f>
        <v>https://www.artic.edu/iiif/2/f5eb11a2-945f-f7cb-9994-ab54e8f24804/full/843,/0/default.jpg</v>
      </c>
      <c r="N1040" s="3">
        <v>0.81399999999999995</v>
      </c>
      <c r="O1040" s="3">
        <v>9.2999999999999999E-2</v>
      </c>
      <c r="P1040" s="3">
        <v>0.72099999999999997</v>
      </c>
      <c r="Q1040" s="3">
        <v>0.75483733415603604</v>
      </c>
    </row>
    <row r="1041" spans="1:17" x14ac:dyDescent="0.45">
      <c r="A1041" s="3">
        <v>110964</v>
      </c>
      <c r="B1041" t="b">
        <v>0</v>
      </c>
      <c r="C1041" t="b">
        <v>0</v>
      </c>
      <c r="D1041" s="3">
        <v>1939</v>
      </c>
      <c r="E1041" s="3">
        <v>1939</v>
      </c>
      <c r="F1041" t="s">
        <v>972</v>
      </c>
      <c r="G1041" t="s">
        <v>7</v>
      </c>
      <c r="H1041" s="3">
        <v>57.040500000000002</v>
      </c>
      <c r="I1041" t="s">
        <v>749</v>
      </c>
      <c r="J1041" t="s">
        <v>11071</v>
      </c>
      <c r="L1041" t="s">
        <v>973</v>
      </c>
      <c r="M1041" t="str">
        <f>"https://www.artic.edu/iiif/2/"&amp;Table9[[#This Row],[Image ID]]&amp;"/full/843,/0/default.jpg"</f>
        <v>https://www.artic.edu/iiif/2/072c043b-f96b-06bd-fefd-1f60dabbd626/full/843,/0/default.jpg</v>
      </c>
      <c r="N1041" s="3">
        <v>0.76700000000000002</v>
      </c>
      <c r="O1041" s="3">
        <v>4.7E-2</v>
      </c>
      <c r="P1041" s="3">
        <v>0.72</v>
      </c>
      <c r="Q1041" s="3">
        <v>0.75782531499862604</v>
      </c>
    </row>
    <row r="1042" spans="1:17" x14ac:dyDescent="0.45">
      <c r="A1042" s="3">
        <v>97889</v>
      </c>
      <c r="B1042" t="b">
        <v>0</v>
      </c>
      <c r="C1042" t="b">
        <v>0</v>
      </c>
      <c r="D1042" s="3">
        <v>1896</v>
      </c>
      <c r="E1042" s="3">
        <v>1906</v>
      </c>
      <c r="F1042" t="s">
        <v>10864</v>
      </c>
      <c r="G1042" t="s">
        <v>7</v>
      </c>
      <c r="H1042" s="3">
        <v>9.3278999999999996</v>
      </c>
      <c r="I1042" t="s">
        <v>192</v>
      </c>
      <c r="J1042" t="s">
        <v>11067</v>
      </c>
      <c r="L1042" t="s">
        <v>10865</v>
      </c>
      <c r="M1042" t="str">
        <f>"https://www.artic.edu/iiif/2/"&amp;Table9[[#This Row],[Image ID]]&amp;"/full/843,/0/default.jpg"</f>
        <v>https://www.artic.edu/iiif/2/3d5a46c3-8e5e-bd52-f765-50036d888db7/full/843,/0/default.jpg</v>
      </c>
      <c r="N1042" s="3">
        <v>0.76700000000000002</v>
      </c>
      <c r="O1042" s="3">
        <v>4.7E-2</v>
      </c>
      <c r="P1042" s="3">
        <v>0.72</v>
      </c>
      <c r="Q1042" s="3">
        <v>0.67664778232574396</v>
      </c>
    </row>
    <row r="1043" spans="1:17" x14ac:dyDescent="0.45">
      <c r="A1043" s="3">
        <v>53004</v>
      </c>
      <c r="B1043" t="b">
        <v>0</v>
      </c>
      <c r="C1043" t="b">
        <v>0</v>
      </c>
      <c r="D1043" s="3">
        <v>1956</v>
      </c>
      <c r="E1043" s="3">
        <v>1956</v>
      </c>
      <c r="F1043" t="s">
        <v>492</v>
      </c>
      <c r="G1043" t="s">
        <v>7</v>
      </c>
      <c r="H1043" s="3">
        <v>12.5059</v>
      </c>
      <c r="I1043" t="s">
        <v>2707</v>
      </c>
      <c r="J1043" t="s">
        <v>11721</v>
      </c>
      <c r="L1043" t="s">
        <v>8219</v>
      </c>
      <c r="M1043" t="str">
        <f>"https://www.artic.edu/iiif/2/"&amp;Table9[[#This Row],[Image ID]]&amp;"/full/843,/0/default.jpg"</f>
        <v>https://www.artic.edu/iiif/2/3335b163-8cb5-cbec-8d8e-6d1159247c2d/full/843,/0/default.jpg</v>
      </c>
      <c r="N1043" s="3">
        <v>0.78600000000000003</v>
      </c>
      <c r="O1043" s="3">
        <v>7.0999999999999994E-2</v>
      </c>
      <c r="P1043" s="3">
        <v>0.71500000000000008</v>
      </c>
      <c r="Q1043" s="3">
        <v>0.661978960037231</v>
      </c>
    </row>
    <row r="1044" spans="1:17" x14ac:dyDescent="0.45">
      <c r="A1044" s="3">
        <v>48141</v>
      </c>
      <c r="B1044" t="b">
        <v>0</v>
      </c>
      <c r="C1044" t="b">
        <v>0</v>
      </c>
      <c r="D1044" s="3">
        <v>1972</v>
      </c>
      <c r="E1044" s="3">
        <v>1972</v>
      </c>
      <c r="F1044" t="s">
        <v>7993</v>
      </c>
      <c r="G1044" t="s">
        <v>7</v>
      </c>
      <c r="H1044" s="3">
        <v>34.1038</v>
      </c>
      <c r="I1044" t="s">
        <v>5566</v>
      </c>
      <c r="J1044" t="s">
        <v>11839</v>
      </c>
      <c r="L1044" t="s">
        <v>7994</v>
      </c>
      <c r="M1044" t="str">
        <f>"https://www.artic.edu/iiif/2/"&amp;Table9[[#This Row],[Image ID]]&amp;"/full/843,/0/default.jpg"</f>
        <v>https://www.artic.edu/iiif/2/3afd3d00-7068-3794-c94a-4b150d7624a0/full/843,/0/default.jpg</v>
      </c>
      <c r="N1044" s="3">
        <v>0.81</v>
      </c>
      <c r="O1044" s="3">
        <v>9.5000000000000001E-2</v>
      </c>
      <c r="P1044" s="3">
        <v>0.71500000000000008</v>
      </c>
      <c r="Q1044" s="3">
        <v>0.84321963787078802</v>
      </c>
    </row>
    <row r="1045" spans="1:17" x14ac:dyDescent="0.45">
      <c r="A1045" s="3">
        <v>120577</v>
      </c>
      <c r="B1045" t="b">
        <v>0</v>
      </c>
      <c r="C1045" t="b">
        <v>0</v>
      </c>
      <c r="D1045" s="3">
        <v>1851</v>
      </c>
      <c r="E1045" s="3">
        <v>1865</v>
      </c>
      <c r="F1045" t="s">
        <v>2651</v>
      </c>
      <c r="G1045" t="s">
        <v>7</v>
      </c>
      <c r="H1045" s="3">
        <v>22.5411</v>
      </c>
      <c r="L1045" t="s">
        <v>2652</v>
      </c>
      <c r="M1045" t="str">
        <f>"https://www.artic.edu/iiif/2/"&amp;Table9[[#This Row],[Image ID]]&amp;"/full/843,/0/default.jpg"</f>
        <v>https://www.artic.edu/iiif/2/91767d18-c10c-1901-5eeb-740c7fb186be/full/843,/0/default.jpg</v>
      </c>
      <c r="N1045" s="3">
        <v>0.78600000000000003</v>
      </c>
      <c r="O1045" s="3">
        <v>7.0999999999999994E-2</v>
      </c>
      <c r="P1045" s="3">
        <v>0.71500000000000008</v>
      </c>
      <c r="Q1045" s="3">
        <v>0.87355828285217196</v>
      </c>
    </row>
    <row r="1046" spans="1:17" x14ac:dyDescent="0.45">
      <c r="A1046" s="3">
        <v>222922</v>
      </c>
      <c r="B1046" t="b">
        <v>0</v>
      </c>
      <c r="C1046" t="b">
        <v>0</v>
      </c>
      <c r="D1046" s="3">
        <v>1986</v>
      </c>
      <c r="E1046" s="3">
        <v>1986</v>
      </c>
      <c r="F1046" t="s">
        <v>11</v>
      </c>
      <c r="G1046" t="s">
        <v>5846</v>
      </c>
      <c r="H1046" s="3">
        <v>24.458500000000001</v>
      </c>
      <c r="I1046" t="s">
        <v>5844</v>
      </c>
      <c r="J1046" t="s">
        <v>13408</v>
      </c>
      <c r="L1046" t="s">
        <v>5847</v>
      </c>
      <c r="M1046" t="str">
        <f>"https://www.artic.edu/iiif/2/"&amp;Table9[[#This Row],[Image ID]]&amp;"/full/843,/0/default.jpg"</f>
        <v>https://www.artic.edu/iiif/2/ad2150e9-d6e4-0a6e-7335-4517901a9cdc/full/843,/0/default.jpg</v>
      </c>
      <c r="N1046" s="3">
        <v>0.78600000000000003</v>
      </c>
      <c r="O1046" s="3">
        <v>7.0999999999999994E-2</v>
      </c>
      <c r="P1046" s="3">
        <v>0.71500000000000008</v>
      </c>
      <c r="Q1046" s="3">
        <v>0.77694118022918701</v>
      </c>
    </row>
    <row r="1047" spans="1:17" x14ac:dyDescent="0.45">
      <c r="A1047" s="3">
        <v>202491</v>
      </c>
      <c r="B1047" t="b">
        <v>0</v>
      </c>
      <c r="C1047" t="b">
        <v>0</v>
      </c>
      <c r="D1047" s="3">
        <v>1995</v>
      </c>
      <c r="E1047" s="3">
        <v>1995</v>
      </c>
      <c r="F1047" t="s">
        <v>5354</v>
      </c>
      <c r="G1047" t="s">
        <v>7</v>
      </c>
      <c r="H1047" s="3">
        <v>6.5138999999999996</v>
      </c>
      <c r="I1047" t="s">
        <v>2941</v>
      </c>
      <c r="J1047" t="s">
        <v>13221</v>
      </c>
      <c r="L1047" t="s">
        <v>5355</v>
      </c>
      <c r="M1047" t="str">
        <f>"https://www.artic.edu/iiif/2/"&amp;Table9[[#This Row],[Image ID]]&amp;"/full/843,/0/default.jpg"</f>
        <v>https://www.artic.edu/iiif/2/b8901161-21c3-7b15-e7f2-09dc3b173153/full/843,/0/default.jpg</v>
      </c>
      <c r="N1047" s="3">
        <v>0.78600000000000003</v>
      </c>
      <c r="O1047" s="3">
        <v>7.0999999999999994E-2</v>
      </c>
      <c r="P1047" s="3">
        <v>0.71500000000000008</v>
      </c>
      <c r="Q1047" s="3">
        <v>0.78240048885345403</v>
      </c>
    </row>
    <row r="1048" spans="1:17" x14ac:dyDescent="0.45">
      <c r="A1048" s="3">
        <v>66179</v>
      </c>
      <c r="B1048" t="b">
        <v>0</v>
      </c>
      <c r="C1048" t="b">
        <v>0</v>
      </c>
      <c r="D1048" s="3">
        <v>1947</v>
      </c>
      <c r="E1048" s="3">
        <v>1947</v>
      </c>
      <c r="F1048" t="s">
        <v>9211</v>
      </c>
      <c r="G1048" t="s">
        <v>7</v>
      </c>
      <c r="H1048" s="3">
        <v>56.984099999999998</v>
      </c>
      <c r="I1048" t="s">
        <v>266</v>
      </c>
      <c r="J1048" t="s">
        <v>13834</v>
      </c>
      <c r="L1048" t="s">
        <v>9212</v>
      </c>
      <c r="M1048" t="str">
        <f>"https://www.artic.edu/iiif/2/"&amp;Table9[[#This Row],[Image ID]]&amp;"/full/843,/0/default.jpg"</f>
        <v>https://www.artic.edu/iiif/2/cf662939-d255-5a42-3ab8-2eeffd181d62/full/843,/0/default.jpg</v>
      </c>
      <c r="N1048" s="3">
        <v>0.78600000000000003</v>
      </c>
      <c r="O1048" s="3">
        <v>7.0999999999999994E-2</v>
      </c>
      <c r="P1048" s="3">
        <v>0.71500000000000008</v>
      </c>
      <c r="Q1048" s="3">
        <v>0.78125292062759399</v>
      </c>
    </row>
    <row r="1049" spans="1:17" x14ac:dyDescent="0.45">
      <c r="A1049" s="3">
        <v>28868</v>
      </c>
      <c r="B1049" t="b">
        <v>0</v>
      </c>
      <c r="C1049" t="b">
        <v>1</v>
      </c>
      <c r="D1049" s="3">
        <v>1855</v>
      </c>
      <c r="E1049" s="3">
        <v>1855</v>
      </c>
      <c r="F1049" t="s">
        <v>6835</v>
      </c>
      <c r="G1049" t="s">
        <v>7</v>
      </c>
      <c r="H1049" s="3">
        <v>21.967199999999998</v>
      </c>
      <c r="I1049" t="s">
        <v>14668</v>
      </c>
      <c r="J1049" t="s">
        <v>11782</v>
      </c>
      <c r="L1049" t="s">
        <v>6836</v>
      </c>
      <c r="M1049" t="str">
        <f>"https://www.artic.edu/iiif/2/"&amp;Table9[[#This Row],[Image ID]]&amp;"/full/843,/0/default.jpg"</f>
        <v>https://www.artic.edu/iiif/2/37ec2508-412c-ed9f-569a-666938fc71ee/full/843,/0/default.jpg</v>
      </c>
      <c r="N1049" s="3">
        <v>0.81</v>
      </c>
      <c r="O1049" s="3">
        <v>9.5000000000000001E-2</v>
      </c>
      <c r="P1049" s="3">
        <v>0.71500000000000008</v>
      </c>
      <c r="Q1049" s="3">
        <v>0.88366389274597101</v>
      </c>
    </row>
    <row r="1050" spans="1:17" x14ac:dyDescent="0.45">
      <c r="A1050" s="3">
        <v>216794</v>
      </c>
      <c r="B1050" t="b">
        <v>0</v>
      </c>
      <c r="C1050" t="b">
        <v>1</v>
      </c>
      <c r="D1050" s="3">
        <v>1836</v>
      </c>
      <c r="E1050" s="3">
        <v>1836</v>
      </c>
      <c r="F1050" t="s">
        <v>5659</v>
      </c>
      <c r="G1050" t="s">
        <v>7</v>
      </c>
      <c r="H1050" s="3">
        <v>36.069200000000002</v>
      </c>
      <c r="I1050" t="s">
        <v>5660</v>
      </c>
      <c r="J1050" t="s">
        <v>12009</v>
      </c>
      <c r="L1050" t="s">
        <v>5661</v>
      </c>
      <c r="M1050" t="str">
        <f>"https://www.artic.edu/iiif/2/"&amp;Table9[[#This Row],[Image ID]]&amp;"/full/843,/0/default.jpg"</f>
        <v>https://www.artic.edu/iiif/2/462bae40-e526-294c-4639-a3c360dfa94e/full/843,/0/default.jpg</v>
      </c>
      <c r="N1050" s="3">
        <v>0.78600000000000003</v>
      </c>
      <c r="O1050" s="3">
        <v>7.0999999999999994E-2</v>
      </c>
      <c r="P1050" s="3">
        <v>0.71500000000000008</v>
      </c>
      <c r="Q1050" s="3">
        <v>0.83456438779830899</v>
      </c>
    </row>
    <row r="1051" spans="1:17" x14ac:dyDescent="0.45">
      <c r="A1051" s="3">
        <v>133533</v>
      </c>
      <c r="B1051" t="b">
        <v>0</v>
      </c>
      <c r="C1051" t="b">
        <v>1</v>
      </c>
      <c r="D1051" s="3">
        <v>1827</v>
      </c>
      <c r="E1051" s="3">
        <v>1827</v>
      </c>
      <c r="F1051" t="s">
        <v>3055</v>
      </c>
      <c r="G1051" t="s">
        <v>2826</v>
      </c>
      <c r="H1051" s="3">
        <v>23.090800000000002</v>
      </c>
      <c r="I1051" t="s">
        <v>1086</v>
      </c>
      <c r="J1051" t="s">
        <v>12251</v>
      </c>
      <c r="L1051" t="s">
        <v>3056</v>
      </c>
      <c r="M1051" t="str">
        <f>"https://www.artic.edu/iiif/2/"&amp;Table9[[#This Row],[Image ID]]&amp;"/full/843,/0/default.jpg"</f>
        <v>https://www.artic.edu/iiif/2/7e2690ce-5d38-39dc-a158-ed25f6c3c924/full/843,/0/default.jpg</v>
      </c>
      <c r="N1051" s="3">
        <v>0.81</v>
      </c>
      <c r="O1051" s="3">
        <v>9.5000000000000001E-2</v>
      </c>
      <c r="P1051" s="3">
        <v>0.71500000000000008</v>
      </c>
      <c r="Q1051" s="3">
        <v>0.73223227262496904</v>
      </c>
    </row>
    <row r="1052" spans="1:17" x14ac:dyDescent="0.45">
      <c r="A1052" s="3">
        <v>38934</v>
      </c>
      <c r="B1052" t="b">
        <v>0</v>
      </c>
      <c r="C1052" t="b">
        <v>1</v>
      </c>
      <c r="D1052" s="3">
        <v>1822</v>
      </c>
      <c r="E1052" s="3">
        <v>1827</v>
      </c>
      <c r="F1052" t="s">
        <v>7330</v>
      </c>
      <c r="G1052" t="s">
        <v>7331</v>
      </c>
      <c r="H1052" s="3">
        <v>20.787299999999998</v>
      </c>
      <c r="I1052" t="s">
        <v>1266</v>
      </c>
      <c r="J1052" t="s">
        <v>13279</v>
      </c>
      <c r="L1052" t="s">
        <v>7332</v>
      </c>
      <c r="M1052" t="str">
        <f>"https://www.artic.edu/iiif/2/"&amp;Table9[[#This Row],[Image ID]]&amp;"/full/843,/0/default.jpg"</f>
        <v>https://www.artic.edu/iiif/2/a36b457b-4137-dc8f-90bc-a5799a0b0c8d/full/843,/0/default.jpg</v>
      </c>
      <c r="N1052" s="3">
        <v>0.78600000000000003</v>
      </c>
      <c r="O1052" s="3">
        <v>7.0999999999999994E-2</v>
      </c>
      <c r="P1052" s="3">
        <v>0.71500000000000008</v>
      </c>
      <c r="Q1052" s="3">
        <v>0.69578510522842396</v>
      </c>
    </row>
    <row r="1053" spans="1:17" x14ac:dyDescent="0.45">
      <c r="A1053" s="3">
        <v>66381</v>
      </c>
      <c r="B1053" t="b">
        <v>0</v>
      </c>
      <c r="C1053" t="b">
        <v>0</v>
      </c>
      <c r="D1053" s="3">
        <v>1956</v>
      </c>
      <c r="E1053" s="3">
        <v>1957</v>
      </c>
      <c r="F1053" t="s">
        <v>9243</v>
      </c>
      <c r="G1053" t="s">
        <v>9244</v>
      </c>
      <c r="H1053" s="3">
        <v>14.3049</v>
      </c>
      <c r="I1053" t="s">
        <v>1091</v>
      </c>
      <c r="J1053" t="s">
        <v>11539</v>
      </c>
      <c r="L1053" t="s">
        <v>9245</v>
      </c>
      <c r="M1053" t="str">
        <f>"https://www.artic.edu/iiif/2/"&amp;Table9[[#This Row],[Image ID]]&amp;"/full/843,/0/default.jpg"</f>
        <v>https://www.artic.edu/iiif/2/270de187-b5c5-f746-d21b-c53918f5b1a8/full/843,/0/default.jpg</v>
      </c>
      <c r="N1053" s="3">
        <v>0.71399999999999997</v>
      </c>
      <c r="O1053" s="3">
        <v>0</v>
      </c>
      <c r="P1053" s="3">
        <v>0.71399999999999997</v>
      </c>
      <c r="Q1053" s="3">
        <v>0.86638164520263605</v>
      </c>
    </row>
    <row r="1054" spans="1:17" x14ac:dyDescent="0.45">
      <c r="A1054" s="3">
        <v>66958</v>
      </c>
      <c r="B1054" t="b">
        <v>0</v>
      </c>
      <c r="C1054" t="b">
        <v>0</v>
      </c>
      <c r="D1054" s="3">
        <v>1890</v>
      </c>
      <c r="E1054" s="3">
        <v>1905</v>
      </c>
      <c r="F1054" t="s">
        <v>2259</v>
      </c>
      <c r="G1054" t="s">
        <v>9327</v>
      </c>
      <c r="H1054" s="3">
        <v>19.807400000000001</v>
      </c>
      <c r="I1054" t="s">
        <v>68</v>
      </c>
      <c r="J1054" t="s">
        <v>13193</v>
      </c>
      <c r="L1054" t="s">
        <v>9328</v>
      </c>
      <c r="M1054" t="str">
        <f>"https://www.artic.edu/iiif/2/"&amp;Table9[[#This Row],[Image ID]]&amp;"/full/843,/0/default.jpg"</f>
        <v>https://www.artic.edu/iiif/2/9d0b3787-9300-717b-fafb-4f21fc6e4d43/full/843,/0/default.jpg</v>
      </c>
      <c r="N1054" s="3">
        <v>0.85699999999999998</v>
      </c>
      <c r="O1054" s="3">
        <v>0.14299999999999999</v>
      </c>
      <c r="P1054" s="3">
        <v>0.71399999999999997</v>
      </c>
      <c r="Q1054" s="3">
        <v>0.78760343790054299</v>
      </c>
    </row>
    <row r="1055" spans="1:17" x14ac:dyDescent="0.45">
      <c r="A1055" s="3">
        <v>152753</v>
      </c>
      <c r="B1055" t="b">
        <v>0</v>
      </c>
      <c r="C1055" t="b">
        <v>0</v>
      </c>
      <c r="D1055" s="3">
        <v>1957</v>
      </c>
      <c r="E1055" s="3">
        <v>1957</v>
      </c>
      <c r="F1055" t="s">
        <v>11</v>
      </c>
      <c r="G1055" t="s">
        <v>3917</v>
      </c>
      <c r="H1055" s="3">
        <v>34.328600000000002</v>
      </c>
      <c r="I1055" t="s">
        <v>3918</v>
      </c>
      <c r="J1055" t="s">
        <v>13680</v>
      </c>
      <c r="L1055" t="s">
        <v>3919</v>
      </c>
      <c r="M1055" t="str">
        <f>"https://www.artic.edu/iiif/2/"&amp;Table9[[#This Row],[Image ID]]&amp;"/full/843,/0/default.jpg"</f>
        <v>https://www.artic.edu/iiif/2/c25baf47-f09d-18ad-c1be-9e0ba16b5aef/full/843,/0/default.jpg</v>
      </c>
      <c r="N1055" s="3">
        <v>0.76200000000000001</v>
      </c>
      <c r="O1055" s="3">
        <v>4.8000000000000001E-2</v>
      </c>
      <c r="P1055" s="3">
        <v>0.71399999999999997</v>
      </c>
      <c r="Q1055" s="3">
        <v>0.76645356416702204</v>
      </c>
    </row>
    <row r="1056" spans="1:17" x14ac:dyDescent="0.45">
      <c r="A1056" s="3">
        <v>234457</v>
      </c>
      <c r="B1056" t="b">
        <v>0</v>
      </c>
      <c r="C1056" t="b">
        <v>0</v>
      </c>
      <c r="D1056" s="3">
        <v>1957</v>
      </c>
      <c r="E1056" s="3">
        <v>1957</v>
      </c>
      <c r="F1056" t="s">
        <v>6199</v>
      </c>
      <c r="G1056" t="s">
        <v>6200</v>
      </c>
      <c r="H1056" s="3">
        <v>23.857700000000001</v>
      </c>
      <c r="I1056" t="s">
        <v>4775</v>
      </c>
      <c r="J1056" t="s">
        <v>13717</v>
      </c>
      <c r="L1056" t="s">
        <v>6201</v>
      </c>
      <c r="M1056" t="str">
        <f>"https://www.artic.edu/iiif/2/"&amp;Table9[[#This Row],[Image ID]]&amp;"/full/843,/0/default.jpg"</f>
        <v>https://www.artic.edu/iiif/2/c60037ba-4f45-5cbb-2088-a36f5b94fc29/full/843,/0/default.jpg</v>
      </c>
      <c r="N1056" s="3">
        <v>0.73799999999999999</v>
      </c>
      <c r="O1056" s="3">
        <v>2.4E-2</v>
      </c>
      <c r="P1056" s="3">
        <v>0.71399999999999997</v>
      </c>
      <c r="Q1056" s="3">
        <v>0.74001806974411</v>
      </c>
    </row>
    <row r="1057" spans="1:17" x14ac:dyDescent="0.45">
      <c r="A1057" s="3">
        <v>16669</v>
      </c>
      <c r="B1057" t="b">
        <v>0</v>
      </c>
      <c r="C1057" t="b">
        <v>1</v>
      </c>
      <c r="D1057" s="3">
        <v>1901</v>
      </c>
      <c r="E1057" s="3">
        <v>1901</v>
      </c>
      <c r="F1057" t="s">
        <v>4527</v>
      </c>
      <c r="G1057" t="s">
        <v>7</v>
      </c>
      <c r="H1057" s="3">
        <v>26.867599999999999</v>
      </c>
      <c r="I1057" t="s">
        <v>1277</v>
      </c>
      <c r="J1057" t="s">
        <v>12136</v>
      </c>
      <c r="L1057" t="s">
        <v>4528</v>
      </c>
      <c r="M1057" t="str">
        <f>"https://www.artic.edu/iiif/2/"&amp;Table9[[#This Row],[Image ID]]&amp;"/full/843,/0/default.jpg"</f>
        <v>https://www.artic.edu/iiif/2/506b6f54-933c-431a-4627-24a115d238ba/full/843,/0/default.jpg</v>
      </c>
      <c r="N1057" s="3">
        <v>0.73799999999999999</v>
      </c>
      <c r="O1057" s="3">
        <v>2.4E-2</v>
      </c>
      <c r="P1057" s="3">
        <v>0.71399999999999997</v>
      </c>
      <c r="Q1057" s="3">
        <v>0.75214117765426602</v>
      </c>
    </row>
    <row r="1058" spans="1:17" x14ac:dyDescent="0.45">
      <c r="A1058" s="3">
        <v>38940</v>
      </c>
      <c r="B1058" t="b">
        <v>0</v>
      </c>
      <c r="C1058" t="b">
        <v>1</v>
      </c>
      <c r="D1058" s="3">
        <v>1776</v>
      </c>
      <c r="E1058" s="3">
        <v>1827</v>
      </c>
      <c r="F1058" t="s">
        <v>7335</v>
      </c>
      <c r="G1058" t="s">
        <v>7336</v>
      </c>
      <c r="H1058" s="3">
        <v>24.0092</v>
      </c>
      <c r="I1058" t="s">
        <v>1266</v>
      </c>
      <c r="J1058" t="s">
        <v>12246</v>
      </c>
      <c r="L1058" t="s">
        <v>7337</v>
      </c>
      <c r="M1058" t="str">
        <f>"https://www.artic.edu/iiif/2/"&amp;Table9[[#This Row],[Image ID]]&amp;"/full/843,/0/default.jpg"</f>
        <v>https://www.artic.edu/iiif/2/569da606-059b-e845-b8d4-98c770951059/full/843,/0/default.jpg</v>
      </c>
      <c r="N1058" s="3">
        <v>0.88100000000000001</v>
      </c>
      <c r="O1058" s="3">
        <v>0.16700000000000001</v>
      </c>
      <c r="P1058" s="3">
        <v>0.71399999999999997</v>
      </c>
      <c r="Q1058" s="3">
        <v>0.71392041444778398</v>
      </c>
    </row>
    <row r="1059" spans="1:17" x14ac:dyDescent="0.45">
      <c r="A1059" s="3">
        <v>57148</v>
      </c>
      <c r="B1059" t="b">
        <v>0</v>
      </c>
      <c r="C1059" t="b">
        <v>1</v>
      </c>
      <c r="D1059" s="3">
        <v>1770</v>
      </c>
      <c r="E1059" s="3">
        <v>1770</v>
      </c>
      <c r="F1059" t="s">
        <v>8472</v>
      </c>
      <c r="G1059" t="s">
        <v>75</v>
      </c>
      <c r="H1059" s="3">
        <v>35.9587</v>
      </c>
      <c r="I1059" t="s">
        <v>156</v>
      </c>
      <c r="J1059" t="s">
        <v>12599</v>
      </c>
      <c r="L1059" t="s">
        <v>8473</v>
      </c>
      <c r="M1059" t="str">
        <f>"https://www.artic.edu/iiif/2/"&amp;Table9[[#This Row],[Image ID]]&amp;"/full/843,/0/default.jpg"</f>
        <v>https://www.artic.edu/iiif/2/6fb6c48d-5877-1077-0f9d-6a17cee3c4f8/full/843,/0/default.jpg</v>
      </c>
      <c r="N1059" s="3">
        <v>0.85699999999999998</v>
      </c>
      <c r="O1059" s="3">
        <v>0.14299999999999999</v>
      </c>
      <c r="P1059" s="3">
        <v>0.71399999999999997</v>
      </c>
      <c r="Q1059" s="3">
        <v>0.79078978300094604</v>
      </c>
    </row>
    <row r="1060" spans="1:17" x14ac:dyDescent="0.45">
      <c r="A1060" s="3">
        <v>16554</v>
      </c>
      <c r="B1060" t="b">
        <v>0</v>
      </c>
      <c r="C1060" t="b">
        <v>1</v>
      </c>
      <c r="D1060" s="3">
        <v>1873</v>
      </c>
      <c r="E1060" s="3">
        <v>1873</v>
      </c>
      <c r="F1060" t="s">
        <v>4483</v>
      </c>
      <c r="G1060" t="s">
        <v>7</v>
      </c>
      <c r="H1060" s="3">
        <v>25.058800000000002</v>
      </c>
      <c r="I1060" t="s">
        <v>43</v>
      </c>
      <c r="J1060" t="s">
        <v>12777</v>
      </c>
      <c r="K1060" s="5" t="s">
        <v>9</v>
      </c>
      <c r="L1060" t="s">
        <v>4484</v>
      </c>
      <c r="M1060" t="str">
        <f>"https://www.artic.edu/iiif/2/"&amp;Table9[[#This Row],[Image ID]]&amp;"/full/843,/0/default.jpg"</f>
        <v>https://www.artic.edu/iiif/2/7d533ed4-ff54-fa2c-64f4-2b16bfbb5880/full/843,/0/default.jpg</v>
      </c>
      <c r="N1060" s="3">
        <v>0.76200000000000001</v>
      </c>
      <c r="O1060" s="3">
        <v>4.8000000000000001E-2</v>
      </c>
      <c r="P1060" s="3">
        <v>0.71399999999999997</v>
      </c>
      <c r="Q1060" s="3">
        <v>0.59011727571487405</v>
      </c>
    </row>
    <row r="1061" spans="1:17" ht="99.75" x14ac:dyDescent="0.45">
      <c r="A1061" s="3">
        <v>187047</v>
      </c>
      <c r="B1061" t="b">
        <v>0</v>
      </c>
      <c r="C1061" t="b">
        <v>1</v>
      </c>
      <c r="D1061" s="3">
        <v>1832</v>
      </c>
      <c r="E1061" s="3">
        <v>1832</v>
      </c>
      <c r="F1061" t="s">
        <v>5091</v>
      </c>
      <c r="G1061" t="s">
        <v>5092</v>
      </c>
      <c r="H1061" s="3">
        <v>25.245899999999999</v>
      </c>
      <c r="I1061" t="s">
        <v>5093</v>
      </c>
      <c r="J1061" s="1" t="s">
        <v>13850</v>
      </c>
      <c r="K1061" s="5" t="s">
        <v>130</v>
      </c>
      <c r="L1061" t="s">
        <v>5094</v>
      </c>
      <c r="M1061" t="str">
        <f>"https://www.artic.edu/iiif/2/"&amp;Table9[[#This Row],[Image ID]]&amp;"/full/843,/0/default.jpg"</f>
        <v>https://www.artic.edu/iiif/2/d0708a7d-6b18-3ce7-6a28-070ef9a1b00f/full/843,/0/default.jpg</v>
      </c>
      <c r="N1061" s="3">
        <v>0.76200000000000001</v>
      </c>
      <c r="O1061" s="3">
        <v>4.8000000000000001E-2</v>
      </c>
      <c r="P1061" s="3">
        <v>0.71399999999999997</v>
      </c>
      <c r="Q1061" s="3">
        <v>0.90382933616638095</v>
      </c>
    </row>
    <row r="1062" spans="1:17" x14ac:dyDescent="0.45">
      <c r="A1062" s="3">
        <v>878</v>
      </c>
      <c r="B1062" t="b">
        <v>0</v>
      </c>
      <c r="C1062" t="b">
        <v>1</v>
      </c>
      <c r="D1062" s="3">
        <v>1868</v>
      </c>
      <c r="E1062" s="3">
        <v>1870</v>
      </c>
      <c r="F1062" t="s">
        <v>10404</v>
      </c>
      <c r="G1062" t="s">
        <v>7</v>
      </c>
      <c r="H1062" s="3">
        <v>21.711400000000001</v>
      </c>
      <c r="I1062" t="s">
        <v>1274</v>
      </c>
      <c r="J1062" t="s">
        <v>14315</v>
      </c>
      <c r="L1062" t="s">
        <v>10405</v>
      </c>
      <c r="M1062" t="str">
        <f>"https://www.artic.edu/iiif/2/"&amp;Table9[[#This Row],[Image ID]]&amp;"/full/843,/0/default.jpg"</f>
        <v>https://www.artic.edu/iiif/2/f024968c-3cb1-f1cc-b1af-2a1d40b7e193/full/843,/0/default.jpg</v>
      </c>
      <c r="N1062" s="3">
        <v>0.73799999999999999</v>
      </c>
      <c r="O1062" s="3">
        <v>2.4E-2</v>
      </c>
      <c r="P1062" s="3">
        <v>0.71399999999999997</v>
      </c>
      <c r="Q1062" s="3">
        <v>0.90616363286972001</v>
      </c>
    </row>
    <row r="1063" spans="1:17" x14ac:dyDescent="0.45">
      <c r="A1063" s="3">
        <v>187050</v>
      </c>
      <c r="B1063" t="b">
        <v>0</v>
      </c>
      <c r="C1063" t="b">
        <v>0</v>
      </c>
      <c r="D1063" s="3">
        <v>1855</v>
      </c>
      <c r="E1063" s="3">
        <v>1921</v>
      </c>
      <c r="F1063" t="s">
        <v>5095</v>
      </c>
      <c r="G1063" t="s">
        <v>5096</v>
      </c>
      <c r="H1063" s="3">
        <v>13.8024</v>
      </c>
      <c r="I1063" t="s">
        <v>5097</v>
      </c>
      <c r="J1063" t="s">
        <v>13817</v>
      </c>
      <c r="K1063" s="5" t="s">
        <v>2418</v>
      </c>
      <c r="L1063" t="s">
        <v>5098</v>
      </c>
      <c r="M1063" t="str">
        <f>"https://www.artic.edu/iiif/2/"&amp;Table9[[#This Row],[Image ID]]&amp;"/full/843,/0/default.jpg"</f>
        <v>https://www.artic.edu/iiif/2/cd74179e-f331-ebfa-5fa5-ef505d81af0e/full/843,/0/default.jpg</v>
      </c>
      <c r="N1063" s="3">
        <v>0.80500000000000005</v>
      </c>
      <c r="O1063" s="3">
        <v>9.5000000000000001E-2</v>
      </c>
      <c r="P1063" s="3">
        <v>0.71000000000000008</v>
      </c>
      <c r="Q1063" s="3">
        <v>0.85430145263671797</v>
      </c>
    </row>
    <row r="1064" spans="1:17" x14ac:dyDescent="0.45">
      <c r="A1064" s="3">
        <v>8606</v>
      </c>
      <c r="B1064" t="b">
        <v>0</v>
      </c>
      <c r="C1064" t="b">
        <v>1</v>
      </c>
      <c r="D1064" s="3">
        <v>1650</v>
      </c>
      <c r="E1064" s="3">
        <v>1660</v>
      </c>
      <c r="F1064" t="s">
        <v>10314</v>
      </c>
      <c r="G1064" t="s">
        <v>7</v>
      </c>
      <c r="H1064" s="3">
        <v>12.4862</v>
      </c>
      <c r="I1064" t="s">
        <v>10315</v>
      </c>
      <c r="J1064" t="s">
        <v>12965</v>
      </c>
      <c r="L1064" t="s">
        <v>10316</v>
      </c>
      <c r="M1064" t="str">
        <f>"https://www.artic.edu/iiif/2/"&amp;Table9[[#This Row],[Image ID]]&amp;"/full/843,/0/default.jpg"</f>
        <v>https://www.artic.edu/iiif/2/8b728f79-4937-4a98-5552-a3419cd6358f/full/843,/0/default.jpg</v>
      </c>
      <c r="N1064" s="3">
        <v>0.80500000000000005</v>
      </c>
      <c r="O1064" s="3">
        <v>9.5000000000000001E-2</v>
      </c>
      <c r="P1064" s="3">
        <v>0.71000000000000008</v>
      </c>
      <c r="Q1064" s="3">
        <v>0.751811742782592</v>
      </c>
    </row>
    <row r="1065" spans="1:17" x14ac:dyDescent="0.45">
      <c r="A1065" s="3">
        <v>233400</v>
      </c>
      <c r="B1065" t="b">
        <v>0</v>
      </c>
      <c r="C1065" t="b">
        <v>0</v>
      </c>
      <c r="D1065" s="3">
        <v>1868</v>
      </c>
      <c r="E1065" s="3">
        <v>1868</v>
      </c>
      <c r="F1065" t="s">
        <v>6177</v>
      </c>
      <c r="G1065" t="s">
        <v>238</v>
      </c>
      <c r="H1065" s="3">
        <v>47.376199999999997</v>
      </c>
      <c r="I1065" t="s">
        <v>3707</v>
      </c>
      <c r="J1065" t="s">
        <v>12708</v>
      </c>
      <c r="L1065" t="s">
        <v>6178</v>
      </c>
      <c r="M1065" t="str">
        <f>"https://www.artic.edu/iiif/2/"&amp;Table9[[#This Row],[Image ID]]&amp;"/full/843,/0/default.jpg"</f>
        <v>https://www.artic.edu/iiif/2/779ccbb2-bac7-3ddf-f380-b3e5622f9250/full/843,/0/default.jpg</v>
      </c>
      <c r="N1065" s="3">
        <v>0.78</v>
      </c>
      <c r="O1065" s="3">
        <v>7.0999999999999994E-2</v>
      </c>
      <c r="P1065" s="3">
        <v>0.70900000000000007</v>
      </c>
      <c r="Q1065" s="3">
        <v>0.91456073522567705</v>
      </c>
    </row>
    <row r="1066" spans="1:17" x14ac:dyDescent="0.45">
      <c r="A1066" s="3">
        <v>63182</v>
      </c>
      <c r="B1066" t="b">
        <v>0</v>
      </c>
      <c r="C1066" t="b">
        <v>0</v>
      </c>
      <c r="D1066" s="3">
        <v>1974</v>
      </c>
      <c r="E1066" s="3">
        <v>1974</v>
      </c>
      <c r="F1066" t="s">
        <v>8927</v>
      </c>
      <c r="G1066" t="s">
        <v>8928</v>
      </c>
      <c r="H1066" s="3">
        <v>55.058599999999998</v>
      </c>
      <c r="I1066" t="s">
        <v>3825</v>
      </c>
      <c r="J1066" t="s">
        <v>8930</v>
      </c>
      <c r="L1066" t="s">
        <v>8929</v>
      </c>
      <c r="M1066" t="str">
        <f>"https://www.artic.edu/iiif/2/"&amp;Table9[[#This Row],[Image ID]]&amp;"/full/843,/0/default.jpg"</f>
        <v>https://www.artic.edu/iiif/2/86146d96-7d4e-cf48-1cd7-16638b1df176/full/843,/0/default.jpg</v>
      </c>
      <c r="N1066" s="3">
        <v>0.78</v>
      </c>
      <c r="O1066" s="3">
        <v>7.0999999999999994E-2</v>
      </c>
      <c r="P1066" s="3">
        <v>0.70900000000000007</v>
      </c>
      <c r="Q1066" s="3">
        <v>0.87841105461120605</v>
      </c>
    </row>
    <row r="1067" spans="1:17" x14ac:dyDescent="0.45">
      <c r="A1067" s="3">
        <v>98025</v>
      </c>
      <c r="B1067" t="b">
        <v>0</v>
      </c>
      <c r="C1067" t="b">
        <v>0</v>
      </c>
      <c r="D1067" s="3">
        <v>1968</v>
      </c>
      <c r="E1067" s="3">
        <v>1972</v>
      </c>
      <c r="F1067" t="s">
        <v>615</v>
      </c>
      <c r="G1067" t="s">
        <v>10904</v>
      </c>
      <c r="H1067" s="3">
        <v>85.916300000000007</v>
      </c>
      <c r="I1067" t="s">
        <v>612</v>
      </c>
      <c r="J1067" t="s">
        <v>11240</v>
      </c>
      <c r="L1067" t="s">
        <v>10905</v>
      </c>
      <c r="M1067" t="str">
        <f>"https://www.artic.edu/iiif/2/"&amp;Table9[[#This Row],[Image ID]]&amp;"/full/843,/0/default.jpg"</f>
        <v>https://www.artic.edu/iiif/2/13973655-60e9-8498-1c96-4795da581a45/full/843,/0/default.jpg</v>
      </c>
      <c r="N1067" s="3">
        <v>0.73199999999999998</v>
      </c>
      <c r="O1067" s="3">
        <v>2.4E-2</v>
      </c>
      <c r="P1067" s="3">
        <v>0.70799999999999996</v>
      </c>
      <c r="Q1067" s="3">
        <v>0.83109331130981401</v>
      </c>
    </row>
    <row r="1068" spans="1:17" x14ac:dyDescent="0.45">
      <c r="A1068" s="3">
        <v>20554</v>
      </c>
      <c r="B1068" t="b">
        <v>0</v>
      </c>
      <c r="C1068" t="b">
        <v>0</v>
      </c>
      <c r="D1068" s="3">
        <v>1927</v>
      </c>
      <c r="E1068" s="3">
        <v>1927</v>
      </c>
      <c r="F1068" t="s">
        <v>5467</v>
      </c>
      <c r="G1068" t="s">
        <v>7</v>
      </c>
      <c r="H1068" s="3">
        <v>29.196000000000002</v>
      </c>
      <c r="I1068" t="s">
        <v>999</v>
      </c>
      <c r="J1068" t="s">
        <v>11289</v>
      </c>
      <c r="L1068" t="s">
        <v>5468</v>
      </c>
      <c r="M1068" t="str">
        <f>"https://www.artic.edu/iiif/2/"&amp;Table9[[#This Row],[Image ID]]&amp;"/full/843,/0/default.jpg"</f>
        <v>https://www.artic.edu/iiif/2/16f8be27-b469-d7f2-954e-7dfc2ebdb93d/full/843,/0/default.jpg</v>
      </c>
      <c r="N1068" s="3">
        <v>0.73199999999999998</v>
      </c>
      <c r="O1068" s="3">
        <v>2.4E-2</v>
      </c>
      <c r="P1068" s="3">
        <v>0.70799999999999996</v>
      </c>
      <c r="Q1068" s="3">
        <v>0.89536201953887895</v>
      </c>
    </row>
    <row r="1069" spans="1:17" x14ac:dyDescent="0.45">
      <c r="A1069" s="3">
        <v>257310</v>
      </c>
      <c r="B1069" t="b">
        <v>0</v>
      </c>
      <c r="C1069" t="b">
        <v>0</v>
      </c>
      <c r="D1069" s="3">
        <v>1944</v>
      </c>
      <c r="E1069" s="3">
        <v>1944</v>
      </c>
      <c r="F1069" t="s">
        <v>6548</v>
      </c>
      <c r="G1069" t="s">
        <v>6549</v>
      </c>
      <c r="H1069" s="3">
        <v>43.7376</v>
      </c>
      <c r="I1069" t="s">
        <v>6550</v>
      </c>
      <c r="J1069" t="s">
        <v>6552</v>
      </c>
      <c r="K1069" s="5" t="s">
        <v>2</v>
      </c>
      <c r="L1069" t="s">
        <v>6551</v>
      </c>
      <c r="M1069" t="str">
        <f>"https://www.artic.edu/iiif/2/"&amp;Table9[[#This Row],[Image ID]]&amp;"/full/843,/0/default.jpg"</f>
        <v>https://www.artic.edu/iiif/2/254ed3d4-db9b-fa80-6cc4-46eab289dd01/full/843,/0/default.jpg</v>
      </c>
      <c r="N1069" s="3">
        <v>0.73199999999999998</v>
      </c>
      <c r="O1069" s="3">
        <v>2.4E-2</v>
      </c>
      <c r="P1069" s="3">
        <v>0.70799999999999996</v>
      </c>
      <c r="Q1069" s="3">
        <v>0.67299365997314398</v>
      </c>
    </row>
    <row r="1070" spans="1:17" x14ac:dyDescent="0.45">
      <c r="A1070" s="3">
        <v>237883</v>
      </c>
      <c r="B1070" t="b">
        <v>0</v>
      </c>
      <c r="C1070" t="b">
        <v>0</v>
      </c>
      <c r="D1070" s="3">
        <v>1953</v>
      </c>
      <c r="E1070" s="3">
        <v>1953</v>
      </c>
      <c r="F1070" t="s">
        <v>11</v>
      </c>
      <c r="G1070" t="s">
        <v>6306</v>
      </c>
      <c r="H1070" s="3">
        <v>81.208399999999997</v>
      </c>
      <c r="I1070" t="s">
        <v>6307</v>
      </c>
      <c r="J1070" t="s">
        <v>11852</v>
      </c>
      <c r="L1070" t="s">
        <v>6308</v>
      </c>
      <c r="M1070" t="str">
        <f>"https://www.artic.edu/iiif/2/"&amp;Table9[[#This Row],[Image ID]]&amp;"/full/843,/0/default.jpg"</f>
        <v>https://www.artic.edu/iiif/2/3bbd01f0-76e3-b34d-005b-09366fbc1479/full/843,/0/default.jpg</v>
      </c>
      <c r="N1070" s="3">
        <v>0.73199999999999998</v>
      </c>
      <c r="O1070" s="3">
        <v>2.4E-2</v>
      </c>
      <c r="P1070" s="3">
        <v>0.70799999999999996</v>
      </c>
      <c r="Q1070" s="3">
        <v>0.90247797966003396</v>
      </c>
    </row>
    <row r="1071" spans="1:17" x14ac:dyDescent="0.45">
      <c r="A1071" s="3">
        <v>198558</v>
      </c>
      <c r="B1071" t="b">
        <v>0</v>
      </c>
      <c r="C1071" t="b">
        <v>0</v>
      </c>
      <c r="D1071" s="3">
        <v>2008</v>
      </c>
      <c r="E1071" s="3">
        <v>2008</v>
      </c>
      <c r="F1071" t="s">
        <v>5295</v>
      </c>
      <c r="G1071" t="s">
        <v>7</v>
      </c>
      <c r="H1071" s="3">
        <v>59.341299999999997</v>
      </c>
      <c r="I1071" t="s">
        <v>4741</v>
      </c>
      <c r="J1071" t="s">
        <v>12678</v>
      </c>
      <c r="K1071" s="5" t="s">
        <v>15</v>
      </c>
      <c r="L1071" t="s">
        <v>5296</v>
      </c>
      <c r="M1071" t="str">
        <f>"https://www.artic.edu/iiif/2/"&amp;Table9[[#This Row],[Image ID]]&amp;"/full/843,/0/default.jpg"</f>
        <v>https://www.artic.edu/iiif/2/754b8f4c-41c1-2d41-e69a-a6c6c044e379/full/843,/0/default.jpg</v>
      </c>
      <c r="N1071" s="3">
        <v>0.75600000000000001</v>
      </c>
      <c r="O1071" s="3">
        <v>4.8000000000000001E-2</v>
      </c>
      <c r="P1071" s="3">
        <v>0.70799999999999996</v>
      </c>
      <c r="Q1071" s="3">
        <v>0.64986038208007801</v>
      </c>
    </row>
    <row r="1072" spans="1:17" x14ac:dyDescent="0.45">
      <c r="A1072" s="3">
        <v>65930</v>
      </c>
      <c r="B1072" t="b">
        <v>0</v>
      </c>
      <c r="C1072" t="b">
        <v>0</v>
      </c>
      <c r="D1072" s="3">
        <v>1917</v>
      </c>
      <c r="E1072" s="3">
        <v>1917</v>
      </c>
      <c r="F1072" t="s">
        <v>9102</v>
      </c>
      <c r="G1072" t="s">
        <v>2611</v>
      </c>
      <c r="H1072" s="3">
        <v>19.933399999999999</v>
      </c>
      <c r="I1072" t="s">
        <v>1019</v>
      </c>
      <c r="J1072" t="s">
        <v>13418</v>
      </c>
      <c r="K1072" s="5" t="s">
        <v>45</v>
      </c>
      <c r="L1072" t="s">
        <v>9103</v>
      </c>
      <c r="M1072" t="str">
        <f>"https://www.artic.edu/iiif/2/"&amp;Table9[[#This Row],[Image ID]]&amp;"/full/843,/0/default.jpg"</f>
        <v>https://www.artic.edu/iiif/2/adc650d5-4de1-6a0b-f2b1-53f0cd941cf6/full/843,/0/default.jpg</v>
      </c>
      <c r="N1072" s="3">
        <v>0.73199999999999998</v>
      </c>
      <c r="O1072" s="3">
        <v>2.4E-2</v>
      </c>
      <c r="P1072" s="3">
        <v>0.70799999999999996</v>
      </c>
      <c r="Q1072" s="3">
        <v>0.86674737930297796</v>
      </c>
    </row>
    <row r="1073" spans="1:17" x14ac:dyDescent="0.45">
      <c r="A1073" s="3">
        <v>81026</v>
      </c>
      <c r="B1073" t="b">
        <v>0</v>
      </c>
      <c r="C1073" t="b">
        <v>0</v>
      </c>
      <c r="D1073" s="3">
        <v>1899</v>
      </c>
      <c r="E1073" s="3">
        <v>1922</v>
      </c>
      <c r="F1073" t="s">
        <v>10067</v>
      </c>
      <c r="G1073" t="s">
        <v>10068</v>
      </c>
      <c r="H1073" s="3">
        <v>22.9438</v>
      </c>
      <c r="I1073" t="s">
        <v>9926</v>
      </c>
      <c r="J1073" t="s">
        <v>13611</v>
      </c>
      <c r="L1073" t="s">
        <v>10069</v>
      </c>
      <c r="M1073" t="str">
        <f>"https://www.artic.edu/iiif/2/"&amp;Table9[[#This Row],[Image ID]]&amp;"/full/843,/0/default.jpg"</f>
        <v>https://www.artic.edu/iiif/2/bd921120-b0d7-d1c2-d6c0-2bd4e35398f9/full/843,/0/default.jpg</v>
      </c>
      <c r="N1073" s="3">
        <v>0.73199999999999998</v>
      </c>
      <c r="O1073" s="3">
        <v>2.4E-2</v>
      </c>
      <c r="P1073" s="3">
        <v>0.70799999999999996</v>
      </c>
      <c r="Q1073" s="3">
        <v>0.54014199972152699</v>
      </c>
    </row>
    <row r="1074" spans="1:17" x14ac:dyDescent="0.45">
      <c r="A1074" s="3">
        <v>151347</v>
      </c>
      <c r="B1074" t="b">
        <v>0</v>
      </c>
      <c r="C1074" t="b">
        <v>0</v>
      </c>
      <c r="D1074" s="3">
        <v>1991</v>
      </c>
      <c r="E1074" s="3">
        <v>1991</v>
      </c>
      <c r="F1074" t="s">
        <v>3827</v>
      </c>
      <c r="G1074" t="s">
        <v>1536</v>
      </c>
      <c r="H1074" s="3">
        <v>68.741399999999999</v>
      </c>
      <c r="I1074" t="s">
        <v>375</v>
      </c>
      <c r="J1074" t="s">
        <v>13906</v>
      </c>
      <c r="L1074" t="s">
        <v>3828</v>
      </c>
      <c r="M1074" t="str">
        <f>"https://www.artic.edu/iiif/2/"&amp;Table9[[#This Row],[Image ID]]&amp;"/full/843,/0/default.jpg"</f>
        <v>https://www.artic.edu/iiif/2/d51e6787-2de1-245e-bdd1-3e17caaa1f7c/full/843,/0/default.jpg</v>
      </c>
      <c r="N1074" s="3">
        <v>0.73199999999999998</v>
      </c>
      <c r="O1074" s="3">
        <v>2.4E-2</v>
      </c>
      <c r="P1074" s="3">
        <v>0.70799999999999996</v>
      </c>
      <c r="Q1074" s="3">
        <v>0.88121598958969105</v>
      </c>
    </row>
    <row r="1075" spans="1:17" x14ac:dyDescent="0.45">
      <c r="A1075" s="3">
        <v>111635</v>
      </c>
      <c r="B1075" t="b">
        <v>0</v>
      </c>
      <c r="C1075" t="b">
        <v>0</v>
      </c>
      <c r="D1075" s="3">
        <v>1932</v>
      </c>
      <c r="E1075" s="3">
        <v>1932</v>
      </c>
      <c r="F1075" t="s">
        <v>503</v>
      </c>
      <c r="G1075" t="s">
        <v>7</v>
      </c>
      <c r="H1075" s="3">
        <v>26.3096</v>
      </c>
      <c r="I1075" t="s">
        <v>1176</v>
      </c>
      <c r="J1075" t="s">
        <v>13963</v>
      </c>
      <c r="K1075" s="5" t="s">
        <v>45</v>
      </c>
      <c r="L1075" t="s">
        <v>1177</v>
      </c>
      <c r="M1075" t="str">
        <f>"https://www.artic.edu/iiif/2/"&amp;Table9[[#This Row],[Image ID]]&amp;"/full/843,/0/default.jpg"</f>
        <v>https://www.artic.edu/iiif/2/d8d2c353-396b-058d-bd27-aea2b2e040dc/full/843,/0/default.jpg</v>
      </c>
      <c r="N1075" s="3">
        <v>0.73199999999999998</v>
      </c>
      <c r="O1075" s="3">
        <v>2.4E-2</v>
      </c>
      <c r="P1075" s="3">
        <v>0.70799999999999996</v>
      </c>
      <c r="Q1075" s="3">
        <v>0.65646839141845703</v>
      </c>
    </row>
    <row r="1076" spans="1:17" x14ac:dyDescent="0.45">
      <c r="A1076" s="3">
        <v>115294</v>
      </c>
      <c r="B1076" t="b">
        <v>0</v>
      </c>
      <c r="C1076" t="b">
        <v>1</v>
      </c>
      <c r="D1076" s="3">
        <v>1771</v>
      </c>
      <c r="E1076" s="3">
        <v>1801</v>
      </c>
      <c r="F1076" t="s">
        <v>1903</v>
      </c>
      <c r="G1076" t="s">
        <v>1904</v>
      </c>
      <c r="H1076" s="3">
        <v>21.736799999999999</v>
      </c>
      <c r="I1076" t="s">
        <v>1905</v>
      </c>
      <c r="J1076" t="s">
        <v>13795</v>
      </c>
      <c r="L1076" t="s">
        <v>1906</v>
      </c>
      <c r="M1076" t="str">
        <f>"https://www.artic.edu/iiif/2/"&amp;Table9[[#This Row],[Image ID]]&amp;"/full/843,/0/default.jpg"</f>
        <v>https://www.artic.edu/iiif/2/cb9e0243-a0c7-c697-8f01-2ea2b279f99c/full/843,/0/default.jpg</v>
      </c>
      <c r="N1076" s="3">
        <v>0.85399999999999998</v>
      </c>
      <c r="O1076" s="3">
        <v>0.14599999999999999</v>
      </c>
      <c r="P1076" s="3">
        <v>0.70799999999999996</v>
      </c>
      <c r="Q1076" s="3">
        <v>0.71755385398864702</v>
      </c>
    </row>
    <row r="1077" spans="1:17" x14ac:dyDescent="0.45">
      <c r="A1077" s="3">
        <v>115279</v>
      </c>
      <c r="B1077" t="b">
        <v>0</v>
      </c>
      <c r="C1077" t="b">
        <v>1</v>
      </c>
      <c r="D1077" s="3">
        <v>1789</v>
      </c>
      <c r="E1077" s="3">
        <v>1844</v>
      </c>
      <c r="F1077" t="s">
        <v>1901</v>
      </c>
      <c r="G1077" t="s">
        <v>164</v>
      </c>
      <c r="H1077" s="3">
        <v>42.162999999999997</v>
      </c>
      <c r="I1077" t="s">
        <v>1668</v>
      </c>
      <c r="J1077" t="s">
        <v>13851</v>
      </c>
      <c r="L1077" t="s">
        <v>1902</v>
      </c>
      <c r="M1077" t="str">
        <f>"https://www.artic.edu/iiif/2/"&amp;Table9[[#This Row],[Image ID]]&amp;"/full/843,/0/default.jpg"</f>
        <v>https://www.artic.edu/iiif/2/d07d2dd5-bec6-7e06-558f-8804c76ba0a6/full/843,/0/default.jpg</v>
      </c>
      <c r="N1077" s="3">
        <v>0.73199999999999998</v>
      </c>
      <c r="O1077" s="3">
        <v>2.4E-2</v>
      </c>
      <c r="P1077" s="3">
        <v>0.70799999999999996</v>
      </c>
      <c r="Q1077" s="3">
        <v>0.42445310950279203</v>
      </c>
    </row>
    <row r="1078" spans="1:17" x14ac:dyDescent="0.45">
      <c r="A1078" s="3">
        <v>129693</v>
      </c>
      <c r="B1078" t="b">
        <v>0</v>
      </c>
      <c r="C1078" t="b">
        <v>0</v>
      </c>
      <c r="D1078" s="3">
        <v>1941</v>
      </c>
      <c r="E1078" s="3">
        <v>1941</v>
      </c>
      <c r="F1078" t="s">
        <v>2926</v>
      </c>
      <c r="G1078" t="s">
        <v>2892</v>
      </c>
      <c r="H1078" s="3">
        <v>44.325099999999999</v>
      </c>
      <c r="I1078" t="s">
        <v>14549</v>
      </c>
      <c r="J1078" t="s">
        <v>10990</v>
      </c>
      <c r="L1078" t="s">
        <v>2927</v>
      </c>
      <c r="M1078" t="str">
        <f>"https://www.artic.edu/iiif/2/"&amp;Table9[[#This Row],[Image ID]]&amp;"/full/843,/0/default.jpg"</f>
        <v>https://www.artic.edu/iiif/2/014c187b-7317-c4f2-a056-976a67928f6c/full/843,/0/default.jpg</v>
      </c>
      <c r="N1078" s="3">
        <v>0.90200000000000002</v>
      </c>
      <c r="O1078" s="3">
        <v>0.19500000000000001</v>
      </c>
      <c r="P1078" s="3">
        <v>0.70700000000000007</v>
      </c>
      <c r="Q1078" s="3">
        <v>0.86578679084777799</v>
      </c>
    </row>
    <row r="1079" spans="1:17" x14ac:dyDescent="0.45">
      <c r="A1079" s="3">
        <v>114724</v>
      </c>
      <c r="B1079" t="b">
        <v>0</v>
      </c>
      <c r="C1079" t="b">
        <v>0</v>
      </c>
      <c r="D1079" s="3">
        <v>1890</v>
      </c>
      <c r="E1079" s="3">
        <v>1910</v>
      </c>
      <c r="F1079" t="s">
        <v>1706</v>
      </c>
      <c r="G1079" t="s">
        <v>1707</v>
      </c>
      <c r="H1079" s="3">
        <v>28.391300000000001</v>
      </c>
      <c r="I1079" t="s">
        <v>1708</v>
      </c>
      <c r="J1079" t="s">
        <v>11141</v>
      </c>
      <c r="L1079" t="s">
        <v>1709</v>
      </c>
      <c r="M1079" t="str">
        <f>"https://www.artic.edu/iiif/2/"&amp;Table9[[#This Row],[Image ID]]&amp;"/full/843,/0/default.jpg"</f>
        <v>https://www.artic.edu/iiif/2/0caccc20-46c3-e207-5226-48eb2105f27c/full/843,/0/default.jpg</v>
      </c>
      <c r="N1079" s="3">
        <v>0.78</v>
      </c>
      <c r="O1079" s="3">
        <v>7.2999999999999995E-2</v>
      </c>
      <c r="P1079" s="3">
        <v>0.70700000000000007</v>
      </c>
      <c r="Q1079" s="3">
        <v>0.63079041242599398</v>
      </c>
    </row>
    <row r="1080" spans="1:17" x14ac:dyDescent="0.45">
      <c r="A1080" s="3">
        <v>207003</v>
      </c>
      <c r="B1080" t="b">
        <v>0</v>
      </c>
      <c r="C1080" t="b">
        <v>0</v>
      </c>
      <c r="D1080" s="3">
        <v>1973</v>
      </c>
      <c r="E1080" s="3">
        <v>1973</v>
      </c>
      <c r="F1080" t="s">
        <v>5498</v>
      </c>
      <c r="G1080" t="s">
        <v>1769</v>
      </c>
      <c r="H1080" s="3">
        <v>14.581899999999999</v>
      </c>
      <c r="I1080" t="s">
        <v>3521</v>
      </c>
      <c r="J1080" t="s">
        <v>11154</v>
      </c>
      <c r="L1080" t="s">
        <v>5499</v>
      </c>
      <c r="M1080" t="str">
        <f>"https://www.artic.edu/iiif/2/"&amp;Table9[[#This Row],[Image ID]]&amp;"/full/843,/0/default.jpg"</f>
        <v>https://www.artic.edu/iiif/2/0db16356-9738-8be5-d383-598bfb8d6efe/full/843,/0/default.jpg</v>
      </c>
      <c r="N1080" s="3">
        <v>0.78</v>
      </c>
      <c r="O1080" s="3">
        <v>7.2999999999999995E-2</v>
      </c>
      <c r="P1080" s="3">
        <v>0.70700000000000007</v>
      </c>
      <c r="Q1080" s="3">
        <v>0.86329615116119296</v>
      </c>
    </row>
    <row r="1081" spans="1:17" x14ac:dyDescent="0.45">
      <c r="A1081" s="3">
        <v>108677</v>
      </c>
      <c r="B1081" t="b">
        <v>0</v>
      </c>
      <c r="C1081" t="b">
        <v>0</v>
      </c>
      <c r="D1081" s="3">
        <v>1972</v>
      </c>
      <c r="E1081" s="3">
        <v>1973</v>
      </c>
      <c r="F1081" t="s">
        <v>720</v>
      </c>
      <c r="G1081" t="s">
        <v>721</v>
      </c>
      <c r="H1081" s="3">
        <v>54.433100000000003</v>
      </c>
      <c r="I1081" t="s">
        <v>474</v>
      </c>
      <c r="J1081" t="s">
        <v>11341</v>
      </c>
      <c r="K1081" s="5" t="s">
        <v>149</v>
      </c>
      <c r="L1081" t="s">
        <v>722</v>
      </c>
      <c r="M1081" t="str">
        <f>"https://www.artic.edu/iiif/2/"&amp;Table9[[#This Row],[Image ID]]&amp;"/full/843,/0/default.jpg"</f>
        <v>https://www.artic.edu/iiif/2/1a9d79e5-ad71-0829-ff98-dbb55e43ce34/full/843,/0/default.jpg</v>
      </c>
      <c r="N1081" s="3">
        <v>0.78</v>
      </c>
      <c r="O1081" s="3">
        <v>7.2999999999999995E-2</v>
      </c>
      <c r="P1081" s="3">
        <v>0.70700000000000007</v>
      </c>
      <c r="Q1081" s="3">
        <v>0.91558396816253595</v>
      </c>
    </row>
    <row r="1082" spans="1:17" x14ac:dyDescent="0.45">
      <c r="A1082" s="3">
        <v>79377</v>
      </c>
      <c r="B1082" t="b">
        <v>0</v>
      </c>
      <c r="C1082" t="b">
        <v>0</v>
      </c>
      <c r="D1082" s="3">
        <v>1909</v>
      </c>
      <c r="E1082" s="3">
        <v>1909</v>
      </c>
      <c r="F1082" t="s">
        <v>234</v>
      </c>
      <c r="G1082" t="s">
        <v>9893</v>
      </c>
      <c r="H1082" s="3">
        <v>44.692100000000003</v>
      </c>
      <c r="I1082" t="s">
        <v>133</v>
      </c>
      <c r="J1082" t="s">
        <v>11810</v>
      </c>
      <c r="K1082" s="5" t="s">
        <v>134</v>
      </c>
      <c r="L1082" t="s">
        <v>9894</v>
      </c>
      <c r="M1082" t="str">
        <f>"https://www.artic.edu/iiif/2/"&amp;Table9[[#This Row],[Image ID]]&amp;"/full/843,/0/default.jpg"</f>
        <v>https://www.artic.edu/iiif/2/3964e355-091e-3a11-0e6a-ff6737fc50a8/full/843,/0/default.jpg</v>
      </c>
      <c r="N1082" s="3">
        <v>0.78</v>
      </c>
      <c r="O1082" s="3">
        <v>7.2999999999999995E-2</v>
      </c>
      <c r="P1082" s="3">
        <v>0.70700000000000007</v>
      </c>
      <c r="Q1082" s="3">
        <v>0.90242558717727595</v>
      </c>
    </row>
    <row r="1083" spans="1:17" x14ac:dyDescent="0.45">
      <c r="A1083" s="3">
        <v>72191</v>
      </c>
      <c r="B1083" t="b">
        <v>0</v>
      </c>
      <c r="C1083" t="b">
        <v>0</v>
      </c>
      <c r="D1083" s="3">
        <v>1910</v>
      </c>
      <c r="E1083" s="3">
        <v>1920</v>
      </c>
      <c r="F1083" t="s">
        <v>9548</v>
      </c>
      <c r="G1083" t="s">
        <v>7</v>
      </c>
      <c r="H1083" s="3">
        <v>36.273800000000001</v>
      </c>
      <c r="I1083" t="s">
        <v>5827</v>
      </c>
      <c r="J1083" t="s">
        <v>12077</v>
      </c>
      <c r="K1083" s="5" t="s">
        <v>9</v>
      </c>
      <c r="L1083" t="s">
        <v>9549</v>
      </c>
      <c r="M1083" t="str">
        <f>"https://www.artic.edu/iiif/2/"&amp;Table9[[#This Row],[Image ID]]&amp;"/full/843,/0/default.jpg"</f>
        <v>https://www.artic.edu/iiif/2/4bef095d-3908-a6b4-be27-b0507898d339/full/843,/0/default.jpg</v>
      </c>
      <c r="N1083" s="3">
        <v>0.78</v>
      </c>
      <c r="O1083" s="3">
        <v>7.2999999999999995E-2</v>
      </c>
      <c r="P1083" s="3">
        <v>0.70700000000000007</v>
      </c>
      <c r="Q1083" s="3">
        <v>0.84697961807250899</v>
      </c>
    </row>
    <row r="1084" spans="1:17" x14ac:dyDescent="0.45">
      <c r="A1084" s="3">
        <v>118691</v>
      </c>
      <c r="B1084" t="b">
        <v>0</v>
      </c>
      <c r="C1084" t="b">
        <v>0</v>
      </c>
      <c r="D1084" s="3">
        <v>1935</v>
      </c>
      <c r="E1084" s="3">
        <v>1935</v>
      </c>
      <c r="F1084" t="s">
        <v>2532</v>
      </c>
      <c r="G1084" t="s">
        <v>141</v>
      </c>
      <c r="H1084" s="3">
        <v>44.291699999999999</v>
      </c>
      <c r="I1084" t="s">
        <v>180</v>
      </c>
      <c r="J1084" t="s">
        <v>12267</v>
      </c>
      <c r="L1084" t="s">
        <v>2533</v>
      </c>
      <c r="M1084" t="str">
        <f>"https://www.artic.edu/iiif/2/"&amp;Table9[[#This Row],[Image ID]]&amp;"/full/843,/0/default.jpg"</f>
        <v>https://www.artic.edu/iiif/2/583859c3-cf78-288f-dd2d-78a364b07d49/full/843,/0/default.jpg</v>
      </c>
      <c r="N1084" s="3">
        <v>0.80500000000000005</v>
      </c>
      <c r="O1084" s="3">
        <v>9.8000000000000004E-2</v>
      </c>
      <c r="P1084" s="3">
        <v>0.70700000000000007</v>
      </c>
      <c r="Q1084" s="3">
        <v>0.78638440370559604</v>
      </c>
    </row>
    <row r="1085" spans="1:17" x14ac:dyDescent="0.45">
      <c r="A1085" s="3">
        <v>118978</v>
      </c>
      <c r="B1085" t="b">
        <v>0</v>
      </c>
      <c r="C1085" t="b">
        <v>0</v>
      </c>
      <c r="D1085" s="3">
        <v>1919</v>
      </c>
      <c r="E1085" s="3">
        <v>1919</v>
      </c>
      <c r="F1085" t="s">
        <v>2574</v>
      </c>
      <c r="G1085" t="s">
        <v>7</v>
      </c>
      <c r="H1085" s="3">
        <v>58.315199999999997</v>
      </c>
      <c r="I1085" t="s">
        <v>2575</v>
      </c>
      <c r="J1085" t="s">
        <v>12393</v>
      </c>
      <c r="L1085" t="s">
        <v>2576</v>
      </c>
      <c r="M1085" t="str">
        <f>"https://www.artic.edu/iiif/2/"&amp;Table9[[#This Row],[Image ID]]&amp;"/full/843,/0/default.jpg"</f>
        <v>https://www.artic.edu/iiif/2/60dfae2d-9ab3-f468-a7a6-c00443f35246/full/843,/0/default.jpg</v>
      </c>
      <c r="N1085" s="3">
        <v>0.78</v>
      </c>
      <c r="O1085" s="3">
        <v>7.2999999999999995E-2</v>
      </c>
      <c r="P1085" s="3">
        <v>0.70700000000000007</v>
      </c>
      <c r="Q1085" s="3">
        <v>0.87012326717376698</v>
      </c>
    </row>
    <row r="1086" spans="1:17" x14ac:dyDescent="0.45">
      <c r="A1086" s="3">
        <v>228839</v>
      </c>
      <c r="B1086" t="b">
        <v>0</v>
      </c>
      <c r="C1086" t="b">
        <v>0</v>
      </c>
      <c r="D1086" s="3">
        <v>1986</v>
      </c>
      <c r="E1086" s="3">
        <v>1986</v>
      </c>
      <c r="F1086" t="s">
        <v>6024</v>
      </c>
      <c r="G1086" t="s">
        <v>141</v>
      </c>
      <c r="H1086" s="3">
        <v>4.3411</v>
      </c>
      <c r="I1086" t="s">
        <v>6016</v>
      </c>
      <c r="J1086" t="s">
        <v>11455</v>
      </c>
      <c r="L1086" t="s">
        <v>6025</v>
      </c>
      <c r="M1086" t="str">
        <f>"https://www.artic.edu/iiif/2/"&amp;Table9[[#This Row],[Image ID]]&amp;"/full/843,/0/default.jpg"</f>
        <v>https://www.artic.edu/iiif/2/635053ed-dba4-d6e5-4926-dc7d891886b7/full/843,/0/default.jpg</v>
      </c>
      <c r="N1086" s="3">
        <v>0.80500000000000005</v>
      </c>
      <c r="O1086" s="3">
        <v>9.8000000000000004E-2</v>
      </c>
      <c r="P1086" s="3">
        <v>0.70700000000000007</v>
      </c>
      <c r="Q1086" s="3">
        <v>0.84049457311630205</v>
      </c>
    </row>
    <row r="1087" spans="1:17" x14ac:dyDescent="0.45">
      <c r="A1087" s="3">
        <v>184918</v>
      </c>
      <c r="B1087" t="b">
        <v>0</v>
      </c>
      <c r="C1087" t="b">
        <v>0</v>
      </c>
      <c r="D1087" s="3">
        <v>2003</v>
      </c>
      <c r="E1087" s="3">
        <v>2003</v>
      </c>
      <c r="F1087" t="s">
        <v>4896</v>
      </c>
      <c r="G1087" t="s">
        <v>4823</v>
      </c>
      <c r="H1087" s="3">
        <v>8.0610999999999997</v>
      </c>
      <c r="I1087" t="s">
        <v>293</v>
      </c>
      <c r="J1087" t="s">
        <v>10977</v>
      </c>
      <c r="K1087" s="5" t="s">
        <v>15</v>
      </c>
      <c r="L1087" t="s">
        <v>4897</v>
      </c>
      <c r="M1087" t="str">
        <f>"https://www.artic.edu/iiif/2/"&amp;Table9[[#This Row],[Image ID]]&amp;"/full/843,/0/default.jpg"</f>
        <v>https://www.artic.edu/iiif/2/8a63c71b-055b-e7f6-8651-6d790f5f969e/full/843,/0/default.jpg</v>
      </c>
      <c r="N1087" s="3">
        <v>0.78</v>
      </c>
      <c r="O1087" s="3">
        <v>7.2999999999999995E-2</v>
      </c>
      <c r="P1087" s="3">
        <v>0.70700000000000007</v>
      </c>
      <c r="Q1087" s="3">
        <v>0.77132368087768499</v>
      </c>
    </row>
    <row r="1088" spans="1:17" x14ac:dyDescent="0.45">
      <c r="A1088" s="3">
        <v>111612</v>
      </c>
      <c r="B1088" t="b">
        <v>0</v>
      </c>
      <c r="C1088" t="b">
        <v>0</v>
      </c>
      <c r="D1088" s="3">
        <v>1875</v>
      </c>
      <c r="E1088" s="3">
        <v>1875</v>
      </c>
      <c r="F1088" t="s">
        <v>1131</v>
      </c>
      <c r="G1088" t="s">
        <v>7</v>
      </c>
      <c r="H1088" s="3">
        <v>23.661200000000001</v>
      </c>
      <c r="I1088" t="s">
        <v>8</v>
      </c>
      <c r="J1088" t="s">
        <v>1133</v>
      </c>
      <c r="L1088" t="s">
        <v>1132</v>
      </c>
      <c r="M1088" t="str">
        <f>"https://www.artic.edu/iiif/2/"&amp;Table9[[#This Row],[Image ID]]&amp;"/full/843,/0/default.jpg"</f>
        <v>https://www.artic.edu/iiif/2/8d320f9f-09c0-7de1-9acb-c8fc4683da5c/full/843,/0/default.jpg</v>
      </c>
      <c r="N1088" s="3">
        <v>0.80500000000000005</v>
      </c>
      <c r="O1088" s="3">
        <v>9.8000000000000004E-2</v>
      </c>
      <c r="P1088" s="3">
        <v>0.70700000000000007</v>
      </c>
      <c r="Q1088" s="3">
        <v>0.78335082530975297</v>
      </c>
    </row>
    <row r="1089" spans="1:17" x14ac:dyDescent="0.45">
      <c r="A1089" s="3">
        <v>111666</v>
      </c>
      <c r="B1089" t="b">
        <v>0</v>
      </c>
      <c r="C1089" t="b">
        <v>0</v>
      </c>
      <c r="D1089" s="3">
        <v>1934</v>
      </c>
      <c r="E1089" s="3">
        <v>1934</v>
      </c>
      <c r="F1089" t="s">
        <v>1221</v>
      </c>
      <c r="G1089" t="s">
        <v>1222</v>
      </c>
      <c r="H1089" s="3">
        <v>32.685499999999998</v>
      </c>
      <c r="I1089" t="s">
        <v>40</v>
      </c>
      <c r="J1089" t="s">
        <v>13365</v>
      </c>
      <c r="L1089" t="s">
        <v>1223</v>
      </c>
      <c r="M1089" t="str">
        <f>"https://www.artic.edu/iiif/2/"&amp;Table9[[#This Row],[Image ID]]&amp;"/full/843,/0/default.jpg"</f>
        <v>https://www.artic.edu/iiif/2/a917685e-e96d-ecb1-2822-d6f50ce8ea5a/full/843,/0/default.jpg</v>
      </c>
      <c r="N1089" s="3">
        <v>0.80500000000000005</v>
      </c>
      <c r="O1089" s="3">
        <v>9.8000000000000004E-2</v>
      </c>
      <c r="P1089" s="3">
        <v>0.70700000000000007</v>
      </c>
      <c r="Q1089" s="3">
        <v>0.86089479923248202</v>
      </c>
    </row>
    <row r="1090" spans="1:17" x14ac:dyDescent="0.45">
      <c r="A1090" s="3">
        <v>129144</v>
      </c>
      <c r="B1090" t="b">
        <v>0</v>
      </c>
      <c r="C1090" t="b">
        <v>0</v>
      </c>
      <c r="D1090" s="3">
        <v>1944</v>
      </c>
      <c r="E1090" s="3">
        <v>1944</v>
      </c>
      <c r="F1090" t="s">
        <v>11</v>
      </c>
      <c r="G1090" t="s">
        <v>2857</v>
      </c>
      <c r="H1090" s="3">
        <v>69.524100000000004</v>
      </c>
      <c r="I1090" t="s">
        <v>14549</v>
      </c>
      <c r="J1090" t="s">
        <v>11294</v>
      </c>
      <c r="L1090" t="s">
        <v>2866</v>
      </c>
      <c r="M1090" t="str">
        <f>"https://www.artic.edu/iiif/2/"&amp;Table9[[#This Row],[Image ID]]&amp;"/full/843,/0/default.jpg"</f>
        <v>https://www.artic.edu/iiif/2/b8167f19-08b4-80df-584f-b0ca1a40829c/full/843,/0/default.jpg</v>
      </c>
      <c r="N1090" s="3">
        <v>0.80500000000000005</v>
      </c>
      <c r="O1090" s="3">
        <v>9.8000000000000004E-2</v>
      </c>
      <c r="P1090" s="3">
        <v>0.70700000000000007</v>
      </c>
      <c r="Q1090" s="3">
        <v>0.81645190715789795</v>
      </c>
    </row>
    <row r="1091" spans="1:17" x14ac:dyDescent="0.45">
      <c r="A1091" s="3">
        <v>184850</v>
      </c>
      <c r="B1091" t="b">
        <v>0</v>
      </c>
      <c r="C1091" t="b">
        <v>0</v>
      </c>
      <c r="D1091" s="3">
        <v>2003</v>
      </c>
      <c r="E1091" s="3">
        <v>2003</v>
      </c>
      <c r="F1091" t="s">
        <v>4849</v>
      </c>
      <c r="G1091" t="s">
        <v>4823</v>
      </c>
      <c r="H1091" s="3">
        <v>8.5709999999999997</v>
      </c>
      <c r="I1091" t="s">
        <v>293</v>
      </c>
      <c r="J1091" t="s">
        <v>10977</v>
      </c>
      <c r="K1091" s="5" t="s">
        <v>15</v>
      </c>
      <c r="L1091" t="s">
        <v>4850</v>
      </c>
      <c r="M1091" t="str">
        <f>"https://www.artic.edu/iiif/2/"&amp;Table9[[#This Row],[Image ID]]&amp;"/full/843,/0/default.jpg"</f>
        <v>https://www.artic.edu/iiif/2/c4c8b0ea-7735-27d2-5e92-4f3f0e1d5635/full/843,/0/default.jpg</v>
      </c>
      <c r="N1091" s="3">
        <v>0.78</v>
      </c>
      <c r="O1091" s="3">
        <v>7.2999999999999995E-2</v>
      </c>
      <c r="P1091" s="3">
        <v>0.70700000000000007</v>
      </c>
      <c r="Q1091" s="3">
        <v>0.77316915988922097</v>
      </c>
    </row>
    <row r="1092" spans="1:17" x14ac:dyDescent="0.45">
      <c r="A1092" s="3">
        <v>31600</v>
      </c>
      <c r="B1092" t="b">
        <v>0</v>
      </c>
      <c r="C1092" t="b">
        <v>0</v>
      </c>
      <c r="D1092" s="3">
        <v>1959</v>
      </c>
      <c r="E1092" s="3">
        <v>1959</v>
      </c>
      <c r="F1092" t="s">
        <v>3756</v>
      </c>
      <c r="G1092" t="s">
        <v>59</v>
      </c>
      <c r="H1092" s="3">
        <v>22.451899999999998</v>
      </c>
      <c r="I1092" t="s">
        <v>5542</v>
      </c>
      <c r="J1092" t="s">
        <v>14434</v>
      </c>
      <c r="L1092" t="s">
        <v>7001</v>
      </c>
      <c r="M1092" t="str">
        <f>"https://www.artic.edu/iiif/2/"&amp;Table9[[#This Row],[Image ID]]&amp;"/full/843,/0/default.jpg"</f>
        <v>https://www.artic.edu/iiif/2/f8950b7f-b2ad-6f45-bb6a-d278d06a5a83/full/843,/0/default.jpg</v>
      </c>
      <c r="N1092" s="3">
        <v>0.78</v>
      </c>
      <c r="O1092" s="3">
        <v>7.2999999999999995E-2</v>
      </c>
      <c r="P1092" s="3">
        <v>0.70700000000000007</v>
      </c>
      <c r="Q1092" s="3">
        <v>0.71078431606292702</v>
      </c>
    </row>
    <row r="1093" spans="1:17" x14ac:dyDescent="0.45">
      <c r="A1093" s="3">
        <v>105078</v>
      </c>
      <c r="B1093" t="b">
        <v>0</v>
      </c>
      <c r="C1093" t="b">
        <v>0</v>
      </c>
      <c r="D1093" s="3">
        <v>1984</v>
      </c>
      <c r="E1093" s="3">
        <v>1984</v>
      </c>
      <c r="F1093" t="s">
        <v>475</v>
      </c>
      <c r="G1093" t="s">
        <v>7</v>
      </c>
      <c r="H1093" s="3">
        <v>28.959800000000001</v>
      </c>
      <c r="I1093" t="s">
        <v>476</v>
      </c>
      <c r="J1093" t="s">
        <v>14441</v>
      </c>
      <c r="L1093" t="s">
        <v>477</v>
      </c>
      <c r="M1093" t="str">
        <f>"https://www.artic.edu/iiif/2/"&amp;Table9[[#This Row],[Image ID]]&amp;"/full/843,/0/default.jpg"</f>
        <v>https://www.artic.edu/iiif/2/f93a800b-7f32-1c35-c44c-1b8189b32227/full/843,/0/default.jpg</v>
      </c>
      <c r="N1093" s="3">
        <v>0.80500000000000005</v>
      </c>
      <c r="O1093" s="3">
        <v>9.8000000000000004E-2</v>
      </c>
      <c r="P1093" s="3">
        <v>0.70700000000000007</v>
      </c>
      <c r="Q1093" s="3">
        <v>0.85706931352615301</v>
      </c>
    </row>
    <row r="1094" spans="1:17" x14ac:dyDescent="0.45">
      <c r="A1094" s="3">
        <v>4085</v>
      </c>
      <c r="B1094" t="b">
        <v>0</v>
      </c>
      <c r="C1094" t="b">
        <v>1</v>
      </c>
      <c r="D1094" s="3">
        <v>1570</v>
      </c>
      <c r="E1094" s="3">
        <v>1630</v>
      </c>
      <c r="F1094" t="s">
        <v>7672</v>
      </c>
      <c r="G1094" t="s">
        <v>7</v>
      </c>
      <c r="H1094" s="3">
        <v>45.981299999999997</v>
      </c>
      <c r="I1094" t="s">
        <v>1307</v>
      </c>
      <c r="J1094" t="s">
        <v>11144</v>
      </c>
      <c r="L1094" t="s">
        <v>7673</v>
      </c>
      <c r="M1094" t="str">
        <f>"https://www.artic.edu/iiif/2/"&amp;Table9[[#This Row],[Image ID]]&amp;"/full/843,/0/default.jpg"</f>
        <v>https://www.artic.edu/iiif/2/0ccbf8fe-3d94-b231-a6a8-018e67a42d77/full/843,/0/default.jpg</v>
      </c>
      <c r="N1094" s="3">
        <v>0.78</v>
      </c>
      <c r="O1094" s="3">
        <v>7.2999999999999995E-2</v>
      </c>
      <c r="P1094" s="3">
        <v>0.70700000000000007</v>
      </c>
      <c r="Q1094" s="3">
        <v>0.71537768840789795</v>
      </c>
    </row>
    <row r="1095" spans="1:17" ht="256.5" x14ac:dyDescent="0.45">
      <c r="A1095" s="3">
        <v>16336</v>
      </c>
      <c r="B1095" t="b">
        <v>0</v>
      </c>
      <c r="C1095" t="b">
        <v>1</v>
      </c>
      <c r="D1095" s="3">
        <v>1520</v>
      </c>
      <c r="E1095" s="3">
        <v>1530</v>
      </c>
      <c r="F1095" t="s">
        <v>4370</v>
      </c>
      <c r="G1095" t="s">
        <v>2787</v>
      </c>
      <c r="H1095" s="3">
        <v>42.831200000000003</v>
      </c>
      <c r="J1095" s="1" t="s">
        <v>11157</v>
      </c>
      <c r="L1095" t="s">
        <v>4371</v>
      </c>
      <c r="M1095" t="str">
        <f>"https://www.artic.edu/iiif/2/"&amp;Table9[[#This Row],[Image ID]]&amp;"/full/843,/0/default.jpg"</f>
        <v>https://www.artic.edu/iiif/2/0df99ff3-7ac6-8214-364b-ec516d8eaf14/full/843,/0/default.jpg</v>
      </c>
      <c r="N1095" s="3">
        <v>0.78</v>
      </c>
      <c r="O1095" s="3">
        <v>7.2999999999999995E-2</v>
      </c>
      <c r="P1095" s="3">
        <v>0.70700000000000007</v>
      </c>
      <c r="Q1095" s="3">
        <v>0.65478193759918202</v>
      </c>
    </row>
    <row r="1096" spans="1:17" x14ac:dyDescent="0.45">
      <c r="A1096" s="3">
        <v>115566</v>
      </c>
      <c r="B1096" t="b">
        <v>0</v>
      </c>
      <c r="C1096" t="b">
        <v>1</v>
      </c>
      <c r="D1096" s="3">
        <v>1733</v>
      </c>
      <c r="E1096" s="3">
        <v>1807</v>
      </c>
      <c r="F1096" t="s">
        <v>2016</v>
      </c>
      <c r="G1096" t="s">
        <v>2017</v>
      </c>
      <c r="H1096" s="3">
        <v>21.7134</v>
      </c>
      <c r="I1096" t="s">
        <v>1571</v>
      </c>
      <c r="J1096" t="s">
        <v>11179</v>
      </c>
      <c r="L1096" t="s">
        <v>2018</v>
      </c>
      <c r="M1096" t="str">
        <f>"https://www.artic.edu/iiif/2/"&amp;Table9[[#This Row],[Image ID]]&amp;"/full/843,/0/default.jpg"</f>
        <v>https://www.artic.edu/iiif/2/0f937f3e-fefc-c91a-7030-4c98f3ff6b1b/full/843,/0/default.jpg</v>
      </c>
      <c r="N1096" s="3">
        <v>0.80500000000000005</v>
      </c>
      <c r="O1096" s="3">
        <v>9.8000000000000004E-2</v>
      </c>
      <c r="P1096" s="3">
        <v>0.70700000000000007</v>
      </c>
      <c r="Q1096" s="3">
        <v>0.75372064113616899</v>
      </c>
    </row>
    <row r="1097" spans="1:17" x14ac:dyDescent="0.45">
      <c r="A1097" s="3">
        <v>120163</v>
      </c>
      <c r="B1097" t="b">
        <v>0</v>
      </c>
      <c r="C1097" t="b">
        <v>1</v>
      </c>
      <c r="D1097" s="3">
        <v>1806</v>
      </c>
      <c r="E1097" s="3">
        <v>1812</v>
      </c>
      <c r="F1097" t="s">
        <v>2626</v>
      </c>
      <c r="G1097" t="s">
        <v>7</v>
      </c>
      <c r="H1097" s="3">
        <v>21.767800000000001</v>
      </c>
      <c r="I1097" t="s">
        <v>2627</v>
      </c>
      <c r="J1097" t="s">
        <v>11605</v>
      </c>
      <c r="L1097" t="s">
        <v>2628</v>
      </c>
      <c r="M1097" t="str">
        <f>"https://www.artic.edu/iiif/2/"&amp;Table9[[#This Row],[Image ID]]&amp;"/full/843,/0/default.jpg"</f>
        <v>https://www.artic.edu/iiif/2/2b219d21-c128-ea2e-cb0b-69d2e9e98e5e/full/843,/0/default.jpg</v>
      </c>
      <c r="N1097" s="3">
        <v>0.78</v>
      </c>
      <c r="O1097" s="3">
        <v>7.2999999999999995E-2</v>
      </c>
      <c r="P1097" s="3">
        <v>0.70700000000000007</v>
      </c>
      <c r="Q1097" s="3">
        <v>0.69277191162109297</v>
      </c>
    </row>
    <row r="1098" spans="1:17" ht="99.75" x14ac:dyDescent="0.45">
      <c r="A1098" s="3">
        <v>59912</v>
      </c>
      <c r="B1098" t="b">
        <v>0</v>
      </c>
      <c r="C1098" t="b">
        <v>1</v>
      </c>
      <c r="D1098" s="3">
        <v>1510</v>
      </c>
      <c r="E1098" s="3">
        <v>1520</v>
      </c>
      <c r="F1098" t="s">
        <v>1112</v>
      </c>
      <c r="G1098" t="s">
        <v>75</v>
      </c>
      <c r="H1098" s="3">
        <v>42.772399999999998</v>
      </c>
      <c r="I1098" t="s">
        <v>1013</v>
      </c>
      <c r="J1098" s="1" t="s">
        <v>11792</v>
      </c>
      <c r="L1098" t="s">
        <v>8632</v>
      </c>
      <c r="M1098" t="str">
        <f>"https://www.artic.edu/iiif/2/"&amp;Table9[[#This Row],[Image ID]]&amp;"/full/843,/0/default.jpg"</f>
        <v>https://www.artic.edu/iiif/2/383e0434-48e9-5cde-d1a1-eea79a300ecd/full/843,/0/default.jpg</v>
      </c>
      <c r="N1098" s="3">
        <v>0.78</v>
      </c>
      <c r="O1098" s="3">
        <v>7.2999999999999995E-2</v>
      </c>
      <c r="P1098" s="3">
        <v>0.70700000000000007</v>
      </c>
      <c r="Q1098" s="3">
        <v>0.74191445112228305</v>
      </c>
    </row>
    <row r="1099" spans="1:17" x14ac:dyDescent="0.45">
      <c r="A1099" s="3">
        <v>191323</v>
      </c>
      <c r="B1099" t="b">
        <v>0</v>
      </c>
      <c r="C1099" t="b">
        <v>1</v>
      </c>
      <c r="D1099" s="3">
        <v>1770</v>
      </c>
      <c r="E1099" s="3">
        <v>1827</v>
      </c>
      <c r="F1099" t="s">
        <v>5194</v>
      </c>
      <c r="G1099" t="s">
        <v>5195</v>
      </c>
      <c r="H1099" s="3">
        <v>56.260399999999997</v>
      </c>
      <c r="J1099" t="s">
        <v>12028</v>
      </c>
      <c r="K1099" s="5" t="s">
        <v>4</v>
      </c>
      <c r="L1099" t="s">
        <v>5196</v>
      </c>
      <c r="M1099" t="str">
        <f>"https://www.artic.edu/iiif/2/"&amp;Table9[[#This Row],[Image ID]]&amp;"/full/843,/0/default.jpg"</f>
        <v>https://www.artic.edu/iiif/2/47b69449-fb3e-9e81-d32d-210b751b71fb/full/843,/0/default.jpg</v>
      </c>
      <c r="N1099" s="3">
        <v>0.80500000000000005</v>
      </c>
      <c r="O1099" s="3">
        <v>9.8000000000000004E-2</v>
      </c>
      <c r="P1099" s="3">
        <v>0.70700000000000007</v>
      </c>
      <c r="Q1099" s="3">
        <v>0.734405517578125</v>
      </c>
    </row>
    <row r="1100" spans="1:17" x14ac:dyDescent="0.45">
      <c r="A1100" s="3">
        <v>113064</v>
      </c>
      <c r="B1100" t="b">
        <v>0</v>
      </c>
      <c r="C1100" t="b">
        <v>1</v>
      </c>
      <c r="D1100" s="3">
        <v>1881</v>
      </c>
      <c r="E1100" s="3">
        <v>1881</v>
      </c>
      <c r="F1100" t="s">
        <v>1335</v>
      </c>
      <c r="G1100" t="s">
        <v>1336</v>
      </c>
      <c r="H1100" s="3">
        <v>32.877600000000001</v>
      </c>
      <c r="I1100" t="s">
        <v>1337</v>
      </c>
      <c r="J1100" t="s">
        <v>12492</v>
      </c>
      <c r="L1100" t="s">
        <v>1338</v>
      </c>
      <c r="M1100" t="str">
        <f>"https://www.artic.edu/iiif/2/"&amp;Table9[[#This Row],[Image ID]]&amp;"/full/843,/0/default.jpg"</f>
        <v>https://www.artic.edu/iiif/2/680ed8b4-795a-4cab-a0c0-d27d5a235895/full/843,/0/default.jpg</v>
      </c>
      <c r="N1100" s="3">
        <v>0.78</v>
      </c>
      <c r="O1100" s="3">
        <v>7.2999999999999995E-2</v>
      </c>
      <c r="P1100" s="3">
        <v>0.70700000000000007</v>
      </c>
      <c r="Q1100" s="3">
        <v>0.64410901069641102</v>
      </c>
    </row>
    <row r="1101" spans="1:17" x14ac:dyDescent="0.45">
      <c r="A1101" s="3">
        <v>57996</v>
      </c>
      <c r="B1101" t="b">
        <v>0</v>
      </c>
      <c r="C1101" t="b">
        <v>1</v>
      </c>
      <c r="D1101" s="3">
        <v>1771</v>
      </c>
      <c r="E1101" s="3">
        <v>1771</v>
      </c>
      <c r="F1101" t="s">
        <v>8497</v>
      </c>
      <c r="G1101" t="s">
        <v>7</v>
      </c>
      <c r="H1101" s="3">
        <v>42.0871</v>
      </c>
      <c r="I1101" t="s">
        <v>7707</v>
      </c>
      <c r="J1101" t="s">
        <v>12524</v>
      </c>
      <c r="K1101" s="5" t="s">
        <v>232</v>
      </c>
      <c r="L1101" t="s">
        <v>8498</v>
      </c>
      <c r="M1101" t="str">
        <f>"https://www.artic.edu/iiif/2/"&amp;Table9[[#This Row],[Image ID]]&amp;"/full/843,/0/default.jpg"</f>
        <v>https://www.artic.edu/iiif/2/6a676ee7-39c0-0b88-c37e-36ba0c5e3065/full/843,/0/default.jpg</v>
      </c>
      <c r="N1101" s="3">
        <v>0.80500000000000005</v>
      </c>
      <c r="O1101" s="3">
        <v>9.8000000000000004E-2</v>
      </c>
      <c r="P1101" s="3">
        <v>0.70700000000000007</v>
      </c>
      <c r="Q1101" s="3">
        <v>0.50994122028350797</v>
      </c>
    </row>
    <row r="1102" spans="1:17" x14ac:dyDescent="0.45">
      <c r="A1102" s="3">
        <v>115192</v>
      </c>
      <c r="B1102" t="b">
        <v>0</v>
      </c>
      <c r="C1102" t="b">
        <v>1</v>
      </c>
      <c r="D1102" s="3">
        <v>1835</v>
      </c>
      <c r="E1102" s="3">
        <v>1882</v>
      </c>
      <c r="F1102" t="s">
        <v>1828</v>
      </c>
      <c r="G1102" t="s">
        <v>1829</v>
      </c>
      <c r="H1102" s="3">
        <v>18.416</v>
      </c>
      <c r="I1102" t="s">
        <v>1555</v>
      </c>
      <c r="J1102" t="s">
        <v>12685</v>
      </c>
      <c r="L1102" t="s">
        <v>1830</v>
      </c>
      <c r="M1102" t="str">
        <f>"https://www.artic.edu/iiif/2/"&amp;Table9[[#This Row],[Image ID]]&amp;"/full/843,/0/default.jpg"</f>
        <v>https://www.artic.edu/iiif/2/760d97c5-be57-aa69-56a7-b56f0bd36539/full/843,/0/default.jpg</v>
      </c>
      <c r="N1102" s="3">
        <v>0.78</v>
      </c>
      <c r="O1102" s="3">
        <v>7.2999999999999995E-2</v>
      </c>
      <c r="P1102" s="3">
        <v>0.70700000000000007</v>
      </c>
      <c r="Q1102" s="3">
        <v>0.80516922473907404</v>
      </c>
    </row>
    <row r="1103" spans="1:17" x14ac:dyDescent="0.45">
      <c r="A1103" s="3">
        <v>72953</v>
      </c>
      <c r="B1103" t="b">
        <v>0</v>
      </c>
      <c r="C1103" t="b">
        <v>1</v>
      </c>
      <c r="D1103" s="3">
        <v>1842</v>
      </c>
      <c r="E1103" s="3">
        <v>1842</v>
      </c>
      <c r="F1103" t="s">
        <v>9587</v>
      </c>
      <c r="G1103" t="s">
        <v>7</v>
      </c>
      <c r="H1103" s="3">
        <v>38.952199999999998</v>
      </c>
      <c r="I1103" t="s">
        <v>9568</v>
      </c>
      <c r="J1103" t="s">
        <v>13069</v>
      </c>
      <c r="L1103" t="s">
        <v>9588</v>
      </c>
      <c r="M1103" t="str">
        <f>"https://www.artic.edu/iiif/2/"&amp;Table9[[#This Row],[Image ID]]&amp;"/full/843,/0/default.jpg"</f>
        <v>https://www.artic.edu/iiif/2/94085102-926e-6b77-8672-101ac4418eb7/full/843,/0/default.jpg</v>
      </c>
      <c r="N1103" s="3">
        <v>0.78</v>
      </c>
      <c r="O1103" s="3">
        <v>7.2999999999999995E-2</v>
      </c>
      <c r="P1103" s="3">
        <v>0.70700000000000007</v>
      </c>
      <c r="Q1103" s="3">
        <v>0.83688694238662698</v>
      </c>
    </row>
    <row r="1104" spans="1:17" x14ac:dyDescent="0.45">
      <c r="A1104" s="3">
        <v>80535</v>
      </c>
      <c r="B1104" t="b">
        <v>0</v>
      </c>
      <c r="C1104" t="b">
        <v>1</v>
      </c>
      <c r="D1104" s="3">
        <v>1625</v>
      </c>
      <c r="E1104" s="3">
        <v>1630</v>
      </c>
      <c r="F1104" t="s">
        <v>297</v>
      </c>
      <c r="G1104" t="s">
        <v>7</v>
      </c>
      <c r="H1104" s="3">
        <v>0</v>
      </c>
      <c r="I1104" t="s">
        <v>10001</v>
      </c>
      <c r="J1104" t="s">
        <v>13234</v>
      </c>
      <c r="L1104" t="s">
        <v>10002</v>
      </c>
      <c r="M1104" t="str">
        <f>"https://www.artic.edu/iiif/2/"&amp;Table9[[#This Row],[Image ID]]&amp;"/full/843,/0/default.jpg"</f>
        <v>https://www.artic.edu/iiif/2/a061fcd4-88da-53f4-726f-72e3d71757a3/full/843,/0/default.jpg</v>
      </c>
      <c r="N1104" s="3">
        <v>0.78</v>
      </c>
      <c r="O1104" s="3">
        <v>7.2999999999999995E-2</v>
      </c>
      <c r="P1104" s="3">
        <v>0.70700000000000007</v>
      </c>
      <c r="Q1104" s="3">
        <v>0.73939150571823098</v>
      </c>
    </row>
    <row r="1105" spans="1:17" x14ac:dyDescent="0.45">
      <c r="A1105" s="3">
        <v>27943</v>
      </c>
      <c r="B1105" t="b">
        <v>0</v>
      </c>
      <c r="C1105" t="b">
        <v>1</v>
      </c>
      <c r="D1105" s="3">
        <v>1894</v>
      </c>
      <c r="E1105" s="3">
        <v>1894</v>
      </c>
      <c r="F1105" t="s">
        <v>6752</v>
      </c>
      <c r="G1105" t="s">
        <v>3958</v>
      </c>
      <c r="H1105" s="3">
        <v>37.881999999999998</v>
      </c>
      <c r="I1105" t="s">
        <v>872</v>
      </c>
      <c r="J1105" t="s">
        <v>13298</v>
      </c>
      <c r="K1105" s="5" t="s">
        <v>115</v>
      </c>
      <c r="L1105" t="s">
        <v>6753</v>
      </c>
      <c r="M1105" t="str">
        <f>"https://www.artic.edu/iiif/2/"&amp;Table9[[#This Row],[Image ID]]&amp;"/full/843,/0/default.jpg"</f>
        <v>https://www.artic.edu/iiif/2/a4bef587-48a4-d186-813d-f297441b1ab3/full/843,/0/default.jpg</v>
      </c>
      <c r="N1105" s="3">
        <v>0.78</v>
      </c>
      <c r="O1105" s="3">
        <v>7.2999999999999995E-2</v>
      </c>
      <c r="P1105" s="3">
        <v>0.70700000000000007</v>
      </c>
      <c r="Q1105" s="3">
        <v>0.61031752824783303</v>
      </c>
    </row>
    <row r="1106" spans="1:17" x14ac:dyDescent="0.45">
      <c r="A1106" s="3">
        <v>72951</v>
      </c>
      <c r="B1106" t="b">
        <v>0</v>
      </c>
      <c r="C1106" t="b">
        <v>1</v>
      </c>
      <c r="D1106" s="3">
        <v>1876</v>
      </c>
      <c r="E1106" s="3">
        <v>1876</v>
      </c>
      <c r="F1106" t="s">
        <v>9585</v>
      </c>
      <c r="G1106" t="s">
        <v>7</v>
      </c>
      <c r="H1106" s="3">
        <v>17.8323</v>
      </c>
      <c r="I1106" t="s">
        <v>494</v>
      </c>
      <c r="J1106" t="s">
        <v>13520</v>
      </c>
      <c r="K1106" s="5" t="s">
        <v>284</v>
      </c>
      <c r="L1106" t="s">
        <v>9586</v>
      </c>
      <c r="M1106" t="str">
        <f>"https://www.artic.edu/iiif/2/"&amp;Table9[[#This Row],[Image ID]]&amp;"/full/843,/0/default.jpg"</f>
        <v>https://www.artic.edu/iiif/2/b5d37408-a467-6b70-4bfb-9f2cd382474f/full/843,/0/default.jpg</v>
      </c>
      <c r="N1106" s="3">
        <v>0.78</v>
      </c>
      <c r="O1106" s="3">
        <v>7.2999999999999995E-2</v>
      </c>
      <c r="P1106" s="3">
        <v>0.70700000000000007</v>
      </c>
      <c r="Q1106" s="3">
        <v>0.59790301322937001</v>
      </c>
    </row>
    <row r="1107" spans="1:17" x14ac:dyDescent="0.45">
      <c r="A1107" s="3">
        <v>16207</v>
      </c>
      <c r="B1107" t="b">
        <v>0</v>
      </c>
      <c r="C1107" t="b">
        <v>1</v>
      </c>
      <c r="D1107" s="3">
        <v>1500</v>
      </c>
      <c r="E1107" s="3">
        <v>1505</v>
      </c>
      <c r="F1107" t="s">
        <v>4307</v>
      </c>
      <c r="G1107" t="s">
        <v>4302</v>
      </c>
      <c r="H1107" s="3">
        <v>41.607599999999998</v>
      </c>
      <c r="I1107" t="s">
        <v>2732</v>
      </c>
      <c r="J1107" t="s">
        <v>12306</v>
      </c>
      <c r="L1107" t="s">
        <v>4308</v>
      </c>
      <c r="M1107" t="str">
        <f>"https://www.artic.edu/iiif/2/"&amp;Table9[[#This Row],[Image ID]]&amp;"/full/843,/0/default.jpg"</f>
        <v>https://www.artic.edu/iiif/2/bbb6f90d-3213-8961-14b9-5fd1fa7dc971/full/843,/0/default.jpg</v>
      </c>
      <c r="N1107" s="3">
        <v>0.78</v>
      </c>
      <c r="O1107" s="3">
        <v>7.2999999999999995E-2</v>
      </c>
      <c r="P1107" s="3">
        <v>0.70700000000000007</v>
      </c>
      <c r="Q1107" s="3">
        <v>0.76802080869674605</v>
      </c>
    </row>
    <row r="1108" spans="1:17" x14ac:dyDescent="0.45">
      <c r="A1108" s="3">
        <v>55655</v>
      </c>
      <c r="B1108" t="b">
        <v>0</v>
      </c>
      <c r="C1108" t="b">
        <v>1</v>
      </c>
      <c r="D1108" s="3">
        <v>1565</v>
      </c>
      <c r="E1108" s="3">
        <v>1570</v>
      </c>
      <c r="F1108" t="s">
        <v>567</v>
      </c>
      <c r="G1108" t="s">
        <v>7</v>
      </c>
      <c r="H1108" s="3">
        <v>30.829699999999999</v>
      </c>
      <c r="I1108" t="s">
        <v>8361</v>
      </c>
      <c r="J1108" t="s">
        <v>13838</v>
      </c>
      <c r="L1108" t="s">
        <v>8362</v>
      </c>
      <c r="M1108" t="str">
        <f>"https://www.artic.edu/iiif/2/"&amp;Table9[[#This Row],[Image ID]]&amp;"/full/843,/0/default.jpg"</f>
        <v>https://www.artic.edu/iiif/2/cf9fbcbd-3b50-ec79-e80a-9c60c9def6d7/full/843,/0/default.jpg</v>
      </c>
      <c r="N1108" s="3">
        <v>0.80500000000000005</v>
      </c>
      <c r="O1108" s="3">
        <v>9.8000000000000004E-2</v>
      </c>
      <c r="P1108" s="3">
        <v>0.70700000000000007</v>
      </c>
      <c r="Q1108" s="3">
        <v>0.93663948774337702</v>
      </c>
    </row>
    <row r="1109" spans="1:17" x14ac:dyDescent="0.45">
      <c r="A1109" s="3">
        <v>120172</v>
      </c>
      <c r="B1109" t="b">
        <v>0</v>
      </c>
      <c r="C1109" t="b">
        <v>1</v>
      </c>
      <c r="D1109" s="3">
        <v>1628</v>
      </c>
      <c r="E1109" s="3">
        <v>1632</v>
      </c>
      <c r="F1109" t="s">
        <v>2635</v>
      </c>
      <c r="G1109" t="s">
        <v>7</v>
      </c>
      <c r="H1109" s="3">
        <v>25.328299999999999</v>
      </c>
      <c r="I1109" t="s">
        <v>767</v>
      </c>
      <c r="J1109" t="s">
        <v>13907</v>
      </c>
      <c r="L1109" t="s">
        <v>2636</v>
      </c>
      <c r="M1109" t="str">
        <f>"https://www.artic.edu/iiif/2/"&amp;Table9[[#This Row],[Image ID]]&amp;"/full/843,/0/default.jpg"</f>
        <v>https://www.artic.edu/iiif/2/d51eb11c-da63-0888-0a59-6a5ef0631142/full/843,/0/default.jpg</v>
      </c>
      <c r="N1109" s="3">
        <v>0.78</v>
      </c>
      <c r="O1109" s="3">
        <v>7.2999999999999995E-2</v>
      </c>
      <c r="P1109" s="3">
        <v>0.70700000000000007</v>
      </c>
      <c r="Q1109" s="3">
        <v>0.69146406650543202</v>
      </c>
    </row>
    <row r="1110" spans="1:17" x14ac:dyDescent="0.45">
      <c r="A1110" s="3">
        <v>114327</v>
      </c>
      <c r="B1110" t="b">
        <v>0</v>
      </c>
      <c r="C1110" t="b">
        <v>1</v>
      </c>
      <c r="D1110" s="3">
        <v>1742</v>
      </c>
      <c r="E1110" s="3">
        <v>1793</v>
      </c>
      <c r="F1110" t="s">
        <v>1610</v>
      </c>
      <c r="G1110" t="s">
        <v>1611</v>
      </c>
      <c r="H1110" s="3">
        <v>30.909099999999999</v>
      </c>
      <c r="I1110" t="s">
        <v>1612</v>
      </c>
      <c r="J1110" t="s">
        <v>14197</v>
      </c>
      <c r="L1110" t="s">
        <v>1613</v>
      </c>
      <c r="M1110" t="str">
        <f>"https://www.artic.edu/iiif/2/"&amp;Table9[[#This Row],[Image ID]]&amp;"/full/843,/0/default.jpg"</f>
        <v>https://www.artic.edu/iiif/2/e8818837-305f-076a-defb-2d232105dbaa/full/843,/0/default.jpg</v>
      </c>
      <c r="N1110" s="3">
        <v>0.80500000000000005</v>
      </c>
      <c r="O1110" s="3">
        <v>9.8000000000000004E-2</v>
      </c>
      <c r="P1110" s="3">
        <v>0.70700000000000007</v>
      </c>
      <c r="Q1110" s="3">
        <v>0.48860669136047302</v>
      </c>
    </row>
    <row r="1111" spans="1:17" x14ac:dyDescent="0.45">
      <c r="A1111" s="3">
        <v>33212</v>
      </c>
      <c r="B1111" t="b">
        <v>0</v>
      </c>
      <c r="C1111" t="b">
        <v>1</v>
      </c>
      <c r="D1111" s="3">
        <v>1869</v>
      </c>
      <c r="E1111" s="3">
        <v>1879</v>
      </c>
      <c r="F1111" t="s">
        <v>7074</v>
      </c>
      <c r="G1111" t="s">
        <v>7</v>
      </c>
      <c r="H1111" s="3">
        <v>31.064699999999998</v>
      </c>
      <c r="I1111" t="s">
        <v>3459</v>
      </c>
      <c r="J1111" t="s">
        <v>14363</v>
      </c>
      <c r="K1111" s="5" t="s">
        <v>9</v>
      </c>
      <c r="L1111" t="s">
        <v>7075</v>
      </c>
      <c r="M1111" t="str">
        <f>"https://www.artic.edu/iiif/2/"&amp;Table9[[#This Row],[Image ID]]&amp;"/full/843,/0/default.jpg"</f>
        <v>https://www.artic.edu/iiif/2/f38d16d0-7fa8-d6db-7922-3d0d057604c1/full/843,/0/default.jpg</v>
      </c>
      <c r="N1111" s="3">
        <v>0.78</v>
      </c>
      <c r="O1111" s="3">
        <v>7.2999999999999995E-2</v>
      </c>
      <c r="P1111" s="3">
        <v>0.70700000000000007</v>
      </c>
      <c r="Q1111" s="3">
        <v>0.67303544282913197</v>
      </c>
    </row>
    <row r="1112" spans="1:17" x14ac:dyDescent="0.45">
      <c r="A1112" s="3">
        <v>118981</v>
      </c>
      <c r="B1112" t="b">
        <v>0</v>
      </c>
      <c r="C1112" t="b">
        <v>0</v>
      </c>
      <c r="D1112" s="3">
        <v>1974</v>
      </c>
      <c r="E1112" s="3">
        <v>1974</v>
      </c>
      <c r="F1112" t="s">
        <v>2579</v>
      </c>
      <c r="G1112" t="s">
        <v>2580</v>
      </c>
      <c r="H1112" s="3">
        <v>70.581999999999994</v>
      </c>
      <c r="I1112" t="s">
        <v>126</v>
      </c>
      <c r="J1112" t="s">
        <v>11131</v>
      </c>
      <c r="L1112" t="s">
        <v>2581</v>
      </c>
      <c r="M1112" t="str">
        <f>"https://www.artic.edu/iiif/2/"&amp;Table9[[#This Row],[Image ID]]&amp;"/full/843,/0/default.jpg"</f>
        <v>https://www.artic.edu/iiif/2/0b884b37-acec-7c15-5077-927bb991f69e/full/843,/0/default.jpg</v>
      </c>
      <c r="N1112" s="3">
        <v>0.75600000000000001</v>
      </c>
      <c r="O1112" s="3">
        <v>4.9000000000000002E-2</v>
      </c>
      <c r="P1112" s="3">
        <v>0.70699999999999996</v>
      </c>
      <c r="Q1112" s="3">
        <v>0.90835171937942505</v>
      </c>
    </row>
    <row r="1113" spans="1:17" x14ac:dyDescent="0.45">
      <c r="A1113" s="3">
        <v>66184</v>
      </c>
      <c r="B1113" t="b">
        <v>0</v>
      </c>
      <c r="C1113" t="b">
        <v>0</v>
      </c>
      <c r="D1113" s="3">
        <v>1973</v>
      </c>
      <c r="E1113" s="3">
        <v>1973</v>
      </c>
      <c r="F1113" t="s">
        <v>9215</v>
      </c>
      <c r="G1113" t="s">
        <v>7</v>
      </c>
      <c r="H1113" s="3">
        <v>4.7545000000000002</v>
      </c>
      <c r="I1113" t="s">
        <v>62</v>
      </c>
      <c r="J1113" t="s">
        <v>11426</v>
      </c>
      <c r="L1113" t="s">
        <v>9216</v>
      </c>
      <c r="M1113" t="str">
        <f>"https://www.artic.edu/iiif/2/"&amp;Table9[[#This Row],[Image ID]]&amp;"/full/843,/0/default.jpg"</f>
        <v>https://www.artic.edu/iiif/2/1fdee71c-bf45-fdb6-b38d-b5b9cb6a7a85/full/843,/0/default.jpg</v>
      </c>
      <c r="N1113" s="3">
        <v>0.82899999999999996</v>
      </c>
      <c r="O1113" s="3">
        <v>0.122</v>
      </c>
      <c r="P1113" s="3">
        <v>0.70699999999999996</v>
      </c>
      <c r="Q1113" s="3">
        <v>0.80333477258682195</v>
      </c>
    </row>
    <row r="1114" spans="1:17" x14ac:dyDescent="0.45">
      <c r="A1114" s="3">
        <v>118579</v>
      </c>
      <c r="B1114" t="b">
        <v>0</v>
      </c>
      <c r="C1114" t="b">
        <v>0</v>
      </c>
      <c r="D1114" s="3">
        <v>1962</v>
      </c>
      <c r="E1114" s="3">
        <v>1962</v>
      </c>
      <c r="F1114" t="s">
        <v>2507</v>
      </c>
      <c r="G1114" t="s">
        <v>2508</v>
      </c>
      <c r="H1114" s="3">
        <v>58.129800000000003</v>
      </c>
      <c r="I1114" t="s">
        <v>14549</v>
      </c>
      <c r="J1114" t="s">
        <v>12037</v>
      </c>
      <c r="L1114" t="s">
        <v>2509</v>
      </c>
      <c r="M1114" t="str">
        <f>"https://www.artic.edu/iiif/2/"&amp;Table9[[#This Row],[Image ID]]&amp;"/full/843,/0/default.jpg"</f>
        <v>https://www.artic.edu/iiif/2/48844783-2ac8-5c2f-f792-c3a18ce3da3f/full/843,/0/default.jpg</v>
      </c>
      <c r="N1114" s="3">
        <v>0.82899999999999996</v>
      </c>
      <c r="O1114" s="3">
        <v>0.122</v>
      </c>
      <c r="P1114" s="3">
        <v>0.70699999999999996</v>
      </c>
      <c r="Q1114" s="3">
        <v>0.89099735021591098</v>
      </c>
    </row>
    <row r="1115" spans="1:17" x14ac:dyDescent="0.45">
      <c r="A1115" s="3">
        <v>44005</v>
      </c>
      <c r="B1115" t="b">
        <v>0</v>
      </c>
      <c r="C1115" t="b">
        <v>0</v>
      </c>
      <c r="D1115" s="3">
        <v>1944</v>
      </c>
      <c r="E1115" s="3">
        <v>1944</v>
      </c>
      <c r="F1115" t="s">
        <v>7742</v>
      </c>
      <c r="G1115" t="s">
        <v>7</v>
      </c>
      <c r="H1115" s="3">
        <v>65.203699999999998</v>
      </c>
      <c r="I1115" t="s">
        <v>2538</v>
      </c>
      <c r="J1115" t="s">
        <v>12135</v>
      </c>
      <c r="K1115" s="5" t="s">
        <v>45</v>
      </c>
      <c r="L1115" t="s">
        <v>7743</v>
      </c>
      <c r="M1115" t="str">
        <f>"https://www.artic.edu/iiif/2/"&amp;Table9[[#This Row],[Image ID]]&amp;"/full/843,/0/default.jpg"</f>
        <v>https://www.artic.edu/iiif/2/500f7396-cb06-bbce-6730-4112445bf49f/full/843,/0/default.jpg</v>
      </c>
      <c r="N1115" s="3">
        <v>0.75600000000000001</v>
      </c>
      <c r="O1115" s="3">
        <v>4.9000000000000002E-2</v>
      </c>
      <c r="P1115" s="3">
        <v>0.70699999999999996</v>
      </c>
      <c r="Q1115" s="3">
        <v>0.82219141721725397</v>
      </c>
    </row>
    <row r="1116" spans="1:17" x14ac:dyDescent="0.45">
      <c r="A1116" s="3">
        <v>110970</v>
      </c>
      <c r="B1116" t="b">
        <v>0</v>
      </c>
      <c r="C1116" t="b">
        <v>0</v>
      </c>
      <c r="D1116" s="3">
        <v>1937</v>
      </c>
      <c r="E1116" s="3">
        <v>1937</v>
      </c>
      <c r="F1116" t="s">
        <v>980</v>
      </c>
      <c r="G1116" t="s">
        <v>7</v>
      </c>
      <c r="H1116" s="3">
        <v>48.298299999999998</v>
      </c>
      <c r="I1116" t="s">
        <v>6932</v>
      </c>
      <c r="J1116" t="s">
        <v>12464</v>
      </c>
      <c r="K1116" s="5" t="s">
        <v>2</v>
      </c>
      <c r="L1116" t="s">
        <v>981</v>
      </c>
      <c r="M1116" t="str">
        <f>"https://www.artic.edu/iiif/2/"&amp;Table9[[#This Row],[Image ID]]&amp;"/full/843,/0/default.jpg"</f>
        <v>https://www.artic.edu/iiif/2/65c4dc22-a1e9-3b36-ae62-0064c04eeb94/full/843,/0/default.jpg</v>
      </c>
      <c r="N1116" s="3">
        <v>0.75600000000000001</v>
      </c>
      <c r="O1116" s="3">
        <v>4.9000000000000002E-2</v>
      </c>
      <c r="P1116" s="3">
        <v>0.70699999999999996</v>
      </c>
      <c r="Q1116" s="3">
        <v>0.76768326759338301</v>
      </c>
    </row>
    <row r="1117" spans="1:17" x14ac:dyDescent="0.45">
      <c r="A1117" s="3">
        <v>185032</v>
      </c>
      <c r="B1117" t="b">
        <v>0</v>
      </c>
      <c r="C1117" t="b">
        <v>0</v>
      </c>
      <c r="D1117" s="3">
        <v>2002</v>
      </c>
      <c r="E1117" s="3">
        <v>2002</v>
      </c>
      <c r="F1117" t="s">
        <v>4951</v>
      </c>
      <c r="G1117" t="s">
        <v>141</v>
      </c>
      <c r="H1117" s="3">
        <v>16.189499999999999</v>
      </c>
      <c r="I1117" t="s">
        <v>4952</v>
      </c>
      <c r="J1117" t="s">
        <v>6502</v>
      </c>
      <c r="K1117" s="5" t="s">
        <v>15</v>
      </c>
      <c r="L1117" t="s">
        <v>4953</v>
      </c>
      <c r="M1117" t="str">
        <f>"https://www.artic.edu/iiif/2/"&amp;Table9[[#This Row],[Image ID]]&amp;"/full/843,/0/default.jpg"</f>
        <v>https://www.artic.edu/iiif/2/6eae9932-5bd1-f369-09b9-02e7d48a0df4/full/843,/0/default.jpg</v>
      </c>
      <c r="N1117" s="3">
        <v>0.75600000000000001</v>
      </c>
      <c r="O1117" s="3">
        <v>4.9000000000000002E-2</v>
      </c>
      <c r="P1117" s="3">
        <v>0.70699999999999996</v>
      </c>
      <c r="Q1117" s="3">
        <v>0.71659398078918402</v>
      </c>
    </row>
    <row r="1118" spans="1:17" x14ac:dyDescent="0.45">
      <c r="A1118" s="3">
        <v>113529</v>
      </c>
      <c r="B1118" t="b">
        <v>0</v>
      </c>
      <c r="C1118" t="b">
        <v>0</v>
      </c>
      <c r="D1118" s="3">
        <v>1905</v>
      </c>
      <c r="E1118" s="3">
        <v>1930</v>
      </c>
      <c r="F1118" t="s">
        <v>1462</v>
      </c>
      <c r="G1118" t="s">
        <v>1463</v>
      </c>
      <c r="H1118" s="3">
        <v>23.052</v>
      </c>
      <c r="I1118" t="s">
        <v>1464</v>
      </c>
      <c r="J1118" t="s">
        <v>12590</v>
      </c>
      <c r="L1118" t="s">
        <v>1465</v>
      </c>
      <c r="M1118" t="str">
        <f>"https://www.artic.edu/iiif/2/"&amp;Table9[[#This Row],[Image ID]]&amp;"/full/843,/0/default.jpg"</f>
        <v>https://www.artic.edu/iiif/2/6f320455-7886-f3fb-61f7-b3c600a8374e/full/843,/0/default.jpg</v>
      </c>
      <c r="N1118" s="3">
        <v>0.75600000000000001</v>
      </c>
      <c r="O1118" s="3">
        <v>4.9000000000000002E-2</v>
      </c>
      <c r="P1118" s="3">
        <v>0.70699999999999996</v>
      </c>
      <c r="Q1118" s="3">
        <v>0.806834936141967</v>
      </c>
    </row>
    <row r="1119" spans="1:17" x14ac:dyDescent="0.45">
      <c r="A1119" s="3">
        <v>55685</v>
      </c>
      <c r="B1119" t="b">
        <v>0</v>
      </c>
      <c r="C1119" t="b">
        <v>0</v>
      </c>
      <c r="D1119" s="3">
        <v>1963</v>
      </c>
      <c r="E1119" s="3">
        <v>1965</v>
      </c>
      <c r="F1119" t="s">
        <v>8367</v>
      </c>
      <c r="G1119" t="s">
        <v>8364</v>
      </c>
      <c r="H1119" s="3">
        <v>41.457799999999999</v>
      </c>
      <c r="I1119" t="s">
        <v>599</v>
      </c>
      <c r="J1119" t="s">
        <v>11666</v>
      </c>
      <c r="L1119" t="s">
        <v>8368</v>
      </c>
      <c r="M1119" t="str">
        <f>"https://www.artic.edu/iiif/2/"&amp;Table9[[#This Row],[Image ID]]&amp;"/full/843,/0/default.jpg"</f>
        <v>https://www.artic.edu/iiif/2/74eb8af6-cd3c-9b3a-6aec-76c6279df036/full/843,/0/default.jpg</v>
      </c>
      <c r="N1119" s="3">
        <v>0.70699999999999996</v>
      </c>
      <c r="O1119" s="3">
        <v>0</v>
      </c>
      <c r="P1119" s="3">
        <v>0.70699999999999996</v>
      </c>
      <c r="Q1119" s="3">
        <v>0.77482277154922397</v>
      </c>
    </row>
    <row r="1120" spans="1:17" x14ac:dyDescent="0.45">
      <c r="A1120" s="3">
        <v>93343</v>
      </c>
      <c r="B1120" t="b">
        <v>0</v>
      </c>
      <c r="C1120" t="b">
        <v>0</v>
      </c>
      <c r="D1120" s="3">
        <v>1987</v>
      </c>
      <c r="E1120" s="3">
        <v>1987</v>
      </c>
      <c r="F1120" t="s">
        <v>10575</v>
      </c>
      <c r="G1120" t="s">
        <v>7</v>
      </c>
      <c r="H1120" s="3">
        <v>61.74</v>
      </c>
      <c r="I1120" t="s">
        <v>520</v>
      </c>
      <c r="J1120" t="s">
        <v>12801</v>
      </c>
      <c r="L1120" t="s">
        <v>10576</v>
      </c>
      <c r="M1120" t="str">
        <f>"https://www.artic.edu/iiif/2/"&amp;Table9[[#This Row],[Image ID]]&amp;"/full/843,/0/default.jpg"</f>
        <v>https://www.artic.edu/iiif/2/7f3be9ae-9eaa-54c9-790a-d1c3aa44f62e/full/843,/0/default.jpg</v>
      </c>
      <c r="N1120" s="3">
        <v>0.82899999999999996</v>
      </c>
      <c r="O1120" s="3">
        <v>0.122</v>
      </c>
      <c r="P1120" s="3">
        <v>0.70699999999999996</v>
      </c>
      <c r="Q1120" s="3">
        <v>0.82838821411132801</v>
      </c>
    </row>
    <row r="1121" spans="1:17" x14ac:dyDescent="0.45">
      <c r="A1121" s="3">
        <v>90899</v>
      </c>
      <c r="B1121" t="b">
        <v>0</v>
      </c>
      <c r="C1121" t="b">
        <v>0</v>
      </c>
      <c r="D1121" s="3">
        <v>1911</v>
      </c>
      <c r="E1121" s="3">
        <v>1911</v>
      </c>
      <c r="F1121" t="s">
        <v>10554</v>
      </c>
      <c r="G1121" t="s">
        <v>7</v>
      </c>
      <c r="H1121" s="3">
        <v>14.550599999999999</v>
      </c>
      <c r="I1121" t="s">
        <v>4535</v>
      </c>
      <c r="J1121" t="s">
        <v>13095</v>
      </c>
      <c r="K1121" s="5" t="s">
        <v>9</v>
      </c>
      <c r="L1121" t="s">
        <v>10555</v>
      </c>
      <c r="M1121" t="str">
        <f>"https://www.artic.edu/iiif/2/"&amp;Table9[[#This Row],[Image ID]]&amp;"/full/843,/0/default.jpg"</f>
        <v>https://www.artic.edu/iiif/2/9604cbbd-722b-8de3-e7cc-4a80be648d79/full/843,/0/default.jpg</v>
      </c>
      <c r="N1121" s="3">
        <v>0.75600000000000001</v>
      </c>
      <c r="O1121" s="3">
        <v>4.9000000000000002E-2</v>
      </c>
      <c r="P1121" s="3">
        <v>0.70699999999999996</v>
      </c>
      <c r="Q1121" s="3">
        <v>0.86755055189132602</v>
      </c>
    </row>
    <row r="1122" spans="1:17" x14ac:dyDescent="0.45">
      <c r="A1122" s="3">
        <v>70028</v>
      </c>
      <c r="B1122" t="b">
        <v>0</v>
      </c>
      <c r="C1122" t="b">
        <v>0</v>
      </c>
      <c r="D1122" s="3">
        <v>1940</v>
      </c>
      <c r="E1122" s="3">
        <v>1940</v>
      </c>
      <c r="F1122" t="s">
        <v>9419</v>
      </c>
      <c r="G1122" t="s">
        <v>272</v>
      </c>
      <c r="H1122" s="3">
        <v>46.662199999999999</v>
      </c>
      <c r="I1122" t="s">
        <v>1019</v>
      </c>
      <c r="J1122" t="s">
        <v>11342</v>
      </c>
      <c r="K1122" s="5" t="s">
        <v>45</v>
      </c>
      <c r="L1122" t="s">
        <v>9420</v>
      </c>
      <c r="M1122" t="str">
        <f>"https://www.artic.edu/iiif/2/"&amp;Table9[[#This Row],[Image ID]]&amp;"/full/843,/0/default.jpg"</f>
        <v>https://www.artic.edu/iiif/2/f368d532-9b58-62da-bd86-d16316f92487/full/843,/0/default.jpg</v>
      </c>
      <c r="N1122" s="3">
        <v>0.75600000000000001</v>
      </c>
      <c r="O1122" s="3">
        <v>4.9000000000000002E-2</v>
      </c>
      <c r="P1122" s="3">
        <v>0.70699999999999996</v>
      </c>
      <c r="Q1122" s="3">
        <v>0.80647480487823398</v>
      </c>
    </row>
    <row r="1123" spans="1:17" x14ac:dyDescent="0.45">
      <c r="A1123" s="3">
        <v>204610</v>
      </c>
      <c r="B1123" t="b">
        <v>0</v>
      </c>
      <c r="C1123" t="b">
        <v>0</v>
      </c>
      <c r="D1123" s="3">
        <v>2010</v>
      </c>
      <c r="E1123" s="3">
        <v>2010</v>
      </c>
      <c r="F1123" t="s">
        <v>5433</v>
      </c>
      <c r="G1123" t="s">
        <v>5434</v>
      </c>
      <c r="H1123" s="3">
        <v>13.979699999999999</v>
      </c>
      <c r="I1123" t="s">
        <v>5361</v>
      </c>
      <c r="J1123" t="s">
        <v>14388</v>
      </c>
      <c r="K1123" s="5" t="s">
        <v>15</v>
      </c>
      <c r="L1123" t="s">
        <v>5435</v>
      </c>
      <c r="M1123" t="str">
        <f>"https://www.artic.edu/iiif/2/"&amp;Table9[[#This Row],[Image ID]]&amp;"/full/843,/0/default.jpg"</f>
        <v>https://www.artic.edu/iiif/2/f59ebec4-80de-58b7-a6bb-1eddaf6dfc65/full/843,/0/default.jpg</v>
      </c>
      <c r="N1123" s="3">
        <v>0.82899999999999996</v>
      </c>
      <c r="O1123" s="3">
        <v>0.122</v>
      </c>
      <c r="P1123" s="3">
        <v>0.70699999999999996</v>
      </c>
      <c r="Q1123" s="3">
        <v>0.75815838575363104</v>
      </c>
    </row>
    <row r="1124" spans="1:17" x14ac:dyDescent="0.45">
      <c r="A1124" s="3">
        <v>15486</v>
      </c>
      <c r="B1124" t="b">
        <v>0</v>
      </c>
      <c r="C1124" t="b">
        <v>1</v>
      </c>
      <c r="D1124" s="3">
        <v>1705</v>
      </c>
      <c r="E1124" s="3">
        <v>1715</v>
      </c>
      <c r="F1124" t="s">
        <v>4001</v>
      </c>
      <c r="G1124" t="s">
        <v>7</v>
      </c>
      <c r="H1124" s="3">
        <v>18.855499999999999</v>
      </c>
      <c r="I1124" t="s">
        <v>1317</v>
      </c>
      <c r="J1124" t="s">
        <v>11255</v>
      </c>
      <c r="L1124" t="s">
        <v>4002</v>
      </c>
      <c r="M1124" t="str">
        <f>"https://www.artic.edu/iiif/2/"&amp;Table9[[#This Row],[Image ID]]&amp;"/full/843,/0/default.jpg"</f>
        <v>https://www.artic.edu/iiif/2/14dd6a9c-11d0-0ed1-abe5-91444e7715f9/full/843,/0/default.jpg</v>
      </c>
      <c r="N1124" s="3">
        <v>0.82899999999999996</v>
      </c>
      <c r="O1124" s="3">
        <v>0.122</v>
      </c>
      <c r="P1124" s="3">
        <v>0.70699999999999996</v>
      </c>
      <c r="Q1124" s="3">
        <v>0.92840951681136996</v>
      </c>
    </row>
    <row r="1125" spans="1:17" x14ac:dyDescent="0.45">
      <c r="A1125" s="3">
        <v>39223</v>
      </c>
      <c r="B1125" t="b">
        <v>0</v>
      </c>
      <c r="C1125" t="b">
        <v>1</v>
      </c>
      <c r="D1125" s="3">
        <v>1835</v>
      </c>
      <c r="E1125" s="3">
        <v>1882</v>
      </c>
      <c r="F1125" t="s">
        <v>7521</v>
      </c>
      <c r="G1125" t="s">
        <v>7522</v>
      </c>
      <c r="H1125" s="3">
        <v>19.885300000000001</v>
      </c>
      <c r="I1125" t="s">
        <v>5317</v>
      </c>
      <c r="J1125" t="s">
        <v>12097</v>
      </c>
      <c r="L1125" t="s">
        <v>7523</v>
      </c>
      <c r="M1125" t="str">
        <f>"https://www.artic.edu/iiif/2/"&amp;Table9[[#This Row],[Image ID]]&amp;"/full/843,/0/default.jpg"</f>
        <v>https://www.artic.edu/iiif/2/4d351987-4048-db1b-5d33-dac39830ebec/full/843,/0/default.jpg</v>
      </c>
      <c r="N1125" s="3">
        <v>0.75600000000000001</v>
      </c>
      <c r="O1125" s="3">
        <v>4.9000000000000002E-2</v>
      </c>
      <c r="P1125" s="3">
        <v>0.70699999999999996</v>
      </c>
      <c r="Q1125" s="3">
        <v>0.75907456874847401</v>
      </c>
    </row>
    <row r="1126" spans="1:17" x14ac:dyDescent="0.45">
      <c r="A1126" s="3">
        <v>16307</v>
      </c>
      <c r="B1126" t="b">
        <v>0</v>
      </c>
      <c r="C1126" t="b">
        <v>1</v>
      </c>
      <c r="D1126" s="3">
        <v>1490</v>
      </c>
      <c r="E1126" s="3">
        <v>1500</v>
      </c>
      <c r="F1126" t="s">
        <v>14593</v>
      </c>
      <c r="G1126" t="s">
        <v>75</v>
      </c>
      <c r="H1126" s="3">
        <v>46.574399999999997</v>
      </c>
      <c r="I1126" t="s">
        <v>1007</v>
      </c>
      <c r="J1126" t="s">
        <v>12510</v>
      </c>
      <c r="L1126" t="s">
        <v>4353</v>
      </c>
      <c r="M1126" t="str">
        <f>"https://www.artic.edu/iiif/2/"&amp;Table9[[#This Row],[Image ID]]&amp;"/full/843,/0/default.jpg"</f>
        <v>https://www.artic.edu/iiif/2/69a96c88-813f-1139-b3cc-c0c14b3a0fdb/full/843,/0/default.jpg</v>
      </c>
      <c r="N1126" s="3">
        <v>0.70699999999999996</v>
      </c>
      <c r="O1126" s="3">
        <v>0</v>
      </c>
      <c r="P1126" s="3">
        <v>0.70699999999999996</v>
      </c>
      <c r="Q1126" s="3">
        <v>0.79096883535385099</v>
      </c>
    </row>
    <row r="1127" spans="1:17" x14ac:dyDescent="0.45">
      <c r="A1127" s="3">
        <v>87763</v>
      </c>
      <c r="B1127" t="b">
        <v>0</v>
      </c>
      <c r="C1127" t="b">
        <v>1</v>
      </c>
      <c r="D1127" s="3">
        <v>1597</v>
      </c>
      <c r="E1127" s="3">
        <v>1597</v>
      </c>
      <c r="F1127" t="s">
        <v>10402</v>
      </c>
      <c r="G1127" t="s">
        <v>75</v>
      </c>
      <c r="H1127" s="3">
        <v>30.849900000000002</v>
      </c>
      <c r="J1127" t="s">
        <v>12656</v>
      </c>
      <c r="L1127" t="s">
        <v>10403</v>
      </c>
      <c r="M1127" t="str">
        <f>"https://www.artic.edu/iiif/2/"&amp;Table9[[#This Row],[Image ID]]&amp;"/full/843,/0/default.jpg"</f>
        <v>https://www.artic.edu/iiif/2/73e55d5b-8076-f5d9-1dd6-309d29b1fdea/full/843,/0/default.jpg</v>
      </c>
      <c r="N1127" s="3">
        <v>0.75600000000000001</v>
      </c>
      <c r="O1127" s="3">
        <v>4.9000000000000002E-2</v>
      </c>
      <c r="P1127" s="3">
        <v>0.70699999999999996</v>
      </c>
      <c r="Q1127" s="3">
        <v>0.73550039529800404</v>
      </c>
    </row>
    <row r="1128" spans="1:17" x14ac:dyDescent="0.45">
      <c r="A1128" s="3">
        <v>94125</v>
      </c>
      <c r="B1128" t="b">
        <v>0</v>
      </c>
      <c r="C1128" t="b">
        <v>1</v>
      </c>
      <c r="D1128" s="3">
        <v>1723</v>
      </c>
      <c r="E1128" s="3">
        <v>1733</v>
      </c>
      <c r="F1128" t="s">
        <v>10728</v>
      </c>
      <c r="G1128" t="s">
        <v>7</v>
      </c>
      <c r="H1128" s="3">
        <v>35.682699999999997</v>
      </c>
      <c r="I1128" t="s">
        <v>10729</v>
      </c>
      <c r="J1128" t="s">
        <v>12802</v>
      </c>
      <c r="L1128" t="s">
        <v>10730</v>
      </c>
      <c r="M1128" t="str">
        <f>"https://www.artic.edu/iiif/2/"&amp;Table9[[#This Row],[Image ID]]&amp;"/full/843,/0/default.jpg"</f>
        <v>https://www.artic.edu/iiif/2/7f41bfb7-ea0c-f173-bb1f-19def17f06aa/full/843,/0/default.jpg</v>
      </c>
      <c r="N1128" s="3">
        <v>0.75600000000000001</v>
      </c>
      <c r="O1128" s="3">
        <v>4.9000000000000002E-2</v>
      </c>
      <c r="P1128" s="3">
        <v>0.70699999999999996</v>
      </c>
      <c r="Q1128" s="3">
        <v>0.74900263547897294</v>
      </c>
    </row>
    <row r="1129" spans="1:17" x14ac:dyDescent="0.45">
      <c r="A1129" s="3">
        <v>16373</v>
      </c>
      <c r="B1129" t="b">
        <v>0</v>
      </c>
      <c r="C1129" t="b">
        <v>1</v>
      </c>
      <c r="D1129" s="3">
        <v>1775</v>
      </c>
      <c r="E1129" s="3">
        <v>1800</v>
      </c>
      <c r="F1129" t="s">
        <v>4398</v>
      </c>
      <c r="G1129" t="s">
        <v>7</v>
      </c>
      <c r="H1129" s="3">
        <v>32.472999999999999</v>
      </c>
      <c r="I1129" t="s">
        <v>4399</v>
      </c>
      <c r="J1129" t="s">
        <v>13415</v>
      </c>
      <c r="L1129" t="s">
        <v>4400</v>
      </c>
      <c r="M1129" t="str">
        <f>"https://www.artic.edu/iiif/2/"&amp;Table9[[#This Row],[Image ID]]&amp;"/full/843,/0/default.jpg"</f>
        <v>https://www.artic.edu/iiif/2/ad7deb75-7dce-05dd-3b42-bddea6f51ba6/full/843,/0/default.jpg</v>
      </c>
      <c r="N1129" s="3">
        <v>0.75600000000000001</v>
      </c>
      <c r="O1129" s="3">
        <v>4.9000000000000002E-2</v>
      </c>
      <c r="P1129" s="3">
        <v>0.70699999999999996</v>
      </c>
      <c r="Q1129" s="3">
        <v>0.77096128463745095</v>
      </c>
    </row>
    <row r="1130" spans="1:17" x14ac:dyDescent="0.45">
      <c r="A1130" s="3">
        <v>39169</v>
      </c>
      <c r="B1130" t="b">
        <v>0</v>
      </c>
      <c r="C1130" t="b">
        <v>1</v>
      </c>
      <c r="D1130" s="3">
        <v>1837</v>
      </c>
      <c r="E1130" s="3">
        <v>1864</v>
      </c>
      <c r="F1130" t="s">
        <v>7479</v>
      </c>
      <c r="G1130" t="s">
        <v>1374</v>
      </c>
      <c r="H1130" s="3">
        <v>31.3233</v>
      </c>
      <c r="I1130" t="s">
        <v>1295</v>
      </c>
      <c r="J1130" t="s">
        <v>13991</v>
      </c>
      <c r="L1130" t="s">
        <v>7480</v>
      </c>
      <c r="M1130" t="str">
        <f>"https://www.artic.edu/iiif/2/"&amp;Table9[[#This Row],[Image ID]]&amp;"/full/843,/0/default.jpg"</f>
        <v>https://www.artic.edu/iiif/2/db0b5990-cab8-133e-97ac-530ea42a86c0/full/843,/0/default.jpg</v>
      </c>
      <c r="N1130" s="3">
        <v>0.82899999999999996</v>
      </c>
      <c r="O1130" s="3">
        <v>0.122</v>
      </c>
      <c r="P1130" s="3">
        <v>0.70699999999999996</v>
      </c>
      <c r="Q1130" s="3">
        <v>0.70523488521575906</v>
      </c>
    </row>
    <row r="1131" spans="1:17" x14ac:dyDescent="0.45">
      <c r="A1131" s="3">
        <v>36678</v>
      </c>
      <c r="B1131" t="b">
        <v>0</v>
      </c>
      <c r="C1131" t="b">
        <v>1</v>
      </c>
      <c r="D1131" s="3">
        <v>1865</v>
      </c>
      <c r="E1131" s="3">
        <v>1875</v>
      </c>
      <c r="F1131" t="s">
        <v>7242</v>
      </c>
      <c r="G1131" t="s">
        <v>7</v>
      </c>
      <c r="H1131" s="3">
        <v>23.335000000000001</v>
      </c>
      <c r="I1131" t="s">
        <v>14697</v>
      </c>
      <c r="J1131" t="s">
        <v>14257</v>
      </c>
      <c r="L1131" t="s">
        <v>7243</v>
      </c>
      <c r="M1131" t="str">
        <f>"https://www.artic.edu/iiif/2/"&amp;Table9[[#This Row],[Image ID]]&amp;"/full/843,/0/default.jpg"</f>
        <v>https://www.artic.edu/iiif/2/ec4367a5-52b8-79a5-7e7d-dbaff46d4f4e/full/843,/0/default.jpg</v>
      </c>
      <c r="N1131" s="3">
        <v>0.75600000000000001</v>
      </c>
      <c r="O1131" s="3">
        <v>4.9000000000000002E-2</v>
      </c>
      <c r="P1131" s="3">
        <v>0.70699999999999996</v>
      </c>
      <c r="Q1131" s="3">
        <v>0.77041000127792303</v>
      </c>
    </row>
    <row r="1132" spans="1:17" ht="99.75" x14ac:dyDescent="0.45">
      <c r="A1132" s="3">
        <v>864</v>
      </c>
      <c r="B1132" t="b">
        <v>0</v>
      </c>
      <c r="C1132" t="b">
        <v>1</v>
      </c>
      <c r="D1132" s="3">
        <v>1504</v>
      </c>
      <c r="E1132" s="3">
        <v>1514</v>
      </c>
      <c r="F1132" t="s">
        <v>10331</v>
      </c>
      <c r="G1132" t="s">
        <v>75</v>
      </c>
      <c r="H1132" s="3">
        <v>38.408099999999997</v>
      </c>
      <c r="I1132" t="s">
        <v>10332</v>
      </c>
      <c r="J1132" s="1" t="s">
        <v>14417</v>
      </c>
      <c r="L1132" t="s">
        <v>10333</v>
      </c>
      <c r="M1132" t="str">
        <f>"https://www.artic.edu/iiif/2/"&amp;Table9[[#This Row],[Image ID]]&amp;"/full/843,/0/default.jpg"</f>
        <v>https://www.artic.edu/iiif/2/f731615e-ee25-f8e5-b957-69635e1e2d60/full/843,/0/default.jpg</v>
      </c>
      <c r="N1132" s="3">
        <v>0.82899999999999996</v>
      </c>
      <c r="O1132" s="3">
        <v>0.122</v>
      </c>
      <c r="P1132" s="3">
        <v>0.70699999999999996</v>
      </c>
      <c r="Q1132" s="3">
        <v>0.80601602792739802</v>
      </c>
    </row>
    <row r="1133" spans="1:17" x14ac:dyDescent="0.45">
      <c r="A1133" s="3">
        <v>38913</v>
      </c>
      <c r="B1133" t="b">
        <v>0</v>
      </c>
      <c r="C1133" t="b">
        <v>1</v>
      </c>
      <c r="D1133" s="3">
        <v>1776</v>
      </c>
      <c r="E1133" s="3">
        <v>1827</v>
      </c>
      <c r="F1133" t="s">
        <v>7321</v>
      </c>
      <c r="G1133" t="s">
        <v>7322</v>
      </c>
      <c r="H1133" s="3">
        <v>30.539400000000001</v>
      </c>
      <c r="I1133" t="s">
        <v>1266</v>
      </c>
      <c r="J1133" t="s">
        <v>14439</v>
      </c>
      <c r="L1133" t="s">
        <v>7323</v>
      </c>
      <c r="M1133" t="str">
        <f>"https://www.artic.edu/iiif/2/"&amp;Table9[[#This Row],[Image ID]]&amp;"/full/843,/0/default.jpg"</f>
        <v>https://www.artic.edu/iiif/2/f9098289-6387-430d-0448-8a9bf2953f39/full/843,/0/default.jpg</v>
      </c>
      <c r="N1133" s="3">
        <v>0.878</v>
      </c>
      <c r="O1133" s="3">
        <v>0.17100000000000001</v>
      </c>
      <c r="P1133" s="3">
        <v>0.70699999999999996</v>
      </c>
      <c r="Q1133" s="3">
        <v>0.65859079360961903</v>
      </c>
    </row>
    <row r="1134" spans="1:17" x14ac:dyDescent="0.45">
      <c r="A1134" s="3">
        <v>54796</v>
      </c>
      <c r="B1134" t="b">
        <v>0</v>
      </c>
      <c r="C1134" t="b">
        <v>0</v>
      </c>
      <c r="D1134" s="3">
        <v>1912</v>
      </c>
      <c r="E1134" s="3">
        <v>1946</v>
      </c>
      <c r="F1134" t="s">
        <v>8308</v>
      </c>
      <c r="G1134" t="s">
        <v>642</v>
      </c>
      <c r="H1134" s="3">
        <v>18.435099999999998</v>
      </c>
      <c r="I1134" t="s">
        <v>8309</v>
      </c>
      <c r="J1134" t="s">
        <v>12501</v>
      </c>
      <c r="L1134" t="s">
        <v>8310</v>
      </c>
      <c r="M1134" t="str">
        <f>"https://www.artic.edu/iiif/2/"&amp;Table9[[#This Row],[Image ID]]&amp;"/full/843,/0/default.jpg"</f>
        <v>https://www.artic.edu/iiif/2/689a4ec4-479d-3f3e-bf64-f33aa62ec1cb/full/843,/0/default.jpg</v>
      </c>
      <c r="N1134" s="3">
        <v>0.8</v>
      </c>
      <c r="O1134" s="3">
        <v>9.5000000000000001E-2</v>
      </c>
      <c r="P1134" s="3">
        <v>0.70500000000000007</v>
      </c>
      <c r="Q1134" s="3">
        <v>0.63616287708282404</v>
      </c>
    </row>
    <row r="1135" spans="1:17" x14ac:dyDescent="0.45">
      <c r="A1135" s="3">
        <v>25042</v>
      </c>
      <c r="B1135" t="b">
        <v>0</v>
      </c>
      <c r="C1135" t="b">
        <v>0</v>
      </c>
      <c r="D1135" s="3">
        <v>1959</v>
      </c>
      <c r="E1135" s="3">
        <v>1959</v>
      </c>
      <c r="F1135" t="s">
        <v>6466</v>
      </c>
      <c r="G1135" t="s">
        <v>59</v>
      </c>
      <c r="H1135" s="3">
        <v>76.862399999999994</v>
      </c>
      <c r="I1135" t="s">
        <v>5985</v>
      </c>
      <c r="J1135" t="s">
        <v>13207</v>
      </c>
      <c r="L1135" t="s">
        <v>6467</v>
      </c>
      <c r="M1135" t="str">
        <f>"https://www.artic.edu/iiif/2/"&amp;Table9[[#This Row],[Image ID]]&amp;"/full/843,/0/default.jpg"</f>
        <v>https://www.artic.edu/iiif/2/9e17cdd0-b22c-a3aa-5f94-9ac14e93c110/full/843,/0/default.jpg</v>
      </c>
      <c r="N1135" s="3">
        <v>0.77300000000000002</v>
      </c>
      <c r="O1135" s="3">
        <v>6.8000000000000005E-2</v>
      </c>
      <c r="P1135" s="3">
        <v>0.70500000000000007</v>
      </c>
      <c r="Q1135" s="3">
        <v>0.91892921924590998</v>
      </c>
    </row>
    <row r="1136" spans="1:17" x14ac:dyDescent="0.45">
      <c r="A1136" s="3">
        <v>65945</v>
      </c>
      <c r="B1136" t="b">
        <v>0</v>
      </c>
      <c r="C1136" t="b">
        <v>0</v>
      </c>
      <c r="D1136" s="3">
        <v>1935</v>
      </c>
      <c r="E1136" s="3">
        <v>1935</v>
      </c>
      <c r="F1136" t="s">
        <v>9108</v>
      </c>
      <c r="G1136" t="s">
        <v>2611</v>
      </c>
      <c r="H1136" s="3">
        <v>22.368500000000001</v>
      </c>
      <c r="I1136" t="s">
        <v>1019</v>
      </c>
      <c r="J1136" t="s">
        <v>13831</v>
      </c>
      <c r="K1136" s="5" t="s">
        <v>45</v>
      </c>
      <c r="L1136" t="s">
        <v>9109</v>
      </c>
      <c r="M1136" t="str">
        <f>"https://www.artic.edu/iiif/2/"&amp;Table9[[#This Row],[Image ID]]&amp;"/full/843,/0/default.jpg"</f>
        <v>https://www.artic.edu/iiif/2/cf3e677c-6a9b-b17b-60b1-b6a8cee49389/full/843,/0/default.jpg</v>
      </c>
      <c r="N1136" s="3">
        <v>0.77300000000000002</v>
      </c>
      <c r="O1136" s="3">
        <v>6.8000000000000005E-2</v>
      </c>
      <c r="P1136" s="3">
        <v>0.70500000000000007</v>
      </c>
      <c r="Q1136" s="3">
        <v>0.80338031053543002</v>
      </c>
    </row>
    <row r="1137" spans="1:17" x14ac:dyDescent="0.45">
      <c r="A1137" s="3">
        <v>228835</v>
      </c>
      <c r="B1137" t="b">
        <v>0</v>
      </c>
      <c r="C1137" t="b">
        <v>0</v>
      </c>
      <c r="D1137" s="3">
        <v>1989</v>
      </c>
      <c r="E1137" s="3">
        <v>1989</v>
      </c>
      <c r="F1137" t="s">
        <v>6015</v>
      </c>
      <c r="G1137" t="s">
        <v>141</v>
      </c>
      <c r="H1137" s="3">
        <v>4.0731000000000002</v>
      </c>
      <c r="I1137" t="s">
        <v>6016</v>
      </c>
      <c r="J1137" t="s">
        <v>11455</v>
      </c>
      <c r="L1137" t="s">
        <v>6017</v>
      </c>
      <c r="M1137" t="str">
        <f>"https://www.artic.edu/iiif/2/"&amp;Table9[[#This Row],[Image ID]]&amp;"/full/843,/0/default.jpg"</f>
        <v>https://www.artic.edu/iiif/2/21facd89-2310-71c9-c9e3-e202bf922007/full/843,/0/default.jpg</v>
      </c>
      <c r="N1137" s="3">
        <v>0.84099999999999997</v>
      </c>
      <c r="O1137" s="3">
        <v>0.13600000000000001</v>
      </c>
      <c r="P1137" s="3">
        <v>0.70499999999999996</v>
      </c>
      <c r="Q1137" s="3">
        <v>0.86326044797897294</v>
      </c>
    </row>
    <row r="1138" spans="1:17" x14ac:dyDescent="0.45">
      <c r="A1138" s="3">
        <v>61148</v>
      </c>
      <c r="B1138" t="b">
        <v>0</v>
      </c>
      <c r="C1138" t="b">
        <v>1</v>
      </c>
      <c r="D1138" s="3">
        <v>1808</v>
      </c>
      <c r="E1138" s="3">
        <v>1810</v>
      </c>
      <c r="F1138" t="s">
        <v>8784</v>
      </c>
      <c r="G1138" t="s">
        <v>2618</v>
      </c>
      <c r="H1138" s="3">
        <v>14.229799999999999</v>
      </c>
      <c r="I1138" t="s">
        <v>8785</v>
      </c>
      <c r="J1138" t="s">
        <v>12019</v>
      </c>
      <c r="L1138" t="s">
        <v>8786</v>
      </c>
      <c r="M1138" t="str">
        <f>"https://www.artic.edu/iiif/2/"&amp;Table9[[#This Row],[Image ID]]&amp;"/full/843,/0/default.jpg"</f>
        <v>https://www.artic.edu/iiif/2/4703b7c5-4b71-2c46-02af-38f959ef958c/full/843,/0/default.jpg</v>
      </c>
      <c r="N1138" s="3">
        <v>0.81799999999999995</v>
      </c>
      <c r="O1138" s="3">
        <v>0.114</v>
      </c>
      <c r="P1138" s="3">
        <v>0.70399999999999996</v>
      </c>
      <c r="Q1138" s="3">
        <v>0.81696921586990301</v>
      </c>
    </row>
    <row r="1139" spans="1:17" x14ac:dyDescent="0.45">
      <c r="A1139" s="3">
        <v>120103</v>
      </c>
      <c r="B1139" t="b">
        <v>0</v>
      </c>
      <c r="C1139" t="b">
        <v>1</v>
      </c>
      <c r="D1139" s="3">
        <v>1827</v>
      </c>
      <c r="E1139" s="3">
        <v>1830</v>
      </c>
      <c r="F1139" t="s">
        <v>2621</v>
      </c>
      <c r="G1139" t="s">
        <v>2618</v>
      </c>
      <c r="H1139" s="3">
        <v>42.0105</v>
      </c>
      <c r="I1139" t="s">
        <v>2619</v>
      </c>
      <c r="J1139" t="s">
        <v>12992</v>
      </c>
      <c r="K1139" s="5" t="s">
        <v>125</v>
      </c>
      <c r="L1139" t="s">
        <v>2622</v>
      </c>
      <c r="M1139" t="str">
        <f>"https://www.artic.edu/iiif/2/"&amp;Table9[[#This Row],[Image ID]]&amp;"/full/843,/0/default.jpg"</f>
        <v>https://www.artic.edu/iiif/2/b2f75a32-a859-e514-3715-2700ed54550b/full/843,/0/default.jpg</v>
      </c>
      <c r="N1139" s="3">
        <v>0.72699999999999998</v>
      </c>
      <c r="O1139" s="3">
        <v>2.3E-2</v>
      </c>
      <c r="P1139" s="3">
        <v>0.70399999999999996</v>
      </c>
      <c r="Q1139" s="3">
        <v>0.86060482263564997</v>
      </c>
    </row>
    <row r="1140" spans="1:17" x14ac:dyDescent="0.45">
      <c r="A1140" s="3">
        <v>129695</v>
      </c>
      <c r="B1140" t="b">
        <v>0</v>
      </c>
      <c r="C1140" t="b">
        <v>0</v>
      </c>
      <c r="D1140" s="3">
        <v>1941</v>
      </c>
      <c r="E1140" s="3">
        <v>1941</v>
      </c>
      <c r="F1140" t="s">
        <v>2930</v>
      </c>
      <c r="G1140" t="s">
        <v>2892</v>
      </c>
      <c r="H1140" s="3">
        <v>21.488</v>
      </c>
      <c r="I1140" t="s">
        <v>14549</v>
      </c>
      <c r="J1140" t="s">
        <v>10990</v>
      </c>
      <c r="L1140" t="s">
        <v>2931</v>
      </c>
      <c r="M1140" t="str">
        <f>"https://www.artic.edu/iiif/2/"&amp;Table9[[#This Row],[Image ID]]&amp;"/full/843,/0/default.jpg"</f>
        <v>https://www.artic.edu/iiif/2/6ec3e88b-ae2e-09e8-146f-c7d67fef6a4a/full/843,/0/default.jpg</v>
      </c>
      <c r="N1140" s="3">
        <v>0.82499999999999996</v>
      </c>
      <c r="O1140" s="3">
        <v>0.122</v>
      </c>
      <c r="P1140" s="3">
        <v>0.70299999999999996</v>
      </c>
      <c r="Q1140" s="3">
        <v>0.83355081081390303</v>
      </c>
    </row>
    <row r="1141" spans="1:17" x14ac:dyDescent="0.45">
      <c r="A1141" s="3">
        <v>20545</v>
      </c>
      <c r="B1141" t="b">
        <v>0</v>
      </c>
      <c r="C1141" t="b">
        <v>1</v>
      </c>
      <c r="D1141" s="3">
        <v>1886</v>
      </c>
      <c r="E1141" s="3">
        <v>1886</v>
      </c>
      <c r="F1141" t="s">
        <v>5465</v>
      </c>
      <c r="G1141" t="s">
        <v>7</v>
      </c>
      <c r="H1141" s="3">
        <v>16.1128</v>
      </c>
      <c r="I1141" t="s">
        <v>43</v>
      </c>
      <c r="J1141" t="s">
        <v>11545</v>
      </c>
      <c r="K1141" s="5" t="s">
        <v>9</v>
      </c>
      <c r="L1141" t="s">
        <v>5466</v>
      </c>
      <c r="M1141" t="str">
        <f>"https://www.artic.edu/iiif/2/"&amp;Table9[[#This Row],[Image ID]]&amp;"/full/843,/0/default.jpg"</f>
        <v>https://www.artic.edu/iiif/2/2765aee9-3d78-ec6c-5c66-a1d9dc8173f6/full/843,/0/default.jpg</v>
      </c>
      <c r="N1141" s="3">
        <v>0.82499999999999996</v>
      </c>
      <c r="O1141" s="3">
        <v>0.122</v>
      </c>
      <c r="P1141" s="3">
        <v>0.70299999999999996</v>
      </c>
      <c r="Q1141" s="3">
        <v>0.57201576232910101</v>
      </c>
    </row>
    <row r="1142" spans="1:17" x14ac:dyDescent="0.45">
      <c r="A1142" s="3">
        <v>104082</v>
      </c>
      <c r="B1142" t="b">
        <v>0</v>
      </c>
      <c r="C1142" t="b">
        <v>1</v>
      </c>
      <c r="D1142" s="3">
        <v>1842</v>
      </c>
      <c r="E1142" s="3">
        <v>1842</v>
      </c>
      <c r="F1142" t="s">
        <v>343</v>
      </c>
      <c r="G1142" t="s">
        <v>75</v>
      </c>
      <c r="H1142" s="3">
        <v>25.313099999999999</v>
      </c>
      <c r="I1142" t="s">
        <v>344</v>
      </c>
      <c r="J1142" t="s">
        <v>13463</v>
      </c>
      <c r="L1142" t="s">
        <v>345</v>
      </c>
      <c r="M1142" t="str">
        <f>"https://www.artic.edu/iiif/2/"&amp;Table9[[#This Row],[Image ID]]&amp;"/full/843,/0/default.jpg"</f>
        <v>https://www.artic.edu/iiif/2/b0b87de8-dfad-ebe4-818b-80020c029a53/full/843,/0/default.jpg</v>
      </c>
      <c r="N1142" s="3">
        <v>0.82499999999999996</v>
      </c>
      <c r="O1142" s="3">
        <v>0.122</v>
      </c>
      <c r="P1142" s="3">
        <v>0.70299999999999996</v>
      </c>
      <c r="Q1142" s="3">
        <v>0.79806089401245095</v>
      </c>
    </row>
    <row r="1143" spans="1:17" x14ac:dyDescent="0.45">
      <c r="A1143" s="3">
        <v>107688</v>
      </c>
      <c r="B1143" t="b">
        <v>0</v>
      </c>
      <c r="C1143" t="b">
        <v>0</v>
      </c>
      <c r="D1143" s="3">
        <v>1910</v>
      </c>
      <c r="E1143" s="3">
        <v>1913</v>
      </c>
      <c r="F1143" t="s">
        <v>685</v>
      </c>
      <c r="G1143" t="s">
        <v>642</v>
      </c>
      <c r="H1143" s="3">
        <v>24.147099999999998</v>
      </c>
      <c r="I1143" t="s">
        <v>342</v>
      </c>
      <c r="J1143" t="s">
        <v>11511</v>
      </c>
      <c r="L1143" t="s">
        <v>686</v>
      </c>
      <c r="M1143" t="str">
        <f>"https://www.artic.edu/iiif/2/"&amp;Table9[[#This Row],[Image ID]]&amp;"/full/843,/0/default.jpg"</f>
        <v>https://www.artic.edu/iiif/2/25f8c9e6-c31f-0eb8-43e7-fa3c27688143/full/843,/0/default.jpg</v>
      </c>
      <c r="N1143" s="3">
        <v>0.8</v>
      </c>
      <c r="O1143" s="3">
        <v>9.8000000000000004E-2</v>
      </c>
      <c r="P1143" s="3">
        <v>0.70200000000000007</v>
      </c>
      <c r="Q1143" s="3">
        <v>0.466217160224914</v>
      </c>
    </row>
    <row r="1144" spans="1:17" x14ac:dyDescent="0.45">
      <c r="A1144" s="3">
        <v>143675</v>
      </c>
      <c r="B1144" t="b">
        <v>0</v>
      </c>
      <c r="C1144" t="b">
        <v>0</v>
      </c>
      <c r="D1144" s="3">
        <v>1980</v>
      </c>
      <c r="E1144" s="3">
        <v>1980</v>
      </c>
      <c r="F1144" t="s">
        <v>3315</v>
      </c>
      <c r="G1144" t="s">
        <v>3316</v>
      </c>
      <c r="H1144" s="3">
        <v>21.3459</v>
      </c>
      <c r="I1144" t="s">
        <v>3317</v>
      </c>
      <c r="J1144" t="s">
        <v>11895</v>
      </c>
      <c r="L1144" t="s">
        <v>3318</v>
      </c>
      <c r="M1144" t="str">
        <f>"https://www.artic.edu/iiif/2/"&amp;Table9[[#This Row],[Image ID]]&amp;"/full/843,/0/default.jpg"</f>
        <v>https://www.artic.edu/iiif/2/3ec6d704-7793-7004-3724-a6c0aec3e54f/full/843,/0/default.jpg</v>
      </c>
      <c r="N1144" s="3">
        <v>0.77500000000000002</v>
      </c>
      <c r="O1144" s="3">
        <v>7.2999999999999995E-2</v>
      </c>
      <c r="P1144" s="3">
        <v>0.70200000000000007</v>
      </c>
      <c r="Q1144" s="3">
        <v>0.66160827875137296</v>
      </c>
    </row>
    <row r="1145" spans="1:17" x14ac:dyDescent="0.45">
      <c r="A1145" s="3">
        <v>146998</v>
      </c>
      <c r="B1145" t="b">
        <v>0</v>
      </c>
      <c r="C1145" t="b">
        <v>0</v>
      </c>
      <c r="D1145" s="3">
        <v>1969</v>
      </c>
      <c r="E1145" s="3">
        <v>1969</v>
      </c>
      <c r="F1145" t="s">
        <v>3559</v>
      </c>
      <c r="G1145" t="s">
        <v>7</v>
      </c>
      <c r="H1145" s="3">
        <v>11.415900000000001</v>
      </c>
      <c r="I1145" t="s">
        <v>52</v>
      </c>
      <c r="J1145" t="s">
        <v>13191</v>
      </c>
      <c r="L1145" t="s">
        <v>3560</v>
      </c>
      <c r="M1145" t="str">
        <f>"https://www.artic.edu/iiif/2/"&amp;Table9[[#This Row],[Image ID]]&amp;"/full/843,/0/default.jpg"</f>
        <v>https://www.artic.edu/iiif/2/9cfecb3d-7496-1b54-5650-25876a5decfe/full/843,/0/default.jpg</v>
      </c>
      <c r="N1145" s="3">
        <v>0.77500000000000002</v>
      </c>
      <c r="O1145" s="3">
        <v>7.2999999999999995E-2</v>
      </c>
      <c r="P1145" s="3">
        <v>0.70200000000000007</v>
      </c>
      <c r="Q1145" s="3">
        <v>0.53626543283462502</v>
      </c>
    </row>
    <row r="1146" spans="1:17" x14ac:dyDescent="0.45">
      <c r="A1146" s="3">
        <v>65864</v>
      </c>
      <c r="B1146" t="b">
        <v>0</v>
      </c>
      <c r="C1146" t="b">
        <v>0</v>
      </c>
      <c r="D1146" s="3">
        <v>1922</v>
      </c>
      <c r="E1146" s="3">
        <v>1922</v>
      </c>
      <c r="F1146" t="s">
        <v>3180</v>
      </c>
      <c r="G1146" t="s">
        <v>9077</v>
      </c>
      <c r="H1146" s="3">
        <v>16.529399999999999</v>
      </c>
      <c r="I1146" t="s">
        <v>1430</v>
      </c>
      <c r="J1146" t="s">
        <v>13269</v>
      </c>
      <c r="K1146" s="5" t="s">
        <v>45</v>
      </c>
      <c r="L1146" t="s">
        <v>9078</v>
      </c>
      <c r="M1146" t="str">
        <f>"https://www.artic.edu/iiif/2/"&amp;Table9[[#This Row],[Image ID]]&amp;"/full/843,/0/default.jpg"</f>
        <v>https://www.artic.edu/iiif/2/a2d5b612-0900-562e-a9a0-d3efac7ccb01/full/843,/0/default.jpg</v>
      </c>
      <c r="N1146" s="3">
        <v>0.8</v>
      </c>
      <c r="O1146" s="3">
        <v>9.8000000000000004E-2</v>
      </c>
      <c r="P1146" s="3">
        <v>0.70200000000000007</v>
      </c>
      <c r="Q1146" s="3">
        <v>0.80136799812316895</v>
      </c>
    </row>
    <row r="1147" spans="1:17" x14ac:dyDescent="0.45">
      <c r="A1147" s="3">
        <v>100487</v>
      </c>
      <c r="B1147" t="b">
        <v>0</v>
      </c>
      <c r="C1147" t="b">
        <v>1</v>
      </c>
      <c r="D1147" s="3">
        <v>1815</v>
      </c>
      <c r="E1147" s="3">
        <v>1825</v>
      </c>
      <c r="F1147" t="s">
        <v>118</v>
      </c>
      <c r="G1147" t="s">
        <v>119</v>
      </c>
      <c r="H1147" s="3">
        <v>20.404499999999999</v>
      </c>
      <c r="J1147" t="s">
        <v>11915</v>
      </c>
      <c r="K1147" s="5" t="s">
        <v>4</v>
      </c>
      <c r="L1147" t="s">
        <v>120</v>
      </c>
      <c r="M1147" t="str">
        <f>"https://www.artic.edu/iiif/2/"&amp;Table9[[#This Row],[Image ID]]&amp;"/full/843,/0/default.jpg"</f>
        <v>https://www.artic.edu/iiif/2/3fbc2de3-cb50-7423-4e40-bfe4845fe71d/full/843,/0/default.jpg</v>
      </c>
      <c r="N1147" s="3">
        <v>0.8</v>
      </c>
      <c r="O1147" s="3">
        <v>9.8000000000000004E-2</v>
      </c>
      <c r="P1147" s="3">
        <v>0.70200000000000007</v>
      </c>
      <c r="Q1147" s="3">
        <v>0.80973035097122104</v>
      </c>
    </row>
    <row r="1148" spans="1:17" x14ac:dyDescent="0.45">
      <c r="A1148" s="3">
        <v>16494</v>
      </c>
      <c r="B1148" t="b">
        <v>0</v>
      </c>
      <c r="C1148" t="b">
        <v>1</v>
      </c>
      <c r="D1148" s="3">
        <v>1628</v>
      </c>
      <c r="E1148" s="3">
        <v>1629</v>
      </c>
      <c r="F1148" t="s">
        <v>4454</v>
      </c>
      <c r="G1148" t="s">
        <v>7</v>
      </c>
      <c r="H1148" s="3">
        <v>49.864899999999999</v>
      </c>
      <c r="I1148" t="s">
        <v>4455</v>
      </c>
      <c r="J1148" t="s">
        <v>13251</v>
      </c>
      <c r="L1148" t="s">
        <v>4456</v>
      </c>
      <c r="M1148" t="str">
        <f>"https://www.artic.edu/iiif/2/"&amp;Table9[[#This Row],[Image ID]]&amp;"/full/843,/0/default.jpg"</f>
        <v>https://www.artic.edu/iiif/2/a19aa3c2-56aa-cfd2-d92a-dabb5ba5b488/full/843,/0/default.jpg</v>
      </c>
      <c r="N1148" s="3">
        <v>0.8</v>
      </c>
      <c r="O1148" s="3">
        <v>9.8000000000000004E-2</v>
      </c>
      <c r="P1148" s="3">
        <v>0.70200000000000007</v>
      </c>
      <c r="Q1148" s="3">
        <v>0.74678701162338201</v>
      </c>
    </row>
    <row r="1149" spans="1:17" x14ac:dyDescent="0.45">
      <c r="A1149" s="3">
        <v>70134</v>
      </c>
      <c r="B1149" t="b">
        <v>0</v>
      </c>
      <c r="C1149" t="b">
        <v>1</v>
      </c>
      <c r="D1149" s="3">
        <v>1747</v>
      </c>
      <c r="E1149" s="3">
        <v>1747</v>
      </c>
      <c r="F1149" t="s">
        <v>9442</v>
      </c>
      <c r="G1149" t="s">
        <v>7</v>
      </c>
      <c r="H1149" s="3">
        <v>26.914300000000001</v>
      </c>
      <c r="I1149" t="s">
        <v>9443</v>
      </c>
      <c r="J1149" t="s">
        <v>14518</v>
      </c>
      <c r="L1149" t="s">
        <v>9444</v>
      </c>
      <c r="M1149" t="str">
        <f>"https://www.artic.edu/iiif/2/"&amp;Table9[[#This Row],[Image ID]]&amp;"/full/843,/0/default.jpg"</f>
        <v>https://www.artic.edu/iiif/2/feae78df-5472-ea0e-b105-9865e9d149e8/full/843,/0/default.jpg</v>
      </c>
      <c r="N1149" s="3">
        <v>0.8</v>
      </c>
      <c r="O1149" s="3">
        <v>9.8000000000000004E-2</v>
      </c>
      <c r="P1149" s="3">
        <v>0.70200000000000007</v>
      </c>
      <c r="Q1149" s="3">
        <v>0.82200860977172796</v>
      </c>
    </row>
    <row r="1150" spans="1:17" x14ac:dyDescent="0.45">
      <c r="A1150" s="3">
        <v>66210</v>
      </c>
      <c r="B1150" t="b">
        <v>0</v>
      </c>
      <c r="C1150" t="b">
        <v>0</v>
      </c>
      <c r="D1150" s="3">
        <v>1953</v>
      </c>
      <c r="E1150" s="3">
        <v>1953</v>
      </c>
      <c r="F1150" t="s">
        <v>11</v>
      </c>
      <c r="G1150" t="s">
        <v>7</v>
      </c>
      <c r="H1150" s="3">
        <v>41.985199999999999</v>
      </c>
      <c r="I1150" t="s">
        <v>4028</v>
      </c>
      <c r="J1150" t="s">
        <v>11299</v>
      </c>
      <c r="L1150" t="s">
        <v>9229</v>
      </c>
      <c r="M1150" t="str">
        <f>"https://www.artic.edu/iiif/2/"&amp;Table9[[#This Row],[Image ID]]&amp;"/full/843,/0/default.jpg"</f>
        <v>https://www.artic.edu/iiif/2/17636412-d7df-a0a8-08f9-0a37dcd277b7/full/843,/0/default.jpg</v>
      </c>
      <c r="N1150" s="3">
        <v>0.75</v>
      </c>
      <c r="O1150" s="3">
        <v>4.8000000000000001E-2</v>
      </c>
      <c r="P1150" s="3">
        <v>0.70199999999999996</v>
      </c>
      <c r="Q1150" s="3">
        <v>0.80757892131805398</v>
      </c>
    </row>
    <row r="1151" spans="1:17" x14ac:dyDescent="0.45">
      <c r="A1151" s="3">
        <v>75097</v>
      </c>
      <c r="B1151" t="b">
        <v>0</v>
      </c>
      <c r="C1151" t="b">
        <v>0</v>
      </c>
      <c r="D1151" s="3">
        <v>1951</v>
      </c>
      <c r="E1151" s="3">
        <v>1951</v>
      </c>
      <c r="F1151" t="s">
        <v>1397</v>
      </c>
      <c r="G1151" t="s">
        <v>7</v>
      </c>
      <c r="H1151" s="3">
        <v>0</v>
      </c>
      <c r="I1151" t="s">
        <v>5290</v>
      </c>
      <c r="J1151" t="s">
        <v>14102</v>
      </c>
      <c r="L1151" t="s">
        <v>9718</v>
      </c>
      <c r="M1151" t="str">
        <f>"https://www.artic.edu/iiif/2/"&amp;Table9[[#This Row],[Image ID]]&amp;"/full/843,/0/default.jpg"</f>
        <v>https://www.artic.edu/iiif/2/e213941c-4621-88e4-a40c-946e0138cc31/full/843,/0/default.jpg</v>
      </c>
      <c r="N1151" s="3">
        <v>0.75</v>
      </c>
      <c r="O1151" s="3">
        <v>4.9000000000000002E-2</v>
      </c>
      <c r="P1151" s="3">
        <v>0.70099999999999996</v>
      </c>
      <c r="Q1151" s="3">
        <v>0.80337315797805697</v>
      </c>
    </row>
    <row r="1152" spans="1:17" x14ac:dyDescent="0.45">
      <c r="A1152" s="3">
        <v>80499</v>
      </c>
      <c r="B1152" t="b">
        <v>0</v>
      </c>
      <c r="C1152" t="b">
        <v>1</v>
      </c>
      <c r="D1152" s="3">
        <v>1898</v>
      </c>
      <c r="E1152" s="3">
        <v>1898</v>
      </c>
      <c r="F1152" t="s">
        <v>9983</v>
      </c>
      <c r="G1152" t="s">
        <v>7</v>
      </c>
      <c r="H1152" s="3">
        <v>20.7014</v>
      </c>
      <c r="I1152" t="s">
        <v>9984</v>
      </c>
      <c r="J1152" t="s">
        <v>14266</v>
      </c>
      <c r="K1152" s="5" t="s">
        <v>9</v>
      </c>
      <c r="L1152" t="s">
        <v>9985</v>
      </c>
      <c r="M1152" t="str">
        <f>"https://www.artic.edu/iiif/2/"&amp;Table9[[#This Row],[Image ID]]&amp;"/full/843,/0/default.jpg"</f>
        <v>https://www.artic.edu/iiif/2/ed1b3063-8ce3-d4bc-50cb-b96f13f015e2/full/843,/0/default.jpg</v>
      </c>
      <c r="N1152" s="3">
        <v>0.75</v>
      </c>
      <c r="O1152" s="3">
        <v>4.9000000000000002E-2</v>
      </c>
      <c r="P1152" s="3">
        <v>0.70099999999999996</v>
      </c>
      <c r="Q1152" s="3">
        <v>0.82246667146682695</v>
      </c>
    </row>
    <row r="1153" spans="1:17" x14ac:dyDescent="0.45">
      <c r="A1153" s="3">
        <v>55729</v>
      </c>
      <c r="B1153" t="b">
        <v>0</v>
      </c>
      <c r="C1153" t="b">
        <v>0</v>
      </c>
      <c r="D1153" s="3">
        <v>1906</v>
      </c>
      <c r="E1153" s="3">
        <v>1972</v>
      </c>
      <c r="F1153" t="s">
        <v>8394</v>
      </c>
      <c r="G1153" t="s">
        <v>2215</v>
      </c>
      <c r="H1153" s="3">
        <v>60.963099999999997</v>
      </c>
      <c r="I1153" t="s">
        <v>599</v>
      </c>
      <c r="J1153" t="s">
        <v>11106</v>
      </c>
      <c r="L1153" t="s">
        <v>8395</v>
      </c>
      <c r="M1153" t="str">
        <f>"https://www.artic.edu/iiif/2/"&amp;Table9[[#This Row],[Image ID]]&amp;"/full/843,/0/default.jpg"</f>
        <v>https://www.artic.edu/iiif/2/095f625f-71a6-cb53-35ce-c83f826594f4/full/843,/0/default.jpg</v>
      </c>
      <c r="N1153" s="3">
        <v>0.77500000000000002</v>
      </c>
      <c r="O1153" s="3">
        <v>7.4999999999999997E-2</v>
      </c>
      <c r="P1153" s="3">
        <v>0.70000000000000007</v>
      </c>
      <c r="Q1153" s="3">
        <v>0.79785501956939697</v>
      </c>
    </row>
    <row r="1154" spans="1:17" x14ac:dyDescent="0.45">
      <c r="A1154" s="3">
        <v>150766</v>
      </c>
      <c r="B1154" t="b">
        <v>0</v>
      </c>
      <c r="C1154" t="b">
        <v>0</v>
      </c>
      <c r="D1154" s="3">
        <v>1937</v>
      </c>
      <c r="E1154" s="3">
        <v>1937</v>
      </c>
      <c r="F1154" t="s">
        <v>3794</v>
      </c>
      <c r="G1154" t="s">
        <v>3795</v>
      </c>
      <c r="H1154" s="3">
        <v>26.494700000000002</v>
      </c>
      <c r="I1154" t="s">
        <v>165</v>
      </c>
      <c r="J1154" t="s">
        <v>11272</v>
      </c>
      <c r="L1154" t="s">
        <v>3796</v>
      </c>
      <c r="M1154" t="str">
        <f>"https://www.artic.edu/iiif/2/"&amp;Table9[[#This Row],[Image ID]]&amp;"/full/843,/0/default.jpg"</f>
        <v>https://www.artic.edu/iiif/2/15f07722-8501-f139-5662-64b3edcd4fb2/full/843,/0/default.jpg</v>
      </c>
      <c r="N1154" s="3">
        <v>0.8</v>
      </c>
      <c r="O1154" s="3">
        <v>0.1</v>
      </c>
      <c r="P1154" s="3">
        <v>0.70000000000000007</v>
      </c>
      <c r="Q1154" s="3">
        <v>0.66459125280380205</v>
      </c>
    </row>
    <row r="1155" spans="1:17" x14ac:dyDescent="0.45">
      <c r="A1155" s="3">
        <v>203111</v>
      </c>
      <c r="B1155" t="b">
        <v>0</v>
      </c>
      <c r="C1155" t="b">
        <v>0</v>
      </c>
      <c r="D1155" s="3">
        <v>1928</v>
      </c>
      <c r="E1155" s="3">
        <v>1961</v>
      </c>
      <c r="F1155" t="s">
        <v>5367</v>
      </c>
      <c r="G1155" t="s">
        <v>5368</v>
      </c>
      <c r="H1155" s="3">
        <v>42.165700000000001</v>
      </c>
      <c r="I1155" t="s">
        <v>3358</v>
      </c>
      <c r="J1155" t="s">
        <v>11301</v>
      </c>
      <c r="L1155" t="s">
        <v>5369</v>
      </c>
      <c r="M1155" t="str">
        <f>"https://www.artic.edu/iiif/2/"&amp;Table9[[#This Row],[Image ID]]&amp;"/full/843,/0/default.jpg"</f>
        <v>https://www.artic.edu/iiif/2/17ec8d64-384f-f8ca-65f5-5b6e12e6ee10/full/843,/0/default.jpg</v>
      </c>
      <c r="N1155" s="3">
        <v>0.77500000000000002</v>
      </c>
      <c r="O1155" s="3">
        <v>7.4999999999999997E-2</v>
      </c>
      <c r="P1155" s="3">
        <v>0.70000000000000007</v>
      </c>
      <c r="Q1155" s="3">
        <v>0.79939305782318104</v>
      </c>
    </row>
    <row r="1156" spans="1:17" x14ac:dyDescent="0.45">
      <c r="A1156" s="3">
        <v>209580</v>
      </c>
      <c r="B1156" t="b">
        <v>0</v>
      </c>
      <c r="C1156" t="b">
        <v>0</v>
      </c>
      <c r="D1156" s="3">
        <v>2011</v>
      </c>
      <c r="E1156" s="3">
        <v>2011</v>
      </c>
      <c r="F1156" t="s">
        <v>5534</v>
      </c>
      <c r="G1156" t="s">
        <v>4651</v>
      </c>
      <c r="H1156" s="3">
        <v>36.838099999999997</v>
      </c>
      <c r="I1156" t="s">
        <v>5535</v>
      </c>
      <c r="J1156" t="s">
        <v>11324</v>
      </c>
      <c r="K1156" s="5" t="s">
        <v>15</v>
      </c>
      <c r="L1156" t="s">
        <v>5536</v>
      </c>
      <c r="M1156" t="str">
        <f>"https://www.artic.edu/iiif/2/"&amp;Table9[[#This Row],[Image ID]]&amp;"/full/843,/0/default.jpg"</f>
        <v>https://www.artic.edu/iiif/2/19911e07-f330-9337-26c6-982dc74f1422/full/843,/0/default.jpg</v>
      </c>
      <c r="N1156" s="3">
        <v>0.8</v>
      </c>
      <c r="O1156" s="3">
        <v>0.1</v>
      </c>
      <c r="P1156" s="3">
        <v>0.70000000000000007</v>
      </c>
      <c r="Q1156" s="3">
        <v>0.70119243860244695</v>
      </c>
    </row>
    <row r="1157" spans="1:17" x14ac:dyDescent="0.45">
      <c r="A1157" s="3">
        <v>156600</v>
      </c>
      <c r="B1157" t="b">
        <v>0</v>
      </c>
      <c r="C1157" t="b">
        <v>0</v>
      </c>
      <c r="D1157" s="3">
        <v>1946</v>
      </c>
      <c r="E1157" s="3">
        <v>1946</v>
      </c>
      <c r="F1157" t="s">
        <v>4076</v>
      </c>
      <c r="G1157" t="s">
        <v>7</v>
      </c>
      <c r="H1157" s="3">
        <v>22.192799999999998</v>
      </c>
      <c r="I1157" t="s">
        <v>2284</v>
      </c>
      <c r="J1157" t="s">
        <v>11362</v>
      </c>
      <c r="K1157" s="5" t="s">
        <v>45</v>
      </c>
      <c r="L1157" t="s">
        <v>4077</v>
      </c>
      <c r="M1157" t="str">
        <f>"https://www.artic.edu/iiif/2/"&amp;Table9[[#This Row],[Image ID]]&amp;"/full/843,/0/default.jpg"</f>
        <v>https://www.artic.edu/iiif/2/1c9ab509-5711-3f06-3eba-f855797c95bd/full/843,/0/default.jpg</v>
      </c>
      <c r="N1157" s="3">
        <v>0.8</v>
      </c>
      <c r="O1157" s="3">
        <v>0.1</v>
      </c>
      <c r="P1157" s="3">
        <v>0.70000000000000007</v>
      </c>
      <c r="Q1157" s="3">
        <v>0.730876684188842</v>
      </c>
    </row>
    <row r="1158" spans="1:17" x14ac:dyDescent="0.45">
      <c r="A1158" s="3">
        <v>83665</v>
      </c>
      <c r="B1158" t="b">
        <v>0</v>
      </c>
      <c r="C1158" t="b">
        <v>0</v>
      </c>
      <c r="D1158" s="3">
        <v>1860</v>
      </c>
      <c r="E1158" s="3">
        <v>1917</v>
      </c>
      <c r="F1158" t="s">
        <v>10230</v>
      </c>
      <c r="G1158" t="s">
        <v>10231</v>
      </c>
      <c r="H1158" s="3">
        <v>34.819000000000003</v>
      </c>
      <c r="I1158" t="s">
        <v>68</v>
      </c>
      <c r="J1158" t="s">
        <v>11430</v>
      </c>
      <c r="L1158" t="s">
        <v>10232</v>
      </c>
      <c r="M1158" t="str">
        <f>"https://www.artic.edu/iiif/2/"&amp;Table9[[#This Row],[Image ID]]&amp;"/full/843,/0/default.jpg"</f>
        <v>https://www.artic.edu/iiif/2/2009eae8-4c2d-c8a9-5c36-c0704fd70def/full/843,/0/default.jpg</v>
      </c>
      <c r="N1158" s="3">
        <v>0.77500000000000002</v>
      </c>
      <c r="O1158" s="3">
        <v>7.4999999999999997E-2</v>
      </c>
      <c r="P1158" s="3">
        <v>0.70000000000000007</v>
      </c>
      <c r="Q1158" s="3">
        <v>0.87494581937789895</v>
      </c>
    </row>
    <row r="1159" spans="1:17" x14ac:dyDescent="0.45">
      <c r="A1159" s="3">
        <v>239950</v>
      </c>
      <c r="B1159" t="b">
        <v>0</v>
      </c>
      <c r="C1159" t="b">
        <v>0</v>
      </c>
      <c r="D1159" s="3">
        <v>1909</v>
      </c>
      <c r="E1159" s="3">
        <v>1909</v>
      </c>
      <c r="F1159" t="s">
        <v>6356</v>
      </c>
      <c r="G1159" t="s">
        <v>6357</v>
      </c>
      <c r="H1159" s="3">
        <v>31.027699999999999</v>
      </c>
      <c r="I1159" t="s">
        <v>3313</v>
      </c>
      <c r="J1159" t="s">
        <v>11525</v>
      </c>
      <c r="K1159" s="5" t="s">
        <v>17</v>
      </c>
      <c r="L1159" t="s">
        <v>6358</v>
      </c>
      <c r="M1159" t="str">
        <f>"https://www.artic.edu/iiif/2/"&amp;Table9[[#This Row],[Image ID]]&amp;"/full/843,/0/default.jpg"</f>
        <v>https://www.artic.edu/iiif/2/267090d8-bbdc-0e4a-6216-9c0f92a6cf11/full/843,/0/default.jpg</v>
      </c>
      <c r="N1159" s="3">
        <v>0.77500000000000002</v>
      </c>
      <c r="O1159" s="3">
        <v>7.4999999999999997E-2</v>
      </c>
      <c r="P1159" s="3">
        <v>0.70000000000000007</v>
      </c>
      <c r="Q1159" s="3">
        <v>0.67858564853668202</v>
      </c>
    </row>
    <row r="1160" spans="1:17" x14ac:dyDescent="0.45">
      <c r="A1160" s="3">
        <v>145860</v>
      </c>
      <c r="B1160" t="b">
        <v>0</v>
      </c>
      <c r="C1160" t="b">
        <v>0</v>
      </c>
      <c r="D1160" s="3">
        <v>1942</v>
      </c>
      <c r="E1160" s="3">
        <v>1942</v>
      </c>
      <c r="F1160" t="s">
        <v>912</v>
      </c>
      <c r="G1160" t="s">
        <v>3398</v>
      </c>
      <c r="H1160" s="3">
        <v>70.480500000000006</v>
      </c>
      <c r="I1160" t="s">
        <v>14565</v>
      </c>
      <c r="J1160" t="s">
        <v>11594</v>
      </c>
      <c r="L1160" t="s">
        <v>3399</v>
      </c>
      <c r="M1160" t="str">
        <f>"https://www.artic.edu/iiif/2/"&amp;Table9[[#This Row],[Image ID]]&amp;"/full/843,/0/default.jpg"</f>
        <v>https://www.artic.edu/iiif/2/2a733273-f5b1-f920-68d5-54103b8366c0/full/843,/0/default.jpg</v>
      </c>
      <c r="N1160" s="3">
        <v>0.77500000000000002</v>
      </c>
      <c r="O1160" s="3">
        <v>7.4999999999999997E-2</v>
      </c>
      <c r="P1160" s="3">
        <v>0.70000000000000007</v>
      </c>
      <c r="Q1160" s="3">
        <v>0.84858024120330799</v>
      </c>
    </row>
    <row r="1161" spans="1:17" x14ac:dyDescent="0.45">
      <c r="A1161" s="3">
        <v>25859</v>
      </c>
      <c r="B1161" t="b">
        <v>0</v>
      </c>
      <c r="C1161" t="b">
        <v>0</v>
      </c>
      <c r="D1161" s="3">
        <v>1910</v>
      </c>
      <c r="E1161" s="3">
        <v>1910</v>
      </c>
      <c r="F1161" t="s">
        <v>6647</v>
      </c>
      <c r="G1161" t="s">
        <v>7</v>
      </c>
      <c r="H1161" s="3">
        <v>26.741599999999998</v>
      </c>
      <c r="I1161" t="s">
        <v>1277</v>
      </c>
      <c r="J1161" t="s">
        <v>11872</v>
      </c>
      <c r="L1161" t="s">
        <v>6648</v>
      </c>
      <c r="M1161" t="str">
        <f>"https://www.artic.edu/iiif/2/"&amp;Table9[[#This Row],[Image ID]]&amp;"/full/843,/0/default.jpg"</f>
        <v>https://www.artic.edu/iiif/2/3d211b5a-be7c-0551-a9fd-7b89c97edebc/full/843,/0/default.jpg</v>
      </c>
      <c r="N1161" s="3">
        <v>0.77500000000000002</v>
      </c>
      <c r="O1161" s="3">
        <v>7.4999999999999997E-2</v>
      </c>
      <c r="P1161" s="3">
        <v>0.70000000000000007</v>
      </c>
      <c r="Q1161" s="3">
        <v>0.51109546422958296</v>
      </c>
    </row>
    <row r="1162" spans="1:17" x14ac:dyDescent="0.45">
      <c r="A1162" s="3">
        <v>150065</v>
      </c>
      <c r="B1162" t="b">
        <v>0</v>
      </c>
      <c r="C1162" t="b">
        <v>0</v>
      </c>
      <c r="D1162" s="3">
        <v>1967</v>
      </c>
      <c r="E1162" s="3">
        <v>1967</v>
      </c>
      <c r="F1162" t="s">
        <v>3781</v>
      </c>
      <c r="G1162" t="s">
        <v>7</v>
      </c>
      <c r="H1162" s="3">
        <v>60.024799999999999</v>
      </c>
      <c r="I1162" t="s">
        <v>3782</v>
      </c>
      <c r="J1162" t="s">
        <v>11990</v>
      </c>
      <c r="L1162" t="s">
        <v>3783</v>
      </c>
      <c r="M1162" t="str">
        <f>"https://www.artic.edu/iiif/2/"&amp;Table9[[#This Row],[Image ID]]&amp;"/full/843,/0/default.jpg"</f>
        <v>https://www.artic.edu/iiif/2/44a28230-6bd9-2d07-8ab3-ab453be8e6bd/full/843,/0/default.jpg</v>
      </c>
      <c r="N1162" s="3">
        <v>0.77500000000000002</v>
      </c>
      <c r="O1162" s="3">
        <v>7.4999999999999997E-2</v>
      </c>
      <c r="P1162" s="3">
        <v>0.70000000000000007</v>
      </c>
      <c r="Q1162" s="3">
        <v>0.91499239206313998</v>
      </c>
    </row>
    <row r="1163" spans="1:17" x14ac:dyDescent="0.45">
      <c r="A1163" s="3">
        <v>58335</v>
      </c>
      <c r="B1163" t="b">
        <v>0</v>
      </c>
      <c r="C1163" t="b">
        <v>0</v>
      </c>
      <c r="D1163" s="3">
        <v>1962</v>
      </c>
      <c r="E1163" s="3">
        <v>1965</v>
      </c>
      <c r="F1163" t="s">
        <v>8514</v>
      </c>
      <c r="G1163" t="s">
        <v>8515</v>
      </c>
      <c r="H1163" s="3">
        <v>41.546399999999998</v>
      </c>
      <c r="I1163" t="s">
        <v>599</v>
      </c>
      <c r="J1163" t="s">
        <v>11435</v>
      </c>
      <c r="L1163" t="s">
        <v>8516</v>
      </c>
      <c r="M1163" t="str">
        <f>"https://www.artic.edu/iiif/2/"&amp;Table9[[#This Row],[Image ID]]&amp;"/full/843,/0/default.jpg"</f>
        <v>https://www.artic.edu/iiif/2/4a2a5285-082a-1bea-7f43-151542e78d26/full/843,/0/default.jpg</v>
      </c>
      <c r="N1163" s="3">
        <v>0.77500000000000002</v>
      </c>
      <c r="O1163" s="3">
        <v>7.4999999999999997E-2</v>
      </c>
      <c r="P1163" s="3">
        <v>0.70000000000000007</v>
      </c>
      <c r="Q1163" s="3">
        <v>0.83981341123580899</v>
      </c>
    </row>
    <row r="1164" spans="1:17" x14ac:dyDescent="0.45">
      <c r="A1164" s="3">
        <v>145804</v>
      </c>
      <c r="B1164" t="b">
        <v>0</v>
      </c>
      <c r="C1164" t="b">
        <v>0</v>
      </c>
      <c r="D1164" s="3">
        <v>1900</v>
      </c>
      <c r="E1164" s="3">
        <v>1939</v>
      </c>
      <c r="F1164" t="s">
        <v>3366</v>
      </c>
      <c r="G1164" t="s">
        <v>250</v>
      </c>
      <c r="H1164" s="3">
        <v>22.835699999999999</v>
      </c>
      <c r="I1164" t="s">
        <v>2407</v>
      </c>
      <c r="J1164" t="s">
        <v>3368</v>
      </c>
      <c r="L1164" t="s">
        <v>3367</v>
      </c>
      <c r="M1164" t="str">
        <f>"https://www.artic.edu/iiif/2/"&amp;Table9[[#This Row],[Image ID]]&amp;"/full/843,/0/default.jpg"</f>
        <v>https://www.artic.edu/iiif/2/4c7f9df7-0e5d-e212-7229-021b65337778/full/843,/0/default.jpg</v>
      </c>
      <c r="N1164" s="3">
        <v>0.8</v>
      </c>
      <c r="O1164" s="3">
        <v>0.1</v>
      </c>
      <c r="P1164" s="3">
        <v>0.70000000000000007</v>
      </c>
      <c r="Q1164" s="3">
        <v>0.56248128414153997</v>
      </c>
    </row>
    <row r="1165" spans="1:17" x14ac:dyDescent="0.45">
      <c r="A1165" s="3">
        <v>184729</v>
      </c>
      <c r="B1165" t="b">
        <v>0</v>
      </c>
      <c r="C1165" t="b">
        <v>0</v>
      </c>
      <c r="D1165" s="3">
        <v>2003</v>
      </c>
      <c r="E1165" s="3">
        <v>2003</v>
      </c>
      <c r="F1165" t="s">
        <v>4835</v>
      </c>
      <c r="G1165" t="s">
        <v>4823</v>
      </c>
      <c r="H1165" s="3">
        <v>8.1463000000000001</v>
      </c>
      <c r="I1165" t="s">
        <v>293</v>
      </c>
      <c r="J1165" t="s">
        <v>10977</v>
      </c>
      <c r="K1165" s="5" t="s">
        <v>15</v>
      </c>
      <c r="L1165" t="s">
        <v>4836</v>
      </c>
      <c r="M1165" t="str">
        <f>"https://www.artic.edu/iiif/2/"&amp;Table9[[#This Row],[Image ID]]&amp;"/full/843,/0/default.jpg"</f>
        <v>https://www.artic.edu/iiif/2/4fe8da20-de46-14f6-c45f-b5bc19ca1d7c/full/843,/0/default.jpg</v>
      </c>
      <c r="N1165" s="3">
        <v>0.8</v>
      </c>
      <c r="O1165" s="3">
        <v>0.1</v>
      </c>
      <c r="P1165" s="3">
        <v>0.70000000000000007</v>
      </c>
      <c r="Q1165" s="3">
        <v>0.89888173341751099</v>
      </c>
    </row>
    <row r="1166" spans="1:17" x14ac:dyDescent="0.45">
      <c r="A1166" s="3">
        <v>201941</v>
      </c>
      <c r="B1166" t="b">
        <v>0</v>
      </c>
      <c r="C1166" t="b">
        <v>0</v>
      </c>
      <c r="D1166" s="3">
        <v>1990</v>
      </c>
      <c r="E1166" s="3">
        <v>1990</v>
      </c>
      <c r="F1166" t="s">
        <v>5341</v>
      </c>
      <c r="G1166" t="s">
        <v>5342</v>
      </c>
      <c r="H1166" s="3">
        <v>18.630700000000001</v>
      </c>
      <c r="I1166" t="s">
        <v>3921</v>
      </c>
      <c r="J1166" t="s">
        <v>12264</v>
      </c>
      <c r="L1166" t="s">
        <v>5343</v>
      </c>
      <c r="M1166" t="str">
        <f>"https://www.artic.edu/iiif/2/"&amp;Table9[[#This Row],[Image ID]]&amp;"/full/843,/0/default.jpg"</f>
        <v>https://www.artic.edu/iiif/2/57d6cb9e-1331-1356-5ba0-cee04d49de10/full/843,/0/default.jpg</v>
      </c>
      <c r="N1166" s="3">
        <v>0.77500000000000002</v>
      </c>
      <c r="O1166" s="3">
        <v>7.4999999999999997E-2</v>
      </c>
      <c r="P1166" s="3">
        <v>0.70000000000000007</v>
      </c>
      <c r="Q1166" s="3">
        <v>0.68874448537826505</v>
      </c>
    </row>
    <row r="1167" spans="1:17" x14ac:dyDescent="0.45">
      <c r="A1167" s="3">
        <v>157157</v>
      </c>
      <c r="B1167" t="b">
        <v>0</v>
      </c>
      <c r="C1167" t="b">
        <v>0</v>
      </c>
      <c r="D1167" s="3">
        <v>1955</v>
      </c>
      <c r="E1167" s="3">
        <v>1955</v>
      </c>
      <c r="F1167" t="s">
        <v>1397</v>
      </c>
      <c r="G1167" t="s">
        <v>7</v>
      </c>
      <c r="H1167" s="3">
        <v>20.972300000000001</v>
      </c>
      <c r="I1167" t="s">
        <v>1496</v>
      </c>
      <c r="J1167" t="s">
        <v>12321</v>
      </c>
      <c r="L1167" t="s">
        <v>4096</v>
      </c>
      <c r="M1167" t="str">
        <f>"https://www.artic.edu/iiif/2/"&amp;Table9[[#This Row],[Image ID]]&amp;"/full/843,/0/default.jpg"</f>
        <v>https://www.artic.edu/iiif/2/5bfc7cef-3c8c-4239-65ac-826c735643f5/full/843,/0/default.jpg</v>
      </c>
      <c r="N1167" s="3">
        <v>0.8</v>
      </c>
      <c r="O1167" s="3">
        <v>0.1</v>
      </c>
      <c r="P1167" s="3">
        <v>0.70000000000000007</v>
      </c>
      <c r="Q1167" s="3">
        <v>0.83273249864578203</v>
      </c>
    </row>
    <row r="1168" spans="1:17" x14ac:dyDescent="0.45">
      <c r="A1168" s="3">
        <v>234460</v>
      </c>
      <c r="B1168" t="b">
        <v>0</v>
      </c>
      <c r="C1168" t="b">
        <v>0</v>
      </c>
      <c r="D1168" s="3">
        <v>1930</v>
      </c>
      <c r="E1168" s="3">
        <v>1930</v>
      </c>
      <c r="F1168" t="s">
        <v>6205</v>
      </c>
      <c r="G1168" t="s">
        <v>7</v>
      </c>
      <c r="H1168" s="3">
        <v>28.729900000000001</v>
      </c>
      <c r="I1168" t="s">
        <v>6206</v>
      </c>
      <c r="J1168" t="s">
        <v>12327</v>
      </c>
      <c r="L1168" t="s">
        <v>6207</v>
      </c>
      <c r="M1168" t="str">
        <f>"https://www.artic.edu/iiif/2/"&amp;Table9[[#This Row],[Image ID]]&amp;"/full/843,/0/default.jpg"</f>
        <v>https://www.artic.edu/iiif/2/5c69c19a-6659-0180-1e27-06024d4b4d37/full/843,/0/default.jpg</v>
      </c>
      <c r="N1168" s="3">
        <v>0.8</v>
      </c>
      <c r="O1168" s="3">
        <v>0.1</v>
      </c>
      <c r="P1168" s="3">
        <v>0.70000000000000007</v>
      </c>
      <c r="Q1168" s="3">
        <v>0.61345368623733498</v>
      </c>
    </row>
    <row r="1169" spans="1:17" x14ac:dyDescent="0.45">
      <c r="A1169" s="3">
        <v>21718</v>
      </c>
      <c r="B1169" t="b">
        <v>0</v>
      </c>
      <c r="C1169" t="b">
        <v>0</v>
      </c>
      <c r="D1169" s="3">
        <v>1916</v>
      </c>
      <c r="E1169" s="3">
        <v>1916</v>
      </c>
      <c r="F1169" t="s">
        <v>5670</v>
      </c>
      <c r="G1169" t="s">
        <v>434</v>
      </c>
      <c r="H1169" s="3">
        <v>15.251799999999999</v>
      </c>
      <c r="I1169" t="s">
        <v>524</v>
      </c>
      <c r="J1169" t="s">
        <v>12381</v>
      </c>
      <c r="L1169" t="s">
        <v>5671</v>
      </c>
      <c r="M1169" t="str">
        <f>"https://www.artic.edu/iiif/2/"&amp;Table9[[#This Row],[Image ID]]&amp;"/full/843,/0/default.jpg"</f>
        <v>https://www.artic.edu/iiif/2/60282225-c95e-e807-4190-b732f7ff176a/full/843,/0/default.jpg</v>
      </c>
      <c r="N1169" s="3">
        <v>0.77500000000000002</v>
      </c>
      <c r="O1169" s="3">
        <v>7.4999999999999997E-2</v>
      </c>
      <c r="P1169" s="3">
        <v>0.70000000000000007</v>
      </c>
      <c r="Q1169" s="3">
        <v>0.48658597469329801</v>
      </c>
    </row>
    <row r="1170" spans="1:17" x14ac:dyDescent="0.45">
      <c r="A1170" s="3">
        <v>12408</v>
      </c>
      <c r="B1170" t="b">
        <v>0</v>
      </c>
      <c r="C1170" t="b">
        <v>0</v>
      </c>
      <c r="D1170" s="3">
        <v>1951</v>
      </c>
      <c r="E1170" s="3">
        <v>1951</v>
      </c>
      <c r="F1170" t="s">
        <v>2727</v>
      </c>
      <c r="G1170" t="s">
        <v>141</v>
      </c>
      <c r="H1170" s="3">
        <v>15.467599999999999</v>
      </c>
      <c r="I1170" t="s">
        <v>287</v>
      </c>
      <c r="J1170" t="s">
        <v>12455</v>
      </c>
      <c r="K1170" s="5" t="s">
        <v>2</v>
      </c>
      <c r="L1170" t="s">
        <v>2728</v>
      </c>
      <c r="M1170" t="str">
        <f>"https://www.artic.edu/iiif/2/"&amp;Table9[[#This Row],[Image ID]]&amp;"/full/843,/0/default.jpg"</f>
        <v>https://www.artic.edu/iiif/2/6550ee41-15f6-3cd6-9ac4-402090726faa/full/843,/0/default.jpg</v>
      </c>
      <c r="N1170" s="3">
        <v>0.8</v>
      </c>
      <c r="O1170" s="3">
        <v>0.1</v>
      </c>
      <c r="P1170" s="3">
        <v>0.70000000000000007</v>
      </c>
      <c r="Q1170" s="3">
        <v>0.87566053867339999</v>
      </c>
    </row>
    <row r="1171" spans="1:17" x14ac:dyDescent="0.45">
      <c r="A1171" s="3">
        <v>257872</v>
      </c>
      <c r="B1171" t="b">
        <v>0</v>
      </c>
      <c r="C1171" t="b">
        <v>0</v>
      </c>
      <c r="F1171" t="s">
        <v>6603</v>
      </c>
      <c r="G1171" t="s">
        <v>5901</v>
      </c>
      <c r="H1171" s="3">
        <v>72.780900000000003</v>
      </c>
      <c r="I1171" t="s">
        <v>6604</v>
      </c>
      <c r="J1171" t="s">
        <v>6606</v>
      </c>
      <c r="L1171" t="s">
        <v>6605</v>
      </c>
      <c r="M1171" t="str">
        <f>"https://www.artic.edu/iiif/2/"&amp;Table9[[#This Row],[Image ID]]&amp;"/full/843,/0/default.jpg"</f>
        <v>https://www.artic.edu/iiif/2/6e9ec19f-334b-adce-ee47-d053fd44b749/full/843,/0/default.jpg</v>
      </c>
      <c r="N1171" s="3">
        <v>0.77500000000000002</v>
      </c>
      <c r="O1171" s="3">
        <v>7.4999999999999997E-2</v>
      </c>
      <c r="P1171" s="3">
        <v>0.70000000000000007</v>
      </c>
      <c r="Q1171" s="3">
        <v>0.71699613332748402</v>
      </c>
    </row>
    <row r="1172" spans="1:17" x14ac:dyDescent="0.45">
      <c r="A1172" s="3">
        <v>66181</v>
      </c>
      <c r="B1172" t="b">
        <v>0</v>
      </c>
      <c r="C1172" t="b">
        <v>0</v>
      </c>
      <c r="D1172" s="3">
        <v>1969</v>
      </c>
      <c r="E1172" s="3">
        <v>1969</v>
      </c>
      <c r="F1172" t="s">
        <v>9213</v>
      </c>
      <c r="G1172" t="s">
        <v>7</v>
      </c>
      <c r="H1172" s="3">
        <v>9.3849999999999998</v>
      </c>
      <c r="I1172" t="s">
        <v>4817</v>
      </c>
      <c r="J1172" t="s">
        <v>12737</v>
      </c>
      <c r="L1172" t="s">
        <v>9214</v>
      </c>
      <c r="M1172" t="str">
        <f>"https://www.artic.edu/iiif/2/"&amp;Table9[[#This Row],[Image ID]]&amp;"/full/843,/0/default.jpg"</f>
        <v>https://www.artic.edu/iiif/2/79c1eca0-2511-01b2-4aab-513cecd54b99/full/843,/0/default.jpg</v>
      </c>
      <c r="N1172" s="3">
        <v>0.77500000000000002</v>
      </c>
      <c r="O1172" s="3">
        <v>7.4999999999999997E-2</v>
      </c>
      <c r="P1172" s="3">
        <v>0.70000000000000007</v>
      </c>
      <c r="Q1172" s="3">
        <v>0.91705745458602905</v>
      </c>
    </row>
    <row r="1173" spans="1:17" x14ac:dyDescent="0.45">
      <c r="A1173" s="3">
        <v>225734</v>
      </c>
      <c r="B1173" t="b">
        <v>0</v>
      </c>
      <c r="C1173" t="b">
        <v>0</v>
      </c>
      <c r="D1173" s="3">
        <v>1959</v>
      </c>
      <c r="E1173" s="3">
        <v>1959</v>
      </c>
      <c r="F1173" t="s">
        <v>5928</v>
      </c>
      <c r="G1173" t="s">
        <v>5917</v>
      </c>
      <c r="H1173" s="3">
        <v>46.565899999999999</v>
      </c>
      <c r="I1173" t="s">
        <v>5918</v>
      </c>
      <c r="J1173" t="s">
        <v>11203</v>
      </c>
      <c r="L1173" t="s">
        <v>5929</v>
      </c>
      <c r="M1173" t="str">
        <f>"https://www.artic.edu/iiif/2/"&amp;Table9[[#This Row],[Image ID]]&amp;"/full/843,/0/default.jpg"</f>
        <v>https://www.artic.edu/iiif/2/7b9d5587-009c-74da-a0c8-48949975db88/full/843,/0/default.jpg</v>
      </c>
      <c r="N1173" s="3">
        <v>0.77500000000000002</v>
      </c>
      <c r="O1173" s="3">
        <v>7.4999999999999997E-2</v>
      </c>
      <c r="P1173" s="3">
        <v>0.70000000000000007</v>
      </c>
      <c r="Q1173" s="3">
        <v>0.73526924848556496</v>
      </c>
    </row>
    <row r="1174" spans="1:17" x14ac:dyDescent="0.45">
      <c r="A1174" s="3">
        <v>185190</v>
      </c>
      <c r="B1174" t="b">
        <v>0</v>
      </c>
      <c r="C1174" t="b">
        <v>0</v>
      </c>
      <c r="D1174" s="3">
        <v>1929</v>
      </c>
      <c r="E1174" s="3">
        <v>1939</v>
      </c>
      <c r="F1174" t="s">
        <v>4979</v>
      </c>
      <c r="G1174" t="s">
        <v>7</v>
      </c>
      <c r="H1174" s="3">
        <v>36.304000000000002</v>
      </c>
      <c r="I1174" t="s">
        <v>14572</v>
      </c>
      <c r="J1174" t="s">
        <v>12642</v>
      </c>
      <c r="L1174" t="s">
        <v>4980</v>
      </c>
      <c r="M1174" t="str">
        <f>"https://www.artic.edu/iiif/2/"&amp;Table9[[#This Row],[Image ID]]&amp;"/full/843,/0/default.jpg"</f>
        <v>https://www.artic.edu/iiif/2/7ebb868a-19b4-381b-4180-5fabd19ac48f/full/843,/0/default.jpg</v>
      </c>
      <c r="N1174" s="3">
        <v>0.77500000000000002</v>
      </c>
      <c r="O1174" s="3">
        <v>7.4999999999999997E-2</v>
      </c>
      <c r="P1174" s="3">
        <v>0.70000000000000007</v>
      </c>
      <c r="Q1174" s="3">
        <v>0.82199501991271895</v>
      </c>
    </row>
    <row r="1175" spans="1:17" x14ac:dyDescent="0.45">
      <c r="A1175" s="3">
        <v>89232</v>
      </c>
      <c r="B1175" t="b">
        <v>0</v>
      </c>
      <c r="C1175" t="b">
        <v>0</v>
      </c>
      <c r="D1175" s="3">
        <v>1954</v>
      </c>
      <c r="E1175" s="3">
        <v>1954</v>
      </c>
      <c r="F1175" t="s">
        <v>10452</v>
      </c>
      <c r="G1175" t="s">
        <v>141</v>
      </c>
      <c r="H1175" s="3">
        <v>65.536100000000005</v>
      </c>
      <c r="I1175" t="s">
        <v>2461</v>
      </c>
      <c r="J1175" t="s">
        <v>12834</v>
      </c>
      <c r="L1175" t="s">
        <v>10453</v>
      </c>
      <c r="M1175" t="str">
        <f>"https://www.artic.edu/iiif/2/"&amp;Table9[[#This Row],[Image ID]]&amp;"/full/843,/0/default.jpg"</f>
        <v>https://www.artic.edu/iiif/2/80f82ae8-b4a2-9f77-a3b4-bc2b5b794488/full/843,/0/default.jpg</v>
      </c>
      <c r="N1175" s="3">
        <v>0.77500000000000002</v>
      </c>
      <c r="O1175" s="3">
        <v>7.4999999999999997E-2</v>
      </c>
      <c r="P1175" s="3">
        <v>0.70000000000000007</v>
      </c>
      <c r="Q1175" s="3">
        <v>0.80850708484649603</v>
      </c>
    </row>
    <row r="1176" spans="1:17" x14ac:dyDescent="0.45">
      <c r="A1176" s="3">
        <v>37432</v>
      </c>
      <c r="B1176" t="b">
        <v>0</v>
      </c>
      <c r="C1176" t="b">
        <v>0</v>
      </c>
      <c r="D1176" s="3">
        <v>1926</v>
      </c>
      <c r="E1176" s="3">
        <v>1926</v>
      </c>
      <c r="F1176" t="s">
        <v>7270</v>
      </c>
      <c r="G1176" t="s">
        <v>7</v>
      </c>
      <c r="H1176" s="3">
        <v>54.701099999999997</v>
      </c>
      <c r="I1176" t="s">
        <v>3487</v>
      </c>
      <c r="J1176" t="s">
        <v>12844</v>
      </c>
      <c r="L1176" t="s">
        <v>7271</v>
      </c>
      <c r="M1176" t="str">
        <f>"https://www.artic.edu/iiif/2/"&amp;Table9[[#This Row],[Image ID]]&amp;"/full/843,/0/default.jpg"</f>
        <v>https://www.artic.edu/iiif/2/81ee9028-3fe7-ad98-210a-ab78f60a6518/full/843,/0/default.jpg</v>
      </c>
      <c r="N1176" s="3">
        <v>0.77500000000000002</v>
      </c>
      <c r="O1176" s="3">
        <v>7.4999999999999997E-2</v>
      </c>
      <c r="P1176" s="3">
        <v>0.70000000000000007</v>
      </c>
      <c r="Q1176" s="3">
        <v>0.86474007368087702</v>
      </c>
    </row>
    <row r="1177" spans="1:17" x14ac:dyDescent="0.45">
      <c r="A1177" s="3">
        <v>65836</v>
      </c>
      <c r="B1177" t="b">
        <v>0</v>
      </c>
      <c r="C1177" t="b">
        <v>0</v>
      </c>
      <c r="D1177" s="3">
        <v>1971</v>
      </c>
      <c r="E1177" s="3">
        <v>1971</v>
      </c>
      <c r="F1177" t="s">
        <v>3359</v>
      </c>
      <c r="G1177" t="s">
        <v>9049</v>
      </c>
      <c r="H1177" s="3">
        <v>13.3995</v>
      </c>
      <c r="I1177" t="s">
        <v>9050</v>
      </c>
      <c r="J1177" t="s">
        <v>12977</v>
      </c>
      <c r="L1177" t="s">
        <v>9051</v>
      </c>
      <c r="M1177" t="str">
        <f>"https://www.artic.edu/iiif/2/"&amp;Table9[[#This Row],[Image ID]]&amp;"/full/843,/0/default.jpg"</f>
        <v>https://www.artic.edu/iiif/2/8be3db22-29e6-3c19-b1dc-d636456fc209/full/843,/0/default.jpg</v>
      </c>
      <c r="N1177" s="3">
        <v>0.77500000000000002</v>
      </c>
      <c r="O1177" s="3">
        <v>7.4999999999999997E-2</v>
      </c>
      <c r="P1177" s="3">
        <v>0.70000000000000007</v>
      </c>
      <c r="Q1177" s="3">
        <v>0.85751509666442804</v>
      </c>
    </row>
    <row r="1178" spans="1:17" x14ac:dyDescent="0.45">
      <c r="A1178" s="3">
        <v>97397</v>
      </c>
      <c r="B1178" t="b">
        <v>0</v>
      </c>
      <c r="C1178" t="b">
        <v>0</v>
      </c>
      <c r="D1178" s="3">
        <v>1978</v>
      </c>
      <c r="E1178" s="3">
        <v>1978</v>
      </c>
      <c r="F1178" t="s">
        <v>10818</v>
      </c>
      <c r="G1178" t="s">
        <v>7</v>
      </c>
      <c r="H1178" s="3">
        <v>19.052199999999999</v>
      </c>
      <c r="I1178" t="s">
        <v>2439</v>
      </c>
      <c r="J1178" t="s">
        <v>11114</v>
      </c>
      <c r="L1178" t="s">
        <v>10819</v>
      </c>
      <c r="M1178" t="str">
        <f>"https://www.artic.edu/iiif/2/"&amp;Table9[[#This Row],[Image ID]]&amp;"/full/843,/0/default.jpg"</f>
        <v>https://www.artic.edu/iiif/2/95a12c41-7411-b5d1-2101-d9d144b3398c/full/843,/0/default.jpg</v>
      </c>
      <c r="N1178" s="3">
        <v>0.77500000000000002</v>
      </c>
      <c r="O1178" s="3">
        <v>7.4999999999999997E-2</v>
      </c>
      <c r="P1178" s="3">
        <v>0.70000000000000007</v>
      </c>
      <c r="Q1178" s="3">
        <v>0.75333493947982699</v>
      </c>
    </row>
    <row r="1179" spans="1:17" x14ac:dyDescent="0.45">
      <c r="A1179" s="3">
        <v>73657</v>
      </c>
      <c r="B1179" t="b">
        <v>0</v>
      </c>
      <c r="C1179" t="b">
        <v>0</v>
      </c>
      <c r="D1179" s="3">
        <v>1932</v>
      </c>
      <c r="E1179" s="3">
        <v>1935</v>
      </c>
      <c r="F1179" t="s">
        <v>2607</v>
      </c>
      <c r="G1179" t="s">
        <v>7</v>
      </c>
      <c r="H1179" s="3">
        <v>31.721800000000002</v>
      </c>
      <c r="I1179" t="s">
        <v>6932</v>
      </c>
      <c r="J1179" t="s">
        <v>13243</v>
      </c>
      <c r="K1179" s="5" t="s">
        <v>2</v>
      </c>
      <c r="L1179" t="s">
        <v>9643</v>
      </c>
      <c r="M1179" t="str">
        <f>"https://www.artic.edu/iiif/2/"&amp;Table9[[#This Row],[Image ID]]&amp;"/full/843,/0/default.jpg"</f>
        <v>https://www.artic.edu/iiif/2/a0ef9792-1111-3eb5-e7a1-5125d40c09bc/full/843,/0/default.jpg</v>
      </c>
      <c r="N1179" s="3">
        <v>0.77500000000000002</v>
      </c>
      <c r="O1179" s="3">
        <v>7.4999999999999997E-2</v>
      </c>
      <c r="P1179" s="3">
        <v>0.70000000000000007</v>
      </c>
      <c r="Q1179" s="3">
        <v>0.85889101028442305</v>
      </c>
    </row>
    <row r="1180" spans="1:17" x14ac:dyDescent="0.45">
      <c r="A1180" s="3">
        <v>44889</v>
      </c>
      <c r="B1180" t="b">
        <v>0</v>
      </c>
      <c r="C1180" t="b">
        <v>0</v>
      </c>
      <c r="D1180" s="3">
        <v>1940</v>
      </c>
      <c r="E1180" s="3">
        <v>1940</v>
      </c>
      <c r="F1180" t="s">
        <v>14</v>
      </c>
      <c r="G1180" t="s">
        <v>7</v>
      </c>
      <c r="H1180" s="3">
        <v>0</v>
      </c>
      <c r="I1180" t="s">
        <v>7824</v>
      </c>
      <c r="J1180" t="s">
        <v>13245</v>
      </c>
      <c r="L1180" t="s">
        <v>7825</v>
      </c>
      <c r="M1180" t="str">
        <f>"https://www.artic.edu/iiif/2/"&amp;Table9[[#This Row],[Image ID]]&amp;"/full/843,/0/default.jpg"</f>
        <v>https://www.artic.edu/iiif/2/a0f62efb-ef9d-8532-2a14-e2432819f35f/full/843,/0/default.jpg</v>
      </c>
      <c r="N1180" s="3">
        <v>0.77500000000000002</v>
      </c>
      <c r="O1180" s="3">
        <v>7.4999999999999997E-2</v>
      </c>
      <c r="P1180" s="3">
        <v>0.70000000000000007</v>
      </c>
      <c r="Q1180" s="3">
        <v>0.74096775054931596</v>
      </c>
    </row>
    <row r="1181" spans="1:17" x14ac:dyDescent="0.45">
      <c r="A1181" s="3">
        <v>61977</v>
      </c>
      <c r="B1181" t="b">
        <v>0</v>
      </c>
      <c r="C1181" t="b">
        <v>0</v>
      </c>
      <c r="D1181" s="3">
        <v>1939</v>
      </c>
      <c r="E1181" s="3">
        <v>1939</v>
      </c>
      <c r="F1181" t="s">
        <v>8852</v>
      </c>
      <c r="G1181" t="s">
        <v>8853</v>
      </c>
      <c r="H1181" s="3">
        <v>27.271799999999999</v>
      </c>
      <c r="I1181" t="s">
        <v>643</v>
      </c>
      <c r="J1181" t="s">
        <v>13385</v>
      </c>
      <c r="L1181" t="s">
        <v>8854</v>
      </c>
      <c r="M1181" t="str">
        <f>"https://www.artic.edu/iiif/2/"&amp;Table9[[#This Row],[Image ID]]&amp;"/full/843,/0/default.jpg"</f>
        <v>https://www.artic.edu/iiif/2/aaffaf58-ed52-469e-e724-68d0cb1b8e5f/full/843,/0/default.jpg</v>
      </c>
      <c r="N1181" s="3">
        <v>0.77500000000000002</v>
      </c>
      <c r="O1181" s="3">
        <v>7.4999999999999997E-2</v>
      </c>
      <c r="P1181" s="3">
        <v>0.70000000000000007</v>
      </c>
      <c r="Q1181" s="3">
        <v>0.62557816505432096</v>
      </c>
    </row>
    <row r="1182" spans="1:17" x14ac:dyDescent="0.45">
      <c r="A1182" s="3">
        <v>124760</v>
      </c>
      <c r="B1182" t="b">
        <v>0</v>
      </c>
      <c r="C1182" t="b">
        <v>0</v>
      </c>
      <c r="D1182" s="3">
        <v>1978</v>
      </c>
      <c r="E1182" s="3">
        <v>1978</v>
      </c>
      <c r="F1182" t="s">
        <v>2741</v>
      </c>
      <c r="G1182" t="s">
        <v>2742</v>
      </c>
      <c r="H1182" s="3">
        <v>16.309999999999999</v>
      </c>
      <c r="I1182" t="s">
        <v>2743</v>
      </c>
      <c r="J1182" t="s">
        <v>13469</v>
      </c>
      <c r="L1182" t="s">
        <v>2744</v>
      </c>
      <c r="M1182" t="str">
        <f>"https://www.artic.edu/iiif/2/"&amp;Table9[[#This Row],[Image ID]]&amp;"/full/843,/0/default.jpg"</f>
        <v>https://www.artic.edu/iiif/2/b142a472-5d65-c662-42fe-05fd1532cde4/full/843,/0/default.jpg</v>
      </c>
      <c r="N1182" s="3">
        <v>0.8</v>
      </c>
      <c r="O1182" s="3">
        <v>0.1</v>
      </c>
      <c r="P1182" s="3">
        <v>0.70000000000000007</v>
      </c>
      <c r="Q1182" s="3">
        <v>0.72390061616897505</v>
      </c>
    </row>
    <row r="1183" spans="1:17" x14ac:dyDescent="0.45">
      <c r="A1183" s="3">
        <v>184725</v>
      </c>
      <c r="B1183" t="b">
        <v>0</v>
      </c>
      <c r="C1183" t="b">
        <v>0</v>
      </c>
      <c r="D1183" s="3">
        <v>2003</v>
      </c>
      <c r="E1183" s="3">
        <v>2003</v>
      </c>
      <c r="F1183" t="s">
        <v>4827</v>
      </c>
      <c r="G1183" t="s">
        <v>4823</v>
      </c>
      <c r="H1183" s="3">
        <v>10.6677</v>
      </c>
      <c r="I1183" t="s">
        <v>293</v>
      </c>
      <c r="J1183" t="s">
        <v>10977</v>
      </c>
      <c r="K1183" s="5" t="s">
        <v>15</v>
      </c>
      <c r="L1183" t="s">
        <v>4828</v>
      </c>
      <c r="M1183" t="str">
        <f>"https://www.artic.edu/iiif/2/"&amp;Table9[[#This Row],[Image ID]]&amp;"/full/843,/0/default.jpg"</f>
        <v>https://www.artic.edu/iiif/2/b83f25f6-a039-914e-6789-8cab4c53b6e4/full/843,/0/default.jpg</v>
      </c>
      <c r="N1183" s="3">
        <v>0.77500000000000002</v>
      </c>
      <c r="O1183" s="3">
        <v>7.4999999999999997E-2</v>
      </c>
      <c r="P1183" s="3">
        <v>0.70000000000000007</v>
      </c>
      <c r="Q1183" s="3">
        <v>0.84516108036041204</v>
      </c>
    </row>
    <row r="1184" spans="1:17" x14ac:dyDescent="0.45">
      <c r="A1184" s="3">
        <v>185399</v>
      </c>
      <c r="B1184" t="b">
        <v>0</v>
      </c>
      <c r="C1184" t="b">
        <v>0</v>
      </c>
      <c r="D1184" s="3">
        <v>1979</v>
      </c>
      <c r="E1184" s="3">
        <v>1979</v>
      </c>
      <c r="F1184" t="s">
        <v>4988</v>
      </c>
      <c r="G1184" t="s">
        <v>1769</v>
      </c>
      <c r="H1184" s="3">
        <v>47.625500000000002</v>
      </c>
      <c r="I1184" t="s">
        <v>2739</v>
      </c>
      <c r="J1184" t="s">
        <v>13580</v>
      </c>
      <c r="L1184" t="s">
        <v>4989</v>
      </c>
      <c r="M1184" t="str">
        <f>"https://www.artic.edu/iiif/2/"&amp;Table9[[#This Row],[Image ID]]&amp;"/full/843,/0/default.jpg"</f>
        <v>https://www.artic.edu/iiif/2/baf3fdb0-0d02-2c12-ccc9-4ae5d8f33593/full/843,/0/default.jpg</v>
      </c>
      <c r="N1184" s="3">
        <v>0.8</v>
      </c>
      <c r="O1184" s="3">
        <v>0.1</v>
      </c>
      <c r="P1184" s="3">
        <v>0.70000000000000007</v>
      </c>
      <c r="Q1184" s="3">
        <v>0.73028254508972101</v>
      </c>
    </row>
    <row r="1185" spans="1:17" x14ac:dyDescent="0.45">
      <c r="A1185" s="3">
        <v>181775</v>
      </c>
      <c r="B1185" t="b">
        <v>0</v>
      </c>
      <c r="C1185" t="b">
        <v>0</v>
      </c>
      <c r="D1185" s="3">
        <v>1942</v>
      </c>
      <c r="E1185" s="3">
        <v>1942</v>
      </c>
      <c r="F1185" t="s">
        <v>4734</v>
      </c>
      <c r="G1185" t="s">
        <v>7</v>
      </c>
      <c r="H1185" s="3">
        <v>16.322399999999998</v>
      </c>
      <c r="I1185" t="s">
        <v>233</v>
      </c>
      <c r="J1185" t="s">
        <v>13716</v>
      </c>
      <c r="L1185" t="s">
        <v>4735</v>
      </c>
      <c r="M1185" t="str">
        <f>"https://www.artic.edu/iiif/2/"&amp;Table9[[#This Row],[Image ID]]&amp;"/full/843,/0/default.jpg"</f>
        <v>https://www.artic.edu/iiif/2/c5f45c3e-f99a-ce23-f7ff-84fa11efd563/full/843,/0/default.jpg</v>
      </c>
      <c r="N1185" s="3">
        <v>0.8</v>
      </c>
      <c r="O1185" s="3">
        <v>0.1</v>
      </c>
      <c r="P1185" s="3">
        <v>0.70000000000000007</v>
      </c>
      <c r="Q1185" s="3">
        <v>0.84739917516708296</v>
      </c>
    </row>
    <row r="1186" spans="1:17" x14ac:dyDescent="0.45">
      <c r="A1186" s="3">
        <v>25767</v>
      </c>
      <c r="B1186" t="b">
        <v>0</v>
      </c>
      <c r="C1186" t="b">
        <v>0</v>
      </c>
      <c r="D1186" s="3">
        <v>1495</v>
      </c>
      <c r="E1186" s="3">
        <v>1505</v>
      </c>
      <c r="F1186" t="s">
        <v>6586</v>
      </c>
      <c r="G1186" t="s">
        <v>103</v>
      </c>
      <c r="H1186" s="3">
        <v>23.840699999999998</v>
      </c>
      <c r="I1186" t="s">
        <v>6587</v>
      </c>
      <c r="J1186" t="s">
        <v>6589</v>
      </c>
      <c r="L1186" t="s">
        <v>6588</v>
      </c>
      <c r="M1186" t="str">
        <f>"https://www.artic.edu/iiif/2/"&amp;Table9[[#This Row],[Image ID]]&amp;"/full/843,/0/default.jpg"</f>
        <v>https://www.artic.edu/iiif/2/d375f02e-3fce-115a-f23d-f9ae9736469a/full/843,/0/default.jpg</v>
      </c>
      <c r="N1186" s="3">
        <v>0.8</v>
      </c>
      <c r="O1186" s="3">
        <v>0.1</v>
      </c>
      <c r="P1186" s="3">
        <v>0.70000000000000007</v>
      </c>
      <c r="Q1186" s="3">
        <v>0.698339343070983</v>
      </c>
    </row>
    <row r="1187" spans="1:17" x14ac:dyDescent="0.45">
      <c r="A1187" s="3">
        <v>23098</v>
      </c>
      <c r="B1187" t="b">
        <v>0</v>
      </c>
      <c r="C1187" t="b">
        <v>0</v>
      </c>
      <c r="D1187" s="3">
        <v>1930</v>
      </c>
      <c r="E1187" s="3">
        <v>1930</v>
      </c>
      <c r="F1187" t="s">
        <v>6155</v>
      </c>
      <c r="G1187" t="s">
        <v>7</v>
      </c>
      <c r="H1187" s="3">
        <v>0</v>
      </c>
      <c r="I1187" t="s">
        <v>2379</v>
      </c>
      <c r="J1187" t="s">
        <v>13896</v>
      </c>
      <c r="L1187" t="s">
        <v>6156</v>
      </c>
      <c r="M1187" t="str">
        <f>"https://www.artic.edu/iiif/2/"&amp;Table9[[#This Row],[Image ID]]&amp;"/full/843,/0/default.jpg"</f>
        <v>https://www.artic.edu/iiif/2/d4b8a8bc-afdf-7b84-49cc-9ca6714d04b5/full/843,/0/default.jpg</v>
      </c>
      <c r="N1187" s="3">
        <v>0.77500000000000002</v>
      </c>
      <c r="O1187" s="3">
        <v>7.4999999999999997E-2</v>
      </c>
      <c r="P1187" s="3">
        <v>0.70000000000000007</v>
      </c>
      <c r="Q1187" s="3">
        <v>0.82583099603652899</v>
      </c>
    </row>
    <row r="1188" spans="1:17" x14ac:dyDescent="0.45">
      <c r="A1188" s="3">
        <v>150066</v>
      </c>
      <c r="B1188" t="b">
        <v>0</v>
      </c>
      <c r="C1188" t="b">
        <v>0</v>
      </c>
      <c r="D1188" s="3">
        <v>1997</v>
      </c>
      <c r="E1188" s="3">
        <v>1997</v>
      </c>
      <c r="F1188" t="s">
        <v>3784</v>
      </c>
      <c r="G1188" t="s">
        <v>3785</v>
      </c>
      <c r="H1188" s="3">
        <v>70.766900000000007</v>
      </c>
      <c r="I1188" t="s">
        <v>3786</v>
      </c>
      <c r="J1188" t="s">
        <v>14006</v>
      </c>
      <c r="L1188" t="s">
        <v>3787</v>
      </c>
      <c r="M1188" t="str">
        <f>"https://www.artic.edu/iiif/2/"&amp;Table9[[#This Row],[Image ID]]&amp;"/full/843,/0/default.jpg"</f>
        <v>https://www.artic.edu/iiif/2/dbe370f5-fe40-5628-e158-daaa7a97ccf8/full/843,/0/default.jpg</v>
      </c>
      <c r="N1188" s="3">
        <v>0.8</v>
      </c>
      <c r="O1188" s="3">
        <v>0.1</v>
      </c>
      <c r="P1188" s="3">
        <v>0.70000000000000007</v>
      </c>
      <c r="Q1188" s="3">
        <v>0.92250221967697099</v>
      </c>
    </row>
    <row r="1189" spans="1:17" x14ac:dyDescent="0.45">
      <c r="A1189" s="3">
        <v>47141</v>
      </c>
      <c r="B1189" t="b">
        <v>0</v>
      </c>
      <c r="C1189" t="b">
        <v>0</v>
      </c>
      <c r="D1189" s="3">
        <v>1910</v>
      </c>
      <c r="E1189" s="3">
        <v>1910</v>
      </c>
      <c r="F1189" t="s">
        <v>7917</v>
      </c>
      <c r="G1189" t="s">
        <v>7</v>
      </c>
      <c r="H1189" s="3">
        <v>35.245600000000003</v>
      </c>
      <c r="I1189" t="s">
        <v>441</v>
      </c>
      <c r="J1189" t="s">
        <v>14137</v>
      </c>
      <c r="L1189" t="s">
        <v>7918</v>
      </c>
      <c r="M1189" t="str">
        <f>"https://www.artic.edu/iiif/2/"&amp;Table9[[#This Row],[Image ID]]&amp;"/full/843,/0/default.jpg"</f>
        <v>https://www.artic.edu/iiif/2/e438d818-9c7b-824a-74f9-5b1e663ad7a4/full/843,/0/default.jpg</v>
      </c>
      <c r="N1189" s="3">
        <v>0.77500000000000002</v>
      </c>
      <c r="O1189" s="3">
        <v>7.4999999999999997E-2</v>
      </c>
      <c r="P1189" s="3">
        <v>0.70000000000000007</v>
      </c>
      <c r="Q1189" s="3">
        <v>0.87959790229797297</v>
      </c>
    </row>
    <row r="1190" spans="1:17" x14ac:dyDescent="0.45">
      <c r="A1190" s="3">
        <v>233491</v>
      </c>
      <c r="B1190" t="b">
        <v>0</v>
      </c>
      <c r="C1190" t="b">
        <v>0</v>
      </c>
      <c r="D1190" s="3">
        <v>1982</v>
      </c>
      <c r="E1190" s="3">
        <v>1982</v>
      </c>
      <c r="F1190" t="s">
        <v>6179</v>
      </c>
      <c r="G1190" t="s">
        <v>14714</v>
      </c>
      <c r="H1190" s="3">
        <v>15.557600000000001</v>
      </c>
      <c r="I1190" t="s">
        <v>6180</v>
      </c>
      <c r="J1190" t="s">
        <v>14152</v>
      </c>
      <c r="L1190" t="s">
        <v>6181</v>
      </c>
      <c r="M1190" t="str">
        <f>"https://www.artic.edu/iiif/2/"&amp;Table9[[#This Row],[Image ID]]&amp;"/full/843,/0/default.jpg"</f>
        <v>https://www.artic.edu/iiif/2/e4e04333-09d9-d66f-6ff5-7288726b4757/full/843,/0/default.jpg</v>
      </c>
      <c r="N1190" s="3">
        <v>0.77500000000000002</v>
      </c>
      <c r="O1190" s="3">
        <v>7.4999999999999997E-2</v>
      </c>
      <c r="P1190" s="3">
        <v>0.70000000000000007</v>
      </c>
      <c r="Q1190" s="3">
        <v>0.92703723907470703</v>
      </c>
    </row>
    <row r="1191" spans="1:17" x14ac:dyDescent="0.45">
      <c r="A1191" s="3">
        <v>3414</v>
      </c>
      <c r="B1191" t="b">
        <v>0</v>
      </c>
      <c r="C1191" t="b">
        <v>0</v>
      </c>
      <c r="D1191" s="3">
        <v>1895</v>
      </c>
      <c r="E1191" s="3">
        <v>1910</v>
      </c>
      <c r="F1191" t="s">
        <v>7099</v>
      </c>
      <c r="G1191" t="s">
        <v>7100</v>
      </c>
      <c r="H1191" s="3">
        <v>23.1767</v>
      </c>
      <c r="I1191" t="s">
        <v>7101</v>
      </c>
      <c r="J1191" t="s">
        <v>14217</v>
      </c>
      <c r="L1191" t="s">
        <v>7102</v>
      </c>
      <c r="M1191" t="str">
        <f>"https://www.artic.edu/iiif/2/"&amp;Table9[[#This Row],[Image ID]]&amp;"/full/843,/0/default.jpg"</f>
        <v>https://www.artic.edu/iiif/2/e98bc3fa-1027-d6da-3804-410581562471/full/843,/0/default.jpg</v>
      </c>
      <c r="N1191" s="3">
        <v>0.77500000000000002</v>
      </c>
      <c r="O1191" s="3">
        <v>7.4999999999999997E-2</v>
      </c>
      <c r="P1191" s="3">
        <v>0.70000000000000007</v>
      </c>
      <c r="Q1191" s="3">
        <v>0.79844141006469704</v>
      </c>
    </row>
    <row r="1192" spans="1:17" x14ac:dyDescent="0.45">
      <c r="A1192" s="3">
        <v>114325</v>
      </c>
      <c r="B1192" t="b">
        <v>0</v>
      </c>
      <c r="C1192" t="b">
        <v>1</v>
      </c>
      <c r="D1192" s="3">
        <v>1802</v>
      </c>
      <c r="E1192" s="3">
        <v>1899</v>
      </c>
      <c r="F1192" t="s">
        <v>1604</v>
      </c>
      <c r="G1192" t="s">
        <v>1605</v>
      </c>
      <c r="H1192" s="3">
        <v>12.662000000000001</v>
      </c>
      <c r="I1192" t="s">
        <v>16</v>
      </c>
      <c r="J1192" t="s">
        <v>11037</v>
      </c>
      <c r="L1192" t="s">
        <v>1606</v>
      </c>
      <c r="M1192" t="str">
        <f>"https://www.artic.edu/iiif/2/"&amp;Table9[[#This Row],[Image ID]]&amp;"/full/843,/0/default.jpg"</f>
        <v>https://www.artic.edu/iiif/2/045fb4c8-7171-5f2a-62d6-d57cddad2d68/full/843,/0/default.jpg</v>
      </c>
      <c r="N1192" s="3">
        <v>0.8</v>
      </c>
      <c r="O1192" s="3">
        <v>0.1</v>
      </c>
      <c r="P1192" s="3">
        <v>0.70000000000000007</v>
      </c>
      <c r="Q1192" s="3">
        <v>0.72747987508773804</v>
      </c>
    </row>
    <row r="1193" spans="1:17" x14ac:dyDescent="0.45">
      <c r="A1193" s="3">
        <v>70135</v>
      </c>
      <c r="B1193" t="b">
        <v>0</v>
      </c>
      <c r="C1193" t="b">
        <v>1</v>
      </c>
      <c r="D1193" s="3">
        <v>1747</v>
      </c>
      <c r="E1193" s="3">
        <v>1747</v>
      </c>
      <c r="F1193" t="s">
        <v>9445</v>
      </c>
      <c r="G1193" t="s">
        <v>7</v>
      </c>
      <c r="H1193" s="3">
        <v>24.4816</v>
      </c>
      <c r="I1193" t="s">
        <v>9443</v>
      </c>
      <c r="J1193" t="s">
        <v>11038</v>
      </c>
      <c r="L1193" t="s">
        <v>9446</v>
      </c>
      <c r="M1193" t="str">
        <f>"https://www.artic.edu/iiif/2/"&amp;Table9[[#This Row],[Image ID]]&amp;"/full/843,/0/default.jpg"</f>
        <v>https://www.artic.edu/iiif/2/0480fc2b-b77d-1319-6ee5-6775fd0cb9a0/full/843,/0/default.jpg</v>
      </c>
      <c r="N1193" s="3">
        <v>0.77500000000000002</v>
      </c>
      <c r="O1193" s="3">
        <v>7.4999999999999997E-2</v>
      </c>
      <c r="P1193" s="3">
        <v>0.70000000000000007</v>
      </c>
      <c r="Q1193" s="3">
        <v>0.90012770891189497</v>
      </c>
    </row>
    <row r="1194" spans="1:17" x14ac:dyDescent="0.45">
      <c r="A1194" s="3">
        <v>13208</v>
      </c>
      <c r="B1194" t="b">
        <v>0</v>
      </c>
      <c r="C1194" t="b">
        <v>1</v>
      </c>
      <c r="D1194" s="3">
        <v>1841</v>
      </c>
      <c r="E1194" s="3">
        <v>1851</v>
      </c>
      <c r="F1194" t="s">
        <v>3014</v>
      </c>
      <c r="G1194" t="s">
        <v>7</v>
      </c>
      <c r="H1194" s="3">
        <v>22.866</v>
      </c>
      <c r="I1194" t="s">
        <v>14550</v>
      </c>
      <c r="J1194" t="s">
        <v>11045</v>
      </c>
      <c r="L1194" t="s">
        <v>3015</v>
      </c>
      <c r="M1194" t="str">
        <f>"https://www.artic.edu/iiif/2/"&amp;Table9[[#This Row],[Image ID]]&amp;"/full/843,/0/default.jpg"</f>
        <v>https://www.artic.edu/iiif/2/0515789f-d834-ad28-48c4-473ccf1eecc5/full/843,/0/default.jpg</v>
      </c>
      <c r="N1194" s="3">
        <v>0.8</v>
      </c>
      <c r="O1194" s="3">
        <v>0.1</v>
      </c>
      <c r="P1194" s="3">
        <v>0.70000000000000007</v>
      </c>
      <c r="Q1194" s="3">
        <v>0.57638400793075495</v>
      </c>
    </row>
    <row r="1195" spans="1:17" x14ac:dyDescent="0.45">
      <c r="A1195" s="3">
        <v>49661</v>
      </c>
      <c r="B1195" t="b">
        <v>0</v>
      </c>
      <c r="C1195" t="b">
        <v>1</v>
      </c>
      <c r="D1195" s="3">
        <v>1830</v>
      </c>
      <c r="E1195" s="3">
        <v>1840</v>
      </c>
      <c r="F1195" t="s">
        <v>2056</v>
      </c>
      <c r="G1195" t="s">
        <v>7</v>
      </c>
      <c r="H1195" s="3">
        <v>21.945499999999999</v>
      </c>
      <c r="I1195" t="s">
        <v>14558</v>
      </c>
      <c r="J1195" t="s">
        <v>11192</v>
      </c>
      <c r="L1195" t="s">
        <v>8069</v>
      </c>
      <c r="M1195" t="str">
        <f>"https://www.artic.edu/iiif/2/"&amp;Table9[[#This Row],[Image ID]]&amp;"/full/843,/0/default.jpg"</f>
        <v>https://www.artic.edu/iiif/2/10c31086-2515-1348-2c37-ed41aaa7dc88/full/843,/0/default.jpg</v>
      </c>
      <c r="N1195" s="3">
        <v>0.77500000000000002</v>
      </c>
      <c r="O1195" s="3">
        <v>7.4999999999999997E-2</v>
      </c>
      <c r="P1195" s="3">
        <v>0.70000000000000007</v>
      </c>
      <c r="Q1195" s="3">
        <v>0.45717096328735302</v>
      </c>
    </row>
    <row r="1196" spans="1:17" x14ac:dyDescent="0.45">
      <c r="A1196" s="3">
        <v>111649</v>
      </c>
      <c r="B1196" t="b">
        <v>0</v>
      </c>
      <c r="C1196" t="b">
        <v>1</v>
      </c>
      <c r="D1196" s="3">
        <v>1654</v>
      </c>
      <c r="E1196" s="3">
        <v>1656</v>
      </c>
      <c r="F1196" t="s">
        <v>1199</v>
      </c>
      <c r="G1196" t="s">
        <v>75</v>
      </c>
      <c r="H1196" s="3">
        <v>33.538800000000002</v>
      </c>
      <c r="I1196" t="s">
        <v>1192</v>
      </c>
      <c r="J1196" t="s">
        <v>11211</v>
      </c>
      <c r="L1196" t="s">
        <v>1200</v>
      </c>
      <c r="M1196" t="str">
        <f>"https://www.artic.edu/iiif/2/"&amp;Table9[[#This Row],[Image ID]]&amp;"/full/843,/0/default.jpg"</f>
        <v>https://www.artic.edu/iiif/2/11f33728-685f-c85c-2326-cd0e42536044/full/843,/0/default.jpg</v>
      </c>
      <c r="N1196" s="3">
        <v>0.8</v>
      </c>
      <c r="O1196" s="3">
        <v>0.1</v>
      </c>
      <c r="P1196" s="3">
        <v>0.70000000000000007</v>
      </c>
      <c r="Q1196" s="3">
        <v>0.70151650905609098</v>
      </c>
    </row>
    <row r="1197" spans="1:17" x14ac:dyDescent="0.45">
      <c r="A1197" s="3">
        <v>188974</v>
      </c>
      <c r="B1197" t="b">
        <v>0</v>
      </c>
      <c r="C1197" t="b">
        <v>1</v>
      </c>
      <c r="D1197" s="3">
        <v>1500</v>
      </c>
      <c r="E1197" s="3">
        <v>1510</v>
      </c>
      <c r="F1197" t="s">
        <v>5136</v>
      </c>
      <c r="G1197" t="s">
        <v>5137</v>
      </c>
      <c r="H1197" s="3">
        <v>41.503900000000002</v>
      </c>
      <c r="I1197" t="s">
        <v>5138</v>
      </c>
      <c r="J1197" t="s">
        <v>5140</v>
      </c>
      <c r="L1197" t="s">
        <v>5139</v>
      </c>
      <c r="M1197" t="str">
        <f>"https://www.artic.edu/iiif/2/"&amp;Table9[[#This Row],[Image ID]]&amp;"/full/843,/0/default.jpg"</f>
        <v>https://www.artic.edu/iiif/2/16d830b7-d681-6c88-379b-9585c655b6b7/full/843,/0/default.jpg</v>
      </c>
      <c r="N1197" s="3">
        <v>0.8</v>
      </c>
      <c r="O1197" s="3">
        <v>0.1</v>
      </c>
      <c r="P1197" s="3">
        <v>0.70000000000000007</v>
      </c>
      <c r="Q1197" s="3">
        <v>0.806069195270538</v>
      </c>
    </row>
    <row r="1198" spans="1:17" x14ac:dyDescent="0.45">
      <c r="A1198" s="3">
        <v>48535</v>
      </c>
      <c r="B1198" t="b">
        <v>0</v>
      </c>
      <c r="C1198" t="b">
        <v>1</v>
      </c>
      <c r="D1198" s="3">
        <v>1782</v>
      </c>
      <c r="E1198" s="3">
        <v>1792</v>
      </c>
      <c r="F1198" t="s">
        <v>567</v>
      </c>
      <c r="G1198" t="s">
        <v>7</v>
      </c>
      <c r="H1198" s="3">
        <v>0</v>
      </c>
      <c r="I1198" t="s">
        <v>8001</v>
      </c>
      <c r="J1198" t="s">
        <v>11442</v>
      </c>
      <c r="L1198" t="s">
        <v>8002</v>
      </c>
      <c r="M1198" t="str">
        <f>"https://www.artic.edu/iiif/2/"&amp;Table9[[#This Row],[Image ID]]&amp;"/full/843,/0/default.jpg"</f>
        <v>https://www.artic.edu/iiif/2/20e3a1c6-7842-5693-67c8-a0f2b4abc363/full/843,/0/default.jpg</v>
      </c>
      <c r="N1198" s="3">
        <v>0.8</v>
      </c>
      <c r="O1198" s="3">
        <v>0.1</v>
      </c>
      <c r="P1198" s="3">
        <v>0.70000000000000007</v>
      </c>
      <c r="Q1198" s="3">
        <v>0.85533899068832397</v>
      </c>
    </row>
    <row r="1199" spans="1:17" x14ac:dyDescent="0.45">
      <c r="A1199" s="3">
        <v>39560</v>
      </c>
      <c r="B1199" t="b">
        <v>0</v>
      </c>
      <c r="C1199" t="b">
        <v>1</v>
      </c>
      <c r="D1199" s="3">
        <v>1884</v>
      </c>
      <c r="E1199" s="3">
        <v>1884</v>
      </c>
      <c r="F1199" t="s">
        <v>2705</v>
      </c>
      <c r="G1199" t="s">
        <v>7</v>
      </c>
      <c r="H1199" s="3">
        <v>21.0304</v>
      </c>
      <c r="I1199" t="s">
        <v>3146</v>
      </c>
      <c r="J1199" t="s">
        <v>11659</v>
      </c>
      <c r="L1199" t="s">
        <v>7585</v>
      </c>
      <c r="M1199" t="str">
        <f>"https://www.artic.edu/iiif/2/"&amp;Table9[[#This Row],[Image ID]]&amp;"/full/843,/0/default.jpg"</f>
        <v>https://www.artic.edu/iiif/2/2eeb2c2e-a35a-2d54-f89b-f4e3ce880780/full/843,/0/default.jpg</v>
      </c>
      <c r="N1199" s="3">
        <v>0.77500000000000002</v>
      </c>
      <c r="O1199" s="3">
        <v>7.4999999999999997E-2</v>
      </c>
      <c r="P1199" s="3">
        <v>0.70000000000000007</v>
      </c>
      <c r="Q1199" s="3">
        <v>0.85573828220367398</v>
      </c>
    </row>
    <row r="1200" spans="1:17" x14ac:dyDescent="0.45">
      <c r="A1200" s="3">
        <v>181339</v>
      </c>
      <c r="B1200" t="b">
        <v>0</v>
      </c>
      <c r="C1200" t="b">
        <v>1</v>
      </c>
      <c r="D1200" s="3">
        <v>1837</v>
      </c>
      <c r="E1200" s="3">
        <v>1837</v>
      </c>
      <c r="F1200" t="s">
        <v>4718</v>
      </c>
      <c r="G1200" t="s">
        <v>7</v>
      </c>
      <c r="H1200" s="3">
        <v>27.93</v>
      </c>
      <c r="I1200" t="s">
        <v>4719</v>
      </c>
      <c r="J1200" t="s">
        <v>11801</v>
      </c>
      <c r="K1200" s="5" t="s">
        <v>125</v>
      </c>
      <c r="L1200" t="s">
        <v>4720</v>
      </c>
      <c r="M1200" t="str">
        <f>"https://www.artic.edu/iiif/2/"&amp;Table9[[#This Row],[Image ID]]&amp;"/full/843,/0/default.jpg"</f>
        <v>https://www.artic.edu/iiif/2/38e73333-b4a9-e4ff-bff5-1ac1b379c798/full/843,/0/default.jpg</v>
      </c>
      <c r="N1200" s="3">
        <v>0.8</v>
      </c>
      <c r="O1200" s="3">
        <v>0.1</v>
      </c>
      <c r="P1200" s="3">
        <v>0.70000000000000007</v>
      </c>
      <c r="Q1200" s="3">
        <v>0.85202157497405995</v>
      </c>
    </row>
    <row r="1201" spans="1:17" x14ac:dyDescent="0.45">
      <c r="A1201" s="3">
        <v>5292</v>
      </c>
      <c r="B1201" t="b">
        <v>0</v>
      </c>
      <c r="C1201" t="b">
        <v>1</v>
      </c>
      <c r="D1201" s="3">
        <v>1740</v>
      </c>
      <c r="E1201" s="3">
        <v>1750</v>
      </c>
      <c r="F1201" t="s">
        <v>8201</v>
      </c>
      <c r="G1201" t="s">
        <v>7</v>
      </c>
      <c r="H1201" s="3">
        <v>33.1524</v>
      </c>
      <c r="I1201" t="s">
        <v>8199</v>
      </c>
      <c r="J1201" t="s">
        <v>11815</v>
      </c>
      <c r="L1201" t="s">
        <v>8202</v>
      </c>
      <c r="M1201" t="str">
        <f>"https://www.artic.edu/iiif/2/"&amp;Table9[[#This Row],[Image ID]]&amp;"/full/843,/0/default.jpg"</f>
        <v>https://www.artic.edu/iiif/2/39a6fc6e-acc4-304e-534f-2134a1b69244/full/843,/0/default.jpg</v>
      </c>
      <c r="N1201" s="3">
        <v>0.8</v>
      </c>
      <c r="O1201" s="3">
        <v>0.1</v>
      </c>
      <c r="P1201" s="3">
        <v>0.70000000000000007</v>
      </c>
      <c r="Q1201" s="3">
        <v>0.46621829271316501</v>
      </c>
    </row>
    <row r="1202" spans="1:17" x14ac:dyDescent="0.45">
      <c r="A1202" s="3">
        <v>160029</v>
      </c>
      <c r="B1202" t="b">
        <v>0</v>
      </c>
      <c r="C1202" t="b">
        <v>1</v>
      </c>
      <c r="D1202" s="3">
        <v>1830</v>
      </c>
      <c r="E1202" s="3">
        <v>1835</v>
      </c>
      <c r="F1202" t="s">
        <v>4230</v>
      </c>
      <c r="G1202" t="s">
        <v>505</v>
      </c>
      <c r="H1202" s="3">
        <v>24.040800000000001</v>
      </c>
      <c r="I1202" t="s">
        <v>4231</v>
      </c>
      <c r="J1202" t="s">
        <v>11841</v>
      </c>
      <c r="L1202" t="s">
        <v>4232</v>
      </c>
      <c r="M1202" t="str">
        <f>"https://www.artic.edu/iiif/2/"&amp;Table9[[#This Row],[Image ID]]&amp;"/full/843,/0/default.jpg"</f>
        <v>https://www.artic.edu/iiif/2/3b090ebe-5635-1008-3529-3e61fc680e2a/full/843,/0/default.jpg</v>
      </c>
      <c r="N1202" s="3">
        <v>0.77500000000000002</v>
      </c>
      <c r="O1202" s="3">
        <v>7.4999999999999997E-2</v>
      </c>
      <c r="P1202" s="3">
        <v>0.70000000000000007</v>
      </c>
      <c r="Q1202" s="3">
        <v>0.52721458673477095</v>
      </c>
    </row>
    <row r="1203" spans="1:17" x14ac:dyDescent="0.45">
      <c r="A1203" s="3">
        <v>74103</v>
      </c>
      <c r="B1203" t="b">
        <v>0</v>
      </c>
      <c r="C1203" t="b">
        <v>1</v>
      </c>
      <c r="D1203" s="3">
        <v>1680</v>
      </c>
      <c r="E1203" s="3">
        <v>1690</v>
      </c>
      <c r="F1203" t="s">
        <v>9674</v>
      </c>
      <c r="G1203" t="s">
        <v>9675</v>
      </c>
      <c r="H1203" s="3">
        <v>21.604299999999999</v>
      </c>
      <c r="I1203" t="s">
        <v>9676</v>
      </c>
      <c r="J1203" t="s">
        <v>11898</v>
      </c>
      <c r="L1203" t="s">
        <v>9677</v>
      </c>
      <c r="M1203" t="str">
        <f>"https://www.artic.edu/iiif/2/"&amp;Table9[[#This Row],[Image ID]]&amp;"/full/843,/0/default.jpg"</f>
        <v>https://www.artic.edu/iiif/2/3ee77396-f832-8a36-3157-7e731dc5457f/full/843,/0/default.jpg</v>
      </c>
      <c r="N1203" s="3">
        <v>0.77500000000000002</v>
      </c>
      <c r="O1203" s="3">
        <v>7.4999999999999997E-2</v>
      </c>
      <c r="P1203" s="3">
        <v>0.70000000000000007</v>
      </c>
      <c r="Q1203" s="3">
        <v>0.74160164594650202</v>
      </c>
    </row>
    <row r="1204" spans="1:17" x14ac:dyDescent="0.45">
      <c r="A1204" s="3">
        <v>150796</v>
      </c>
      <c r="B1204" t="b">
        <v>0</v>
      </c>
      <c r="C1204" t="b">
        <v>1</v>
      </c>
      <c r="D1204" s="3">
        <v>1845</v>
      </c>
      <c r="E1204" s="3">
        <v>1855</v>
      </c>
      <c r="F1204" t="s">
        <v>3803</v>
      </c>
      <c r="G1204" t="s">
        <v>3804</v>
      </c>
      <c r="H1204" s="3">
        <v>20.154199999999999</v>
      </c>
      <c r="I1204" t="s">
        <v>14551</v>
      </c>
      <c r="J1204" t="s">
        <v>11916</v>
      </c>
      <c r="L1204" t="s">
        <v>3805</v>
      </c>
      <c r="M1204" t="str">
        <f>"https://www.artic.edu/iiif/2/"&amp;Table9[[#This Row],[Image ID]]&amp;"/full/843,/0/default.jpg"</f>
        <v>https://www.artic.edu/iiif/2/3fea9ca2-883d-dd24-954b-53e419621d6f/full/843,/0/default.jpg</v>
      </c>
      <c r="N1204" s="3">
        <v>0.8</v>
      </c>
      <c r="O1204" s="3">
        <v>0.1</v>
      </c>
      <c r="P1204" s="3">
        <v>0.70000000000000007</v>
      </c>
      <c r="Q1204" s="3">
        <v>0.77895462512969904</v>
      </c>
    </row>
    <row r="1205" spans="1:17" x14ac:dyDescent="0.45">
      <c r="A1205" s="3">
        <v>115486</v>
      </c>
      <c r="B1205" t="b">
        <v>0</v>
      </c>
      <c r="C1205" t="b">
        <v>1</v>
      </c>
      <c r="D1205" s="3">
        <v>1719</v>
      </c>
      <c r="E1205" s="3">
        <v>1769</v>
      </c>
      <c r="F1205" t="s">
        <v>1933</v>
      </c>
      <c r="G1205" t="s">
        <v>1934</v>
      </c>
      <c r="H1205" s="3">
        <v>43.621000000000002</v>
      </c>
      <c r="I1205" t="s">
        <v>1922</v>
      </c>
      <c r="J1205" t="s">
        <v>12179</v>
      </c>
      <c r="L1205" t="s">
        <v>1935</v>
      </c>
      <c r="M1205" t="str">
        <f>"https://www.artic.edu/iiif/2/"&amp;Table9[[#This Row],[Image ID]]&amp;"/full/843,/0/default.jpg"</f>
        <v>https://www.artic.edu/iiif/2/52925025-339c-124f-860d-348dbbd9138e/full/843,/0/default.jpg</v>
      </c>
      <c r="N1205" s="3">
        <v>0.77500000000000002</v>
      </c>
      <c r="O1205" s="3">
        <v>7.4999999999999997E-2</v>
      </c>
      <c r="P1205" s="3">
        <v>0.70000000000000007</v>
      </c>
      <c r="Q1205" s="3">
        <v>0.86775511503219604</v>
      </c>
    </row>
    <row r="1206" spans="1:17" x14ac:dyDescent="0.45">
      <c r="A1206" s="3">
        <v>39070</v>
      </c>
      <c r="B1206" t="b">
        <v>0</v>
      </c>
      <c r="C1206" t="b">
        <v>1</v>
      </c>
      <c r="D1206" s="3">
        <v>1828</v>
      </c>
      <c r="E1206" s="3">
        <v>1828</v>
      </c>
      <c r="F1206" t="s">
        <v>3731</v>
      </c>
      <c r="G1206" t="s">
        <v>7</v>
      </c>
      <c r="H1206" s="3">
        <v>34.651200000000003</v>
      </c>
      <c r="I1206" t="s">
        <v>7413</v>
      </c>
      <c r="J1206" t="s">
        <v>12219</v>
      </c>
      <c r="L1206" t="s">
        <v>7414</v>
      </c>
      <c r="M1206" t="str">
        <f>"https://www.artic.edu/iiif/2/"&amp;Table9[[#This Row],[Image ID]]&amp;"/full/843,/0/default.jpg"</f>
        <v>https://www.artic.edu/iiif/2/550326b2-8256-839f-7e2d-4d91dda67875/full/843,/0/default.jpg</v>
      </c>
      <c r="N1206" s="3">
        <v>0.8</v>
      </c>
      <c r="O1206" s="3">
        <v>0.1</v>
      </c>
      <c r="P1206" s="3">
        <v>0.70000000000000007</v>
      </c>
      <c r="Q1206" s="3">
        <v>0.91153264045715299</v>
      </c>
    </row>
    <row r="1207" spans="1:17" x14ac:dyDescent="0.45">
      <c r="A1207" s="3">
        <v>114113</v>
      </c>
      <c r="B1207" t="b">
        <v>0</v>
      </c>
      <c r="C1207" t="b">
        <v>1</v>
      </c>
      <c r="D1207" s="3">
        <v>1827</v>
      </c>
      <c r="E1207" s="3">
        <v>1827</v>
      </c>
      <c r="F1207" t="s">
        <v>1556</v>
      </c>
      <c r="G1207" t="s">
        <v>1557</v>
      </c>
      <c r="H1207" s="3">
        <v>21.6632</v>
      </c>
      <c r="I1207" t="s">
        <v>1558</v>
      </c>
      <c r="J1207" t="s">
        <v>12430</v>
      </c>
      <c r="L1207" t="s">
        <v>1559</v>
      </c>
      <c r="M1207" t="str">
        <f>"https://www.artic.edu/iiif/2/"&amp;Table9[[#This Row],[Image ID]]&amp;"/full/843,/0/default.jpg"</f>
        <v>https://www.artic.edu/iiif/2/63cb6601-7fe5-aac1-a39b-6cbd11cf51d8/full/843,/0/default.jpg</v>
      </c>
      <c r="N1207" s="3">
        <v>0.77500000000000002</v>
      </c>
      <c r="O1207" s="3">
        <v>7.4999999999999997E-2</v>
      </c>
      <c r="P1207" s="3">
        <v>0.70000000000000007</v>
      </c>
      <c r="Q1207" s="3">
        <v>0.723863005638122</v>
      </c>
    </row>
    <row r="1208" spans="1:17" x14ac:dyDescent="0.45">
      <c r="A1208" s="3">
        <v>40599</v>
      </c>
      <c r="B1208" t="b">
        <v>0</v>
      </c>
      <c r="C1208" t="b">
        <v>1</v>
      </c>
      <c r="D1208" s="3">
        <v>1560</v>
      </c>
      <c r="E1208" s="3">
        <v>1570</v>
      </c>
      <c r="F1208" t="s">
        <v>3072</v>
      </c>
      <c r="G1208" t="s">
        <v>7653</v>
      </c>
      <c r="H1208" s="3">
        <v>22.846900000000002</v>
      </c>
      <c r="I1208" t="s">
        <v>7654</v>
      </c>
      <c r="J1208" t="s">
        <v>12575</v>
      </c>
      <c r="L1208" t="s">
        <v>7655</v>
      </c>
      <c r="M1208" t="str">
        <f>"https://www.artic.edu/iiif/2/"&amp;Table9[[#This Row],[Image ID]]&amp;"/full/843,/0/default.jpg"</f>
        <v>https://www.artic.edu/iiif/2/6e93633b-1b96-c3ba-201e-5be700a6df71/full/843,/0/default.jpg</v>
      </c>
      <c r="N1208" s="3">
        <v>0.8</v>
      </c>
      <c r="O1208" s="3">
        <v>0.1</v>
      </c>
      <c r="P1208" s="3">
        <v>0.70000000000000007</v>
      </c>
      <c r="Q1208" s="3">
        <v>0.82272559404373102</v>
      </c>
    </row>
    <row r="1209" spans="1:17" x14ac:dyDescent="0.45">
      <c r="A1209" s="3">
        <v>217534</v>
      </c>
      <c r="B1209" t="b">
        <v>0</v>
      </c>
      <c r="C1209" t="b">
        <v>1</v>
      </c>
      <c r="D1209" s="3">
        <v>1800</v>
      </c>
      <c r="E1209" s="3">
        <v>1800</v>
      </c>
      <c r="F1209" t="s">
        <v>5713</v>
      </c>
      <c r="G1209" t="s">
        <v>7</v>
      </c>
      <c r="H1209" s="3">
        <v>18.9099</v>
      </c>
      <c r="I1209" t="s">
        <v>5714</v>
      </c>
      <c r="J1209" t="s">
        <v>12713</v>
      </c>
      <c r="L1209" t="s">
        <v>5715</v>
      </c>
      <c r="M1209" t="str">
        <f>"https://www.artic.edu/iiif/2/"&amp;Table9[[#This Row],[Image ID]]&amp;"/full/843,/0/default.jpg"</f>
        <v>https://www.artic.edu/iiif/2/7803e1de-cf41-a23e-4025-0e6fd5d41729/full/843,/0/default.jpg</v>
      </c>
      <c r="N1209" s="3">
        <v>0.77500000000000002</v>
      </c>
      <c r="O1209" s="3">
        <v>7.4999999999999997E-2</v>
      </c>
      <c r="P1209" s="3">
        <v>0.70000000000000007</v>
      </c>
      <c r="Q1209" s="3">
        <v>0.74545037746429399</v>
      </c>
    </row>
    <row r="1210" spans="1:17" x14ac:dyDescent="0.45">
      <c r="A1210" s="3">
        <v>36532</v>
      </c>
      <c r="B1210" t="b">
        <v>0</v>
      </c>
      <c r="C1210" t="b">
        <v>1</v>
      </c>
      <c r="D1210" s="3">
        <v>1837</v>
      </c>
      <c r="E1210" s="3">
        <v>1891</v>
      </c>
      <c r="F1210" t="s">
        <v>7237</v>
      </c>
      <c r="G1210" t="s">
        <v>7238</v>
      </c>
      <c r="H1210" s="3">
        <v>25.314399999999999</v>
      </c>
      <c r="I1210" t="s">
        <v>6286</v>
      </c>
      <c r="J1210" t="s">
        <v>12835</v>
      </c>
      <c r="L1210" t="s">
        <v>7239</v>
      </c>
      <c r="M1210" t="str">
        <f>"https://www.artic.edu/iiif/2/"&amp;Table9[[#This Row],[Image ID]]&amp;"/full/843,/0/default.jpg"</f>
        <v>https://www.artic.edu/iiif/2/80fa42ac-5473-6f07-0979-c35b5c2ed7da/full/843,/0/default.jpg</v>
      </c>
      <c r="N1210" s="3">
        <v>0.77500000000000002</v>
      </c>
      <c r="O1210" s="3">
        <v>7.4999999999999997E-2</v>
      </c>
      <c r="P1210" s="3">
        <v>0.70000000000000007</v>
      </c>
      <c r="Q1210" s="3">
        <v>0.64346563816070501</v>
      </c>
    </row>
    <row r="1211" spans="1:17" x14ac:dyDescent="0.45">
      <c r="A1211" s="3">
        <v>11316</v>
      </c>
      <c r="B1211" t="b">
        <v>0</v>
      </c>
      <c r="C1211" t="b">
        <v>1</v>
      </c>
      <c r="D1211" s="3">
        <v>1260</v>
      </c>
      <c r="E1211" s="3">
        <v>1644</v>
      </c>
      <c r="F1211" t="s">
        <v>955</v>
      </c>
      <c r="G1211" t="s">
        <v>946</v>
      </c>
      <c r="H1211" s="3">
        <v>27.613199999999999</v>
      </c>
      <c r="J1211" t="s">
        <v>12891</v>
      </c>
      <c r="K1211" s="5" t="s">
        <v>130</v>
      </c>
      <c r="L1211" t="s">
        <v>1362</v>
      </c>
      <c r="M1211" t="str">
        <f>"https://www.artic.edu/iiif/2/"&amp;Table9[[#This Row],[Image ID]]&amp;"/full/843,/0/default.jpg"</f>
        <v>https://www.artic.edu/iiif/2/84e7abe2-1295-ad54-db97-d83d617183b2/full/843,/0/default.jpg</v>
      </c>
      <c r="N1211" s="3">
        <v>0.77500000000000002</v>
      </c>
      <c r="O1211" s="3">
        <v>7.4999999999999997E-2</v>
      </c>
      <c r="P1211" s="3">
        <v>0.70000000000000007</v>
      </c>
      <c r="Q1211" s="3">
        <v>0.84872913360595703</v>
      </c>
    </row>
    <row r="1212" spans="1:17" x14ac:dyDescent="0.45">
      <c r="A1212" s="3">
        <v>53061</v>
      </c>
      <c r="B1212" t="b">
        <v>0</v>
      </c>
      <c r="C1212" t="b">
        <v>1</v>
      </c>
      <c r="D1212" s="3">
        <v>1640</v>
      </c>
      <c r="E1212" s="3">
        <v>1650</v>
      </c>
      <c r="F1212" t="s">
        <v>8233</v>
      </c>
      <c r="G1212" t="s">
        <v>7</v>
      </c>
      <c r="H1212" s="3">
        <v>0</v>
      </c>
      <c r="I1212" t="s">
        <v>8234</v>
      </c>
      <c r="J1212" t="s">
        <v>13016</v>
      </c>
      <c r="L1212" t="s">
        <v>8235</v>
      </c>
      <c r="M1212" t="str">
        <f>"https://www.artic.edu/iiif/2/"&amp;Table9[[#This Row],[Image ID]]&amp;"/full/843,/0/default.jpg"</f>
        <v>https://www.artic.edu/iiif/2/8f22ca73-94f1-a426-6656-8ab825657c25/full/843,/0/default.jpg</v>
      </c>
      <c r="N1212" s="3">
        <v>0.8</v>
      </c>
      <c r="O1212" s="3">
        <v>0.1</v>
      </c>
      <c r="P1212" s="3">
        <v>0.70000000000000007</v>
      </c>
      <c r="Q1212" s="3">
        <v>0.76529610157012895</v>
      </c>
    </row>
    <row r="1213" spans="1:17" x14ac:dyDescent="0.45">
      <c r="A1213" s="3">
        <v>230000</v>
      </c>
      <c r="B1213" t="b">
        <v>0</v>
      </c>
      <c r="C1213" t="b">
        <v>1</v>
      </c>
      <c r="D1213" s="3">
        <v>1675</v>
      </c>
      <c r="E1213" s="3">
        <v>1700</v>
      </c>
      <c r="F1213" t="s">
        <v>6132</v>
      </c>
      <c r="G1213" t="s">
        <v>7</v>
      </c>
      <c r="H1213" s="3">
        <v>21.9863</v>
      </c>
      <c r="I1213" t="s">
        <v>5159</v>
      </c>
      <c r="J1213" t="s">
        <v>13022</v>
      </c>
      <c r="L1213" t="s">
        <v>6133</v>
      </c>
      <c r="M1213" t="str">
        <f>"https://www.artic.edu/iiif/2/"&amp;Table9[[#This Row],[Image ID]]&amp;"/full/843,/0/default.jpg"</f>
        <v>https://www.artic.edu/iiif/2/8f8d29f3-dafa-b07b-e1a9-03302e948102/full/843,/0/default.jpg</v>
      </c>
      <c r="N1213" s="3">
        <v>0.8</v>
      </c>
      <c r="O1213" s="3">
        <v>0.1</v>
      </c>
      <c r="P1213" s="3">
        <v>0.70000000000000007</v>
      </c>
      <c r="Q1213" s="3">
        <v>0.71397972106933505</v>
      </c>
    </row>
    <row r="1214" spans="1:17" x14ac:dyDescent="0.45">
      <c r="A1214" s="3">
        <v>663</v>
      </c>
      <c r="B1214" t="b">
        <v>0</v>
      </c>
      <c r="C1214" t="b">
        <v>1</v>
      </c>
      <c r="D1214" s="3">
        <v>1892</v>
      </c>
      <c r="E1214" s="3">
        <v>1892</v>
      </c>
      <c r="F1214" t="s">
        <v>8678</v>
      </c>
      <c r="G1214" t="s">
        <v>7</v>
      </c>
      <c r="H1214" s="3">
        <v>16.4925</v>
      </c>
      <c r="I1214" t="s">
        <v>2638</v>
      </c>
      <c r="J1214" t="s">
        <v>13048</v>
      </c>
      <c r="K1214" s="5" t="s">
        <v>9</v>
      </c>
      <c r="L1214" t="s">
        <v>9234</v>
      </c>
      <c r="M1214" t="str">
        <f>"https://www.artic.edu/iiif/2/"&amp;Table9[[#This Row],[Image ID]]&amp;"/full/843,/0/default.jpg"</f>
        <v>https://www.artic.edu/iiif/2/91fcc71a-50eb-f418-85f5-d11fc81e8d83/full/843,/0/default.jpg</v>
      </c>
      <c r="N1214" s="3">
        <v>0.8</v>
      </c>
      <c r="O1214" s="3">
        <v>0.1</v>
      </c>
      <c r="P1214" s="3">
        <v>0.70000000000000007</v>
      </c>
      <c r="Q1214" s="3">
        <v>0.83485335111617998</v>
      </c>
    </row>
    <row r="1215" spans="1:17" x14ac:dyDescent="0.45">
      <c r="A1215" s="3">
        <v>47578</v>
      </c>
      <c r="B1215" t="b">
        <v>0</v>
      </c>
      <c r="C1215" t="b">
        <v>1</v>
      </c>
      <c r="D1215" s="3">
        <v>1771</v>
      </c>
      <c r="E1215" s="3">
        <v>1781</v>
      </c>
      <c r="F1215" t="s">
        <v>14604</v>
      </c>
      <c r="G1215" t="s">
        <v>7</v>
      </c>
      <c r="H1215" s="3">
        <v>36.444699999999997</v>
      </c>
      <c r="I1215" t="s">
        <v>2085</v>
      </c>
      <c r="J1215" t="s">
        <v>13084</v>
      </c>
      <c r="L1215" t="s">
        <v>7953</v>
      </c>
      <c r="M1215" t="str">
        <f>"https://www.artic.edu/iiif/2/"&amp;Table9[[#This Row],[Image ID]]&amp;"/full/843,/0/default.jpg"</f>
        <v>https://www.artic.edu/iiif/2/955a3bb2-0e15-4f03-5ed1-1914b5fc9c26/full/843,/0/default.jpg</v>
      </c>
      <c r="N1215" s="3">
        <v>0.8</v>
      </c>
      <c r="O1215" s="3">
        <v>0.1</v>
      </c>
      <c r="P1215" s="3">
        <v>0.70000000000000007</v>
      </c>
      <c r="Q1215" s="3">
        <v>0.90822511911392201</v>
      </c>
    </row>
    <row r="1216" spans="1:17" x14ac:dyDescent="0.45">
      <c r="A1216" s="3">
        <v>47089</v>
      </c>
      <c r="B1216" t="b">
        <v>0</v>
      </c>
      <c r="C1216" t="b">
        <v>1</v>
      </c>
      <c r="D1216" s="3">
        <v>1819</v>
      </c>
      <c r="E1216" s="3">
        <v>1901</v>
      </c>
      <c r="F1216" t="s">
        <v>7913</v>
      </c>
      <c r="G1216" t="s">
        <v>901</v>
      </c>
      <c r="H1216" s="3">
        <v>31.235499999999998</v>
      </c>
      <c r="I1216" t="s">
        <v>5727</v>
      </c>
      <c r="J1216" t="s">
        <v>13107</v>
      </c>
      <c r="K1216" s="5" t="s">
        <v>130</v>
      </c>
      <c r="L1216" t="s">
        <v>7914</v>
      </c>
      <c r="M1216" t="str">
        <f>"https://www.artic.edu/iiif/2/"&amp;Table9[[#This Row],[Image ID]]&amp;"/full/843,/0/default.jpg"</f>
        <v>https://www.artic.edu/iiif/2/96c6856f-c731-3378-577f-ea21875b4d35/full/843,/0/default.jpg</v>
      </c>
      <c r="N1216" s="3">
        <v>0.77500000000000002</v>
      </c>
      <c r="O1216" s="3">
        <v>7.4999999999999997E-2</v>
      </c>
      <c r="P1216" s="3">
        <v>0.70000000000000007</v>
      </c>
      <c r="Q1216" s="3">
        <v>0.78805857896804798</v>
      </c>
    </row>
    <row r="1217" spans="1:17" x14ac:dyDescent="0.45">
      <c r="A1217" s="3">
        <v>16539</v>
      </c>
      <c r="B1217" t="b">
        <v>0</v>
      </c>
      <c r="C1217" t="b">
        <v>1</v>
      </c>
      <c r="D1217" s="3">
        <v>1668</v>
      </c>
      <c r="E1217" s="3">
        <v>1668</v>
      </c>
      <c r="F1217" t="s">
        <v>4473</v>
      </c>
      <c r="G1217" t="s">
        <v>75</v>
      </c>
      <c r="H1217" s="3">
        <v>24.950800000000001</v>
      </c>
      <c r="I1217" t="s">
        <v>2711</v>
      </c>
      <c r="J1217" t="s">
        <v>13134</v>
      </c>
      <c r="L1217" t="s">
        <v>4474</v>
      </c>
      <c r="M1217" t="str">
        <f>"https://www.artic.edu/iiif/2/"&amp;Table9[[#This Row],[Image ID]]&amp;"/full/843,/0/default.jpg"</f>
        <v>https://www.artic.edu/iiif/2/98d8c11a-21be-6ece-ad42-c34aaa4f8005/full/843,/0/default.jpg</v>
      </c>
      <c r="N1217" s="3">
        <v>0.8</v>
      </c>
      <c r="O1217" s="3">
        <v>0.1</v>
      </c>
      <c r="P1217" s="3">
        <v>0.70000000000000007</v>
      </c>
      <c r="Q1217" s="3">
        <v>0.84792083501815796</v>
      </c>
    </row>
    <row r="1218" spans="1:17" x14ac:dyDescent="0.45">
      <c r="A1218" s="3">
        <v>41211</v>
      </c>
      <c r="B1218" t="b">
        <v>0</v>
      </c>
      <c r="C1218" t="b">
        <v>1</v>
      </c>
      <c r="D1218" s="3">
        <v>1627</v>
      </c>
      <c r="E1218" s="3">
        <v>1637</v>
      </c>
      <c r="F1218" t="s">
        <v>7688</v>
      </c>
      <c r="G1218" t="s">
        <v>7</v>
      </c>
      <c r="H1218" s="3">
        <v>20.129899999999999</v>
      </c>
      <c r="I1218" t="s">
        <v>14650</v>
      </c>
      <c r="J1218" t="s">
        <v>13258</v>
      </c>
      <c r="L1218" t="s">
        <v>7689</v>
      </c>
      <c r="M1218" t="str">
        <f>"https://www.artic.edu/iiif/2/"&amp;Table9[[#This Row],[Image ID]]&amp;"/full/843,/0/default.jpg"</f>
        <v>https://www.artic.edu/iiif/2/a2450337-afed-2797-17e7-2e1f2158235c/full/843,/0/default.jpg</v>
      </c>
      <c r="N1218" s="3">
        <v>0.8</v>
      </c>
      <c r="O1218" s="3">
        <v>0.1</v>
      </c>
      <c r="P1218" s="3">
        <v>0.70000000000000007</v>
      </c>
      <c r="Q1218" s="3">
        <v>0.83227747678756703</v>
      </c>
    </row>
    <row r="1219" spans="1:17" x14ac:dyDescent="0.45">
      <c r="A1219" s="3">
        <v>48678</v>
      </c>
      <c r="B1219" t="b">
        <v>0</v>
      </c>
      <c r="C1219" t="b">
        <v>1</v>
      </c>
      <c r="D1219" s="3">
        <v>1835</v>
      </c>
      <c r="E1219" s="3">
        <v>1899</v>
      </c>
      <c r="F1219" t="s">
        <v>7289</v>
      </c>
      <c r="G1219" t="s">
        <v>8008</v>
      </c>
      <c r="H1219" s="3">
        <v>29.373200000000001</v>
      </c>
      <c r="I1219" t="s">
        <v>6425</v>
      </c>
      <c r="J1219" t="s">
        <v>13373</v>
      </c>
      <c r="L1219" t="s">
        <v>8009</v>
      </c>
      <c r="M1219" t="str">
        <f>"https://www.artic.edu/iiif/2/"&amp;Table9[[#This Row],[Image ID]]&amp;"/full/843,/0/default.jpg"</f>
        <v>https://www.artic.edu/iiif/2/aa0a7237-374a-78aa-afd4-94ad84ea4e5f/full/843,/0/default.jpg</v>
      </c>
      <c r="N1219" s="3">
        <v>0.8</v>
      </c>
      <c r="O1219" s="3">
        <v>0.1</v>
      </c>
      <c r="P1219" s="3">
        <v>0.70000000000000007</v>
      </c>
      <c r="Q1219" s="3">
        <v>0.73426389694213801</v>
      </c>
    </row>
    <row r="1220" spans="1:17" x14ac:dyDescent="0.45">
      <c r="A1220" s="3">
        <v>887</v>
      </c>
      <c r="B1220" t="b">
        <v>0</v>
      </c>
      <c r="C1220" t="b">
        <v>1</v>
      </c>
      <c r="D1220" s="3">
        <v>1865</v>
      </c>
      <c r="E1220" s="3">
        <v>1875</v>
      </c>
      <c r="F1220" t="s">
        <v>2793</v>
      </c>
      <c r="G1220" t="s">
        <v>75</v>
      </c>
      <c r="H1220" s="3">
        <v>0</v>
      </c>
      <c r="I1220" t="s">
        <v>7152</v>
      </c>
      <c r="J1220" t="s">
        <v>13410</v>
      </c>
      <c r="L1220" t="s">
        <v>10437</v>
      </c>
      <c r="M1220" t="str">
        <f>"https://www.artic.edu/iiif/2/"&amp;Table9[[#This Row],[Image ID]]&amp;"/full/843,/0/default.jpg"</f>
        <v>https://www.artic.edu/iiif/2/ad3280c6-611a-c136-29b8-8f303a02f416/full/843,/0/default.jpg</v>
      </c>
      <c r="N1220" s="3">
        <v>0.77500000000000002</v>
      </c>
      <c r="O1220" s="3">
        <v>7.4999999999999997E-2</v>
      </c>
      <c r="P1220" s="3">
        <v>0.70000000000000007</v>
      </c>
      <c r="Q1220" s="3">
        <v>0.57143360376357999</v>
      </c>
    </row>
    <row r="1221" spans="1:17" x14ac:dyDescent="0.45">
      <c r="A1221" s="3">
        <v>115500</v>
      </c>
      <c r="B1221" t="b">
        <v>0</v>
      </c>
      <c r="C1221" t="b">
        <v>1</v>
      </c>
      <c r="D1221" s="3">
        <v>1719</v>
      </c>
      <c r="E1221" s="3">
        <v>1769</v>
      </c>
      <c r="F1221" t="s">
        <v>1968</v>
      </c>
      <c r="G1221" t="s">
        <v>1969</v>
      </c>
      <c r="H1221" s="3">
        <v>32.059699999999999</v>
      </c>
      <c r="I1221" t="s">
        <v>1922</v>
      </c>
      <c r="J1221" t="s">
        <v>13531</v>
      </c>
      <c r="L1221" t="s">
        <v>1970</v>
      </c>
      <c r="M1221" t="str">
        <f>"https://www.artic.edu/iiif/2/"&amp;Table9[[#This Row],[Image ID]]&amp;"/full/843,/0/default.jpg"</f>
        <v>https://www.artic.edu/iiif/2/b6a22bee-0707-bc39-3b5a-016686394673/full/843,/0/default.jpg</v>
      </c>
      <c r="N1221" s="3">
        <v>0.77500000000000002</v>
      </c>
      <c r="O1221" s="3">
        <v>7.4999999999999997E-2</v>
      </c>
      <c r="P1221" s="3">
        <v>0.70000000000000007</v>
      </c>
      <c r="Q1221" s="3">
        <v>0.88307839632034302</v>
      </c>
    </row>
    <row r="1222" spans="1:17" x14ac:dyDescent="0.45">
      <c r="A1222" s="3">
        <v>39954</v>
      </c>
      <c r="B1222" t="b">
        <v>0</v>
      </c>
      <c r="C1222" t="b">
        <v>1</v>
      </c>
      <c r="D1222" s="3">
        <v>1877</v>
      </c>
      <c r="E1222" s="3">
        <v>1877</v>
      </c>
      <c r="F1222" t="s">
        <v>7626</v>
      </c>
      <c r="G1222" t="s">
        <v>7</v>
      </c>
      <c r="H1222" s="3">
        <v>38.049399999999999</v>
      </c>
      <c r="I1222" t="s">
        <v>7627</v>
      </c>
      <c r="J1222" t="s">
        <v>13627</v>
      </c>
      <c r="K1222" s="5" t="s">
        <v>284</v>
      </c>
      <c r="L1222" t="s">
        <v>7628</v>
      </c>
      <c r="M1222" t="str">
        <f>"https://www.artic.edu/iiif/2/"&amp;Table9[[#This Row],[Image ID]]&amp;"/full/843,/0/default.jpg"</f>
        <v>https://www.artic.edu/iiif/2/be4d3662-4e77-6e13-9ff9-bcdebff0f56d/full/843,/0/default.jpg</v>
      </c>
      <c r="N1222" s="3">
        <v>0.8</v>
      </c>
      <c r="O1222" s="3">
        <v>0.1</v>
      </c>
      <c r="P1222" s="3">
        <v>0.70000000000000007</v>
      </c>
      <c r="Q1222" s="3">
        <v>0.75290310382842995</v>
      </c>
    </row>
    <row r="1223" spans="1:17" x14ac:dyDescent="0.45">
      <c r="A1223" s="3">
        <v>119985</v>
      </c>
      <c r="B1223" t="b">
        <v>0</v>
      </c>
      <c r="C1223" t="b">
        <v>1</v>
      </c>
      <c r="D1223" s="3">
        <v>1770</v>
      </c>
      <c r="E1223" s="3">
        <v>1776</v>
      </c>
      <c r="F1223" t="s">
        <v>2600</v>
      </c>
      <c r="G1223" t="s">
        <v>7</v>
      </c>
      <c r="H1223" s="3">
        <v>19.0017</v>
      </c>
      <c r="I1223" t="s">
        <v>2601</v>
      </c>
      <c r="J1223" t="s">
        <v>13809</v>
      </c>
      <c r="L1223" t="s">
        <v>2602</v>
      </c>
      <c r="M1223" t="str">
        <f>"https://www.artic.edu/iiif/2/"&amp;Table9[[#This Row],[Image ID]]&amp;"/full/843,/0/default.jpg"</f>
        <v>https://www.artic.edu/iiif/2/cc9c8cae-efc5-f5d4-5ac3-991a118004c8/full/843,/0/default.jpg</v>
      </c>
      <c r="N1223" s="3">
        <v>0.8</v>
      </c>
      <c r="O1223" s="3">
        <v>0.1</v>
      </c>
      <c r="P1223" s="3">
        <v>0.70000000000000007</v>
      </c>
      <c r="Q1223" s="3">
        <v>0.83159649372100797</v>
      </c>
    </row>
    <row r="1224" spans="1:17" x14ac:dyDescent="0.45">
      <c r="A1224" s="3">
        <v>39162</v>
      </c>
      <c r="B1224" t="b">
        <v>0</v>
      </c>
      <c r="C1224" t="b">
        <v>1</v>
      </c>
      <c r="D1224" s="3">
        <v>1840</v>
      </c>
      <c r="E1224" s="3">
        <v>1851</v>
      </c>
      <c r="F1224" t="s">
        <v>7475</v>
      </c>
      <c r="G1224" t="s">
        <v>1085</v>
      </c>
      <c r="H1224" s="3">
        <v>49.981299999999997</v>
      </c>
      <c r="I1224" t="s">
        <v>1086</v>
      </c>
      <c r="J1224" t="s">
        <v>13358</v>
      </c>
      <c r="L1224" t="s">
        <v>7476</v>
      </c>
      <c r="M1224" t="str">
        <f>"https://www.artic.edu/iiif/2/"&amp;Table9[[#This Row],[Image ID]]&amp;"/full/843,/0/default.jpg"</f>
        <v>https://www.artic.edu/iiif/2/e2f8facd-908f-d419-c223-d303bef69c45/full/843,/0/default.jpg</v>
      </c>
      <c r="N1224" s="3">
        <v>0.77500000000000002</v>
      </c>
      <c r="O1224" s="3">
        <v>7.4999999999999997E-2</v>
      </c>
      <c r="P1224" s="3">
        <v>0.70000000000000007</v>
      </c>
      <c r="Q1224" s="3">
        <v>0.730735182762146</v>
      </c>
    </row>
    <row r="1225" spans="1:17" x14ac:dyDescent="0.45">
      <c r="A1225" s="3">
        <v>47059</v>
      </c>
      <c r="B1225" t="b">
        <v>0</v>
      </c>
      <c r="C1225" t="b">
        <v>1</v>
      </c>
      <c r="D1225" s="3">
        <v>1900</v>
      </c>
      <c r="E1225" s="3">
        <v>1900</v>
      </c>
      <c r="F1225" t="s">
        <v>7910</v>
      </c>
      <c r="G1225" t="s">
        <v>7911</v>
      </c>
      <c r="H1225" s="3">
        <v>26.4101</v>
      </c>
      <c r="I1225" t="s">
        <v>1327</v>
      </c>
      <c r="J1225" t="s">
        <v>14194</v>
      </c>
      <c r="L1225" t="s">
        <v>7912</v>
      </c>
      <c r="M1225" t="str">
        <f>"https://www.artic.edu/iiif/2/"&amp;Table9[[#This Row],[Image ID]]&amp;"/full/843,/0/default.jpg"</f>
        <v>https://www.artic.edu/iiif/2/e858fc0a-7900-0103-098e-f87440262427/full/843,/0/default.jpg</v>
      </c>
      <c r="N1225" s="3">
        <v>0.77500000000000002</v>
      </c>
      <c r="O1225" s="3">
        <v>7.4999999999999997E-2</v>
      </c>
      <c r="P1225" s="3">
        <v>0.70000000000000007</v>
      </c>
      <c r="Q1225" s="3">
        <v>0.871473908424377</v>
      </c>
    </row>
    <row r="1226" spans="1:17" x14ac:dyDescent="0.45">
      <c r="A1226" s="3">
        <v>107938</v>
      </c>
      <c r="B1226" t="b">
        <v>0</v>
      </c>
      <c r="C1226" t="b">
        <v>1</v>
      </c>
      <c r="D1226" s="3">
        <v>1718</v>
      </c>
      <c r="E1226" s="3">
        <v>1721</v>
      </c>
      <c r="F1226" t="s">
        <v>14708</v>
      </c>
      <c r="G1226" t="s">
        <v>75</v>
      </c>
      <c r="H1226" s="3">
        <v>20.521100000000001</v>
      </c>
      <c r="I1226" t="s">
        <v>710</v>
      </c>
      <c r="J1226" t="s">
        <v>14413</v>
      </c>
      <c r="L1226" t="s">
        <v>711</v>
      </c>
      <c r="M1226" t="str">
        <f>"https://www.artic.edu/iiif/2/"&amp;Table9[[#This Row],[Image ID]]&amp;"/full/843,/0/default.jpg"</f>
        <v>https://www.artic.edu/iiif/2/f6eddea6-5789-b6f9-315c-50a08a7c4adc/full/843,/0/default.jpg</v>
      </c>
      <c r="N1226" s="3">
        <v>0.8</v>
      </c>
      <c r="O1226" s="3">
        <v>0.1</v>
      </c>
      <c r="P1226" s="3">
        <v>0.70000000000000007</v>
      </c>
      <c r="Q1226" s="3">
        <v>0.71124804019927901</v>
      </c>
    </row>
    <row r="1227" spans="1:17" x14ac:dyDescent="0.45">
      <c r="A1227" s="3">
        <v>16228</v>
      </c>
      <c r="B1227" t="b">
        <v>0</v>
      </c>
      <c r="C1227" t="b">
        <v>1</v>
      </c>
      <c r="D1227" s="3">
        <v>1390</v>
      </c>
      <c r="E1227" s="3">
        <v>1400</v>
      </c>
      <c r="F1227" t="s">
        <v>4317</v>
      </c>
      <c r="G1227" t="s">
        <v>103</v>
      </c>
      <c r="H1227" s="3">
        <v>57.307600000000001</v>
      </c>
      <c r="I1227" t="s">
        <v>4318</v>
      </c>
      <c r="J1227" t="s">
        <v>14483</v>
      </c>
      <c r="L1227" t="s">
        <v>4319</v>
      </c>
      <c r="M1227" t="str">
        <f>"https://www.artic.edu/iiif/2/"&amp;Table9[[#This Row],[Image ID]]&amp;"/full/843,/0/default.jpg"</f>
        <v>https://www.artic.edu/iiif/2/fc3d24a2-5b46-0050-1ba6-5e7831caca4b/full/843,/0/default.jpg</v>
      </c>
      <c r="N1227" s="3">
        <v>0.8</v>
      </c>
      <c r="O1227" s="3">
        <v>0.1</v>
      </c>
      <c r="P1227" s="3">
        <v>0.70000000000000007</v>
      </c>
      <c r="Q1227" s="3">
        <v>0.71190094947814897</v>
      </c>
    </row>
    <row r="1228" spans="1:17" x14ac:dyDescent="0.45">
      <c r="A1228" s="3">
        <v>45394</v>
      </c>
      <c r="B1228" t="b">
        <v>0</v>
      </c>
      <c r="C1228" t="b">
        <v>0</v>
      </c>
      <c r="D1228" s="3">
        <v>1967</v>
      </c>
      <c r="E1228" s="3">
        <v>1967</v>
      </c>
      <c r="F1228" t="s">
        <v>7858</v>
      </c>
      <c r="G1228" t="s">
        <v>7859</v>
      </c>
      <c r="H1228" s="3">
        <v>68.425299999999993</v>
      </c>
      <c r="I1228" t="s">
        <v>165</v>
      </c>
      <c r="J1228" t="s">
        <v>10987</v>
      </c>
      <c r="L1228" t="s">
        <v>7860</v>
      </c>
      <c r="M1228" t="str">
        <f>"https://www.artic.edu/iiif/2/"&amp;Table9[[#This Row],[Image ID]]&amp;"/full/843,/0/default.jpg"</f>
        <v>https://www.artic.edu/iiif/2/01114f8a-eeff-1405-1196-c1726a849094/full/843,/0/default.jpg</v>
      </c>
      <c r="N1228" s="3">
        <v>0.72499999999999998</v>
      </c>
      <c r="O1228" s="3">
        <v>2.5000000000000001E-2</v>
      </c>
      <c r="P1228" s="3">
        <v>0.7</v>
      </c>
      <c r="Q1228" s="3">
        <v>0.78576779365539495</v>
      </c>
    </row>
    <row r="1229" spans="1:17" x14ac:dyDescent="0.45">
      <c r="A1229" s="3">
        <v>149374</v>
      </c>
      <c r="B1229" t="b">
        <v>0</v>
      </c>
      <c r="C1229" t="b">
        <v>0</v>
      </c>
      <c r="D1229" s="3">
        <v>1993</v>
      </c>
      <c r="E1229" s="3">
        <v>1993</v>
      </c>
      <c r="F1229" t="s">
        <v>3746</v>
      </c>
      <c r="G1229" t="s">
        <v>141</v>
      </c>
      <c r="H1229" s="3">
        <v>12.6859</v>
      </c>
      <c r="I1229" t="s">
        <v>3747</v>
      </c>
      <c r="J1229" t="s">
        <v>11044</v>
      </c>
      <c r="L1229" t="s">
        <v>3748</v>
      </c>
      <c r="M1229" t="str">
        <f>"https://www.artic.edu/iiif/2/"&amp;Table9[[#This Row],[Image ID]]&amp;"/full/843,/0/default.jpg"</f>
        <v>https://www.artic.edu/iiif/2/05016059-438b-ea38-8777-e68742c4eb3c/full/843,/0/default.jpg</v>
      </c>
      <c r="N1229" s="3">
        <v>0.82499999999999996</v>
      </c>
      <c r="O1229" s="3">
        <v>0.125</v>
      </c>
      <c r="P1229" s="3">
        <v>0.7</v>
      </c>
      <c r="Q1229" s="3">
        <v>0.70959347486495905</v>
      </c>
    </row>
    <row r="1230" spans="1:17" x14ac:dyDescent="0.45">
      <c r="A1230" s="3">
        <v>184944</v>
      </c>
      <c r="B1230" t="b">
        <v>0</v>
      </c>
      <c r="C1230" t="b">
        <v>0</v>
      </c>
      <c r="D1230" s="3">
        <v>2003</v>
      </c>
      <c r="E1230" s="3">
        <v>2003</v>
      </c>
      <c r="F1230" t="s">
        <v>4934</v>
      </c>
      <c r="G1230" t="s">
        <v>4823</v>
      </c>
      <c r="H1230" s="3">
        <v>7.1448999999999998</v>
      </c>
      <c r="I1230" t="s">
        <v>293</v>
      </c>
      <c r="J1230" t="s">
        <v>10977</v>
      </c>
      <c r="K1230" s="5" t="s">
        <v>15</v>
      </c>
      <c r="L1230" t="s">
        <v>4935</v>
      </c>
      <c r="M1230" t="str">
        <f>"https://www.artic.edu/iiif/2/"&amp;Table9[[#This Row],[Image ID]]&amp;"/full/843,/0/default.jpg"</f>
        <v>https://www.artic.edu/iiif/2/0bec482f-74e4-bfdb-d332-1f2c8fb56dc4/full/843,/0/default.jpg</v>
      </c>
      <c r="N1230" s="3">
        <v>0.82499999999999996</v>
      </c>
      <c r="O1230" s="3">
        <v>0.125</v>
      </c>
      <c r="P1230" s="3">
        <v>0.7</v>
      </c>
      <c r="Q1230" s="3">
        <v>0.91037660837173395</v>
      </c>
    </row>
    <row r="1231" spans="1:17" x14ac:dyDescent="0.45">
      <c r="A1231" s="3">
        <v>44052</v>
      </c>
      <c r="B1231" t="b">
        <v>0</v>
      </c>
      <c r="C1231" t="b">
        <v>0</v>
      </c>
      <c r="D1231" s="3">
        <v>1941</v>
      </c>
      <c r="E1231" s="3">
        <v>1941</v>
      </c>
      <c r="F1231" t="s">
        <v>7757</v>
      </c>
      <c r="G1231" t="s">
        <v>7758</v>
      </c>
      <c r="H1231" s="3">
        <v>25.474900000000002</v>
      </c>
      <c r="I1231" t="s">
        <v>7759</v>
      </c>
      <c r="J1231" t="s">
        <v>11148</v>
      </c>
      <c r="L1231" t="s">
        <v>7760</v>
      </c>
      <c r="M1231" t="str">
        <f>"https://www.artic.edu/iiif/2/"&amp;Table9[[#This Row],[Image ID]]&amp;"/full/843,/0/default.jpg"</f>
        <v>https://www.artic.edu/iiif/2/0d3caa94-b15a-00b4-7f31-834f35abbae8/full/843,/0/default.jpg</v>
      </c>
      <c r="N1231" s="3">
        <v>0.75</v>
      </c>
      <c r="O1231" s="3">
        <v>0.05</v>
      </c>
      <c r="P1231" s="3">
        <v>0.7</v>
      </c>
      <c r="Q1231" s="3">
        <v>0.64937144517898504</v>
      </c>
    </row>
    <row r="1232" spans="1:17" x14ac:dyDescent="0.45">
      <c r="A1232" s="3">
        <v>70374</v>
      </c>
      <c r="B1232" t="b">
        <v>0</v>
      </c>
      <c r="C1232" t="b">
        <v>0</v>
      </c>
      <c r="D1232" s="3">
        <v>1936</v>
      </c>
      <c r="E1232" s="3">
        <v>1937</v>
      </c>
      <c r="F1232" t="s">
        <v>9459</v>
      </c>
      <c r="G1232" t="s">
        <v>7</v>
      </c>
      <c r="H1232" s="3">
        <v>32.131</v>
      </c>
      <c r="I1232" t="s">
        <v>3943</v>
      </c>
      <c r="J1232" t="s">
        <v>11210</v>
      </c>
      <c r="K1232" s="5" t="s">
        <v>2</v>
      </c>
      <c r="L1232" t="s">
        <v>9460</v>
      </c>
      <c r="M1232" t="str">
        <f>"https://www.artic.edu/iiif/2/"&amp;Table9[[#This Row],[Image ID]]&amp;"/full/843,/0/default.jpg"</f>
        <v>https://www.artic.edu/iiif/2/11e945ce-2616-cf05-d424-ff93e1ee3d1a/full/843,/0/default.jpg</v>
      </c>
      <c r="N1232" s="3">
        <v>0.72499999999999998</v>
      </c>
      <c r="O1232" s="3">
        <v>2.5000000000000001E-2</v>
      </c>
      <c r="P1232" s="3">
        <v>0.7</v>
      </c>
      <c r="Q1232" s="3">
        <v>0.75202590227126997</v>
      </c>
    </row>
    <row r="1233" spans="1:17" x14ac:dyDescent="0.45">
      <c r="A1233" s="3">
        <v>109585</v>
      </c>
      <c r="B1233" t="b">
        <v>0</v>
      </c>
      <c r="C1233" t="b">
        <v>0</v>
      </c>
      <c r="D1233" s="3">
        <v>1925</v>
      </c>
      <c r="E1233" s="3">
        <v>1953</v>
      </c>
      <c r="F1233" t="s">
        <v>831</v>
      </c>
      <c r="G1233" t="s">
        <v>370</v>
      </c>
      <c r="H1233" s="3">
        <v>72.715000000000003</v>
      </c>
      <c r="I1233" t="s">
        <v>184</v>
      </c>
      <c r="J1233" t="s">
        <v>11236</v>
      </c>
      <c r="L1233" t="s">
        <v>832</v>
      </c>
      <c r="M1233" t="str">
        <f>"https://www.artic.edu/iiif/2/"&amp;Table9[[#This Row],[Image ID]]&amp;"/full/843,/0/default.jpg"</f>
        <v>https://www.artic.edu/iiif/2/133c982d-14df-386c-a1c1-c977fdce6f0b/full/843,/0/default.jpg</v>
      </c>
      <c r="N1233" s="3">
        <v>0.72499999999999998</v>
      </c>
      <c r="O1233" s="3">
        <v>2.5000000000000001E-2</v>
      </c>
      <c r="P1233" s="3">
        <v>0.7</v>
      </c>
      <c r="Q1233" s="3">
        <v>0.84952920675277699</v>
      </c>
    </row>
    <row r="1234" spans="1:17" x14ac:dyDescent="0.45">
      <c r="A1234" s="3">
        <v>14757</v>
      </c>
      <c r="B1234" t="b">
        <v>0</v>
      </c>
      <c r="C1234" t="b">
        <v>0</v>
      </c>
      <c r="D1234" s="3">
        <v>1906</v>
      </c>
      <c r="E1234" s="3">
        <v>1907</v>
      </c>
      <c r="F1234" t="s">
        <v>3628</v>
      </c>
      <c r="G1234" t="s">
        <v>3629</v>
      </c>
      <c r="H1234" s="3">
        <v>18.157800000000002</v>
      </c>
      <c r="I1234" t="s">
        <v>1164</v>
      </c>
      <c r="J1234" t="s">
        <v>11363</v>
      </c>
      <c r="L1234" t="s">
        <v>3630</v>
      </c>
      <c r="M1234" t="str">
        <f>"https://www.artic.edu/iiif/2/"&amp;Table9[[#This Row],[Image ID]]&amp;"/full/843,/0/default.jpg"</f>
        <v>https://www.artic.edu/iiif/2/1c9f3f79-8791-03e0-4764-9283da786ec3/full/843,/0/default.jpg</v>
      </c>
      <c r="N1234" s="3">
        <v>0.75</v>
      </c>
      <c r="O1234" s="3">
        <v>0.05</v>
      </c>
      <c r="P1234" s="3">
        <v>0.7</v>
      </c>
      <c r="Q1234" s="3">
        <v>0.79159992933273304</v>
      </c>
    </row>
    <row r="1235" spans="1:17" x14ac:dyDescent="0.45">
      <c r="A1235" s="3">
        <v>23370</v>
      </c>
      <c r="B1235" t="b">
        <v>0</v>
      </c>
      <c r="C1235" t="b">
        <v>0</v>
      </c>
      <c r="D1235" s="3">
        <v>1964</v>
      </c>
      <c r="E1235" s="3">
        <v>1964</v>
      </c>
      <c r="F1235" t="s">
        <v>11</v>
      </c>
      <c r="G1235" t="s">
        <v>6182</v>
      </c>
      <c r="H1235" s="3">
        <v>23.020499999999998</v>
      </c>
      <c r="I1235" t="s">
        <v>2389</v>
      </c>
      <c r="J1235" t="s">
        <v>11415</v>
      </c>
      <c r="L1235" t="s">
        <v>6183</v>
      </c>
      <c r="M1235" t="str">
        <f>"https://www.artic.edu/iiif/2/"&amp;Table9[[#This Row],[Image ID]]&amp;"/full/843,/0/default.jpg"</f>
        <v>https://www.artic.edu/iiif/2/1f8236d8-8a4c-669f-0767-5aa80fd5a529/full/843,/0/default.jpg</v>
      </c>
      <c r="N1235" s="3">
        <v>0.7</v>
      </c>
      <c r="O1235" s="3">
        <v>0</v>
      </c>
      <c r="P1235" s="3">
        <v>0.7</v>
      </c>
      <c r="Q1235" s="3">
        <v>0.859333455562591</v>
      </c>
    </row>
    <row r="1236" spans="1:17" x14ac:dyDescent="0.45">
      <c r="A1236" s="3">
        <v>61688</v>
      </c>
      <c r="B1236" t="b">
        <v>0</v>
      </c>
      <c r="C1236" t="b">
        <v>0</v>
      </c>
      <c r="D1236" s="3">
        <v>1940</v>
      </c>
      <c r="E1236" s="3">
        <v>1940</v>
      </c>
      <c r="F1236" t="s">
        <v>2757</v>
      </c>
      <c r="G1236" t="s">
        <v>8831</v>
      </c>
      <c r="H1236" s="3">
        <v>36.377699999999997</v>
      </c>
      <c r="I1236" t="s">
        <v>1083</v>
      </c>
      <c r="J1236" t="s">
        <v>11432</v>
      </c>
      <c r="L1236" t="s">
        <v>8832</v>
      </c>
      <c r="M1236" t="str">
        <f>"https://www.artic.edu/iiif/2/"&amp;Table9[[#This Row],[Image ID]]&amp;"/full/843,/0/default.jpg"</f>
        <v>https://www.artic.edu/iiif/2/201d2ae9-6943-6e1f-3db1-0186f6a34903/full/843,/0/default.jpg</v>
      </c>
      <c r="N1236" s="3">
        <v>0.7</v>
      </c>
      <c r="O1236" s="3">
        <v>0</v>
      </c>
      <c r="P1236" s="3">
        <v>0.7</v>
      </c>
      <c r="Q1236" s="3">
        <v>0.71062552928924505</v>
      </c>
    </row>
    <row r="1237" spans="1:17" x14ac:dyDescent="0.45">
      <c r="A1237" s="3">
        <v>118759</v>
      </c>
      <c r="B1237" t="b">
        <v>0</v>
      </c>
      <c r="C1237" t="b">
        <v>0</v>
      </c>
      <c r="D1237" s="3">
        <v>1938</v>
      </c>
      <c r="E1237" s="3">
        <v>1939</v>
      </c>
      <c r="F1237" t="s">
        <v>2559</v>
      </c>
      <c r="G1237" t="s">
        <v>7</v>
      </c>
      <c r="H1237" s="3">
        <v>24.003</v>
      </c>
      <c r="I1237" t="s">
        <v>2302</v>
      </c>
      <c r="J1237" t="s">
        <v>11580</v>
      </c>
      <c r="L1237" t="s">
        <v>2560</v>
      </c>
      <c r="M1237" t="str">
        <f>"https://www.artic.edu/iiif/2/"&amp;Table9[[#This Row],[Image ID]]&amp;"/full/843,/0/default.jpg"</f>
        <v>https://www.artic.edu/iiif/2/29c3b2f9-d629-62e5-baa0-4badde72b67f/full/843,/0/default.jpg</v>
      </c>
      <c r="N1237" s="3">
        <v>0.72499999999999998</v>
      </c>
      <c r="O1237" s="3">
        <v>2.5000000000000001E-2</v>
      </c>
      <c r="P1237" s="3">
        <v>0.7</v>
      </c>
      <c r="Q1237" s="3">
        <v>0.80797052383422796</v>
      </c>
    </row>
    <row r="1238" spans="1:17" x14ac:dyDescent="0.45">
      <c r="A1238" s="3">
        <v>26643</v>
      </c>
      <c r="B1238" t="b">
        <v>0</v>
      </c>
      <c r="C1238" t="b">
        <v>0</v>
      </c>
      <c r="D1238" s="3">
        <v>1932</v>
      </c>
      <c r="E1238" s="3">
        <v>1932</v>
      </c>
      <c r="F1238" t="s">
        <v>6682</v>
      </c>
      <c r="G1238" t="s">
        <v>7</v>
      </c>
      <c r="H1238" s="3">
        <v>23.266100000000002</v>
      </c>
      <c r="I1238" t="s">
        <v>2660</v>
      </c>
      <c r="J1238" t="s">
        <v>11682</v>
      </c>
      <c r="K1238" s="5" t="s">
        <v>45</v>
      </c>
      <c r="L1238" t="s">
        <v>6683</v>
      </c>
      <c r="M1238" t="str">
        <f>"https://www.artic.edu/iiif/2/"&amp;Table9[[#This Row],[Image ID]]&amp;"/full/843,/0/default.jpg"</f>
        <v>https://www.artic.edu/iiif/2/306b073a-8ba7-3ce9-bafb-5522225a1535/full/843,/0/default.jpg</v>
      </c>
      <c r="N1238" s="3">
        <v>0.75</v>
      </c>
      <c r="O1238" s="3">
        <v>0.05</v>
      </c>
      <c r="P1238" s="3">
        <v>0.7</v>
      </c>
      <c r="Q1238" s="3">
        <v>0.65951901674270597</v>
      </c>
    </row>
    <row r="1239" spans="1:17" x14ac:dyDescent="0.45">
      <c r="A1239" s="3">
        <v>5402</v>
      </c>
      <c r="B1239" t="b">
        <v>0</v>
      </c>
      <c r="C1239" t="b">
        <v>0</v>
      </c>
      <c r="D1239" s="3">
        <v>1819</v>
      </c>
      <c r="E1239" s="3">
        <v>1957</v>
      </c>
      <c r="F1239" t="s">
        <v>8293</v>
      </c>
      <c r="G1239" t="s">
        <v>8294</v>
      </c>
      <c r="H1239" s="3">
        <v>16.3277</v>
      </c>
      <c r="I1239" t="s">
        <v>3085</v>
      </c>
      <c r="J1239" t="s">
        <v>11710</v>
      </c>
      <c r="L1239" t="s">
        <v>8295</v>
      </c>
      <c r="M1239" t="str">
        <f>"https://www.artic.edu/iiif/2/"&amp;Table9[[#This Row],[Image ID]]&amp;"/full/843,/0/default.jpg"</f>
        <v>https://www.artic.edu/iiif/2/326ab521-d1c0-6253-6598-055a78a8f29a/full/843,/0/default.jpg</v>
      </c>
      <c r="N1239" s="3">
        <v>0.75</v>
      </c>
      <c r="O1239" s="3">
        <v>0.05</v>
      </c>
      <c r="P1239" s="3">
        <v>0.7</v>
      </c>
      <c r="Q1239" s="3">
        <v>0.80328297615051203</v>
      </c>
    </row>
    <row r="1240" spans="1:17" x14ac:dyDescent="0.45">
      <c r="A1240" s="3">
        <v>104238</v>
      </c>
      <c r="B1240" t="b">
        <v>0</v>
      </c>
      <c r="C1240" t="b">
        <v>0</v>
      </c>
      <c r="D1240" s="3">
        <v>1910</v>
      </c>
      <c r="E1240" s="3">
        <v>1910</v>
      </c>
      <c r="F1240" t="s">
        <v>369</v>
      </c>
      <c r="G1240" t="s">
        <v>370</v>
      </c>
      <c r="H1240" s="3">
        <v>28.592099999999999</v>
      </c>
      <c r="I1240" t="s">
        <v>371</v>
      </c>
      <c r="J1240" t="s">
        <v>11754</v>
      </c>
      <c r="L1240" t="s">
        <v>372</v>
      </c>
      <c r="M1240" t="str">
        <f>"https://www.artic.edu/iiif/2/"&amp;Table9[[#This Row],[Image ID]]&amp;"/full/843,/0/default.jpg"</f>
        <v>https://www.artic.edu/iiif/2/35e8c405-62d5-bf4f-2fb6-1390842374d1/full/843,/0/default.jpg</v>
      </c>
      <c r="N1240" s="3">
        <v>0.75</v>
      </c>
      <c r="O1240" s="3">
        <v>0.05</v>
      </c>
      <c r="P1240" s="3">
        <v>0.7</v>
      </c>
      <c r="Q1240" s="3">
        <v>0.86763030290603604</v>
      </c>
    </row>
    <row r="1241" spans="1:17" x14ac:dyDescent="0.45">
      <c r="A1241" s="3">
        <v>90207</v>
      </c>
      <c r="B1241" t="b">
        <v>0</v>
      </c>
      <c r="C1241" t="b">
        <v>0</v>
      </c>
      <c r="D1241" s="3">
        <v>1917</v>
      </c>
      <c r="E1241" s="3">
        <v>1917</v>
      </c>
      <c r="F1241" t="s">
        <v>10512</v>
      </c>
      <c r="G1241" t="s">
        <v>2611</v>
      </c>
      <c r="H1241" s="3">
        <v>30.241499999999998</v>
      </c>
      <c r="I1241" t="s">
        <v>1019</v>
      </c>
      <c r="J1241" t="s">
        <v>11881</v>
      </c>
      <c r="K1241" s="5" t="s">
        <v>45</v>
      </c>
      <c r="L1241" t="s">
        <v>10513</v>
      </c>
      <c r="M1241" t="str">
        <f>"https://www.artic.edu/iiif/2/"&amp;Table9[[#This Row],[Image ID]]&amp;"/full/843,/0/default.jpg"</f>
        <v>https://www.artic.edu/iiif/2/3dbc5164-36fe-36b0-0213-2198ee309f82/full/843,/0/default.jpg</v>
      </c>
      <c r="N1241" s="3">
        <v>0.72499999999999998</v>
      </c>
      <c r="O1241" s="3">
        <v>2.5000000000000001E-2</v>
      </c>
      <c r="P1241" s="3">
        <v>0.7</v>
      </c>
      <c r="Q1241" s="3">
        <v>0.76860445737838701</v>
      </c>
    </row>
    <row r="1242" spans="1:17" x14ac:dyDescent="0.45">
      <c r="A1242" s="3">
        <v>229953</v>
      </c>
      <c r="B1242" t="b">
        <v>0</v>
      </c>
      <c r="C1242" t="b">
        <v>0</v>
      </c>
      <c r="D1242" s="3">
        <v>1983</v>
      </c>
      <c r="E1242" s="3">
        <v>1983</v>
      </c>
      <c r="F1242" t="s">
        <v>6120</v>
      </c>
      <c r="G1242" t="s">
        <v>249</v>
      </c>
      <c r="H1242" s="3">
        <v>29.042300000000001</v>
      </c>
      <c r="I1242" t="s">
        <v>6121</v>
      </c>
      <c r="J1242" t="s">
        <v>12001</v>
      </c>
      <c r="L1242" t="s">
        <v>6122</v>
      </c>
      <c r="M1242" t="str">
        <f>"https://www.artic.edu/iiif/2/"&amp;Table9[[#This Row],[Image ID]]&amp;"/full/843,/0/default.jpg"</f>
        <v>https://www.artic.edu/iiif/2/4557f691-e3f1-d730-5f29-79b3c3388f57/full/843,/0/default.jpg</v>
      </c>
      <c r="N1242" s="3">
        <v>0.72499999999999998</v>
      </c>
      <c r="O1242" s="3">
        <v>2.5000000000000001E-2</v>
      </c>
      <c r="P1242" s="3">
        <v>0.7</v>
      </c>
      <c r="Q1242" s="3">
        <v>0.81975030899047796</v>
      </c>
    </row>
    <row r="1243" spans="1:17" x14ac:dyDescent="0.45">
      <c r="A1243" s="3">
        <v>104264</v>
      </c>
      <c r="B1243" t="b">
        <v>0</v>
      </c>
      <c r="C1243" t="b">
        <v>0</v>
      </c>
      <c r="D1243" s="3">
        <v>1981</v>
      </c>
      <c r="E1243" s="3">
        <v>1981</v>
      </c>
      <c r="F1243" t="s">
        <v>389</v>
      </c>
      <c r="G1243" t="s">
        <v>390</v>
      </c>
      <c r="H1243" s="3">
        <v>6.0980999999999996</v>
      </c>
      <c r="I1243" t="s">
        <v>378</v>
      </c>
      <c r="J1243" t="s">
        <v>12099</v>
      </c>
      <c r="K1243" s="5" t="s">
        <v>45</v>
      </c>
      <c r="L1243" t="s">
        <v>391</v>
      </c>
      <c r="M1243" t="str">
        <f>"https://www.artic.edu/iiif/2/"&amp;Table9[[#This Row],[Image ID]]&amp;"/full/843,/0/default.jpg"</f>
        <v>https://www.artic.edu/iiif/2/4d3b1a91-4928-8276-e04c-3bc1c0fb751c/full/843,/0/default.jpg</v>
      </c>
      <c r="N1243" s="3">
        <v>0.85</v>
      </c>
      <c r="O1243" s="3">
        <v>0.15</v>
      </c>
      <c r="P1243" s="3">
        <v>0.7</v>
      </c>
      <c r="Q1243" s="3">
        <v>0.81351923942565896</v>
      </c>
    </row>
    <row r="1244" spans="1:17" x14ac:dyDescent="0.45">
      <c r="A1244" s="3">
        <v>239646</v>
      </c>
      <c r="B1244" t="b">
        <v>0</v>
      </c>
      <c r="C1244" t="b">
        <v>0</v>
      </c>
      <c r="D1244" s="3">
        <v>1963</v>
      </c>
      <c r="E1244" s="3">
        <v>1963</v>
      </c>
      <c r="F1244" t="s">
        <v>11</v>
      </c>
      <c r="G1244" t="s">
        <v>6342</v>
      </c>
      <c r="H1244" s="3">
        <v>17.010100000000001</v>
      </c>
      <c r="I1244" t="s">
        <v>6343</v>
      </c>
      <c r="J1244" t="s">
        <v>12122</v>
      </c>
      <c r="K1244" s="5" t="s">
        <v>5771</v>
      </c>
      <c r="L1244" t="s">
        <v>6344</v>
      </c>
      <c r="M1244" t="str">
        <f>"https://www.artic.edu/iiif/2/"&amp;Table9[[#This Row],[Image ID]]&amp;"/full/843,/0/default.jpg"</f>
        <v>https://www.artic.edu/iiif/2/4f313c8c-cdb0-2a64-6d66-d7829f7b3aea/full/843,/0/default.jpg</v>
      </c>
      <c r="N1244" s="3">
        <v>0.75</v>
      </c>
      <c r="O1244" s="3">
        <v>0.05</v>
      </c>
      <c r="P1244" s="3">
        <v>0.7</v>
      </c>
      <c r="Q1244" s="3">
        <v>0.64560508728027299</v>
      </c>
    </row>
    <row r="1245" spans="1:17" x14ac:dyDescent="0.45">
      <c r="A1245" s="3">
        <v>110991</v>
      </c>
      <c r="B1245" t="b">
        <v>0</v>
      </c>
      <c r="C1245" t="b">
        <v>0</v>
      </c>
      <c r="D1245" s="3">
        <v>1927</v>
      </c>
      <c r="E1245" s="3">
        <v>1929</v>
      </c>
      <c r="F1245" t="s">
        <v>996</v>
      </c>
      <c r="G1245" t="s">
        <v>997</v>
      </c>
      <c r="H1245" s="3">
        <v>35.5944</v>
      </c>
      <c r="I1245" t="s">
        <v>822</v>
      </c>
      <c r="J1245" t="s">
        <v>12157</v>
      </c>
      <c r="L1245" t="s">
        <v>998</v>
      </c>
      <c r="M1245" t="str">
        <f>"https://www.artic.edu/iiif/2/"&amp;Table9[[#This Row],[Image ID]]&amp;"/full/843,/0/default.jpg"</f>
        <v>https://www.artic.edu/iiif/2/5156e2d8-66b8-93c8-eb4f-08b26510d66f/full/843,/0/default.jpg</v>
      </c>
      <c r="N1245" s="3">
        <v>0.75</v>
      </c>
      <c r="O1245" s="3">
        <v>0.05</v>
      </c>
      <c r="P1245" s="3">
        <v>0.7</v>
      </c>
      <c r="Q1245" s="3">
        <v>0.83701318502426103</v>
      </c>
    </row>
    <row r="1246" spans="1:17" x14ac:dyDescent="0.45">
      <c r="A1246" s="3">
        <v>210682</v>
      </c>
      <c r="B1246" t="b">
        <v>0</v>
      </c>
      <c r="C1246" t="b">
        <v>0</v>
      </c>
      <c r="D1246" s="3">
        <v>1974</v>
      </c>
      <c r="E1246" s="3">
        <v>1974</v>
      </c>
      <c r="F1246" t="s">
        <v>2537</v>
      </c>
      <c r="G1246" t="s">
        <v>59</v>
      </c>
      <c r="H1246" s="3">
        <v>86.056200000000004</v>
      </c>
      <c r="I1246" t="s">
        <v>5570</v>
      </c>
      <c r="J1246" t="s">
        <v>12187</v>
      </c>
      <c r="L1246" t="s">
        <v>5571</v>
      </c>
      <c r="M1246" t="str">
        <f>"https://www.artic.edu/iiif/2/"&amp;Table9[[#This Row],[Image ID]]&amp;"/full/843,/0/default.jpg"</f>
        <v>https://www.artic.edu/iiif/2/536692c3-b9ca-f82b-19f7-7bce6d774886/full/843,/0/default.jpg</v>
      </c>
      <c r="N1246" s="3">
        <v>0.72499999999999998</v>
      </c>
      <c r="O1246" s="3">
        <v>2.5000000000000001E-2</v>
      </c>
      <c r="P1246" s="3">
        <v>0.7</v>
      </c>
      <c r="Q1246" s="3">
        <v>0.80282109975814797</v>
      </c>
    </row>
    <row r="1247" spans="1:17" x14ac:dyDescent="0.45">
      <c r="A1247" s="3">
        <v>28840</v>
      </c>
      <c r="B1247" t="b">
        <v>0</v>
      </c>
      <c r="C1247" t="b">
        <v>0</v>
      </c>
      <c r="D1247" s="3">
        <v>1904</v>
      </c>
      <c r="E1247" s="3">
        <v>1968</v>
      </c>
      <c r="F1247" t="s">
        <v>5057</v>
      </c>
      <c r="G1247" t="s">
        <v>6820</v>
      </c>
      <c r="H1247" s="3">
        <v>51.6982</v>
      </c>
      <c r="I1247" t="s">
        <v>14560</v>
      </c>
      <c r="J1247" t="s">
        <v>12265</v>
      </c>
      <c r="L1247" t="s">
        <v>6821</v>
      </c>
      <c r="M1247" t="str">
        <f>"https://www.artic.edu/iiif/2/"&amp;Table9[[#This Row],[Image ID]]&amp;"/full/843,/0/default.jpg"</f>
        <v>https://www.artic.edu/iiif/2/57d85c59-0c55-f133-61f5-e1696abb5934/full/843,/0/default.jpg</v>
      </c>
      <c r="N1247" s="3">
        <v>0.75</v>
      </c>
      <c r="O1247" s="3">
        <v>0.05</v>
      </c>
      <c r="P1247" s="3">
        <v>0.7</v>
      </c>
      <c r="Q1247" s="3">
        <v>0.66028165817260698</v>
      </c>
    </row>
    <row r="1248" spans="1:17" x14ac:dyDescent="0.45">
      <c r="A1248" s="3">
        <v>34852</v>
      </c>
      <c r="B1248" t="b">
        <v>0</v>
      </c>
      <c r="C1248" t="b">
        <v>0</v>
      </c>
      <c r="D1248" s="3">
        <v>1967</v>
      </c>
      <c r="E1248" s="3">
        <v>1967</v>
      </c>
      <c r="F1248" t="s">
        <v>7134</v>
      </c>
      <c r="G1248" t="s">
        <v>59</v>
      </c>
      <c r="H1248" s="3">
        <v>76.226799999999997</v>
      </c>
      <c r="I1248" t="s">
        <v>491</v>
      </c>
      <c r="J1248" t="s">
        <v>12324</v>
      </c>
      <c r="L1248" t="s">
        <v>7135</v>
      </c>
      <c r="M1248" t="str">
        <f>"https://www.artic.edu/iiif/2/"&amp;Table9[[#This Row],[Image ID]]&amp;"/full/843,/0/default.jpg"</f>
        <v>https://www.artic.edu/iiif/2/5c37c31b-e14e-12db-710c-d6b1ce3c9106/full/843,/0/default.jpg</v>
      </c>
      <c r="N1248" s="3">
        <v>0.875</v>
      </c>
      <c r="O1248" s="3">
        <v>0.17499999999999999</v>
      </c>
      <c r="P1248" s="3">
        <v>0.7</v>
      </c>
      <c r="Q1248" s="3">
        <v>0.93047612905502297</v>
      </c>
    </row>
    <row r="1249" spans="1:17" x14ac:dyDescent="0.45">
      <c r="A1249" s="3">
        <v>86246</v>
      </c>
      <c r="B1249" t="b">
        <v>0</v>
      </c>
      <c r="C1249" t="b">
        <v>0</v>
      </c>
      <c r="D1249" s="3">
        <v>1915</v>
      </c>
      <c r="E1249" s="3">
        <v>1915</v>
      </c>
      <c r="F1249" t="s">
        <v>10318</v>
      </c>
      <c r="G1249" t="s">
        <v>7</v>
      </c>
      <c r="H1249" s="3">
        <v>45.935200000000002</v>
      </c>
      <c r="I1249" t="s">
        <v>761</v>
      </c>
      <c r="J1249" t="s">
        <v>12351</v>
      </c>
      <c r="K1249" s="5" t="s">
        <v>134</v>
      </c>
      <c r="L1249" t="s">
        <v>10319</v>
      </c>
      <c r="M1249" t="str">
        <f>"https://www.artic.edu/iiif/2/"&amp;Table9[[#This Row],[Image ID]]&amp;"/full/843,/0/default.jpg"</f>
        <v>https://www.artic.edu/iiif/2/5dff7c08-8552-778b-2673-87f2d04296f5/full/843,/0/default.jpg</v>
      </c>
      <c r="N1249" s="3">
        <v>0.75</v>
      </c>
      <c r="O1249" s="3">
        <v>0.05</v>
      </c>
      <c r="P1249" s="3">
        <v>0.7</v>
      </c>
      <c r="Q1249" s="3">
        <v>0.86777144670486395</v>
      </c>
    </row>
    <row r="1250" spans="1:17" x14ac:dyDescent="0.45">
      <c r="A1250" s="3">
        <v>44714</v>
      </c>
      <c r="B1250" t="b">
        <v>0</v>
      </c>
      <c r="C1250" t="b">
        <v>0</v>
      </c>
      <c r="D1250" s="3">
        <v>1941</v>
      </c>
      <c r="E1250" s="3">
        <v>1941</v>
      </c>
      <c r="F1250" t="s">
        <v>7783</v>
      </c>
      <c r="G1250" t="s">
        <v>7784</v>
      </c>
      <c r="H1250" s="3">
        <v>29.276199999999999</v>
      </c>
      <c r="I1250" t="s">
        <v>2779</v>
      </c>
      <c r="J1250" t="s">
        <v>12361</v>
      </c>
      <c r="L1250" t="s">
        <v>7785</v>
      </c>
      <c r="M1250" t="str">
        <f>"https://www.artic.edu/iiif/2/"&amp;Table9[[#This Row],[Image ID]]&amp;"/full/843,/0/default.jpg"</f>
        <v>https://www.artic.edu/iiif/2/5ee12d1c-0249-666e-91d6-9aa3448c945b/full/843,/0/default.jpg</v>
      </c>
      <c r="N1250" s="3">
        <v>0.75</v>
      </c>
      <c r="O1250" s="3">
        <v>0.05</v>
      </c>
      <c r="P1250" s="3">
        <v>0.7</v>
      </c>
      <c r="Q1250" s="3">
        <v>0.64556509256362904</v>
      </c>
    </row>
    <row r="1251" spans="1:17" x14ac:dyDescent="0.45">
      <c r="A1251" s="3">
        <v>129683</v>
      </c>
      <c r="B1251" t="b">
        <v>0</v>
      </c>
      <c r="C1251" t="b">
        <v>0</v>
      </c>
      <c r="D1251" s="3">
        <v>1941</v>
      </c>
      <c r="E1251" s="3">
        <v>1941</v>
      </c>
      <c r="F1251" t="s">
        <v>2908</v>
      </c>
      <c r="G1251" t="s">
        <v>2892</v>
      </c>
      <c r="H1251" s="3">
        <v>37.685600000000001</v>
      </c>
      <c r="I1251" t="s">
        <v>14549</v>
      </c>
      <c r="J1251" t="s">
        <v>10990</v>
      </c>
      <c r="L1251" t="s">
        <v>2909</v>
      </c>
      <c r="M1251" t="str">
        <f>"https://www.artic.edu/iiif/2/"&amp;Table9[[#This Row],[Image ID]]&amp;"/full/843,/0/default.jpg"</f>
        <v>https://www.artic.edu/iiif/2/63295c2e-b16f-ca5a-1af2-60e7973da72f/full/843,/0/default.jpg</v>
      </c>
      <c r="N1251" s="3">
        <v>0.85</v>
      </c>
      <c r="O1251" s="3">
        <v>0.15</v>
      </c>
      <c r="P1251" s="3">
        <v>0.7</v>
      </c>
      <c r="Q1251" s="3">
        <v>0.88631528615951505</v>
      </c>
    </row>
    <row r="1252" spans="1:17" x14ac:dyDescent="0.45">
      <c r="A1252" s="3">
        <v>25045</v>
      </c>
      <c r="B1252" t="b">
        <v>0</v>
      </c>
      <c r="C1252" t="b">
        <v>0</v>
      </c>
      <c r="D1252" s="3">
        <v>1962</v>
      </c>
      <c r="E1252" s="3">
        <v>1962</v>
      </c>
      <c r="F1252" t="s">
        <v>6468</v>
      </c>
      <c r="G1252" t="s">
        <v>7</v>
      </c>
      <c r="H1252" s="3">
        <v>62.093000000000004</v>
      </c>
      <c r="I1252" t="s">
        <v>233</v>
      </c>
      <c r="J1252" t="s">
        <v>6470</v>
      </c>
      <c r="L1252" t="s">
        <v>6469</v>
      </c>
      <c r="M1252" t="str">
        <f>"https://www.artic.edu/iiif/2/"&amp;Table9[[#This Row],[Image ID]]&amp;"/full/843,/0/default.jpg"</f>
        <v>https://www.artic.edu/iiif/2/69a36139-05ff-c2cc-3316-d97e15606714/full/843,/0/default.jpg</v>
      </c>
      <c r="N1252" s="3">
        <v>0.72499999999999998</v>
      </c>
      <c r="O1252" s="3">
        <v>2.5000000000000001E-2</v>
      </c>
      <c r="P1252" s="3">
        <v>0.7</v>
      </c>
      <c r="Q1252" s="3">
        <v>0.88226848840713501</v>
      </c>
    </row>
    <row r="1253" spans="1:17" x14ac:dyDescent="0.45">
      <c r="A1253" s="3">
        <v>58992</v>
      </c>
      <c r="B1253" t="b">
        <v>0</v>
      </c>
      <c r="C1253" t="b">
        <v>0</v>
      </c>
      <c r="D1253" s="3">
        <v>1900</v>
      </c>
      <c r="E1253" s="3">
        <v>1910</v>
      </c>
      <c r="F1253" t="s">
        <v>8540</v>
      </c>
      <c r="G1253" t="s">
        <v>7</v>
      </c>
      <c r="H1253" s="3">
        <v>0</v>
      </c>
      <c r="I1253" t="s">
        <v>14689</v>
      </c>
      <c r="J1253" t="s">
        <v>12660</v>
      </c>
      <c r="L1253" t="s">
        <v>8541</v>
      </c>
      <c r="M1253" t="str">
        <f>"https://www.artic.edu/iiif/2/"&amp;Table9[[#This Row],[Image ID]]&amp;"/full/843,/0/default.jpg"</f>
        <v>https://www.artic.edu/iiif/2/741d2bfb-a768-5ab3-6504-7d9d3079f46a/full/843,/0/default.jpg</v>
      </c>
      <c r="N1253" s="3">
        <v>0.72499999999999998</v>
      </c>
      <c r="O1253" s="3">
        <v>2.5000000000000001E-2</v>
      </c>
      <c r="P1253" s="3">
        <v>0.7</v>
      </c>
      <c r="Q1253" s="3">
        <v>0.56036549806594804</v>
      </c>
    </row>
    <row r="1254" spans="1:17" x14ac:dyDescent="0.45">
      <c r="A1254" s="3">
        <v>45389</v>
      </c>
      <c r="B1254" t="b">
        <v>0</v>
      </c>
      <c r="C1254" t="b">
        <v>0</v>
      </c>
      <c r="D1254" s="3">
        <v>1966</v>
      </c>
      <c r="E1254" s="3">
        <v>1966</v>
      </c>
      <c r="F1254" t="s">
        <v>7850</v>
      </c>
      <c r="G1254" t="s">
        <v>7848</v>
      </c>
      <c r="H1254" s="3">
        <v>37.881</v>
      </c>
      <c r="I1254" t="s">
        <v>165</v>
      </c>
      <c r="J1254" t="s">
        <v>12775</v>
      </c>
      <c r="L1254" t="s">
        <v>7851</v>
      </c>
      <c r="M1254" t="str">
        <f>"https://www.artic.edu/iiif/2/"&amp;Table9[[#This Row],[Image ID]]&amp;"/full/843,/0/default.jpg"</f>
        <v>https://www.artic.edu/iiif/2/7d470b45-7d4e-7c12-d839-d515e65aa542/full/843,/0/default.jpg</v>
      </c>
      <c r="N1254" s="3">
        <v>0.72499999999999998</v>
      </c>
      <c r="O1254" s="3">
        <v>2.5000000000000001E-2</v>
      </c>
      <c r="P1254" s="3">
        <v>0.7</v>
      </c>
      <c r="Q1254" s="3">
        <v>0.55328136682510298</v>
      </c>
    </row>
    <row r="1255" spans="1:17" x14ac:dyDescent="0.45">
      <c r="A1255" s="3">
        <v>220510</v>
      </c>
      <c r="B1255" t="b">
        <v>0</v>
      </c>
      <c r="C1255" t="b">
        <v>0</v>
      </c>
      <c r="D1255" s="3">
        <v>1957</v>
      </c>
      <c r="E1255" s="3">
        <v>1957</v>
      </c>
      <c r="F1255" t="s">
        <v>5510</v>
      </c>
      <c r="G1255" t="s">
        <v>5785</v>
      </c>
      <c r="H1255" s="3">
        <v>16.573499999999999</v>
      </c>
      <c r="I1255" t="s">
        <v>4768</v>
      </c>
      <c r="J1255" t="s">
        <v>12829</v>
      </c>
      <c r="L1255" t="s">
        <v>5786</v>
      </c>
      <c r="M1255" t="str">
        <f>"https://www.artic.edu/iiif/2/"&amp;Table9[[#This Row],[Image ID]]&amp;"/full/843,/0/default.jpg"</f>
        <v>https://www.artic.edu/iiif/2/809fbed6-c363-c5c2-209a-063e5ffdafc7/full/843,/0/default.jpg</v>
      </c>
      <c r="N1255" s="3">
        <v>0.75</v>
      </c>
      <c r="O1255" s="3">
        <v>0.05</v>
      </c>
      <c r="P1255" s="3">
        <v>0.7</v>
      </c>
      <c r="Q1255" s="3">
        <v>0.82355755567550604</v>
      </c>
    </row>
    <row r="1256" spans="1:17" x14ac:dyDescent="0.45">
      <c r="A1256" s="3">
        <v>156075</v>
      </c>
      <c r="B1256" t="b">
        <v>0</v>
      </c>
      <c r="C1256" t="b">
        <v>0</v>
      </c>
      <c r="D1256" s="3">
        <v>1927</v>
      </c>
      <c r="E1256" s="3">
        <v>1927</v>
      </c>
      <c r="F1256" t="s">
        <v>4054</v>
      </c>
      <c r="G1256" t="s">
        <v>7</v>
      </c>
      <c r="H1256" s="3">
        <v>27.371400000000001</v>
      </c>
      <c r="I1256" t="s">
        <v>136</v>
      </c>
      <c r="J1256" t="s">
        <v>12843</v>
      </c>
      <c r="L1256" t="s">
        <v>4055</v>
      </c>
      <c r="M1256" t="str">
        <f>"https://www.artic.edu/iiif/2/"&amp;Table9[[#This Row],[Image ID]]&amp;"/full/843,/0/default.jpg"</f>
        <v>https://www.artic.edu/iiif/2/81bcd428-6d79-c3b5-703d-b4695127b958/full/843,/0/default.jpg</v>
      </c>
      <c r="N1256" s="3">
        <v>0.75</v>
      </c>
      <c r="O1256" s="3">
        <v>0.05</v>
      </c>
      <c r="P1256" s="3">
        <v>0.7</v>
      </c>
      <c r="Q1256" s="3">
        <v>0.48468825221061701</v>
      </c>
    </row>
    <row r="1257" spans="1:17" x14ac:dyDescent="0.45">
      <c r="A1257" s="3">
        <v>55878</v>
      </c>
      <c r="B1257" t="b">
        <v>0</v>
      </c>
      <c r="C1257" t="b">
        <v>0</v>
      </c>
      <c r="D1257" s="3">
        <v>1964</v>
      </c>
      <c r="E1257" s="3">
        <v>1964</v>
      </c>
      <c r="F1257" t="s">
        <v>8409</v>
      </c>
      <c r="G1257" t="s">
        <v>8370</v>
      </c>
      <c r="H1257" s="3">
        <v>56.770899999999997</v>
      </c>
      <c r="I1257" t="s">
        <v>599</v>
      </c>
      <c r="J1257" t="s">
        <v>12915</v>
      </c>
      <c r="L1257" t="s">
        <v>8410</v>
      </c>
      <c r="M1257" t="str">
        <f>"https://www.artic.edu/iiif/2/"&amp;Table9[[#This Row],[Image ID]]&amp;"/full/843,/0/default.jpg"</f>
        <v>https://www.artic.edu/iiif/2/874e7d50-1a28-f0c9-19f6-053eba453e62/full/843,/0/default.jpg</v>
      </c>
      <c r="N1257" s="3">
        <v>0.72499999999999998</v>
      </c>
      <c r="O1257" s="3">
        <v>2.5000000000000001E-2</v>
      </c>
      <c r="P1257" s="3">
        <v>0.7</v>
      </c>
      <c r="Q1257" s="3">
        <v>0.82032096385955799</v>
      </c>
    </row>
    <row r="1258" spans="1:17" x14ac:dyDescent="0.45">
      <c r="A1258" s="3">
        <v>79072</v>
      </c>
      <c r="B1258" t="b">
        <v>0</v>
      </c>
      <c r="C1258" t="b">
        <v>0</v>
      </c>
      <c r="D1258" s="3">
        <v>1922</v>
      </c>
      <c r="E1258" s="3">
        <v>1922</v>
      </c>
      <c r="F1258" t="s">
        <v>1397</v>
      </c>
      <c r="G1258" t="s">
        <v>7</v>
      </c>
      <c r="H1258" s="3">
        <v>49.339100000000002</v>
      </c>
      <c r="I1258" t="s">
        <v>133</v>
      </c>
      <c r="J1258" t="s">
        <v>12950</v>
      </c>
      <c r="K1258" s="5" t="s">
        <v>134</v>
      </c>
      <c r="L1258" t="s">
        <v>9890</v>
      </c>
      <c r="M1258" t="str">
        <f>"https://www.artic.edu/iiif/2/"&amp;Table9[[#This Row],[Image ID]]&amp;"/full/843,/0/default.jpg"</f>
        <v>https://www.artic.edu/iiif/2/8a6e5b5b-7880-1b25-4bf7-621f4dae8505/full/843,/0/default.jpg</v>
      </c>
      <c r="N1258" s="3">
        <v>0.75</v>
      </c>
      <c r="O1258" s="3">
        <v>0.05</v>
      </c>
      <c r="P1258" s="3">
        <v>0.7</v>
      </c>
      <c r="Q1258" s="3">
        <v>0.85488492250442505</v>
      </c>
    </row>
    <row r="1259" spans="1:17" x14ac:dyDescent="0.45">
      <c r="A1259" s="3">
        <v>65906</v>
      </c>
      <c r="B1259" t="b">
        <v>0</v>
      </c>
      <c r="C1259" t="b">
        <v>0</v>
      </c>
      <c r="D1259" s="3">
        <v>1942</v>
      </c>
      <c r="E1259" s="3">
        <v>1942</v>
      </c>
      <c r="F1259" t="s">
        <v>9092</v>
      </c>
      <c r="G1259" t="s">
        <v>9093</v>
      </c>
      <c r="H1259" s="3">
        <v>37.113900000000001</v>
      </c>
      <c r="I1259" t="s">
        <v>1430</v>
      </c>
      <c r="J1259" t="s">
        <v>12953</v>
      </c>
      <c r="K1259" s="5" t="s">
        <v>45</v>
      </c>
      <c r="L1259" t="s">
        <v>9094</v>
      </c>
      <c r="M1259" t="str">
        <f>"https://www.artic.edu/iiif/2/"&amp;Table9[[#This Row],[Image ID]]&amp;"/full/843,/0/default.jpg"</f>
        <v>https://www.artic.edu/iiif/2/8ac41eae-cddd-3f22-ba4e-c0e3f3f061e0/full/843,/0/default.jpg</v>
      </c>
      <c r="N1259" s="3">
        <v>0.75</v>
      </c>
      <c r="O1259" s="3">
        <v>0.05</v>
      </c>
      <c r="P1259" s="3">
        <v>0.7</v>
      </c>
      <c r="Q1259" s="3">
        <v>0.82861858606338501</v>
      </c>
    </row>
    <row r="1260" spans="1:17" x14ac:dyDescent="0.45">
      <c r="A1260" s="3">
        <v>103403</v>
      </c>
      <c r="B1260" t="b">
        <v>0</v>
      </c>
      <c r="C1260" t="b">
        <v>0</v>
      </c>
      <c r="D1260" s="3">
        <v>1959</v>
      </c>
      <c r="E1260" s="3">
        <v>1960</v>
      </c>
      <c r="F1260" t="s">
        <v>311</v>
      </c>
      <c r="G1260" t="s">
        <v>312</v>
      </c>
      <c r="H1260" s="3">
        <v>73.717600000000004</v>
      </c>
      <c r="I1260" t="s">
        <v>313</v>
      </c>
      <c r="J1260" t="s">
        <v>13000</v>
      </c>
      <c r="L1260" t="s">
        <v>314</v>
      </c>
      <c r="M1260" t="str">
        <f>"https://www.artic.edu/iiif/2/"&amp;Table9[[#This Row],[Image ID]]&amp;"/full/843,/0/default.jpg"</f>
        <v>https://www.artic.edu/iiif/2/8dfea635-644c-9969-e135-3e883e2e85f1/full/843,/0/default.jpg</v>
      </c>
      <c r="N1260" s="3">
        <v>0.75</v>
      </c>
      <c r="O1260" s="3">
        <v>0.05</v>
      </c>
      <c r="P1260" s="3">
        <v>0.7</v>
      </c>
      <c r="Q1260" s="3">
        <v>0.81304490566253595</v>
      </c>
    </row>
    <row r="1261" spans="1:17" x14ac:dyDescent="0.45">
      <c r="A1261" s="3">
        <v>49717</v>
      </c>
      <c r="B1261" t="b">
        <v>0</v>
      </c>
      <c r="C1261" t="b">
        <v>0</v>
      </c>
      <c r="D1261" s="3">
        <v>1932</v>
      </c>
      <c r="E1261" s="3">
        <v>1983</v>
      </c>
      <c r="F1261" t="s">
        <v>7631</v>
      </c>
      <c r="G1261" t="s">
        <v>8076</v>
      </c>
      <c r="H1261" s="3">
        <v>90.947199999999995</v>
      </c>
      <c r="I1261" t="s">
        <v>4769</v>
      </c>
      <c r="J1261" t="s">
        <v>13060</v>
      </c>
      <c r="L1261" t="s">
        <v>8077</v>
      </c>
      <c r="M1261" t="str">
        <f>"https://www.artic.edu/iiif/2/"&amp;Table9[[#This Row],[Image ID]]&amp;"/full/843,/0/default.jpg"</f>
        <v>https://www.artic.edu/iiif/2/92d6e078-723e-04fd-9c3e-9edf629c65b5/full/843,/0/default.jpg</v>
      </c>
      <c r="N1261" s="3">
        <v>0.75</v>
      </c>
      <c r="O1261" s="3">
        <v>0.05</v>
      </c>
      <c r="P1261" s="3">
        <v>0.7</v>
      </c>
      <c r="Q1261" s="3">
        <v>0.80268985033035201</v>
      </c>
    </row>
    <row r="1262" spans="1:17" x14ac:dyDescent="0.45">
      <c r="A1262" s="3">
        <v>117581</v>
      </c>
      <c r="B1262" t="b">
        <v>0</v>
      </c>
      <c r="C1262" t="b">
        <v>0</v>
      </c>
      <c r="D1262" s="3">
        <v>1990</v>
      </c>
      <c r="E1262" s="3">
        <v>1990</v>
      </c>
      <c r="F1262" t="s">
        <v>2396</v>
      </c>
      <c r="G1262" t="s">
        <v>141</v>
      </c>
      <c r="H1262" s="3">
        <v>109.833</v>
      </c>
      <c r="I1262" t="s">
        <v>153</v>
      </c>
      <c r="J1262" t="s">
        <v>13194</v>
      </c>
      <c r="L1262" t="s">
        <v>2397</v>
      </c>
      <c r="M1262" t="str">
        <f>"https://www.artic.edu/iiif/2/"&amp;Table9[[#This Row],[Image ID]]&amp;"/full/843,/0/default.jpg"</f>
        <v>https://www.artic.edu/iiif/2/9d1e8a40-d5d7-c4e9-4bc5-d4dea8ab31e3/full/843,/0/default.jpg</v>
      </c>
      <c r="N1262" s="3">
        <v>0.72499999999999998</v>
      </c>
      <c r="O1262" s="3">
        <v>2.5000000000000001E-2</v>
      </c>
      <c r="P1262" s="3">
        <v>0.7</v>
      </c>
      <c r="Q1262" s="3">
        <v>0.75702005624771096</v>
      </c>
    </row>
    <row r="1263" spans="1:17" x14ac:dyDescent="0.45">
      <c r="A1263" s="3">
        <v>46923</v>
      </c>
      <c r="B1263" t="b">
        <v>0</v>
      </c>
      <c r="C1263" t="b">
        <v>0</v>
      </c>
      <c r="D1263" s="3">
        <v>1931</v>
      </c>
      <c r="E1263" s="3">
        <v>1974</v>
      </c>
      <c r="F1263" t="s">
        <v>7563</v>
      </c>
      <c r="G1263" t="s">
        <v>7908</v>
      </c>
      <c r="H1263" s="3">
        <v>11.169499999999999</v>
      </c>
      <c r="I1263" t="s">
        <v>7211</v>
      </c>
      <c r="J1263" t="s">
        <v>13212</v>
      </c>
      <c r="L1263" t="s">
        <v>7909</v>
      </c>
      <c r="M1263" t="str">
        <f>"https://www.artic.edu/iiif/2/"&amp;Table9[[#This Row],[Image ID]]&amp;"/full/843,/0/default.jpg"</f>
        <v>https://www.artic.edu/iiif/2/9e365fbb-4390-6492-d3f3-dd45b16e4bac/full/843,/0/default.jpg</v>
      </c>
      <c r="N1263" s="3">
        <v>0.7</v>
      </c>
      <c r="O1263" s="3">
        <v>0</v>
      </c>
      <c r="P1263" s="3">
        <v>0.7</v>
      </c>
      <c r="Q1263" s="3">
        <v>0.72462582588195801</v>
      </c>
    </row>
    <row r="1264" spans="1:17" x14ac:dyDescent="0.45">
      <c r="A1264" s="3">
        <v>225731</v>
      </c>
      <c r="B1264" t="b">
        <v>0</v>
      </c>
      <c r="C1264" t="b">
        <v>0</v>
      </c>
      <c r="D1264" s="3">
        <v>1959</v>
      </c>
      <c r="E1264" s="3">
        <v>1959</v>
      </c>
      <c r="F1264" t="s">
        <v>5922</v>
      </c>
      <c r="G1264" t="s">
        <v>5917</v>
      </c>
      <c r="H1264" s="3">
        <v>53.150500000000001</v>
      </c>
      <c r="I1264" t="s">
        <v>5918</v>
      </c>
      <c r="J1264" t="s">
        <v>11203</v>
      </c>
      <c r="L1264" t="s">
        <v>5923</v>
      </c>
      <c r="M1264" t="str">
        <f>"https://www.artic.edu/iiif/2/"&amp;Table9[[#This Row],[Image ID]]&amp;"/full/843,/0/default.jpg"</f>
        <v>https://www.artic.edu/iiif/2/9f0aee0a-b495-7a95-f04c-dbeb9c0ed4ff/full/843,/0/default.jpg</v>
      </c>
      <c r="N1264" s="3">
        <v>0.75</v>
      </c>
      <c r="O1264" s="3">
        <v>0.05</v>
      </c>
      <c r="P1264" s="3">
        <v>0.7</v>
      </c>
      <c r="Q1264" s="3">
        <v>0.84114956855773904</v>
      </c>
    </row>
    <row r="1265" spans="1:17" x14ac:dyDescent="0.45">
      <c r="A1265" s="3">
        <v>118696</v>
      </c>
      <c r="B1265" t="b">
        <v>0</v>
      </c>
      <c r="C1265" t="b">
        <v>0</v>
      </c>
      <c r="D1265" s="3">
        <v>1927</v>
      </c>
      <c r="E1265" s="3">
        <v>1928</v>
      </c>
      <c r="F1265" t="s">
        <v>14</v>
      </c>
      <c r="G1265" t="s">
        <v>141</v>
      </c>
      <c r="H1265" s="3">
        <v>12.989800000000001</v>
      </c>
      <c r="I1265" t="s">
        <v>495</v>
      </c>
      <c r="J1265" t="s">
        <v>13244</v>
      </c>
      <c r="L1265" t="s">
        <v>2536</v>
      </c>
      <c r="M1265" t="str">
        <f>"https://www.artic.edu/iiif/2/"&amp;Table9[[#This Row],[Image ID]]&amp;"/full/843,/0/default.jpg"</f>
        <v>https://www.artic.edu/iiif/2/a0f44dd2-2908-112e-62fd-a3bce34c5199/full/843,/0/default.jpg</v>
      </c>
      <c r="N1265" s="3">
        <v>0.72499999999999998</v>
      </c>
      <c r="O1265" s="3">
        <v>2.5000000000000001E-2</v>
      </c>
      <c r="P1265" s="3">
        <v>0.7</v>
      </c>
      <c r="Q1265" s="3">
        <v>0.81459397077560403</v>
      </c>
    </row>
    <row r="1266" spans="1:17" x14ac:dyDescent="0.45">
      <c r="A1266" s="3">
        <v>110968</v>
      </c>
      <c r="B1266" t="b">
        <v>0</v>
      </c>
      <c r="C1266" t="b">
        <v>0</v>
      </c>
      <c r="D1266" s="3">
        <v>1975</v>
      </c>
      <c r="E1266" s="3">
        <v>1975</v>
      </c>
      <c r="F1266" t="s">
        <v>14608</v>
      </c>
      <c r="G1266" t="s">
        <v>7</v>
      </c>
      <c r="H1266" s="3">
        <v>26.0426</v>
      </c>
      <c r="I1266" t="s">
        <v>244</v>
      </c>
      <c r="J1266" t="s">
        <v>13319</v>
      </c>
      <c r="L1266" t="s">
        <v>979</v>
      </c>
      <c r="M1266" t="str">
        <f>"https://www.artic.edu/iiif/2/"&amp;Table9[[#This Row],[Image ID]]&amp;"/full/843,/0/default.jpg"</f>
        <v>https://www.artic.edu/iiif/2/a65a99ee-3114-9390-6513-cd9554a9d29b/full/843,/0/default.jpg</v>
      </c>
      <c r="N1266" s="3">
        <v>0.72499999999999998</v>
      </c>
      <c r="O1266" s="3">
        <v>2.5000000000000001E-2</v>
      </c>
      <c r="P1266" s="3">
        <v>0.7</v>
      </c>
      <c r="Q1266" s="3">
        <v>0.52262836694717396</v>
      </c>
    </row>
    <row r="1267" spans="1:17" x14ac:dyDescent="0.45">
      <c r="A1267" s="3">
        <v>78503</v>
      </c>
      <c r="B1267" t="b">
        <v>0</v>
      </c>
      <c r="C1267" t="b">
        <v>0</v>
      </c>
      <c r="D1267" s="3">
        <v>1922</v>
      </c>
      <c r="E1267" s="3">
        <v>1922</v>
      </c>
      <c r="F1267" t="s">
        <v>9833</v>
      </c>
      <c r="G1267" t="s">
        <v>9834</v>
      </c>
      <c r="H1267" s="3">
        <v>32.139200000000002</v>
      </c>
      <c r="I1267" t="s">
        <v>3238</v>
      </c>
      <c r="J1267" t="s">
        <v>13389</v>
      </c>
      <c r="L1267" t="s">
        <v>9835</v>
      </c>
      <c r="M1267" t="str">
        <f>"https://www.artic.edu/iiif/2/"&amp;Table9[[#This Row],[Image ID]]&amp;"/full/843,/0/default.jpg"</f>
        <v>https://www.artic.edu/iiif/2/ab952f7c-03cb-1850-a855-e2b8af8f57cc/full/843,/0/default.jpg</v>
      </c>
      <c r="N1267" s="3">
        <v>0.75</v>
      </c>
      <c r="O1267" s="3">
        <v>0.05</v>
      </c>
      <c r="P1267" s="3">
        <v>0.7</v>
      </c>
      <c r="Q1267" s="3">
        <v>0.78646951913833596</v>
      </c>
    </row>
    <row r="1268" spans="1:17" x14ac:dyDescent="0.45">
      <c r="A1268" s="3">
        <v>260105</v>
      </c>
      <c r="B1268" t="b">
        <v>0</v>
      </c>
      <c r="C1268" t="b">
        <v>0</v>
      </c>
      <c r="D1268" s="3">
        <v>1998</v>
      </c>
      <c r="E1268" s="3">
        <v>1998</v>
      </c>
      <c r="F1268" t="s">
        <v>6666</v>
      </c>
      <c r="G1268" t="s">
        <v>6667</v>
      </c>
      <c r="H1268" s="3">
        <v>65.5441</v>
      </c>
      <c r="I1268" t="s">
        <v>5128</v>
      </c>
      <c r="J1268" t="s">
        <v>6669</v>
      </c>
      <c r="L1268" t="s">
        <v>6668</v>
      </c>
      <c r="M1268" t="str">
        <f>"https://www.artic.edu/iiif/2/"&amp;Table9[[#This Row],[Image ID]]&amp;"/full/843,/0/default.jpg"</f>
        <v>https://www.artic.edu/iiif/2/b29d52a7-b82a-0dc0-3621-f0b3e5193731/full/843,/0/default.jpg</v>
      </c>
      <c r="N1268" s="3">
        <v>0.72499999999999998</v>
      </c>
      <c r="O1268" s="3">
        <v>2.5000000000000001E-2</v>
      </c>
      <c r="P1268" s="3">
        <v>0.7</v>
      </c>
      <c r="Q1268" s="3">
        <v>0.69639563560485795</v>
      </c>
    </row>
    <row r="1269" spans="1:17" x14ac:dyDescent="0.45">
      <c r="A1269" s="3">
        <v>140644</v>
      </c>
      <c r="B1269" t="b">
        <v>0</v>
      </c>
      <c r="C1269" t="b">
        <v>0</v>
      </c>
      <c r="D1269" s="3">
        <v>1920</v>
      </c>
      <c r="E1269" s="3">
        <v>1920</v>
      </c>
      <c r="F1269" t="s">
        <v>14</v>
      </c>
      <c r="G1269" t="s">
        <v>7</v>
      </c>
      <c r="H1269" s="3">
        <v>20.877099999999999</v>
      </c>
      <c r="I1269" t="s">
        <v>2275</v>
      </c>
      <c r="J1269" t="s">
        <v>13587</v>
      </c>
      <c r="L1269" t="s">
        <v>3268</v>
      </c>
      <c r="M1269" t="str">
        <f>"https://www.artic.edu/iiif/2/"&amp;Table9[[#This Row],[Image ID]]&amp;"/full/843,/0/default.jpg"</f>
        <v>https://www.artic.edu/iiif/2/bb2814ad-be72-985e-8683-6b70bb6b71fd/full/843,/0/default.jpg</v>
      </c>
      <c r="N1269" s="3">
        <v>0.75</v>
      </c>
      <c r="O1269" s="3">
        <v>0.05</v>
      </c>
      <c r="P1269" s="3">
        <v>0.7</v>
      </c>
      <c r="Q1269" s="3">
        <v>0.78983712196350098</v>
      </c>
    </row>
    <row r="1270" spans="1:17" x14ac:dyDescent="0.45">
      <c r="A1270" s="3">
        <v>44872</v>
      </c>
      <c r="B1270" t="b">
        <v>0</v>
      </c>
      <c r="C1270" t="b">
        <v>0</v>
      </c>
      <c r="D1270" s="3">
        <v>1937</v>
      </c>
      <c r="E1270" s="3">
        <v>1947</v>
      </c>
      <c r="F1270" t="s">
        <v>7814</v>
      </c>
      <c r="G1270" t="s">
        <v>5014</v>
      </c>
      <c r="H1270" s="3">
        <v>33.106999999999999</v>
      </c>
      <c r="I1270" t="s">
        <v>7815</v>
      </c>
      <c r="J1270" t="s">
        <v>13687</v>
      </c>
      <c r="L1270" t="s">
        <v>7816</v>
      </c>
      <c r="M1270" t="str">
        <f>"https://www.artic.edu/iiif/2/"&amp;Table9[[#This Row],[Image ID]]&amp;"/full/843,/0/default.jpg"</f>
        <v>https://www.artic.edu/iiif/2/c3558d97-23db-02e6-3440-24e0e182d762/full/843,/0/default.jpg</v>
      </c>
      <c r="N1270" s="3">
        <v>0.75</v>
      </c>
      <c r="O1270" s="3">
        <v>0.05</v>
      </c>
      <c r="P1270" s="3">
        <v>0.7</v>
      </c>
      <c r="Q1270" s="3">
        <v>0.64211106300354004</v>
      </c>
    </row>
    <row r="1271" spans="1:17" x14ac:dyDescent="0.45">
      <c r="A1271" s="3">
        <v>97410</v>
      </c>
      <c r="B1271" t="b">
        <v>0</v>
      </c>
      <c r="C1271" t="b">
        <v>0</v>
      </c>
      <c r="D1271" s="3">
        <v>1981</v>
      </c>
      <c r="E1271" s="3">
        <v>1981</v>
      </c>
      <c r="F1271" t="s">
        <v>10833</v>
      </c>
      <c r="G1271" t="s">
        <v>10834</v>
      </c>
      <c r="H1271" s="3">
        <v>51.058700000000002</v>
      </c>
      <c r="I1271" t="s">
        <v>1555</v>
      </c>
      <c r="J1271" t="s">
        <v>13705</v>
      </c>
      <c r="L1271" t="s">
        <v>10835</v>
      </c>
      <c r="M1271" t="str">
        <f>"https://www.artic.edu/iiif/2/"&amp;Table9[[#This Row],[Image ID]]&amp;"/full/843,/0/default.jpg"</f>
        <v>https://www.artic.edu/iiif/2/c4f80cb3-5eec-8243-29e9-e915136f7a9b/full/843,/0/default.jpg</v>
      </c>
      <c r="N1271" s="3">
        <v>0.72499999999999998</v>
      </c>
      <c r="O1271" s="3">
        <v>2.5000000000000001E-2</v>
      </c>
      <c r="P1271" s="3">
        <v>0.7</v>
      </c>
      <c r="Q1271" s="3">
        <v>0.80956077575683505</v>
      </c>
    </row>
    <row r="1272" spans="1:17" x14ac:dyDescent="0.45">
      <c r="A1272" s="3">
        <v>136124</v>
      </c>
      <c r="B1272" t="b">
        <v>0</v>
      </c>
      <c r="C1272" t="b">
        <v>0</v>
      </c>
      <c r="D1272" s="3">
        <v>1844</v>
      </c>
      <c r="E1272" s="3">
        <v>1911</v>
      </c>
      <c r="F1272" t="s">
        <v>11</v>
      </c>
      <c r="G1272" t="s">
        <v>3159</v>
      </c>
      <c r="H1272" s="3">
        <v>27.972999999999999</v>
      </c>
      <c r="I1272" t="s">
        <v>307</v>
      </c>
      <c r="J1272" t="s">
        <v>13714</v>
      </c>
      <c r="L1272" t="s">
        <v>3160</v>
      </c>
      <c r="M1272" t="str">
        <f>"https://www.artic.edu/iiif/2/"&amp;Table9[[#This Row],[Image ID]]&amp;"/full/843,/0/default.jpg"</f>
        <v>https://www.artic.edu/iiif/2/c57f3a72-41f2-e119-9a5f-36b1b3998155/full/843,/0/default.jpg</v>
      </c>
      <c r="N1272" s="3">
        <v>0.72499999999999998</v>
      </c>
      <c r="O1272" s="3">
        <v>2.5000000000000001E-2</v>
      </c>
      <c r="P1272" s="3">
        <v>0.7</v>
      </c>
      <c r="Q1272" s="3">
        <v>0.59022796154022195</v>
      </c>
    </row>
    <row r="1273" spans="1:17" x14ac:dyDescent="0.45">
      <c r="A1273" s="3">
        <v>80324</v>
      </c>
      <c r="B1273" t="b">
        <v>0</v>
      </c>
      <c r="C1273" t="b">
        <v>0</v>
      </c>
      <c r="D1273" s="3">
        <v>1910</v>
      </c>
      <c r="E1273" s="3">
        <v>1910</v>
      </c>
      <c r="F1273" t="s">
        <v>9952</v>
      </c>
      <c r="G1273" t="s">
        <v>9953</v>
      </c>
      <c r="H1273" s="3">
        <v>28.6828</v>
      </c>
      <c r="I1273" t="s">
        <v>14564</v>
      </c>
      <c r="J1273" t="s">
        <v>13840</v>
      </c>
      <c r="L1273" t="s">
        <v>9954</v>
      </c>
      <c r="M1273" t="str">
        <f>"https://www.artic.edu/iiif/2/"&amp;Table9[[#This Row],[Image ID]]&amp;"/full/843,/0/default.jpg"</f>
        <v>https://www.artic.edu/iiif/2/cfb704e5-090d-2d54-02dd-c54815bc96f0/full/843,/0/default.jpg</v>
      </c>
      <c r="N1273" s="3">
        <v>0.75</v>
      </c>
      <c r="O1273" s="3">
        <v>0.05</v>
      </c>
      <c r="P1273" s="3">
        <v>0.7</v>
      </c>
      <c r="Q1273" s="3">
        <v>0.87975943088531405</v>
      </c>
    </row>
    <row r="1274" spans="1:17" x14ac:dyDescent="0.45">
      <c r="A1274" s="3">
        <v>113560</v>
      </c>
      <c r="B1274" t="b">
        <v>0</v>
      </c>
      <c r="C1274" t="b">
        <v>0</v>
      </c>
      <c r="D1274" s="3">
        <v>1926</v>
      </c>
      <c r="E1274" s="3">
        <v>1926</v>
      </c>
      <c r="F1274" t="s">
        <v>1466</v>
      </c>
      <c r="G1274" t="s">
        <v>1467</v>
      </c>
      <c r="H1274" s="3">
        <v>39.729300000000002</v>
      </c>
      <c r="I1274" t="s">
        <v>914</v>
      </c>
      <c r="J1274" t="s">
        <v>13935</v>
      </c>
      <c r="L1274" t="s">
        <v>1468</v>
      </c>
      <c r="M1274" t="str">
        <f>"https://www.artic.edu/iiif/2/"&amp;Table9[[#This Row],[Image ID]]&amp;"/full/843,/0/default.jpg"</f>
        <v>https://www.artic.edu/iiif/2/d6e26242-913f-dfed-982c-3dec6cb42023/full/843,/0/default.jpg</v>
      </c>
      <c r="N1274" s="3">
        <v>0.75</v>
      </c>
      <c r="O1274" s="3">
        <v>0.05</v>
      </c>
      <c r="P1274" s="3">
        <v>0.7</v>
      </c>
      <c r="Q1274" s="3">
        <v>0.79936224222183205</v>
      </c>
    </row>
    <row r="1275" spans="1:17" x14ac:dyDescent="0.45">
      <c r="A1275" s="3">
        <v>14765</v>
      </c>
      <c r="B1275" t="b">
        <v>0</v>
      </c>
      <c r="C1275" t="b">
        <v>0</v>
      </c>
      <c r="D1275" s="3">
        <v>1897</v>
      </c>
      <c r="E1275" s="3">
        <v>1933</v>
      </c>
      <c r="F1275" t="s">
        <v>3638</v>
      </c>
      <c r="G1275" t="s">
        <v>3639</v>
      </c>
      <c r="H1275" s="3">
        <v>24.273499999999999</v>
      </c>
      <c r="I1275" t="s">
        <v>3634</v>
      </c>
      <c r="J1275" t="s">
        <v>13977</v>
      </c>
      <c r="L1275" t="s">
        <v>3640</v>
      </c>
      <c r="M1275" t="str">
        <f>"https://www.artic.edu/iiif/2/"&amp;Table9[[#This Row],[Image ID]]&amp;"/full/843,/0/default.jpg"</f>
        <v>https://www.artic.edu/iiif/2/d9da26df-6d8d-2965-7eb6-f7e3f410c183/full/843,/0/default.jpg</v>
      </c>
      <c r="N1275" s="3">
        <v>0.82499999999999996</v>
      </c>
      <c r="O1275" s="3">
        <v>0.125</v>
      </c>
      <c r="P1275" s="3">
        <v>0.7</v>
      </c>
      <c r="Q1275" s="3">
        <v>0.67253893613815297</v>
      </c>
    </row>
    <row r="1276" spans="1:17" x14ac:dyDescent="0.45">
      <c r="A1276" s="3">
        <v>66391</v>
      </c>
      <c r="B1276" t="b">
        <v>0</v>
      </c>
      <c r="C1276" t="b">
        <v>0</v>
      </c>
      <c r="D1276" s="3">
        <v>1956</v>
      </c>
      <c r="E1276" s="3">
        <v>1957</v>
      </c>
      <c r="F1276" t="s">
        <v>9252</v>
      </c>
      <c r="G1276" t="s">
        <v>9241</v>
      </c>
      <c r="H1276" s="3">
        <v>10.896800000000001</v>
      </c>
      <c r="I1276" t="s">
        <v>1091</v>
      </c>
      <c r="J1276" t="s">
        <v>14027</v>
      </c>
      <c r="L1276" t="s">
        <v>9253</v>
      </c>
      <c r="M1276" t="str">
        <f>"https://www.artic.edu/iiif/2/"&amp;Table9[[#This Row],[Image ID]]&amp;"/full/843,/0/default.jpg"</f>
        <v>https://www.artic.edu/iiif/2/dd58144a-dc44-459d-b4c6-7e81bbcc353d/full/843,/0/default.jpg</v>
      </c>
      <c r="N1276" s="3">
        <v>0.85</v>
      </c>
      <c r="O1276" s="3">
        <v>0.15</v>
      </c>
      <c r="P1276" s="3">
        <v>0.7</v>
      </c>
      <c r="Q1276" s="3">
        <v>0.80119615793228105</v>
      </c>
    </row>
    <row r="1277" spans="1:17" x14ac:dyDescent="0.45">
      <c r="A1277" s="3">
        <v>147721</v>
      </c>
      <c r="B1277" t="b">
        <v>0</v>
      </c>
      <c r="C1277" t="b">
        <v>0</v>
      </c>
      <c r="D1277" s="3">
        <v>1951</v>
      </c>
      <c r="E1277" s="3">
        <v>1951</v>
      </c>
      <c r="F1277" t="s">
        <v>3657</v>
      </c>
      <c r="G1277" t="s">
        <v>3658</v>
      </c>
      <c r="H1277" s="3">
        <v>9.5388999999999999</v>
      </c>
      <c r="I1277" t="s">
        <v>2771</v>
      </c>
      <c r="J1277" t="s">
        <v>14065</v>
      </c>
      <c r="L1277" t="s">
        <v>3659</v>
      </c>
      <c r="M1277" t="str">
        <f>"https://www.artic.edu/iiif/2/"&amp;Table9[[#This Row],[Image ID]]&amp;"/full/843,/0/default.jpg"</f>
        <v>https://www.artic.edu/iiif/2/e0407e20-d4b5-83bb-eb0e-5b44ccb77f45/full/843,/0/default.jpg</v>
      </c>
      <c r="N1277" s="3">
        <v>0.72499999999999998</v>
      </c>
      <c r="O1277" s="3">
        <v>2.5000000000000001E-2</v>
      </c>
      <c r="P1277" s="3">
        <v>0.7</v>
      </c>
      <c r="Q1277" s="3">
        <v>0.75657957792282104</v>
      </c>
    </row>
    <row r="1278" spans="1:17" x14ac:dyDescent="0.45">
      <c r="A1278" s="3">
        <v>25801</v>
      </c>
      <c r="B1278" t="b">
        <v>0</v>
      </c>
      <c r="C1278" t="b">
        <v>0</v>
      </c>
      <c r="D1278" s="3">
        <v>1896</v>
      </c>
      <c r="E1278" s="3">
        <v>1896</v>
      </c>
      <c r="F1278" t="s">
        <v>6617</v>
      </c>
      <c r="G1278" t="s">
        <v>7</v>
      </c>
      <c r="H1278" s="3">
        <v>15.254</v>
      </c>
      <c r="I1278" t="s">
        <v>14563</v>
      </c>
      <c r="J1278" t="s">
        <v>14111</v>
      </c>
      <c r="L1278" t="s">
        <v>6618</v>
      </c>
      <c r="M1278" t="str">
        <f>"https://www.artic.edu/iiif/2/"&amp;Table9[[#This Row],[Image ID]]&amp;"/full/843,/0/default.jpg"</f>
        <v>https://www.artic.edu/iiif/2/e2913e3f-0feb-7481-4fed-683dcd3e1c7f/full/843,/0/default.jpg</v>
      </c>
      <c r="N1278" s="3">
        <v>0.72499999999999998</v>
      </c>
      <c r="O1278" s="3">
        <v>2.5000000000000001E-2</v>
      </c>
      <c r="P1278" s="3">
        <v>0.7</v>
      </c>
      <c r="Q1278" s="3">
        <v>0.63322710990905695</v>
      </c>
    </row>
    <row r="1279" spans="1:17" x14ac:dyDescent="0.45">
      <c r="A1279" s="3">
        <v>14812</v>
      </c>
      <c r="B1279" t="b">
        <v>0</v>
      </c>
      <c r="C1279" t="b">
        <v>0</v>
      </c>
      <c r="D1279" s="3">
        <v>1930</v>
      </c>
      <c r="E1279" s="3">
        <v>1930</v>
      </c>
      <c r="F1279" t="s">
        <v>3701</v>
      </c>
      <c r="G1279" t="s">
        <v>3702</v>
      </c>
      <c r="H1279" s="3">
        <v>19.126799999999999</v>
      </c>
      <c r="I1279" t="s">
        <v>3699</v>
      </c>
      <c r="J1279" t="s">
        <v>14140</v>
      </c>
      <c r="L1279" t="s">
        <v>3703</v>
      </c>
      <c r="M1279" t="str">
        <f>"https://www.artic.edu/iiif/2/"&amp;Table9[[#This Row],[Image ID]]&amp;"/full/843,/0/default.jpg"</f>
        <v>https://www.artic.edu/iiif/2/e46400b1-be57-556b-4916-494fa9769c4e/full/843,/0/default.jpg</v>
      </c>
      <c r="N1279" s="3">
        <v>0.75</v>
      </c>
      <c r="O1279" s="3">
        <v>0.05</v>
      </c>
      <c r="P1279" s="3">
        <v>0.7</v>
      </c>
      <c r="Q1279" s="3">
        <v>0.71828627586364702</v>
      </c>
    </row>
    <row r="1280" spans="1:17" x14ac:dyDescent="0.45">
      <c r="A1280" s="3">
        <v>47637</v>
      </c>
      <c r="B1280" t="b">
        <v>0</v>
      </c>
      <c r="C1280" t="b">
        <v>0</v>
      </c>
      <c r="D1280" s="3">
        <v>1935</v>
      </c>
      <c r="E1280" s="3">
        <v>1935</v>
      </c>
      <c r="F1280" t="s">
        <v>7966</v>
      </c>
      <c r="G1280" t="s">
        <v>7967</v>
      </c>
      <c r="H1280" s="3">
        <v>32.689799999999998</v>
      </c>
      <c r="I1280" t="s">
        <v>1509</v>
      </c>
      <c r="J1280" t="s">
        <v>14180</v>
      </c>
      <c r="L1280" t="s">
        <v>7968</v>
      </c>
      <c r="M1280" t="str">
        <f>"https://www.artic.edu/iiif/2/"&amp;Table9[[#This Row],[Image ID]]&amp;"/full/843,/0/default.jpg"</f>
        <v>https://www.artic.edu/iiif/2/e791648c-5b8c-8a05-4c1b-7716f003c3a7/full/843,/0/default.jpg</v>
      </c>
      <c r="N1280" s="3">
        <v>0.72499999999999998</v>
      </c>
      <c r="O1280" s="3">
        <v>2.5000000000000001E-2</v>
      </c>
      <c r="P1280" s="3">
        <v>0.7</v>
      </c>
      <c r="Q1280" s="3">
        <v>0.72814768552780096</v>
      </c>
    </row>
    <row r="1281" spans="1:17" x14ac:dyDescent="0.45">
      <c r="A1281" s="3">
        <v>159721</v>
      </c>
      <c r="B1281" t="b">
        <v>0</v>
      </c>
      <c r="C1281" t="b">
        <v>0</v>
      </c>
      <c r="D1281" s="3">
        <v>1917</v>
      </c>
      <c r="E1281" s="3">
        <v>1917</v>
      </c>
      <c r="F1281" t="s">
        <v>4207</v>
      </c>
      <c r="G1281" t="s">
        <v>7</v>
      </c>
      <c r="H1281" s="3">
        <v>26.556899999999999</v>
      </c>
      <c r="I1281" t="s">
        <v>934</v>
      </c>
      <c r="J1281" t="s">
        <v>14191</v>
      </c>
      <c r="K1281" s="5" t="s">
        <v>9</v>
      </c>
      <c r="L1281" t="s">
        <v>4208</v>
      </c>
      <c r="M1281" t="str">
        <f>"https://www.artic.edu/iiif/2/"&amp;Table9[[#This Row],[Image ID]]&amp;"/full/843,/0/default.jpg"</f>
        <v>https://www.artic.edu/iiif/2/e810d27d-57d8-89d0-49a6-87b1bbc68174/full/843,/0/default.jpg</v>
      </c>
      <c r="N1281" s="3">
        <v>0.75</v>
      </c>
      <c r="O1281" s="3">
        <v>0.05</v>
      </c>
      <c r="P1281" s="3">
        <v>0.7</v>
      </c>
      <c r="Q1281" s="3">
        <v>0.79340106248855502</v>
      </c>
    </row>
    <row r="1282" spans="1:17" x14ac:dyDescent="0.45">
      <c r="A1282" s="3">
        <v>27972</v>
      </c>
      <c r="B1282" t="b">
        <v>0</v>
      </c>
      <c r="C1282" t="b">
        <v>0</v>
      </c>
      <c r="D1282" s="3">
        <v>1918</v>
      </c>
      <c r="E1282" s="3">
        <v>1928</v>
      </c>
      <c r="F1282" t="s">
        <v>6764</v>
      </c>
      <c r="G1282" t="s">
        <v>7</v>
      </c>
      <c r="H1282" s="3">
        <v>34.704599999999999</v>
      </c>
      <c r="I1282" t="s">
        <v>14589</v>
      </c>
      <c r="J1282" t="s">
        <v>14225</v>
      </c>
      <c r="L1282" t="s">
        <v>6765</v>
      </c>
      <c r="M1282" t="str">
        <f>"https://www.artic.edu/iiif/2/"&amp;Table9[[#This Row],[Image ID]]&amp;"/full/843,/0/default.jpg"</f>
        <v>https://www.artic.edu/iiif/2/ea2f41e0-8129-2491-66bf-decabaf34d3c/full/843,/0/default.jpg</v>
      </c>
      <c r="N1282" s="3">
        <v>0.72499999999999998</v>
      </c>
      <c r="O1282" s="3">
        <v>2.5000000000000001E-2</v>
      </c>
      <c r="P1282" s="3">
        <v>0.7</v>
      </c>
      <c r="Q1282" s="3">
        <v>0.88673079013824396</v>
      </c>
    </row>
    <row r="1283" spans="1:17" x14ac:dyDescent="0.45">
      <c r="A1283" s="3">
        <v>64952</v>
      </c>
      <c r="B1283" t="b">
        <v>0</v>
      </c>
      <c r="C1283" t="b">
        <v>0</v>
      </c>
      <c r="D1283" s="3">
        <v>1905</v>
      </c>
      <c r="E1283" s="3">
        <v>1915</v>
      </c>
      <c r="F1283" t="s">
        <v>9008</v>
      </c>
      <c r="G1283" t="s">
        <v>7</v>
      </c>
      <c r="H1283" s="3">
        <v>41.991999999999997</v>
      </c>
      <c r="I1283" t="s">
        <v>9009</v>
      </c>
      <c r="J1283" t="s">
        <v>14269</v>
      </c>
      <c r="L1283" t="s">
        <v>9010</v>
      </c>
      <c r="M1283" t="str">
        <f>"https://www.artic.edu/iiif/2/"&amp;Table9[[#This Row],[Image ID]]&amp;"/full/843,/0/default.jpg"</f>
        <v>https://www.artic.edu/iiif/2/ed4654ae-3ea6-68a8-1258-d68680ba32d5/full/843,/0/default.jpg</v>
      </c>
      <c r="N1283" s="3">
        <v>0.72499999999999998</v>
      </c>
      <c r="O1283" s="3">
        <v>2.5000000000000001E-2</v>
      </c>
      <c r="P1283" s="3">
        <v>0.7</v>
      </c>
      <c r="Q1283" s="3">
        <v>0.60625958442687899</v>
      </c>
    </row>
    <row r="1284" spans="1:17" x14ac:dyDescent="0.45">
      <c r="A1284" s="3">
        <v>62273</v>
      </c>
      <c r="B1284" t="b">
        <v>0</v>
      </c>
      <c r="C1284" t="b">
        <v>0</v>
      </c>
      <c r="D1284" s="3">
        <v>1935</v>
      </c>
      <c r="E1284" s="3">
        <v>1935</v>
      </c>
      <c r="F1284" t="s">
        <v>14</v>
      </c>
      <c r="G1284" t="s">
        <v>7</v>
      </c>
      <c r="H1284" s="3">
        <v>13.5069</v>
      </c>
      <c r="I1284" t="s">
        <v>378</v>
      </c>
      <c r="J1284" t="s">
        <v>14339</v>
      </c>
      <c r="K1284" s="5" t="s">
        <v>45</v>
      </c>
      <c r="L1284" t="s">
        <v>8868</v>
      </c>
      <c r="M1284" t="str">
        <f>"https://www.artic.edu/iiif/2/"&amp;Table9[[#This Row],[Image ID]]&amp;"/full/843,/0/default.jpg"</f>
        <v>https://www.artic.edu/iiif/2/f1cf9e7a-a0f3-3ec9-00b8-a9cbb62244c9/full/843,/0/default.jpg</v>
      </c>
      <c r="N1284" s="3">
        <v>0.82499999999999996</v>
      </c>
      <c r="O1284" s="3">
        <v>0.125</v>
      </c>
      <c r="P1284" s="3">
        <v>0.7</v>
      </c>
      <c r="Q1284" s="3">
        <v>0.76059263944625799</v>
      </c>
    </row>
    <row r="1285" spans="1:17" x14ac:dyDescent="0.45">
      <c r="A1285" s="3">
        <v>123060</v>
      </c>
      <c r="B1285" t="b">
        <v>0</v>
      </c>
      <c r="C1285" t="b">
        <v>0</v>
      </c>
      <c r="D1285" s="3">
        <v>1928</v>
      </c>
      <c r="E1285" s="3">
        <v>1978</v>
      </c>
      <c r="F1285" t="s">
        <v>11</v>
      </c>
      <c r="G1285" t="s">
        <v>642</v>
      </c>
      <c r="H1285" s="3">
        <v>12.215199999999999</v>
      </c>
      <c r="I1285" t="s">
        <v>2707</v>
      </c>
      <c r="J1285" t="s">
        <v>11260</v>
      </c>
      <c r="L1285" t="s">
        <v>2708</v>
      </c>
      <c r="M1285" t="str">
        <f>"https://www.artic.edu/iiif/2/"&amp;Table9[[#This Row],[Image ID]]&amp;"/full/843,/0/default.jpg"</f>
        <v>https://www.artic.edu/iiif/2/f35779bf-5034-d714-2ee5-0840ece22592/full/843,/0/default.jpg</v>
      </c>
      <c r="N1285" s="3">
        <v>0.72499999999999998</v>
      </c>
      <c r="O1285" s="3">
        <v>2.5000000000000001E-2</v>
      </c>
      <c r="P1285" s="3">
        <v>0.7</v>
      </c>
      <c r="Q1285" s="3">
        <v>0.662023365497589</v>
      </c>
    </row>
    <row r="1286" spans="1:17" x14ac:dyDescent="0.45">
      <c r="A1286" s="3">
        <v>65920</v>
      </c>
      <c r="B1286" t="b">
        <v>0</v>
      </c>
      <c r="C1286" t="b">
        <v>0</v>
      </c>
      <c r="D1286" s="3">
        <v>1916</v>
      </c>
      <c r="E1286" s="3">
        <v>1916</v>
      </c>
      <c r="F1286" t="s">
        <v>836</v>
      </c>
      <c r="G1286" t="s">
        <v>2611</v>
      </c>
      <c r="H1286" s="3">
        <v>21.79</v>
      </c>
      <c r="I1286" t="s">
        <v>1019</v>
      </c>
      <c r="J1286" t="s">
        <v>14382</v>
      </c>
      <c r="K1286" s="5" t="s">
        <v>45</v>
      </c>
      <c r="L1286" t="s">
        <v>9099</v>
      </c>
      <c r="M1286" t="str">
        <f>"https://www.artic.edu/iiif/2/"&amp;Table9[[#This Row],[Image ID]]&amp;"/full/843,/0/default.jpg"</f>
        <v>https://www.artic.edu/iiif/2/f534bce3-4746-cba6-6c46-c37a7c9199fb/full/843,/0/default.jpg</v>
      </c>
      <c r="N1286" s="3">
        <v>0.82499999999999996</v>
      </c>
      <c r="O1286" s="3">
        <v>0.125</v>
      </c>
      <c r="P1286" s="3">
        <v>0.7</v>
      </c>
      <c r="Q1286" s="3">
        <v>0.83100807666778498</v>
      </c>
    </row>
    <row r="1287" spans="1:17" x14ac:dyDescent="0.45">
      <c r="A1287" s="3">
        <v>184653</v>
      </c>
      <c r="B1287" t="b">
        <v>0</v>
      </c>
      <c r="C1287" t="b">
        <v>0</v>
      </c>
      <c r="D1287" s="3">
        <v>1958</v>
      </c>
      <c r="E1287" s="3">
        <v>1959</v>
      </c>
      <c r="F1287" t="s">
        <v>11</v>
      </c>
      <c r="G1287" t="s">
        <v>4816</v>
      </c>
      <c r="H1287" s="3">
        <v>45.343800000000002</v>
      </c>
      <c r="I1287" t="s">
        <v>4817</v>
      </c>
      <c r="J1287" t="s">
        <v>14384</v>
      </c>
      <c r="L1287" t="s">
        <v>4818</v>
      </c>
      <c r="M1287" t="str">
        <f>"https://www.artic.edu/iiif/2/"&amp;Table9[[#This Row],[Image ID]]&amp;"/full/843,/0/default.jpg"</f>
        <v>https://www.artic.edu/iiif/2/f5679ff8-9c43-7626-9b3e-3c0a6f89c8cc/full/843,/0/default.jpg</v>
      </c>
      <c r="N1287" s="3">
        <v>0.75</v>
      </c>
      <c r="O1287" s="3">
        <v>0.05</v>
      </c>
      <c r="P1287" s="3">
        <v>0.7</v>
      </c>
      <c r="Q1287" s="3">
        <v>0.83725863695144598</v>
      </c>
    </row>
    <row r="1288" spans="1:17" x14ac:dyDescent="0.45">
      <c r="A1288" s="3">
        <v>80328</v>
      </c>
      <c r="B1288" t="b">
        <v>0</v>
      </c>
      <c r="C1288" t="b">
        <v>0</v>
      </c>
      <c r="D1288" s="3">
        <v>1914</v>
      </c>
      <c r="E1288" s="3">
        <v>1924</v>
      </c>
      <c r="F1288" t="s">
        <v>9955</v>
      </c>
      <c r="G1288" t="s">
        <v>9956</v>
      </c>
      <c r="H1288" s="3">
        <v>25.418099999999999</v>
      </c>
      <c r="I1288" t="s">
        <v>14564</v>
      </c>
      <c r="J1288" t="s">
        <v>14463</v>
      </c>
      <c r="L1288" t="s">
        <v>9957</v>
      </c>
      <c r="M1288" t="str">
        <f>"https://www.artic.edu/iiif/2/"&amp;Table9[[#This Row],[Image ID]]&amp;"/full/843,/0/default.jpg"</f>
        <v>https://www.artic.edu/iiif/2/facc4c98-5efd-88b8-53d9-30a0977379b7/full/843,/0/default.jpg</v>
      </c>
      <c r="N1288" s="3">
        <v>0.72499999999999998</v>
      </c>
      <c r="O1288" s="3">
        <v>2.5000000000000001E-2</v>
      </c>
      <c r="P1288" s="3">
        <v>0.7</v>
      </c>
      <c r="Q1288" s="3">
        <v>0.78713101148605302</v>
      </c>
    </row>
    <row r="1289" spans="1:17" x14ac:dyDescent="0.45">
      <c r="A1289" s="3">
        <v>93433</v>
      </c>
      <c r="B1289" t="b">
        <v>0</v>
      </c>
      <c r="C1289" t="b">
        <v>1</v>
      </c>
      <c r="D1289" s="3">
        <v>1887</v>
      </c>
      <c r="E1289" s="3">
        <v>1887</v>
      </c>
      <c r="F1289" t="s">
        <v>10587</v>
      </c>
      <c r="G1289" t="s">
        <v>10588</v>
      </c>
      <c r="H1289" s="3">
        <v>42.8202</v>
      </c>
      <c r="I1289" t="s">
        <v>1337</v>
      </c>
      <c r="J1289" t="s">
        <v>10975</v>
      </c>
      <c r="L1289" t="s">
        <v>10589</v>
      </c>
      <c r="M1289" t="str">
        <f>"https://www.artic.edu/iiif/2/"&amp;Table9[[#This Row],[Image ID]]&amp;"/full/843,/0/default.jpg"</f>
        <v>https://www.artic.edu/iiif/2/0010bff3-4f51-8e35-46ee-0c46184354f6/full/843,/0/default.jpg</v>
      </c>
      <c r="N1289" s="3">
        <v>0.7</v>
      </c>
      <c r="O1289" s="3">
        <v>0</v>
      </c>
      <c r="P1289" s="3">
        <v>0.7</v>
      </c>
      <c r="Q1289" s="3">
        <v>0.66617494821548395</v>
      </c>
    </row>
    <row r="1290" spans="1:17" x14ac:dyDescent="0.45">
      <c r="A1290" s="3">
        <v>154121</v>
      </c>
      <c r="B1290" t="b">
        <v>0</v>
      </c>
      <c r="C1290" t="b">
        <v>1</v>
      </c>
      <c r="D1290" s="3">
        <v>1877</v>
      </c>
      <c r="E1290" s="3">
        <v>1887</v>
      </c>
      <c r="F1290" t="s">
        <v>3977</v>
      </c>
      <c r="G1290" t="s">
        <v>7</v>
      </c>
      <c r="H1290" s="3">
        <v>25.892399999999999</v>
      </c>
      <c r="I1290" t="s">
        <v>3247</v>
      </c>
      <c r="J1290" t="s">
        <v>11002</v>
      </c>
      <c r="K1290" s="5" t="s">
        <v>9</v>
      </c>
      <c r="L1290" t="s">
        <v>3978</v>
      </c>
      <c r="M1290" t="str">
        <f>"https://www.artic.edu/iiif/2/"&amp;Table9[[#This Row],[Image ID]]&amp;"/full/843,/0/default.jpg"</f>
        <v>https://www.artic.edu/iiif/2/0274aa9e-95d1-2a8e-12e3-2b09d7749b4f/full/843,/0/default.jpg</v>
      </c>
      <c r="N1290" s="3">
        <v>0.75</v>
      </c>
      <c r="O1290" s="3">
        <v>0.05</v>
      </c>
      <c r="P1290" s="3">
        <v>0.7</v>
      </c>
      <c r="Q1290" s="3">
        <v>0.89853501319885198</v>
      </c>
    </row>
    <row r="1291" spans="1:17" x14ac:dyDescent="0.45">
      <c r="A1291" s="3">
        <v>114885</v>
      </c>
      <c r="B1291" t="b">
        <v>0</v>
      </c>
      <c r="C1291" t="b">
        <v>1</v>
      </c>
      <c r="D1291" s="3">
        <v>1825</v>
      </c>
      <c r="E1291" s="3">
        <v>1877</v>
      </c>
      <c r="F1291" t="s">
        <v>1749</v>
      </c>
      <c r="G1291" t="s">
        <v>1750</v>
      </c>
      <c r="H1291" s="3">
        <v>18.8553</v>
      </c>
      <c r="I1291" t="s">
        <v>1751</v>
      </c>
      <c r="J1291" t="s">
        <v>11024</v>
      </c>
      <c r="L1291" t="s">
        <v>1752</v>
      </c>
      <c r="M1291" t="str">
        <f>"https://www.artic.edu/iiif/2/"&amp;Table9[[#This Row],[Image ID]]&amp;"/full/843,/0/default.jpg"</f>
        <v>https://www.artic.edu/iiif/2/038f2b3d-d6a1-58cf-5dba-670d3a6cac84/full/843,/0/default.jpg</v>
      </c>
      <c r="N1291" s="3">
        <v>0.75</v>
      </c>
      <c r="O1291" s="3">
        <v>0.05</v>
      </c>
      <c r="P1291" s="3">
        <v>0.7</v>
      </c>
      <c r="Q1291" s="3">
        <v>0.70334869623184204</v>
      </c>
    </row>
    <row r="1292" spans="1:17" x14ac:dyDescent="0.45">
      <c r="A1292" s="3">
        <v>113101</v>
      </c>
      <c r="B1292" t="b">
        <v>0</v>
      </c>
      <c r="C1292" t="b">
        <v>1</v>
      </c>
      <c r="D1292" s="3">
        <v>1875</v>
      </c>
      <c r="E1292" s="3">
        <v>1888</v>
      </c>
      <c r="F1292" t="s">
        <v>1352</v>
      </c>
      <c r="G1292" t="s">
        <v>1353</v>
      </c>
      <c r="H1292" s="3">
        <v>33.884</v>
      </c>
      <c r="I1292" t="s">
        <v>259</v>
      </c>
      <c r="J1292" t="s">
        <v>11118</v>
      </c>
      <c r="L1292" t="s">
        <v>1354</v>
      </c>
      <c r="M1292" t="str">
        <f>"https://www.artic.edu/iiif/2/"&amp;Table9[[#This Row],[Image ID]]&amp;"/full/843,/0/default.jpg"</f>
        <v>https://www.artic.edu/iiif/2/0aa56043-38e7-ae28-2855-59791c2963ee/full/843,/0/default.jpg</v>
      </c>
      <c r="N1292" s="3">
        <v>0.75</v>
      </c>
      <c r="O1292" s="3">
        <v>0.05</v>
      </c>
      <c r="P1292" s="3">
        <v>0.7</v>
      </c>
      <c r="Q1292" s="3">
        <v>0.83331638574600198</v>
      </c>
    </row>
    <row r="1293" spans="1:17" ht="142.5" x14ac:dyDescent="0.45">
      <c r="A1293" s="3">
        <v>79777</v>
      </c>
      <c r="B1293" t="b">
        <v>0</v>
      </c>
      <c r="C1293" t="b">
        <v>1</v>
      </c>
      <c r="D1293" s="3">
        <v>1480</v>
      </c>
      <c r="E1293" s="3">
        <v>1490</v>
      </c>
      <c r="F1293" t="s">
        <v>9918</v>
      </c>
      <c r="G1293" t="s">
        <v>75</v>
      </c>
      <c r="H1293" s="3">
        <v>17.331199999999999</v>
      </c>
      <c r="I1293" t="s">
        <v>4347</v>
      </c>
      <c r="J1293" s="1" t="s">
        <v>11212</v>
      </c>
      <c r="L1293" t="s">
        <v>9919</v>
      </c>
      <c r="M1293" t="str">
        <f>"https://www.artic.edu/iiif/2/"&amp;Table9[[#This Row],[Image ID]]&amp;"/full/843,/0/default.jpg"</f>
        <v>https://www.artic.edu/iiif/2/11f6e7f8-9c46-1dd7-4ba8-4ef07bfc3bfa/full/843,/0/default.jpg</v>
      </c>
      <c r="N1293" s="3">
        <v>0.75</v>
      </c>
      <c r="O1293" s="3">
        <v>0.05</v>
      </c>
      <c r="P1293" s="3">
        <v>0.7</v>
      </c>
      <c r="Q1293" s="3">
        <v>0.83141332864761297</v>
      </c>
    </row>
    <row r="1294" spans="1:17" x14ac:dyDescent="0.45">
      <c r="A1294" s="3">
        <v>114684</v>
      </c>
      <c r="B1294" t="b">
        <v>0</v>
      </c>
      <c r="C1294" t="b">
        <v>1</v>
      </c>
      <c r="D1294" s="3">
        <v>1660</v>
      </c>
      <c r="E1294" s="3">
        <v>1669</v>
      </c>
      <c r="F1294" t="s">
        <v>1694</v>
      </c>
      <c r="G1294" t="s">
        <v>1695</v>
      </c>
      <c r="H1294" s="3">
        <v>24.446999999999999</v>
      </c>
      <c r="I1294" t="s">
        <v>1301</v>
      </c>
      <c r="J1294" t="s">
        <v>11270</v>
      </c>
      <c r="L1294" t="s">
        <v>1696</v>
      </c>
      <c r="M1294" t="str">
        <f>"https://www.artic.edu/iiif/2/"&amp;Table9[[#This Row],[Image ID]]&amp;"/full/843,/0/default.jpg"</f>
        <v>https://www.artic.edu/iiif/2/15dabf4e-d2cb-3294-589f-33eb4f69297e/full/843,/0/default.jpg</v>
      </c>
      <c r="N1294" s="3">
        <v>0.75</v>
      </c>
      <c r="O1294" s="3">
        <v>0.05</v>
      </c>
      <c r="P1294" s="3">
        <v>0.7</v>
      </c>
      <c r="Q1294" s="3">
        <v>0.74798357486724798</v>
      </c>
    </row>
    <row r="1295" spans="1:17" x14ac:dyDescent="0.45">
      <c r="A1295" s="3">
        <v>29152</v>
      </c>
      <c r="B1295" t="b">
        <v>0</v>
      </c>
      <c r="C1295" t="b">
        <v>1</v>
      </c>
      <c r="D1295" s="3">
        <v>1906</v>
      </c>
      <c r="E1295" s="3">
        <v>1909</v>
      </c>
      <c r="F1295" t="s">
        <v>6881</v>
      </c>
      <c r="G1295" t="s">
        <v>6882</v>
      </c>
      <c r="H1295" s="3">
        <v>17.4831</v>
      </c>
      <c r="I1295" t="s">
        <v>6883</v>
      </c>
      <c r="J1295" t="s">
        <v>11321</v>
      </c>
      <c r="L1295" t="s">
        <v>6884</v>
      </c>
      <c r="M1295" t="str">
        <f>"https://www.artic.edu/iiif/2/"&amp;Table9[[#This Row],[Image ID]]&amp;"/full/843,/0/default.jpg"</f>
        <v>https://www.artic.edu/iiif/2/19887133-6419-dc38-4e43-4f37bb966cca/full/843,/0/default.jpg</v>
      </c>
      <c r="N1295" s="3">
        <v>0.72499999999999998</v>
      </c>
      <c r="O1295" s="3">
        <v>2.5000000000000001E-2</v>
      </c>
      <c r="P1295" s="3">
        <v>0.7</v>
      </c>
      <c r="Q1295" s="3">
        <v>0.62089276313781705</v>
      </c>
    </row>
    <row r="1296" spans="1:17" x14ac:dyDescent="0.45">
      <c r="A1296" s="3">
        <v>8097</v>
      </c>
      <c r="B1296" t="b">
        <v>0</v>
      </c>
      <c r="C1296" t="b">
        <v>1</v>
      </c>
      <c r="D1296" s="3">
        <v>1630</v>
      </c>
      <c r="E1296" s="3">
        <v>1660</v>
      </c>
      <c r="F1296" t="s">
        <v>10064</v>
      </c>
      <c r="G1296" t="s">
        <v>7</v>
      </c>
      <c r="H1296" s="3">
        <v>21.396899999999999</v>
      </c>
      <c r="I1296" t="s">
        <v>10065</v>
      </c>
      <c r="J1296" t="s">
        <v>11349</v>
      </c>
      <c r="L1296" t="s">
        <v>10066</v>
      </c>
      <c r="M1296" t="str">
        <f>"https://www.artic.edu/iiif/2/"&amp;Table9[[#This Row],[Image ID]]&amp;"/full/843,/0/default.jpg"</f>
        <v>https://www.artic.edu/iiif/2/1b605198-afe5-1052-3c7b-0c08734238e1/full/843,/0/default.jpg</v>
      </c>
      <c r="N1296" s="3">
        <v>0.9</v>
      </c>
      <c r="O1296" s="3">
        <v>0.2</v>
      </c>
      <c r="P1296" s="3">
        <v>0.7</v>
      </c>
      <c r="Q1296" s="3">
        <v>0.65496623516082697</v>
      </c>
    </row>
    <row r="1297" spans="1:17" x14ac:dyDescent="0.45">
      <c r="A1297" s="3">
        <v>86441</v>
      </c>
      <c r="B1297" t="b">
        <v>0</v>
      </c>
      <c r="C1297" t="b">
        <v>1</v>
      </c>
      <c r="D1297" s="3">
        <v>1525</v>
      </c>
      <c r="E1297" s="3">
        <v>1550</v>
      </c>
      <c r="F1297" t="s">
        <v>297</v>
      </c>
      <c r="G1297" t="s">
        <v>10334</v>
      </c>
      <c r="H1297" s="3">
        <v>0</v>
      </c>
      <c r="I1297" t="s">
        <v>10335</v>
      </c>
      <c r="J1297" t="s">
        <v>11351</v>
      </c>
      <c r="L1297" t="s">
        <v>10336</v>
      </c>
      <c r="M1297" t="str">
        <f>"https://www.artic.edu/iiif/2/"&amp;Table9[[#This Row],[Image ID]]&amp;"/full/843,/0/default.jpg"</f>
        <v>https://www.artic.edu/iiif/2/1bb08195-44b0-030c-c610-9fb6bb45e9b0/full/843,/0/default.jpg</v>
      </c>
      <c r="N1297" s="3">
        <v>0.85</v>
      </c>
      <c r="O1297" s="3">
        <v>0.15</v>
      </c>
      <c r="P1297" s="3">
        <v>0.7</v>
      </c>
      <c r="Q1297" s="3">
        <v>0.77401077747344904</v>
      </c>
    </row>
    <row r="1298" spans="1:17" x14ac:dyDescent="0.45">
      <c r="A1298" s="3">
        <v>14705</v>
      </c>
      <c r="B1298" t="b">
        <v>0</v>
      </c>
      <c r="C1298" t="b">
        <v>1</v>
      </c>
      <c r="D1298" s="3">
        <v>1301</v>
      </c>
      <c r="E1298" s="3">
        <v>1400</v>
      </c>
      <c r="F1298" t="s">
        <v>3578</v>
      </c>
      <c r="G1298" t="s">
        <v>584</v>
      </c>
      <c r="H1298" s="3">
        <v>50.985799999999998</v>
      </c>
      <c r="J1298" t="s">
        <v>11391</v>
      </c>
      <c r="K1298" s="5" t="s">
        <v>278</v>
      </c>
      <c r="L1298" t="s">
        <v>3579</v>
      </c>
      <c r="M1298" t="str">
        <f>"https://www.artic.edu/iiif/2/"&amp;Table9[[#This Row],[Image ID]]&amp;"/full/843,/0/default.jpg"</f>
        <v>https://www.artic.edu/iiif/2/1e094ff6-8274-d0c2-d314-4dd0626e03fb/full/843,/0/default.jpg</v>
      </c>
      <c r="N1298" s="3">
        <v>0.75</v>
      </c>
      <c r="O1298" s="3">
        <v>0.05</v>
      </c>
      <c r="P1298" s="3">
        <v>0.7</v>
      </c>
      <c r="Q1298" s="3">
        <v>0.77923500537872303</v>
      </c>
    </row>
    <row r="1299" spans="1:17" x14ac:dyDescent="0.45">
      <c r="A1299" s="3">
        <v>71543</v>
      </c>
      <c r="B1299" t="b">
        <v>0</v>
      </c>
      <c r="C1299" t="b">
        <v>1</v>
      </c>
      <c r="D1299" s="3">
        <v>1392</v>
      </c>
      <c r="E1299" s="3">
        <v>1399</v>
      </c>
      <c r="F1299" t="s">
        <v>9500</v>
      </c>
      <c r="G1299" t="s">
        <v>9501</v>
      </c>
      <c r="H1299" s="3">
        <v>53.329700000000003</v>
      </c>
      <c r="I1299" t="s">
        <v>9502</v>
      </c>
      <c r="J1299" t="s">
        <v>11478</v>
      </c>
      <c r="K1299" s="5" t="s">
        <v>278</v>
      </c>
      <c r="L1299" t="s">
        <v>9503</v>
      </c>
      <c r="M1299" t="str">
        <f>"https://www.artic.edu/iiif/2/"&amp;Table9[[#This Row],[Image ID]]&amp;"/full/843,/0/default.jpg"</f>
        <v>https://www.artic.edu/iiif/2/234e64a5-848f-e67a-c3bc-90f842675fb8/full/843,/0/default.jpg</v>
      </c>
      <c r="N1299" s="3">
        <v>0.75</v>
      </c>
      <c r="O1299" s="3">
        <v>0.05</v>
      </c>
      <c r="P1299" s="3">
        <v>0.7</v>
      </c>
      <c r="Q1299" s="3">
        <v>0.77965092658996504</v>
      </c>
    </row>
    <row r="1300" spans="1:17" x14ac:dyDescent="0.45">
      <c r="A1300" s="3">
        <v>217679</v>
      </c>
      <c r="B1300" t="b">
        <v>0</v>
      </c>
      <c r="C1300" t="b">
        <v>1</v>
      </c>
      <c r="D1300" s="3">
        <v>1895</v>
      </c>
      <c r="E1300" s="3">
        <v>1896</v>
      </c>
      <c r="F1300" t="s">
        <v>5729</v>
      </c>
      <c r="G1300" t="s">
        <v>3028</v>
      </c>
      <c r="H1300" s="3">
        <v>19.259699999999999</v>
      </c>
      <c r="I1300" t="s">
        <v>5727</v>
      </c>
      <c r="J1300" t="s">
        <v>11026</v>
      </c>
      <c r="K1300" s="5" t="s">
        <v>130</v>
      </c>
      <c r="L1300" t="s">
        <v>5730</v>
      </c>
      <c r="M1300" t="str">
        <f>"https://www.artic.edu/iiif/2/"&amp;Table9[[#This Row],[Image ID]]&amp;"/full/843,/0/default.jpg"</f>
        <v>https://www.artic.edu/iiif/2/27666ca0-d8a7-e5a2-de53-12a274c9d562/full/843,/0/default.jpg</v>
      </c>
      <c r="N1300" s="3">
        <v>0.875</v>
      </c>
      <c r="O1300" s="3">
        <v>0.17499999999999999</v>
      </c>
      <c r="P1300" s="3">
        <v>0.7</v>
      </c>
      <c r="Q1300" s="3">
        <v>0.77526491880416804</v>
      </c>
    </row>
    <row r="1301" spans="1:17" x14ac:dyDescent="0.45">
      <c r="A1301" s="3">
        <v>39218</v>
      </c>
      <c r="B1301" t="b">
        <v>0</v>
      </c>
      <c r="C1301" t="b">
        <v>1</v>
      </c>
      <c r="D1301" s="3">
        <v>1845</v>
      </c>
      <c r="E1301" s="3">
        <v>1855</v>
      </c>
      <c r="F1301" t="s">
        <v>7515</v>
      </c>
      <c r="G1301" t="s">
        <v>7516</v>
      </c>
      <c r="H1301" s="3">
        <v>15.347899999999999</v>
      </c>
      <c r="I1301" t="s">
        <v>5317</v>
      </c>
      <c r="J1301" t="s">
        <v>11560</v>
      </c>
      <c r="L1301" t="s">
        <v>7517</v>
      </c>
      <c r="M1301" t="str">
        <f>"https://www.artic.edu/iiif/2/"&amp;Table9[[#This Row],[Image ID]]&amp;"/full/843,/0/default.jpg"</f>
        <v>https://www.artic.edu/iiif/2/28772189-c2b7-73df-5d21-be22ff3d4787/full/843,/0/default.jpg</v>
      </c>
      <c r="N1301" s="3">
        <v>0.9</v>
      </c>
      <c r="O1301" s="3">
        <v>0.2</v>
      </c>
      <c r="P1301" s="3">
        <v>0.7</v>
      </c>
      <c r="Q1301" s="3">
        <v>0.69750583171844405</v>
      </c>
    </row>
    <row r="1302" spans="1:17" x14ac:dyDescent="0.45">
      <c r="A1302" s="3">
        <v>115203</v>
      </c>
      <c r="B1302" t="b">
        <v>0</v>
      </c>
      <c r="C1302" t="b">
        <v>1</v>
      </c>
      <c r="D1302" s="3">
        <v>1848</v>
      </c>
      <c r="E1302" s="3">
        <v>1848</v>
      </c>
      <c r="F1302" t="s">
        <v>1851</v>
      </c>
      <c r="G1302" t="s">
        <v>164</v>
      </c>
      <c r="H1302" s="3">
        <v>25.620200000000001</v>
      </c>
      <c r="I1302" t="s">
        <v>1555</v>
      </c>
      <c r="J1302" t="s">
        <v>11636</v>
      </c>
      <c r="L1302" t="s">
        <v>1852</v>
      </c>
      <c r="M1302" t="str">
        <f>"https://www.artic.edu/iiif/2/"&amp;Table9[[#This Row],[Image ID]]&amp;"/full/843,/0/default.jpg"</f>
        <v>https://www.artic.edu/iiif/2/2dc2960c-2aac-97fc-bed3-b2ef9392ff4f/full/843,/0/default.jpg</v>
      </c>
      <c r="N1302" s="3">
        <v>0.75</v>
      </c>
      <c r="O1302" s="3">
        <v>0.05</v>
      </c>
      <c r="P1302" s="3">
        <v>0.7</v>
      </c>
      <c r="Q1302" s="3">
        <v>0.80786007642745905</v>
      </c>
    </row>
    <row r="1303" spans="1:17" x14ac:dyDescent="0.45">
      <c r="A1303" s="3">
        <v>39006</v>
      </c>
      <c r="B1303" t="b">
        <v>0</v>
      </c>
      <c r="C1303" t="b">
        <v>1</v>
      </c>
      <c r="D1303" s="3">
        <v>1820</v>
      </c>
      <c r="E1303" s="3">
        <v>1884</v>
      </c>
      <c r="F1303" t="s">
        <v>7371</v>
      </c>
      <c r="G1303" t="s">
        <v>7372</v>
      </c>
      <c r="H1303" s="3">
        <v>29.388000000000002</v>
      </c>
      <c r="I1303" t="s">
        <v>2148</v>
      </c>
      <c r="J1303" t="s">
        <v>11652</v>
      </c>
      <c r="L1303" t="s">
        <v>7373</v>
      </c>
      <c r="M1303" t="str">
        <f>"https://www.artic.edu/iiif/2/"&amp;Table9[[#This Row],[Image ID]]&amp;"/full/843,/0/default.jpg"</f>
        <v>https://www.artic.edu/iiif/2/2e9a9fcc-d009-9076-9f32-df12a0327a48/full/843,/0/default.jpg</v>
      </c>
      <c r="N1303" s="3">
        <v>0.75</v>
      </c>
      <c r="O1303" s="3">
        <v>0.05</v>
      </c>
      <c r="P1303" s="3">
        <v>0.7</v>
      </c>
      <c r="Q1303" s="3">
        <v>0.53611189126968295</v>
      </c>
    </row>
    <row r="1304" spans="1:17" x14ac:dyDescent="0.45">
      <c r="A1304" s="3">
        <v>49723</v>
      </c>
      <c r="B1304" t="b">
        <v>0</v>
      </c>
      <c r="C1304" t="b">
        <v>1</v>
      </c>
      <c r="D1304" s="3">
        <v>1890</v>
      </c>
      <c r="E1304" s="3">
        <v>1900</v>
      </c>
      <c r="F1304" t="s">
        <v>8078</v>
      </c>
      <c r="G1304" t="s">
        <v>7</v>
      </c>
      <c r="H1304" s="3">
        <v>0</v>
      </c>
      <c r="I1304" t="s">
        <v>307</v>
      </c>
      <c r="J1304" t="s">
        <v>11705</v>
      </c>
      <c r="L1304" t="s">
        <v>8079</v>
      </c>
      <c r="M1304" t="str">
        <f>"https://www.artic.edu/iiif/2/"&amp;Table9[[#This Row],[Image ID]]&amp;"/full/843,/0/default.jpg"</f>
        <v>https://www.artic.edu/iiif/2/3222a207-26a0-59c1-ba7c-c1ba4eaee588/full/843,/0/default.jpg</v>
      </c>
      <c r="N1304" s="3">
        <v>0.85</v>
      </c>
      <c r="O1304" s="3">
        <v>0.15</v>
      </c>
      <c r="P1304" s="3">
        <v>0.7</v>
      </c>
      <c r="Q1304" s="3">
        <v>0.66746610403060902</v>
      </c>
    </row>
    <row r="1305" spans="1:17" x14ac:dyDescent="0.45">
      <c r="A1305" s="3">
        <v>148424</v>
      </c>
      <c r="B1305" t="b">
        <v>0</v>
      </c>
      <c r="C1305" t="b">
        <v>1</v>
      </c>
      <c r="D1305" s="3">
        <v>1600</v>
      </c>
      <c r="E1305" s="3">
        <v>1625</v>
      </c>
      <c r="F1305" t="s">
        <v>14710</v>
      </c>
      <c r="G1305" t="s">
        <v>306</v>
      </c>
      <c r="H1305" s="3">
        <v>34.153199999999998</v>
      </c>
      <c r="J1305" t="s">
        <v>11724</v>
      </c>
      <c r="K1305" s="5" t="s">
        <v>5</v>
      </c>
      <c r="L1305" t="s">
        <v>3728</v>
      </c>
      <c r="M1305" t="str">
        <f>"https://www.artic.edu/iiif/2/"&amp;Table9[[#This Row],[Image ID]]&amp;"/full/843,/0/default.jpg"</f>
        <v>https://www.artic.edu/iiif/2/336cb271-3e45-bafa-af03-42639047b8f8/full/843,/0/default.jpg</v>
      </c>
      <c r="N1305" s="3">
        <v>0.75</v>
      </c>
      <c r="O1305" s="3">
        <v>0.05</v>
      </c>
      <c r="P1305" s="3">
        <v>0.7</v>
      </c>
      <c r="Q1305" s="3">
        <v>0.69467467069625799</v>
      </c>
    </row>
    <row r="1306" spans="1:17" ht="85.5" x14ac:dyDescent="0.45">
      <c r="A1306" s="3">
        <v>131906</v>
      </c>
      <c r="B1306" t="b">
        <v>0</v>
      </c>
      <c r="C1306" t="b">
        <v>1</v>
      </c>
      <c r="D1306" s="3">
        <v>1585</v>
      </c>
      <c r="E1306" s="3">
        <v>1595</v>
      </c>
      <c r="F1306" t="s">
        <v>3004</v>
      </c>
      <c r="G1306" t="s">
        <v>238</v>
      </c>
      <c r="H1306" s="3">
        <v>31.938700000000001</v>
      </c>
      <c r="J1306" s="1" t="s">
        <v>11742</v>
      </c>
      <c r="L1306" t="s">
        <v>3005</v>
      </c>
      <c r="M1306" t="str">
        <f>"https://www.artic.edu/iiif/2/"&amp;Table9[[#This Row],[Image ID]]&amp;"/full/843,/0/default.jpg"</f>
        <v>https://www.artic.edu/iiif/2/34e256c1-7729-0637-6abc-e94a87aa4431/full/843,/0/default.jpg</v>
      </c>
      <c r="N1306" s="3">
        <v>0.75</v>
      </c>
      <c r="O1306" s="3">
        <v>0.05</v>
      </c>
      <c r="P1306" s="3">
        <v>0.7</v>
      </c>
      <c r="Q1306" s="3">
        <v>0.70711082220077504</v>
      </c>
    </row>
    <row r="1307" spans="1:17" x14ac:dyDescent="0.45">
      <c r="A1307" s="3">
        <v>111637</v>
      </c>
      <c r="B1307" t="b">
        <v>0</v>
      </c>
      <c r="C1307" t="b">
        <v>1</v>
      </c>
      <c r="D1307" s="3">
        <v>1601</v>
      </c>
      <c r="E1307" s="3">
        <v>1611</v>
      </c>
      <c r="F1307" t="s">
        <v>1181</v>
      </c>
      <c r="G1307" t="s">
        <v>7</v>
      </c>
      <c r="H1307" s="3">
        <v>21.4909</v>
      </c>
      <c r="I1307" t="s">
        <v>14664</v>
      </c>
      <c r="J1307" t="s">
        <v>11795</v>
      </c>
      <c r="L1307" t="s">
        <v>1182</v>
      </c>
      <c r="M1307" t="str">
        <f>"https://www.artic.edu/iiif/2/"&amp;Table9[[#This Row],[Image ID]]&amp;"/full/843,/0/default.jpg"</f>
        <v>https://www.artic.edu/iiif/2/389e3222-0ff0-9e88-4b84-80e78fbb6b8d/full/843,/0/default.jpg</v>
      </c>
      <c r="N1307" s="3">
        <v>0.75</v>
      </c>
      <c r="O1307" s="3">
        <v>0.05</v>
      </c>
      <c r="P1307" s="3">
        <v>0.7</v>
      </c>
      <c r="Q1307" s="3">
        <v>0.79736590385437001</v>
      </c>
    </row>
    <row r="1308" spans="1:17" x14ac:dyDescent="0.45">
      <c r="A1308" s="3">
        <v>115117</v>
      </c>
      <c r="B1308" t="b">
        <v>0</v>
      </c>
      <c r="C1308" t="b">
        <v>1</v>
      </c>
      <c r="D1308" s="3">
        <v>1847</v>
      </c>
      <c r="E1308" s="3">
        <v>1847</v>
      </c>
      <c r="F1308" t="s">
        <v>1771</v>
      </c>
      <c r="G1308" t="s">
        <v>1552</v>
      </c>
      <c r="H1308" s="3">
        <v>31.961500000000001</v>
      </c>
      <c r="I1308" t="s">
        <v>1555</v>
      </c>
      <c r="J1308" t="s">
        <v>11823</v>
      </c>
      <c r="L1308" t="s">
        <v>1772</v>
      </c>
      <c r="M1308" t="str">
        <f>"https://www.artic.edu/iiif/2/"&amp;Table9[[#This Row],[Image ID]]&amp;"/full/843,/0/default.jpg"</f>
        <v>https://www.artic.edu/iiif/2/3a165282-be33-a1d0-c030-1222ccfa8985/full/843,/0/default.jpg</v>
      </c>
      <c r="N1308" s="3">
        <v>0.9</v>
      </c>
      <c r="O1308" s="3">
        <v>0.2</v>
      </c>
      <c r="P1308" s="3">
        <v>0.7</v>
      </c>
      <c r="Q1308" s="3">
        <v>0.41354960203170699</v>
      </c>
    </row>
    <row r="1309" spans="1:17" x14ac:dyDescent="0.45">
      <c r="A1309" s="3">
        <v>39132</v>
      </c>
      <c r="B1309" t="b">
        <v>0</v>
      </c>
      <c r="C1309" t="b">
        <v>1</v>
      </c>
      <c r="D1309" s="3">
        <v>1776</v>
      </c>
      <c r="E1309" s="3">
        <v>1822</v>
      </c>
      <c r="F1309" t="s">
        <v>7466</v>
      </c>
      <c r="G1309" t="s">
        <v>1283</v>
      </c>
      <c r="H1309" s="3">
        <v>33.763800000000003</v>
      </c>
      <c r="I1309" t="s">
        <v>1293</v>
      </c>
      <c r="J1309" t="s">
        <v>11948</v>
      </c>
      <c r="L1309" t="s">
        <v>7467</v>
      </c>
      <c r="M1309" t="str">
        <f>"https://www.artic.edu/iiif/2/"&amp;Table9[[#This Row],[Image ID]]&amp;"/full/843,/0/default.jpg"</f>
        <v>https://www.artic.edu/iiif/2/42359450-a2cd-43a4-9546-4a4d92cff142/full/843,/0/default.jpg</v>
      </c>
      <c r="N1309" s="3">
        <v>0.85</v>
      </c>
      <c r="O1309" s="3">
        <v>0.15</v>
      </c>
      <c r="P1309" s="3">
        <v>0.7</v>
      </c>
      <c r="Q1309" s="3">
        <v>0.69322538375854403</v>
      </c>
    </row>
    <row r="1310" spans="1:17" x14ac:dyDescent="0.45">
      <c r="A1310" s="3">
        <v>12875</v>
      </c>
      <c r="B1310" t="b">
        <v>0</v>
      </c>
      <c r="C1310" t="b">
        <v>1</v>
      </c>
      <c r="D1310" s="3">
        <v>1685</v>
      </c>
      <c r="E1310" s="3">
        <v>1700</v>
      </c>
      <c r="F1310" t="s">
        <v>2832</v>
      </c>
      <c r="G1310" t="s">
        <v>7</v>
      </c>
      <c r="H1310" s="3">
        <v>27.8047</v>
      </c>
      <c r="I1310" t="s">
        <v>2833</v>
      </c>
      <c r="J1310" t="s">
        <v>12067</v>
      </c>
      <c r="L1310" t="s">
        <v>2834</v>
      </c>
      <c r="M1310" t="str">
        <f>"https://www.artic.edu/iiif/2/"&amp;Table9[[#This Row],[Image ID]]&amp;"/full/843,/0/default.jpg"</f>
        <v>https://www.artic.edu/iiif/2/4b08c9e2-6df3-c2ff-da33-bb78d41bde97/full/843,/0/default.jpg</v>
      </c>
      <c r="N1310" s="3">
        <v>0.85</v>
      </c>
      <c r="O1310" s="3">
        <v>0.15</v>
      </c>
      <c r="P1310" s="3">
        <v>0.7</v>
      </c>
      <c r="Q1310" s="3">
        <v>0.80902802944183305</v>
      </c>
    </row>
    <row r="1311" spans="1:17" x14ac:dyDescent="0.45">
      <c r="A1311" s="3">
        <v>25770</v>
      </c>
      <c r="B1311" t="b">
        <v>0</v>
      </c>
      <c r="C1311" t="b">
        <v>1</v>
      </c>
      <c r="D1311" s="3">
        <v>1365</v>
      </c>
      <c r="E1311" s="3">
        <v>1375</v>
      </c>
      <c r="F1311" t="s">
        <v>1153</v>
      </c>
      <c r="G1311" t="s">
        <v>103</v>
      </c>
      <c r="H1311" s="3">
        <v>44.031999999999996</v>
      </c>
      <c r="I1311" t="s">
        <v>6590</v>
      </c>
      <c r="J1311" t="s">
        <v>12085</v>
      </c>
      <c r="L1311" t="s">
        <v>6591</v>
      </c>
      <c r="M1311" t="str">
        <f>"https://www.artic.edu/iiif/2/"&amp;Table9[[#This Row],[Image ID]]&amp;"/full/843,/0/default.jpg"</f>
        <v>https://www.artic.edu/iiif/2/4c862fdf-89d6-7c37-ccd2-3c5ee85e5161/full/843,/0/default.jpg</v>
      </c>
      <c r="N1311" s="3">
        <v>0.72499999999999998</v>
      </c>
      <c r="O1311" s="3">
        <v>2.5000000000000001E-2</v>
      </c>
      <c r="P1311" s="3">
        <v>0.7</v>
      </c>
      <c r="Q1311" s="3">
        <v>0.83267319202423096</v>
      </c>
    </row>
    <row r="1312" spans="1:17" x14ac:dyDescent="0.45">
      <c r="A1312" s="3">
        <v>28173</v>
      </c>
      <c r="B1312" t="b">
        <v>0</v>
      </c>
      <c r="C1312" t="b">
        <v>1</v>
      </c>
      <c r="D1312" s="3">
        <v>1630</v>
      </c>
      <c r="E1312" s="3">
        <v>1640</v>
      </c>
      <c r="F1312" t="s">
        <v>716</v>
      </c>
      <c r="G1312" t="s">
        <v>75</v>
      </c>
      <c r="H1312" s="3">
        <v>43.026499999999999</v>
      </c>
      <c r="I1312" t="s">
        <v>579</v>
      </c>
      <c r="J1312" t="s">
        <v>12143</v>
      </c>
      <c r="L1312" t="s">
        <v>6792</v>
      </c>
      <c r="M1312" t="str">
        <f>"https://www.artic.edu/iiif/2/"&amp;Table9[[#This Row],[Image ID]]&amp;"/full/843,/0/default.jpg"</f>
        <v>https://www.artic.edu/iiif/2/50ac4789-b167-eb84-b8da-3b3ddc1c095d/full/843,/0/default.jpg</v>
      </c>
      <c r="N1312" s="3">
        <v>0.75</v>
      </c>
      <c r="O1312" s="3">
        <v>0.05</v>
      </c>
      <c r="P1312" s="3">
        <v>0.7</v>
      </c>
      <c r="Q1312" s="3">
        <v>0.65062803030014005</v>
      </c>
    </row>
    <row r="1313" spans="1:17" x14ac:dyDescent="0.45">
      <c r="A1313" s="3">
        <v>14650</v>
      </c>
      <c r="B1313" t="b">
        <v>0</v>
      </c>
      <c r="C1313" t="b">
        <v>1</v>
      </c>
      <c r="D1313" s="3">
        <v>1870</v>
      </c>
      <c r="E1313" s="3">
        <v>1876</v>
      </c>
      <c r="F1313" t="s">
        <v>3452</v>
      </c>
      <c r="G1313" t="s">
        <v>7</v>
      </c>
      <c r="H1313" s="3">
        <v>27.732500000000002</v>
      </c>
      <c r="I1313" t="s">
        <v>8</v>
      </c>
      <c r="J1313" t="s">
        <v>12436</v>
      </c>
      <c r="K1313" s="5" t="s">
        <v>9</v>
      </c>
      <c r="L1313" t="s">
        <v>3453</v>
      </c>
      <c r="M1313" t="str">
        <f>"https://www.artic.edu/iiif/2/"&amp;Table9[[#This Row],[Image ID]]&amp;"/full/843,/0/default.jpg"</f>
        <v>https://www.artic.edu/iiif/2/64693216-bc82-0d21-9e57-86f8fc2e632b/full/843,/0/default.jpg</v>
      </c>
      <c r="N1313" s="3">
        <v>0.82499999999999996</v>
      </c>
      <c r="O1313" s="3">
        <v>0.125</v>
      </c>
      <c r="P1313" s="3">
        <v>0.7</v>
      </c>
      <c r="Q1313" s="3">
        <v>0.73676663637161199</v>
      </c>
    </row>
    <row r="1314" spans="1:17" x14ac:dyDescent="0.45">
      <c r="A1314" s="3">
        <v>59784</v>
      </c>
      <c r="B1314" t="b">
        <v>0</v>
      </c>
      <c r="C1314" t="b">
        <v>1</v>
      </c>
      <c r="D1314" s="3">
        <v>1764</v>
      </c>
      <c r="E1314" s="3">
        <v>1764</v>
      </c>
      <c r="F1314" t="s">
        <v>8574</v>
      </c>
      <c r="G1314" t="s">
        <v>7</v>
      </c>
      <c r="H1314" s="3">
        <v>16.925599999999999</v>
      </c>
      <c r="I1314" t="s">
        <v>879</v>
      </c>
      <c r="J1314" t="s">
        <v>12453</v>
      </c>
      <c r="L1314" t="s">
        <v>8575</v>
      </c>
      <c r="M1314" t="str">
        <f>"https://www.artic.edu/iiif/2/"&amp;Table9[[#This Row],[Image ID]]&amp;"/full/843,/0/default.jpg"</f>
        <v>https://www.artic.edu/iiif/2/65451ace-5cb3-377b-403a-9b16531a81bc/full/843,/0/default.jpg</v>
      </c>
      <c r="N1314" s="3">
        <v>0.75</v>
      </c>
      <c r="O1314" s="3">
        <v>0.05</v>
      </c>
      <c r="P1314" s="3">
        <v>0.7</v>
      </c>
      <c r="Q1314" s="3">
        <v>0.79298287630081099</v>
      </c>
    </row>
    <row r="1315" spans="1:17" x14ac:dyDescent="0.45">
      <c r="A1315" s="3">
        <v>55494</v>
      </c>
      <c r="B1315" t="b">
        <v>0</v>
      </c>
      <c r="C1315" t="b">
        <v>1</v>
      </c>
      <c r="D1315" s="3">
        <v>1878</v>
      </c>
      <c r="E1315" s="3">
        <v>1878</v>
      </c>
      <c r="F1315" t="s">
        <v>8340</v>
      </c>
      <c r="G1315" t="s">
        <v>7</v>
      </c>
      <c r="H1315" s="3">
        <v>13.045299999999999</v>
      </c>
      <c r="I1315" t="s">
        <v>1337</v>
      </c>
      <c r="J1315" t="s">
        <v>12587</v>
      </c>
      <c r="K1315" s="5" t="s">
        <v>9</v>
      </c>
      <c r="L1315" t="s">
        <v>8341</v>
      </c>
      <c r="M1315" t="str">
        <f>"https://www.artic.edu/iiif/2/"&amp;Table9[[#This Row],[Image ID]]&amp;"/full/843,/0/default.jpg"</f>
        <v>https://www.artic.edu/iiif/2/6efc1bea-c900-28c5-e02a-c14189b10fb3/full/843,/0/default.jpg</v>
      </c>
      <c r="N1315" s="3">
        <v>0.7</v>
      </c>
      <c r="O1315" s="3">
        <v>0</v>
      </c>
      <c r="P1315" s="3">
        <v>0.7</v>
      </c>
      <c r="Q1315" s="3">
        <v>0.68252283334732</v>
      </c>
    </row>
    <row r="1316" spans="1:17" x14ac:dyDescent="0.45">
      <c r="A1316" s="3">
        <v>103139</v>
      </c>
      <c r="B1316" t="b">
        <v>0</v>
      </c>
      <c r="C1316" t="b">
        <v>1</v>
      </c>
      <c r="D1316" s="3">
        <v>1900</v>
      </c>
      <c r="E1316" s="3">
        <v>1900</v>
      </c>
      <c r="F1316" t="s">
        <v>303</v>
      </c>
      <c r="G1316" t="s">
        <v>7</v>
      </c>
      <c r="H1316" s="3">
        <v>12.0282</v>
      </c>
      <c r="I1316" t="s">
        <v>43</v>
      </c>
      <c r="J1316" t="s">
        <v>12593</v>
      </c>
      <c r="K1316" s="5" t="s">
        <v>9</v>
      </c>
      <c r="L1316" t="s">
        <v>304</v>
      </c>
      <c r="M1316" t="str">
        <f>"https://www.artic.edu/iiif/2/"&amp;Table9[[#This Row],[Image ID]]&amp;"/full/843,/0/default.jpg"</f>
        <v>https://www.artic.edu/iiif/2/6f61a6fc-dcd8-e801-0ad8-5f7e561d91b6/full/843,/0/default.jpg</v>
      </c>
      <c r="N1316" s="3">
        <v>0.82499999999999996</v>
      </c>
      <c r="O1316" s="3">
        <v>0.125</v>
      </c>
      <c r="P1316" s="3">
        <v>0.7</v>
      </c>
      <c r="Q1316" s="3">
        <v>0.63179558515548695</v>
      </c>
    </row>
    <row r="1317" spans="1:17" x14ac:dyDescent="0.45">
      <c r="A1317" s="3">
        <v>59809</v>
      </c>
      <c r="B1317" t="b">
        <v>0</v>
      </c>
      <c r="C1317" t="b">
        <v>1</v>
      </c>
      <c r="D1317" s="3">
        <v>1792</v>
      </c>
      <c r="E1317" s="3">
        <v>1792</v>
      </c>
      <c r="F1317" t="s">
        <v>8583</v>
      </c>
      <c r="G1317" t="s">
        <v>7</v>
      </c>
      <c r="H1317" s="3">
        <v>50.5092</v>
      </c>
      <c r="I1317" t="s">
        <v>1726</v>
      </c>
      <c r="J1317" t="s">
        <v>12630</v>
      </c>
      <c r="L1317" t="s">
        <v>8584</v>
      </c>
      <c r="M1317" t="str">
        <f>"https://www.artic.edu/iiif/2/"&amp;Table9[[#This Row],[Image ID]]&amp;"/full/843,/0/default.jpg"</f>
        <v>https://www.artic.edu/iiif/2/719de593-24aa-69cb-9e02-64a7c8b640b0/full/843,/0/default.jpg</v>
      </c>
      <c r="N1317" s="3">
        <v>0.85</v>
      </c>
      <c r="O1317" s="3">
        <v>0.15</v>
      </c>
      <c r="P1317" s="3">
        <v>0.7</v>
      </c>
      <c r="Q1317" s="3">
        <v>0.79086112976074197</v>
      </c>
    </row>
    <row r="1318" spans="1:17" x14ac:dyDescent="0.45">
      <c r="A1318" s="3">
        <v>145807</v>
      </c>
      <c r="B1318" t="b">
        <v>0</v>
      </c>
      <c r="C1318" t="b">
        <v>1</v>
      </c>
      <c r="D1318" s="3">
        <v>1883</v>
      </c>
      <c r="E1318" s="3">
        <v>1889</v>
      </c>
      <c r="F1318" t="s">
        <v>3375</v>
      </c>
      <c r="G1318" t="s">
        <v>7</v>
      </c>
      <c r="H1318" s="3">
        <v>33.213200000000001</v>
      </c>
      <c r="I1318" t="s">
        <v>934</v>
      </c>
      <c r="J1318" t="s">
        <v>12736</v>
      </c>
      <c r="K1318" s="5" t="s">
        <v>9</v>
      </c>
      <c r="L1318" t="s">
        <v>3376</v>
      </c>
      <c r="M1318" t="str">
        <f>"https://www.artic.edu/iiif/2/"&amp;Table9[[#This Row],[Image ID]]&amp;"/full/843,/0/default.jpg"</f>
        <v>https://www.artic.edu/iiif/2/79b94ddd-e208-1993-01ab-98f75174fe88/full/843,/0/default.jpg</v>
      </c>
      <c r="N1318" s="3">
        <v>0.72499999999999998</v>
      </c>
      <c r="O1318" s="3">
        <v>2.5000000000000001E-2</v>
      </c>
      <c r="P1318" s="3">
        <v>0.7</v>
      </c>
      <c r="Q1318" s="3">
        <v>0.68495023250579801</v>
      </c>
    </row>
    <row r="1319" spans="1:17" x14ac:dyDescent="0.45">
      <c r="A1319" s="3">
        <v>7579</v>
      </c>
      <c r="B1319" t="b">
        <v>0</v>
      </c>
      <c r="C1319" t="b">
        <v>1</v>
      </c>
      <c r="D1319" s="3">
        <v>1485</v>
      </c>
      <c r="E1319" s="3">
        <v>1515</v>
      </c>
      <c r="F1319" t="s">
        <v>9755</v>
      </c>
      <c r="G1319" t="s">
        <v>9756</v>
      </c>
      <c r="H1319" s="3">
        <v>44.865400000000001</v>
      </c>
      <c r="I1319" t="s">
        <v>14671</v>
      </c>
      <c r="J1319" t="s">
        <v>12739</v>
      </c>
      <c r="L1319" t="s">
        <v>9757</v>
      </c>
      <c r="M1319" t="str">
        <f>"https://www.artic.edu/iiif/2/"&amp;Table9[[#This Row],[Image ID]]&amp;"/full/843,/0/default.jpg"</f>
        <v>https://www.artic.edu/iiif/2/79eb0de3-be72-f565-fb5e-1eaeb06d60c4/full/843,/0/default.jpg</v>
      </c>
      <c r="N1319" s="3">
        <v>0.85</v>
      </c>
      <c r="O1319" s="3">
        <v>0.15</v>
      </c>
      <c r="P1319" s="3">
        <v>0.7</v>
      </c>
      <c r="Q1319" s="3">
        <v>0.77675038576126099</v>
      </c>
    </row>
    <row r="1320" spans="1:17" x14ac:dyDescent="0.45">
      <c r="A1320" s="3">
        <v>39652</v>
      </c>
      <c r="B1320" t="b">
        <v>0</v>
      </c>
      <c r="C1320" t="b">
        <v>1</v>
      </c>
      <c r="D1320" s="3">
        <v>1895</v>
      </c>
      <c r="E1320" s="3">
        <v>1895</v>
      </c>
      <c r="F1320" t="s">
        <v>7590</v>
      </c>
      <c r="G1320" t="s">
        <v>7</v>
      </c>
      <c r="H1320" s="3">
        <v>13.8025</v>
      </c>
      <c r="I1320" t="s">
        <v>458</v>
      </c>
      <c r="J1320" t="s">
        <v>12961</v>
      </c>
      <c r="L1320" t="s">
        <v>7591</v>
      </c>
      <c r="M1320" t="str">
        <f>"https://www.artic.edu/iiif/2/"&amp;Table9[[#This Row],[Image ID]]&amp;"/full/843,/0/default.jpg"</f>
        <v>https://www.artic.edu/iiif/2/8b49881c-2e3d-be54-bf70-c131d60c1c93/full/843,/0/default.jpg</v>
      </c>
      <c r="N1320" s="3">
        <v>0.75</v>
      </c>
      <c r="O1320" s="3">
        <v>0.05</v>
      </c>
      <c r="P1320" s="3">
        <v>0.7</v>
      </c>
      <c r="Q1320" s="3">
        <v>0.80907416343688898</v>
      </c>
    </row>
    <row r="1321" spans="1:17" x14ac:dyDescent="0.45">
      <c r="A1321" s="3">
        <v>886</v>
      </c>
      <c r="B1321" t="b">
        <v>0</v>
      </c>
      <c r="C1321" t="b">
        <v>1</v>
      </c>
      <c r="D1321" s="3">
        <v>1865</v>
      </c>
      <c r="E1321" s="3">
        <v>1875</v>
      </c>
      <c r="F1321" t="s">
        <v>1790</v>
      </c>
      <c r="G1321" t="s">
        <v>75</v>
      </c>
      <c r="H1321" s="3">
        <v>27.4773</v>
      </c>
      <c r="I1321" t="s">
        <v>7152</v>
      </c>
      <c r="J1321" t="s">
        <v>12962</v>
      </c>
      <c r="L1321" t="s">
        <v>10432</v>
      </c>
      <c r="M1321" t="str">
        <f>"https://www.artic.edu/iiif/2/"&amp;Table9[[#This Row],[Image ID]]&amp;"/full/843,/0/default.jpg"</f>
        <v>https://www.artic.edu/iiif/2/8b526140-7667-b1df-97bb-2d0f6e1be095/full/843,/0/default.jpg</v>
      </c>
      <c r="N1321" s="3">
        <v>0.72499999999999998</v>
      </c>
      <c r="O1321" s="3">
        <v>2.5000000000000001E-2</v>
      </c>
      <c r="P1321" s="3">
        <v>0.7</v>
      </c>
      <c r="Q1321" s="3">
        <v>0.73420912027358998</v>
      </c>
    </row>
    <row r="1322" spans="1:17" x14ac:dyDescent="0.45">
      <c r="A1322" s="3">
        <v>39923</v>
      </c>
      <c r="B1322" t="b">
        <v>0</v>
      </c>
      <c r="C1322" t="b">
        <v>1</v>
      </c>
      <c r="D1322" s="3">
        <v>1887</v>
      </c>
      <c r="E1322" s="3">
        <v>1887</v>
      </c>
      <c r="F1322" t="s">
        <v>7623</v>
      </c>
      <c r="G1322" t="s">
        <v>7624</v>
      </c>
      <c r="H1322" s="3">
        <v>29.418800000000001</v>
      </c>
      <c r="I1322" t="s">
        <v>1287</v>
      </c>
      <c r="J1322" t="s">
        <v>12964</v>
      </c>
      <c r="L1322" t="s">
        <v>7625</v>
      </c>
      <c r="M1322" t="str">
        <f>"https://www.artic.edu/iiif/2/"&amp;Table9[[#This Row],[Image ID]]&amp;"/full/843,/0/default.jpg"</f>
        <v>https://www.artic.edu/iiif/2/8b6fb7b5-5da1-0e60-6566-e8f810190b74/full/843,/0/default.jpg</v>
      </c>
      <c r="N1322" s="3">
        <v>0.82499999999999996</v>
      </c>
      <c r="O1322" s="3">
        <v>0.125</v>
      </c>
      <c r="P1322" s="3">
        <v>0.7</v>
      </c>
      <c r="Q1322" s="3">
        <v>0.83818429708480802</v>
      </c>
    </row>
    <row r="1323" spans="1:17" x14ac:dyDescent="0.45">
      <c r="A1323" s="3">
        <v>44559</v>
      </c>
      <c r="B1323" t="b">
        <v>0</v>
      </c>
      <c r="C1323" t="b">
        <v>1</v>
      </c>
      <c r="D1323" s="3">
        <v>1877</v>
      </c>
      <c r="E1323" s="3">
        <v>1877</v>
      </c>
      <c r="F1323" t="s">
        <v>7777</v>
      </c>
      <c r="G1323" t="s">
        <v>7778</v>
      </c>
      <c r="H1323" s="3">
        <v>28.7925</v>
      </c>
      <c r="I1323" t="s">
        <v>1400</v>
      </c>
      <c r="J1323" t="s">
        <v>13031</v>
      </c>
      <c r="L1323" t="s">
        <v>7779</v>
      </c>
      <c r="M1323" t="str">
        <f>"https://www.artic.edu/iiif/2/"&amp;Table9[[#This Row],[Image ID]]&amp;"/full/843,/0/default.jpg"</f>
        <v>https://www.artic.edu/iiif/2/90893791-4cff-562e-6eb9-a8f9f4e023d1/full/843,/0/default.jpg</v>
      </c>
      <c r="N1323" s="3">
        <v>0.75</v>
      </c>
      <c r="O1323" s="3">
        <v>0.05</v>
      </c>
      <c r="P1323" s="3">
        <v>0.7</v>
      </c>
      <c r="Q1323" s="3">
        <v>0.83468037843704201</v>
      </c>
    </row>
    <row r="1324" spans="1:17" x14ac:dyDescent="0.45">
      <c r="A1324" s="3">
        <v>104670</v>
      </c>
      <c r="B1324" t="b">
        <v>0</v>
      </c>
      <c r="C1324" t="b">
        <v>1</v>
      </c>
      <c r="D1324" s="3">
        <v>1816</v>
      </c>
      <c r="E1324" s="3">
        <v>1817</v>
      </c>
      <c r="F1324" t="s">
        <v>452</v>
      </c>
      <c r="G1324" t="s">
        <v>453</v>
      </c>
      <c r="H1324" s="3">
        <v>19.083600000000001</v>
      </c>
      <c r="I1324" t="s">
        <v>14568</v>
      </c>
      <c r="J1324" t="s">
        <v>13082</v>
      </c>
      <c r="L1324" t="s">
        <v>454</v>
      </c>
      <c r="M1324" t="str">
        <f>"https://www.artic.edu/iiif/2/"&amp;Table9[[#This Row],[Image ID]]&amp;"/full/843,/0/default.jpg"</f>
        <v>https://www.artic.edu/iiif/2/951ceff8-455d-7575-2e72-4737e20cc55d/full/843,/0/default.jpg</v>
      </c>
      <c r="N1324" s="3">
        <v>0.75</v>
      </c>
      <c r="O1324" s="3">
        <v>0.05</v>
      </c>
      <c r="P1324" s="3">
        <v>0.7</v>
      </c>
      <c r="Q1324" s="3">
        <v>0.91171056032180697</v>
      </c>
    </row>
    <row r="1325" spans="1:17" x14ac:dyDescent="0.45">
      <c r="A1325" s="3">
        <v>39479</v>
      </c>
      <c r="B1325" t="b">
        <v>0</v>
      </c>
      <c r="C1325" t="b">
        <v>1</v>
      </c>
      <c r="D1325" s="3">
        <v>1878</v>
      </c>
      <c r="E1325" s="3">
        <v>1878</v>
      </c>
      <c r="F1325" t="s">
        <v>7567</v>
      </c>
      <c r="G1325" t="s">
        <v>7</v>
      </c>
      <c r="H1325" s="3">
        <v>35.858699999999999</v>
      </c>
      <c r="I1325" t="s">
        <v>6600</v>
      </c>
      <c r="J1325" t="s">
        <v>13420</v>
      </c>
      <c r="L1325" t="s">
        <v>7568</v>
      </c>
      <c r="M1325" t="str">
        <f>"https://www.artic.edu/iiif/2/"&amp;Table9[[#This Row],[Image ID]]&amp;"/full/843,/0/default.jpg"</f>
        <v>https://www.artic.edu/iiif/2/addf957f-c7db-68eb-0c78-9d8d8aa0e981/full/843,/0/default.jpg</v>
      </c>
      <c r="N1325" s="3">
        <v>0.75</v>
      </c>
      <c r="O1325" s="3">
        <v>0.05</v>
      </c>
      <c r="P1325" s="3">
        <v>0.7</v>
      </c>
      <c r="Q1325" s="3">
        <v>0.45248749852180398</v>
      </c>
    </row>
    <row r="1326" spans="1:17" x14ac:dyDescent="0.45">
      <c r="A1326" s="3">
        <v>203330</v>
      </c>
      <c r="B1326" t="b">
        <v>0</v>
      </c>
      <c r="C1326" t="b">
        <v>1</v>
      </c>
      <c r="D1326" s="3">
        <v>1593</v>
      </c>
      <c r="E1326" s="3">
        <v>1607</v>
      </c>
      <c r="F1326" t="s">
        <v>5074</v>
      </c>
      <c r="G1326" t="s">
        <v>512</v>
      </c>
      <c r="H1326" s="3">
        <v>32.310200000000002</v>
      </c>
      <c r="I1326" t="s">
        <v>1299</v>
      </c>
      <c r="J1326" t="s">
        <v>13462</v>
      </c>
      <c r="L1326" t="s">
        <v>5374</v>
      </c>
      <c r="M1326" t="str">
        <f>"https://www.artic.edu/iiif/2/"&amp;Table9[[#This Row],[Image ID]]&amp;"/full/843,/0/default.jpg"</f>
        <v>https://www.artic.edu/iiif/2/b0b312cf-6b99-fc0a-e561-c60a700cf0cc/full/843,/0/default.jpg</v>
      </c>
      <c r="N1326" s="3">
        <v>0.72499999999999998</v>
      </c>
      <c r="O1326" s="3">
        <v>2.5000000000000001E-2</v>
      </c>
      <c r="P1326" s="3">
        <v>0.7</v>
      </c>
      <c r="Q1326" s="3">
        <v>0.79771101474761896</v>
      </c>
    </row>
    <row r="1327" spans="1:17" x14ac:dyDescent="0.45">
      <c r="A1327" s="3">
        <v>79765</v>
      </c>
      <c r="B1327" t="b">
        <v>0</v>
      </c>
      <c r="C1327" t="b">
        <v>1</v>
      </c>
      <c r="D1327" s="3">
        <v>1749</v>
      </c>
      <c r="E1327" s="3">
        <v>1752</v>
      </c>
      <c r="F1327" t="s">
        <v>904</v>
      </c>
      <c r="G1327" t="s">
        <v>7</v>
      </c>
      <c r="H1327" s="3">
        <v>16.275400000000001</v>
      </c>
      <c r="I1327" t="s">
        <v>6710</v>
      </c>
      <c r="J1327" t="s">
        <v>13507</v>
      </c>
      <c r="L1327" t="s">
        <v>9912</v>
      </c>
      <c r="M1327" t="str">
        <f>"https://www.artic.edu/iiif/2/"&amp;Table9[[#This Row],[Image ID]]&amp;"/full/843,/0/default.jpg"</f>
        <v>https://www.artic.edu/iiif/2/b4d42569-997a-6d5e-0d21-67956efbd56e/full/843,/0/default.jpg</v>
      </c>
      <c r="N1327" s="3">
        <v>0.85</v>
      </c>
      <c r="O1327" s="3">
        <v>0.15</v>
      </c>
      <c r="P1327" s="3">
        <v>0.7</v>
      </c>
      <c r="Q1327" s="3">
        <v>0.79827636480331399</v>
      </c>
    </row>
    <row r="1328" spans="1:17" x14ac:dyDescent="0.45">
      <c r="A1328" s="3">
        <v>113242</v>
      </c>
      <c r="B1328" t="b">
        <v>0</v>
      </c>
      <c r="C1328" t="b">
        <v>1</v>
      </c>
      <c r="D1328" s="3">
        <v>1776</v>
      </c>
      <c r="E1328" s="3">
        <v>1827</v>
      </c>
      <c r="F1328" t="s">
        <v>1370</v>
      </c>
      <c r="G1328" t="s">
        <v>1371</v>
      </c>
      <c r="H1328" s="3">
        <v>23.9467</v>
      </c>
      <c r="I1328" t="s">
        <v>1266</v>
      </c>
      <c r="J1328" t="s">
        <v>13558</v>
      </c>
      <c r="L1328" t="s">
        <v>1372</v>
      </c>
      <c r="M1328" t="str">
        <f>"https://www.artic.edu/iiif/2/"&amp;Table9[[#This Row],[Image ID]]&amp;"/full/843,/0/default.jpg"</f>
        <v>https://www.artic.edu/iiif/2/b944c0a6-1689-24b9-b1c0-336151c8407c/full/843,/0/default.jpg</v>
      </c>
      <c r="N1328" s="3">
        <v>0.875</v>
      </c>
      <c r="O1328" s="3">
        <v>0.17499999999999999</v>
      </c>
      <c r="P1328" s="3">
        <v>0.7</v>
      </c>
      <c r="Q1328" s="3">
        <v>0.82369393110275202</v>
      </c>
    </row>
    <row r="1329" spans="1:17" x14ac:dyDescent="0.45">
      <c r="A1329" s="3">
        <v>75988</v>
      </c>
      <c r="B1329" t="b">
        <v>0</v>
      </c>
      <c r="C1329" t="b">
        <v>1</v>
      </c>
      <c r="D1329" s="3">
        <v>1540</v>
      </c>
      <c r="E1329" s="3">
        <v>1550</v>
      </c>
      <c r="F1329" t="s">
        <v>955</v>
      </c>
      <c r="G1329" t="s">
        <v>7</v>
      </c>
      <c r="H1329" s="3">
        <v>27.172999999999998</v>
      </c>
      <c r="I1329" t="s">
        <v>9768</v>
      </c>
      <c r="J1329" t="s">
        <v>13565</v>
      </c>
      <c r="L1329" t="s">
        <v>9769</v>
      </c>
      <c r="M1329" t="str">
        <f>"https://www.artic.edu/iiif/2/"&amp;Table9[[#This Row],[Image ID]]&amp;"/full/843,/0/default.jpg"</f>
        <v>https://www.artic.edu/iiif/2/ba00552f-6717-7a61-a948-fe98f1752940/full/843,/0/default.jpg</v>
      </c>
      <c r="N1329" s="3">
        <v>0.82499999999999996</v>
      </c>
      <c r="O1329" s="3">
        <v>0.125</v>
      </c>
      <c r="P1329" s="3">
        <v>0.7</v>
      </c>
      <c r="Q1329" s="3">
        <v>0.75447195768356301</v>
      </c>
    </row>
    <row r="1330" spans="1:17" x14ac:dyDescent="0.45">
      <c r="A1330" s="3">
        <v>49422</v>
      </c>
      <c r="B1330" t="b">
        <v>0</v>
      </c>
      <c r="C1330" t="b">
        <v>1</v>
      </c>
      <c r="D1330" s="3">
        <v>1657</v>
      </c>
      <c r="E1330" s="3">
        <v>1658</v>
      </c>
      <c r="F1330" t="s">
        <v>297</v>
      </c>
      <c r="G1330" t="s">
        <v>7</v>
      </c>
      <c r="H1330" s="3">
        <v>0</v>
      </c>
      <c r="I1330" t="s">
        <v>14613</v>
      </c>
      <c r="J1330" t="s">
        <v>13607</v>
      </c>
      <c r="L1330" t="s">
        <v>8045</v>
      </c>
      <c r="M1330" t="str">
        <f>"https://www.artic.edu/iiif/2/"&amp;Table9[[#This Row],[Image ID]]&amp;"/full/843,/0/default.jpg"</f>
        <v>https://www.artic.edu/iiif/2/bd267e4b-ff15-4745-0ad0-419938f4a641/full/843,/0/default.jpg</v>
      </c>
      <c r="N1330" s="3">
        <v>0.82499999999999996</v>
      </c>
      <c r="O1330" s="3">
        <v>0.125</v>
      </c>
      <c r="P1330" s="3">
        <v>0.7</v>
      </c>
      <c r="Q1330" s="3">
        <v>0.72817975282669001</v>
      </c>
    </row>
    <row r="1331" spans="1:17" x14ac:dyDescent="0.45">
      <c r="A1331" s="3">
        <v>115903</v>
      </c>
      <c r="B1331" t="b">
        <v>0</v>
      </c>
      <c r="C1331" t="b">
        <v>1</v>
      </c>
      <c r="D1331" s="3">
        <v>1863</v>
      </c>
      <c r="E1331" s="3">
        <v>1863</v>
      </c>
      <c r="F1331" t="s">
        <v>2212</v>
      </c>
      <c r="G1331" t="s">
        <v>2213</v>
      </c>
      <c r="H1331" s="3">
        <v>43.168599999999998</v>
      </c>
      <c r="I1331" t="s">
        <v>2165</v>
      </c>
      <c r="J1331" t="s">
        <v>13690</v>
      </c>
      <c r="L1331" t="s">
        <v>2214</v>
      </c>
      <c r="M1331" t="str">
        <f>"https://www.artic.edu/iiif/2/"&amp;Table9[[#This Row],[Image ID]]&amp;"/full/843,/0/default.jpg"</f>
        <v>https://www.artic.edu/iiif/2/c3d07c7b-abc8-ec63-a4ca-1e1d06a0392b/full/843,/0/default.jpg</v>
      </c>
      <c r="N1331" s="3">
        <v>0.75</v>
      </c>
      <c r="O1331" s="3">
        <v>0.05</v>
      </c>
      <c r="P1331" s="3">
        <v>0.7</v>
      </c>
      <c r="Q1331" s="3">
        <v>0.74595654010772705</v>
      </c>
    </row>
    <row r="1332" spans="1:17" x14ac:dyDescent="0.45">
      <c r="A1332" s="3">
        <v>53495</v>
      </c>
      <c r="B1332" t="b">
        <v>0</v>
      </c>
      <c r="C1332" t="b">
        <v>1</v>
      </c>
      <c r="D1332" s="3">
        <v>1640</v>
      </c>
      <c r="E1332" s="3">
        <v>1660</v>
      </c>
      <c r="F1332" t="s">
        <v>8265</v>
      </c>
      <c r="G1332" t="s">
        <v>75</v>
      </c>
      <c r="H1332" s="3">
        <v>15.6166</v>
      </c>
      <c r="I1332" t="s">
        <v>8266</v>
      </c>
      <c r="J1332" t="s">
        <v>13718</v>
      </c>
      <c r="L1332" t="s">
        <v>8267</v>
      </c>
      <c r="M1332" t="str">
        <f>"https://www.artic.edu/iiif/2/"&amp;Table9[[#This Row],[Image ID]]&amp;"/full/843,/0/default.jpg"</f>
        <v>https://www.artic.edu/iiif/2/c612af6e-f630-487e-5b85-3a15381065fc/full/843,/0/default.jpg</v>
      </c>
      <c r="N1332" s="3">
        <v>0.75</v>
      </c>
      <c r="O1332" s="3">
        <v>0.05</v>
      </c>
      <c r="P1332" s="3">
        <v>0.7</v>
      </c>
      <c r="Q1332" s="3">
        <v>0.52687197923660201</v>
      </c>
    </row>
    <row r="1333" spans="1:17" x14ac:dyDescent="0.45">
      <c r="A1333" s="3">
        <v>114714</v>
      </c>
      <c r="B1333" t="b">
        <v>0</v>
      </c>
      <c r="C1333" t="b">
        <v>1</v>
      </c>
      <c r="D1333" s="3">
        <v>1801</v>
      </c>
      <c r="E1333" s="3">
        <v>1835</v>
      </c>
      <c r="F1333" t="s">
        <v>1703</v>
      </c>
      <c r="G1333" t="s">
        <v>1704</v>
      </c>
      <c r="H1333" s="3">
        <v>29.271599999999999</v>
      </c>
      <c r="I1333" t="s">
        <v>1477</v>
      </c>
      <c r="J1333" t="s">
        <v>13915</v>
      </c>
      <c r="L1333" t="s">
        <v>1705</v>
      </c>
      <c r="M1333" t="str">
        <f>"https://www.artic.edu/iiif/2/"&amp;Table9[[#This Row],[Image ID]]&amp;"/full/843,/0/default.jpg"</f>
        <v>https://www.artic.edu/iiif/2/d5e19576-9217-986a-b3a4-7322115858cf/full/843,/0/default.jpg</v>
      </c>
      <c r="N1333" s="3">
        <v>0.7</v>
      </c>
      <c r="O1333" s="3">
        <v>0</v>
      </c>
      <c r="P1333" s="3">
        <v>0.7</v>
      </c>
      <c r="Q1333" s="3">
        <v>0.74652826786041204</v>
      </c>
    </row>
    <row r="1334" spans="1:17" x14ac:dyDescent="0.45">
      <c r="A1334" s="3">
        <v>39230</v>
      </c>
      <c r="B1334" t="b">
        <v>0</v>
      </c>
      <c r="C1334" t="b">
        <v>1</v>
      </c>
      <c r="D1334" s="3">
        <v>1835</v>
      </c>
      <c r="E1334" s="3">
        <v>1882</v>
      </c>
      <c r="F1334" t="s">
        <v>7531</v>
      </c>
      <c r="G1334" t="s">
        <v>7532</v>
      </c>
      <c r="H1334" s="3">
        <v>17.299299999999999</v>
      </c>
      <c r="I1334" t="s">
        <v>5317</v>
      </c>
      <c r="J1334" t="s">
        <v>13985</v>
      </c>
      <c r="L1334" t="s">
        <v>7533</v>
      </c>
      <c r="M1334" t="str">
        <f>"https://www.artic.edu/iiif/2/"&amp;Table9[[#This Row],[Image ID]]&amp;"/full/843,/0/default.jpg"</f>
        <v>https://www.artic.edu/iiif/2/da7dba84-76ba-8d9a-1e0b-c36ea7d11c8f/full/843,/0/default.jpg</v>
      </c>
      <c r="N1334" s="3">
        <v>0.72499999999999998</v>
      </c>
      <c r="O1334" s="3">
        <v>2.5000000000000001E-2</v>
      </c>
      <c r="P1334" s="3">
        <v>0.7</v>
      </c>
      <c r="Q1334" s="3">
        <v>0.85122179985046298</v>
      </c>
    </row>
    <row r="1335" spans="1:17" x14ac:dyDescent="0.45">
      <c r="A1335" s="3">
        <v>39095</v>
      </c>
      <c r="B1335" t="b">
        <v>0</v>
      </c>
      <c r="C1335" t="b">
        <v>1</v>
      </c>
      <c r="D1335" s="3">
        <v>1865</v>
      </c>
      <c r="E1335" s="3">
        <v>1875</v>
      </c>
      <c r="F1335" t="s">
        <v>7435</v>
      </c>
      <c r="G1335" t="s">
        <v>7436</v>
      </c>
      <c r="H1335" s="3">
        <v>32.0685</v>
      </c>
      <c r="I1335" t="s">
        <v>5317</v>
      </c>
      <c r="J1335" t="s">
        <v>14045</v>
      </c>
      <c r="L1335" t="s">
        <v>7437</v>
      </c>
      <c r="M1335" t="str">
        <f>"https://www.artic.edu/iiif/2/"&amp;Table9[[#This Row],[Image ID]]&amp;"/full/843,/0/default.jpg"</f>
        <v>https://www.artic.edu/iiif/2/de8632e6-c267-2a34-acc4-ade0b39f43df/full/843,/0/default.jpg</v>
      </c>
      <c r="N1335" s="3">
        <v>0.85</v>
      </c>
      <c r="O1335" s="3">
        <v>0.15</v>
      </c>
      <c r="P1335" s="3">
        <v>0.7</v>
      </c>
      <c r="Q1335" s="3">
        <v>0.72769671678543002</v>
      </c>
    </row>
    <row r="1336" spans="1:17" x14ac:dyDescent="0.45">
      <c r="A1336" s="3">
        <v>27138</v>
      </c>
      <c r="B1336" t="b">
        <v>0</v>
      </c>
      <c r="C1336" t="b">
        <v>1</v>
      </c>
      <c r="D1336" s="3">
        <v>1881</v>
      </c>
      <c r="E1336" s="3">
        <v>1890</v>
      </c>
      <c r="F1336" t="s">
        <v>6703</v>
      </c>
      <c r="G1336" t="s">
        <v>7</v>
      </c>
      <c r="H1336" s="3">
        <v>19.4985</v>
      </c>
      <c r="I1336" t="s">
        <v>6704</v>
      </c>
      <c r="J1336" t="s">
        <v>14100</v>
      </c>
      <c r="K1336" s="5" t="s">
        <v>284</v>
      </c>
      <c r="L1336" t="s">
        <v>6705</v>
      </c>
      <c r="M1336" t="str">
        <f>"https://www.artic.edu/iiif/2/"&amp;Table9[[#This Row],[Image ID]]&amp;"/full/843,/0/default.jpg"</f>
        <v>https://www.artic.edu/iiif/2/e1f6ef79-7216-4f19-ac78-a307a2fb4f32/full/843,/0/default.jpg</v>
      </c>
      <c r="N1336" s="3">
        <v>0.7</v>
      </c>
      <c r="O1336" s="3">
        <v>0</v>
      </c>
      <c r="P1336" s="3">
        <v>0.7</v>
      </c>
      <c r="Q1336" s="3">
        <v>0.85890644788741999</v>
      </c>
    </row>
    <row r="1337" spans="1:17" x14ac:dyDescent="0.45">
      <c r="A1337" s="3">
        <v>16405</v>
      </c>
      <c r="B1337" t="b">
        <v>0</v>
      </c>
      <c r="C1337" t="b">
        <v>1</v>
      </c>
      <c r="D1337" s="3">
        <v>1799</v>
      </c>
      <c r="E1337" s="3">
        <v>1809</v>
      </c>
      <c r="F1337" t="s">
        <v>4412</v>
      </c>
      <c r="G1337" t="s">
        <v>75</v>
      </c>
      <c r="H1337" s="3">
        <v>37.933599999999998</v>
      </c>
      <c r="I1337" t="s">
        <v>338</v>
      </c>
      <c r="J1337" t="s">
        <v>14312</v>
      </c>
      <c r="L1337" t="s">
        <v>4413</v>
      </c>
      <c r="M1337" t="str">
        <f>"https://www.artic.edu/iiif/2/"&amp;Table9[[#This Row],[Image ID]]&amp;"/full/843,/0/default.jpg"</f>
        <v>https://www.artic.edu/iiif/2/f003f28b-ddec-6070-bac5-57e7c3448b67/full/843,/0/default.jpg</v>
      </c>
      <c r="N1337" s="3">
        <v>0.82499999999999996</v>
      </c>
      <c r="O1337" s="3">
        <v>0.125</v>
      </c>
      <c r="P1337" s="3">
        <v>0.7</v>
      </c>
      <c r="Q1337" s="3">
        <v>0.69895219802856401</v>
      </c>
    </row>
    <row r="1338" spans="1:17" x14ac:dyDescent="0.45">
      <c r="A1338" s="3">
        <v>60514</v>
      </c>
      <c r="B1338" t="b">
        <v>0</v>
      </c>
      <c r="C1338" t="b">
        <v>1</v>
      </c>
      <c r="D1338" s="3">
        <v>1477</v>
      </c>
      <c r="E1338" s="3">
        <v>1485</v>
      </c>
      <c r="F1338" t="s">
        <v>8712</v>
      </c>
      <c r="G1338" t="s">
        <v>75</v>
      </c>
      <c r="H1338" s="3">
        <v>27.648199999999999</v>
      </c>
      <c r="I1338" t="s">
        <v>14661</v>
      </c>
      <c r="J1338" t="s">
        <v>14419</v>
      </c>
      <c r="L1338" t="s">
        <v>8713</v>
      </c>
      <c r="M1338" t="str">
        <f>"https://www.artic.edu/iiif/2/"&amp;Table9[[#This Row],[Image ID]]&amp;"/full/843,/0/default.jpg"</f>
        <v>https://www.artic.edu/iiif/2/f7433947-21bb-5b7f-c02f-e6f15c72bcd0/full/843,/0/default.jpg</v>
      </c>
      <c r="N1338" s="3">
        <v>0.75</v>
      </c>
      <c r="O1338" s="3">
        <v>0.05</v>
      </c>
      <c r="P1338" s="3">
        <v>0.7</v>
      </c>
      <c r="Q1338" s="3">
        <v>0.82067632675170898</v>
      </c>
    </row>
    <row r="1339" spans="1:17" x14ac:dyDescent="0.45">
      <c r="A1339" s="3">
        <v>111478</v>
      </c>
      <c r="B1339" t="b">
        <v>0</v>
      </c>
      <c r="C1339" t="b">
        <v>1</v>
      </c>
      <c r="D1339" s="3">
        <v>1871</v>
      </c>
      <c r="E1339" s="3">
        <v>1873</v>
      </c>
      <c r="F1339" t="s">
        <v>1120</v>
      </c>
      <c r="G1339" t="s">
        <v>75</v>
      </c>
      <c r="H1339" s="3">
        <v>16.3504</v>
      </c>
      <c r="I1339" t="s">
        <v>527</v>
      </c>
      <c r="J1339" t="s">
        <v>14445</v>
      </c>
      <c r="K1339" s="5" t="s">
        <v>9</v>
      </c>
      <c r="L1339" t="s">
        <v>1121</v>
      </c>
      <c r="M1339" t="str">
        <f>"https://www.artic.edu/iiif/2/"&amp;Table9[[#This Row],[Image ID]]&amp;"/full/843,/0/default.jpg"</f>
        <v>https://www.artic.edu/iiif/2/f9aacbc6-191c-3725-85bf-198612a51d25/full/843,/0/default.jpg</v>
      </c>
      <c r="N1339" s="3">
        <v>0.75</v>
      </c>
      <c r="O1339" s="3">
        <v>0.05</v>
      </c>
      <c r="P1339" s="3">
        <v>0.7</v>
      </c>
      <c r="Q1339" s="3">
        <v>0.83376318216323797</v>
      </c>
    </row>
    <row r="1340" spans="1:17" x14ac:dyDescent="0.45">
      <c r="A1340" s="3">
        <v>105474</v>
      </c>
      <c r="B1340" t="b">
        <v>0</v>
      </c>
      <c r="C1340" t="b">
        <v>1</v>
      </c>
      <c r="D1340" s="3">
        <v>1881</v>
      </c>
      <c r="E1340" s="3">
        <v>1890</v>
      </c>
      <c r="F1340" t="s">
        <v>518</v>
      </c>
      <c r="G1340" t="s">
        <v>75</v>
      </c>
      <c r="H1340" s="3">
        <v>28.037500000000001</v>
      </c>
      <c r="I1340" t="s">
        <v>21</v>
      </c>
      <c r="J1340" t="s">
        <v>14478</v>
      </c>
      <c r="L1340" t="s">
        <v>519</v>
      </c>
      <c r="M1340" t="str">
        <f>"https://www.artic.edu/iiif/2/"&amp;Table9[[#This Row],[Image ID]]&amp;"/full/843,/0/default.jpg"</f>
        <v>https://www.artic.edu/iiif/2/fbccf7dc-9251-6d0b-1c4b-ef7a08218f64/full/843,/0/default.jpg</v>
      </c>
      <c r="N1340" s="3">
        <v>0.72499999999999998</v>
      </c>
      <c r="O1340" s="3">
        <v>2.5000000000000001E-2</v>
      </c>
      <c r="P1340" s="3">
        <v>0.7</v>
      </c>
      <c r="Q1340" s="3">
        <v>0.59020948410034102</v>
      </c>
    </row>
    <row r="1341" spans="1:17" x14ac:dyDescent="0.45">
      <c r="A1341" s="3">
        <v>17183</v>
      </c>
      <c r="B1341" t="b">
        <v>0</v>
      </c>
      <c r="C1341" t="b">
        <v>1</v>
      </c>
      <c r="D1341" s="3">
        <v>1860</v>
      </c>
      <c r="E1341" s="3">
        <v>1860</v>
      </c>
      <c r="F1341" t="s">
        <v>4639</v>
      </c>
      <c r="G1341" t="s">
        <v>4640</v>
      </c>
      <c r="H1341" s="3">
        <v>26.211200000000002</v>
      </c>
      <c r="I1341" t="s">
        <v>1510</v>
      </c>
      <c r="J1341" t="s">
        <v>14535</v>
      </c>
      <c r="L1341" t="s">
        <v>4641</v>
      </c>
      <c r="M1341" t="str">
        <f>"https://www.artic.edu/iiif/2/"&amp;Table9[[#This Row],[Image ID]]&amp;"/full/843,/0/default.jpg"</f>
        <v>https://www.artic.edu/iiif/2/ff612e57-eca3-465c-d9dc-d3ca5864abe2/full/843,/0/default.jpg</v>
      </c>
      <c r="N1341" s="3">
        <v>0.72499999999999998</v>
      </c>
      <c r="O1341" s="3">
        <v>2.5000000000000001E-2</v>
      </c>
      <c r="P1341" s="3">
        <v>0.7</v>
      </c>
      <c r="Q1341" s="3">
        <v>0.84267705678939797</v>
      </c>
    </row>
    <row r="1342" spans="1:17" x14ac:dyDescent="0.45">
      <c r="A1342" s="3">
        <v>182384</v>
      </c>
      <c r="B1342" t="b">
        <v>0</v>
      </c>
      <c r="C1342" t="b">
        <v>0</v>
      </c>
      <c r="D1342" s="3">
        <v>1898</v>
      </c>
      <c r="E1342" s="3">
        <v>1898</v>
      </c>
      <c r="F1342" t="s">
        <v>4750</v>
      </c>
      <c r="G1342" t="s">
        <v>75</v>
      </c>
      <c r="H1342" s="3">
        <v>47.399799999999999</v>
      </c>
      <c r="I1342" t="s">
        <v>4746</v>
      </c>
      <c r="J1342" t="s">
        <v>14153</v>
      </c>
      <c r="L1342" t="s">
        <v>4751</v>
      </c>
      <c r="M1342" t="str">
        <f>"https://www.artic.edu/iiif/2/"&amp;Table9[[#This Row],[Image ID]]&amp;"/full/843,/0/default.jpg"</f>
        <v>https://www.artic.edu/iiif/2/e4e30508-b2ba-8972-a1f4-f3a8242eac31/full/843,/0/default.jpg</v>
      </c>
      <c r="N1342" s="3">
        <v>0.76700000000000002</v>
      </c>
      <c r="O1342" s="3">
        <v>7.0000000000000007E-2</v>
      </c>
      <c r="P1342" s="3">
        <v>0.69700000000000006</v>
      </c>
      <c r="Q1342" s="3">
        <v>0.89683866500854403</v>
      </c>
    </row>
    <row r="1343" spans="1:17" x14ac:dyDescent="0.45">
      <c r="A1343" s="3">
        <v>39134</v>
      </c>
      <c r="B1343" t="b">
        <v>0</v>
      </c>
      <c r="C1343" t="b">
        <v>1</v>
      </c>
      <c r="D1343" s="3">
        <v>1815</v>
      </c>
      <c r="E1343" s="3">
        <v>1880</v>
      </c>
      <c r="F1343" t="s">
        <v>7468</v>
      </c>
      <c r="G1343" t="s">
        <v>7469</v>
      </c>
      <c r="H1343" s="3">
        <v>17.939599999999999</v>
      </c>
      <c r="I1343" t="s">
        <v>7440</v>
      </c>
      <c r="J1343" t="s">
        <v>11459</v>
      </c>
      <c r="L1343" t="s">
        <v>7470</v>
      </c>
      <c r="M1343" t="str">
        <f>"https://www.artic.edu/iiif/2/"&amp;Table9[[#This Row],[Image ID]]&amp;"/full/843,/0/default.jpg"</f>
        <v>https://www.artic.edu/iiif/2/2216f7ac-9093-701e-7c35-7c95abbab83e/full/843,/0/default.jpg</v>
      </c>
      <c r="N1343" s="3">
        <v>0.76700000000000002</v>
      </c>
      <c r="O1343" s="3">
        <v>7.0000000000000007E-2</v>
      </c>
      <c r="P1343" s="3">
        <v>0.69700000000000006</v>
      </c>
      <c r="Q1343" s="3">
        <v>0.72463470697402899</v>
      </c>
    </row>
    <row r="1344" spans="1:17" x14ac:dyDescent="0.45">
      <c r="A1344" s="3">
        <v>142422</v>
      </c>
      <c r="B1344" t="b">
        <v>0</v>
      </c>
      <c r="C1344" t="b">
        <v>1</v>
      </c>
      <c r="D1344" s="3">
        <v>1775</v>
      </c>
      <c r="E1344" s="3">
        <v>1825</v>
      </c>
      <c r="F1344" t="s">
        <v>3270</v>
      </c>
      <c r="G1344" t="s">
        <v>3271</v>
      </c>
      <c r="H1344" s="3">
        <v>16.943200000000001</v>
      </c>
      <c r="J1344" t="s">
        <v>13747</v>
      </c>
      <c r="K1344" s="5" t="s">
        <v>4</v>
      </c>
      <c r="L1344" t="s">
        <v>3272</v>
      </c>
      <c r="M1344" t="str">
        <f>"https://www.artic.edu/iiif/2/"&amp;Table9[[#This Row],[Image ID]]&amp;"/full/843,/0/default.jpg"</f>
        <v>https://www.artic.edu/iiif/2/c7c3111b-cbb0-b0ce-19b8-f7ee92c8d839/full/843,/0/default.jpg</v>
      </c>
      <c r="N1344" s="3">
        <v>0.76700000000000002</v>
      </c>
      <c r="O1344" s="3">
        <v>7.0000000000000007E-2</v>
      </c>
      <c r="P1344" s="3">
        <v>0.69700000000000006</v>
      </c>
      <c r="Q1344" s="3">
        <v>0.87889474630355802</v>
      </c>
    </row>
    <row r="1345" spans="1:17" x14ac:dyDescent="0.45">
      <c r="A1345" s="3">
        <v>87000</v>
      </c>
      <c r="B1345" t="b">
        <v>0</v>
      </c>
      <c r="C1345" t="b">
        <v>1</v>
      </c>
      <c r="D1345" s="3">
        <v>1892</v>
      </c>
      <c r="E1345" s="3">
        <v>1892</v>
      </c>
      <c r="F1345" t="s">
        <v>14645</v>
      </c>
      <c r="G1345" t="s">
        <v>7</v>
      </c>
      <c r="H1345" s="3">
        <v>28.902200000000001</v>
      </c>
      <c r="I1345" t="s">
        <v>288</v>
      </c>
      <c r="J1345" t="s">
        <v>13551</v>
      </c>
      <c r="K1345" s="5" t="s">
        <v>9</v>
      </c>
      <c r="L1345" t="s">
        <v>10366</v>
      </c>
      <c r="M1345" t="str">
        <f>"https://www.artic.edu/iiif/2/"&amp;Table9[[#This Row],[Image ID]]&amp;"/full/843,/0/default.jpg"</f>
        <v>https://www.artic.edu/iiif/2/b84a9755-ca8d-8bd5-5a59-e910b20e3ba5/full/843,/0/default.jpg</v>
      </c>
      <c r="N1345" s="3">
        <v>0.83699999999999997</v>
      </c>
      <c r="O1345" s="3">
        <v>0.14000000000000001</v>
      </c>
      <c r="P1345" s="3">
        <v>0.69699999999999995</v>
      </c>
      <c r="Q1345" s="3">
        <v>0.51671993732452304</v>
      </c>
    </row>
    <row r="1346" spans="1:17" x14ac:dyDescent="0.45">
      <c r="A1346" s="3">
        <v>59798</v>
      </c>
      <c r="B1346" t="b">
        <v>0</v>
      </c>
      <c r="C1346" t="b">
        <v>1</v>
      </c>
      <c r="D1346" s="3">
        <v>1889</v>
      </c>
      <c r="E1346" s="3">
        <v>1889</v>
      </c>
      <c r="F1346" t="s">
        <v>8580</v>
      </c>
      <c r="G1346" t="s">
        <v>7</v>
      </c>
      <c r="H1346" s="3">
        <v>34.819600000000001</v>
      </c>
      <c r="I1346" t="s">
        <v>8581</v>
      </c>
      <c r="J1346" t="s">
        <v>14189</v>
      </c>
      <c r="L1346" t="s">
        <v>8582</v>
      </c>
      <c r="M1346" t="str">
        <f>"https://www.artic.edu/iiif/2/"&amp;Table9[[#This Row],[Image ID]]&amp;"/full/843,/0/default.jpg"</f>
        <v>https://www.artic.edu/iiif/2/e7f7d1fb-9b18-45b4-1279-204a150279f5/full/843,/0/default.jpg</v>
      </c>
      <c r="N1346" s="3">
        <v>0.74399999999999999</v>
      </c>
      <c r="O1346" s="3">
        <v>4.7E-2</v>
      </c>
      <c r="P1346" s="3">
        <v>0.69699999999999995</v>
      </c>
      <c r="Q1346" s="3">
        <v>0.87235522270202603</v>
      </c>
    </row>
    <row r="1347" spans="1:17" x14ac:dyDescent="0.45">
      <c r="A1347" s="3">
        <v>229998</v>
      </c>
      <c r="B1347" t="b">
        <v>0</v>
      </c>
      <c r="C1347" t="b">
        <v>0</v>
      </c>
      <c r="D1347" s="3">
        <v>1979</v>
      </c>
      <c r="E1347" s="3">
        <v>1979</v>
      </c>
      <c r="F1347" t="s">
        <v>6126</v>
      </c>
      <c r="G1347" t="s">
        <v>6127</v>
      </c>
      <c r="H1347" s="3">
        <v>13.738099999999999</v>
      </c>
      <c r="I1347" t="s">
        <v>6128</v>
      </c>
      <c r="J1347" t="s">
        <v>11257</v>
      </c>
      <c r="L1347" t="s">
        <v>6129</v>
      </c>
      <c r="M1347" t="str">
        <f>"https://www.artic.edu/iiif/2/"&amp;Table9[[#This Row],[Image ID]]&amp;"/full/843,/0/default.jpg"</f>
        <v>https://www.artic.edu/iiif/2/14fa1d96-d1a2-9ab1-b911-699ebae3b072/full/843,/0/default.jpg</v>
      </c>
      <c r="N1347" s="3">
        <v>0.78600000000000003</v>
      </c>
      <c r="O1347" s="3">
        <v>9.5000000000000001E-2</v>
      </c>
      <c r="P1347" s="3">
        <v>0.69100000000000006</v>
      </c>
      <c r="Q1347" s="3">
        <v>0.82353645563125599</v>
      </c>
    </row>
    <row r="1348" spans="1:17" x14ac:dyDescent="0.45">
      <c r="A1348" s="3">
        <v>184093</v>
      </c>
      <c r="B1348" t="b">
        <v>0</v>
      </c>
      <c r="C1348" t="b">
        <v>0</v>
      </c>
      <c r="D1348" s="3">
        <v>2003</v>
      </c>
      <c r="E1348" s="3">
        <v>2003</v>
      </c>
      <c r="F1348" t="s">
        <v>4692</v>
      </c>
      <c r="G1348" t="s">
        <v>2241</v>
      </c>
      <c r="H1348" s="3">
        <v>10.034700000000001</v>
      </c>
      <c r="I1348" t="s">
        <v>4791</v>
      </c>
      <c r="J1348" t="s">
        <v>11285</v>
      </c>
      <c r="K1348" s="5" t="s">
        <v>15</v>
      </c>
      <c r="L1348" t="s">
        <v>4802</v>
      </c>
      <c r="M1348" t="str">
        <f>"https://www.artic.edu/iiif/2/"&amp;Table9[[#This Row],[Image ID]]&amp;"/full/843,/0/default.jpg"</f>
        <v>https://www.artic.edu/iiif/2/16bbbcfd-cbbd-b65f-2ae5-99482808534b/full/843,/0/default.jpg</v>
      </c>
      <c r="N1348" s="3">
        <v>0.78600000000000003</v>
      </c>
      <c r="O1348" s="3">
        <v>9.5000000000000001E-2</v>
      </c>
      <c r="P1348" s="3">
        <v>0.69100000000000006</v>
      </c>
      <c r="Q1348" s="3">
        <v>0.83205986022949197</v>
      </c>
    </row>
    <row r="1349" spans="1:17" x14ac:dyDescent="0.45">
      <c r="A1349" s="3">
        <v>98149</v>
      </c>
      <c r="B1349" t="b">
        <v>0</v>
      </c>
      <c r="C1349" t="b">
        <v>0</v>
      </c>
      <c r="D1349" s="3">
        <v>1965</v>
      </c>
      <c r="E1349" s="3">
        <v>1965</v>
      </c>
      <c r="F1349" t="s">
        <v>2693</v>
      </c>
      <c r="G1349" t="s">
        <v>10911</v>
      </c>
      <c r="H1349" s="3">
        <v>31.098600000000001</v>
      </c>
      <c r="I1349" t="s">
        <v>474</v>
      </c>
      <c r="J1349" t="s">
        <v>12186</v>
      </c>
      <c r="K1349" s="5" t="s">
        <v>149</v>
      </c>
      <c r="L1349" t="s">
        <v>10912</v>
      </c>
      <c r="M1349" t="str">
        <f>"https://www.artic.edu/iiif/2/"&amp;Table9[[#This Row],[Image ID]]&amp;"/full/843,/0/default.jpg"</f>
        <v>https://www.artic.edu/iiif/2/53515107-ca21-75d7-9c28-b443172cad34/full/843,/0/default.jpg</v>
      </c>
      <c r="N1349" s="3">
        <v>0.78600000000000003</v>
      </c>
      <c r="O1349" s="3">
        <v>9.5000000000000001E-2</v>
      </c>
      <c r="P1349" s="3">
        <v>0.69100000000000006</v>
      </c>
      <c r="Q1349" s="3">
        <v>0.880851149559021</v>
      </c>
    </row>
    <row r="1350" spans="1:17" x14ac:dyDescent="0.45">
      <c r="A1350" s="3">
        <v>129692</v>
      </c>
      <c r="B1350" t="b">
        <v>0</v>
      </c>
      <c r="C1350" t="b">
        <v>0</v>
      </c>
      <c r="D1350" s="3">
        <v>1941</v>
      </c>
      <c r="E1350" s="3">
        <v>1941</v>
      </c>
      <c r="F1350" t="s">
        <v>2924</v>
      </c>
      <c r="G1350" t="s">
        <v>2892</v>
      </c>
      <c r="H1350" s="3">
        <v>37.3979</v>
      </c>
      <c r="I1350" t="s">
        <v>14549</v>
      </c>
      <c r="J1350" t="s">
        <v>10990</v>
      </c>
      <c r="L1350" t="s">
        <v>2925</v>
      </c>
      <c r="M1350" t="str">
        <f>"https://www.artic.edu/iiif/2/"&amp;Table9[[#This Row],[Image ID]]&amp;"/full/843,/0/default.jpg"</f>
        <v>https://www.artic.edu/iiif/2/713f4261-8be6-d42a-c1c3-852a3308e60b/full/843,/0/default.jpg</v>
      </c>
      <c r="N1350" s="3">
        <v>0.88100000000000001</v>
      </c>
      <c r="O1350" s="3">
        <v>0.19</v>
      </c>
      <c r="P1350" s="3">
        <v>0.69100000000000006</v>
      </c>
      <c r="Q1350" s="3">
        <v>0.83405697345733598</v>
      </c>
    </row>
    <row r="1351" spans="1:17" x14ac:dyDescent="0.45">
      <c r="A1351" s="3">
        <v>82035</v>
      </c>
      <c r="B1351" t="b">
        <v>0</v>
      </c>
      <c r="C1351" t="b">
        <v>0</v>
      </c>
      <c r="D1351" s="3">
        <v>1924</v>
      </c>
      <c r="E1351" s="3">
        <v>1924</v>
      </c>
      <c r="F1351" t="s">
        <v>10159</v>
      </c>
      <c r="G1351" t="s">
        <v>10160</v>
      </c>
      <c r="H1351" s="3">
        <v>12.8675</v>
      </c>
      <c r="I1351" t="s">
        <v>1277</v>
      </c>
      <c r="J1351" t="s">
        <v>13241</v>
      </c>
      <c r="L1351" t="s">
        <v>10161</v>
      </c>
      <c r="M1351" t="str">
        <f>"https://www.artic.edu/iiif/2/"&amp;Table9[[#This Row],[Image ID]]&amp;"/full/843,/0/default.jpg"</f>
        <v>https://www.artic.edu/iiif/2/a0a2ef51-0282-e2af-3b68-debf1fd1a942/full/843,/0/default.jpg</v>
      </c>
      <c r="N1351" s="3">
        <v>0.78600000000000003</v>
      </c>
      <c r="O1351" s="3">
        <v>9.5000000000000001E-2</v>
      </c>
      <c r="P1351" s="3">
        <v>0.69100000000000006</v>
      </c>
      <c r="Q1351" s="3">
        <v>0.70675045251846302</v>
      </c>
    </row>
    <row r="1352" spans="1:17" x14ac:dyDescent="0.45">
      <c r="A1352" s="3">
        <v>86997</v>
      </c>
      <c r="B1352" t="b">
        <v>0</v>
      </c>
      <c r="C1352" t="b">
        <v>0</v>
      </c>
      <c r="D1352" s="3">
        <v>1717</v>
      </c>
      <c r="E1352" s="3">
        <v>1727</v>
      </c>
      <c r="F1352" t="s">
        <v>10360</v>
      </c>
      <c r="G1352" t="s">
        <v>24</v>
      </c>
      <c r="H1352" s="3">
        <v>24.290299999999998</v>
      </c>
      <c r="I1352" t="s">
        <v>10361</v>
      </c>
      <c r="J1352" t="s">
        <v>10363</v>
      </c>
      <c r="L1352" t="s">
        <v>10362</v>
      </c>
      <c r="M1352" t="str">
        <f>"https://www.artic.edu/iiif/2/"&amp;Table9[[#This Row],[Image ID]]&amp;"/full/843,/0/default.jpg"</f>
        <v>https://www.artic.edu/iiif/2/e4a33089-1112-09b3-752c-a6e84a476372/full/843,/0/default.jpg</v>
      </c>
      <c r="N1352" s="3">
        <v>0.81</v>
      </c>
      <c r="O1352" s="3">
        <v>0.11899999999999999</v>
      </c>
      <c r="P1352" s="3">
        <v>0.69100000000000006</v>
      </c>
      <c r="Q1352" s="3">
        <v>0.82359367609024003</v>
      </c>
    </row>
    <row r="1353" spans="1:17" x14ac:dyDescent="0.45">
      <c r="A1353" s="3">
        <v>46212</v>
      </c>
      <c r="B1353" t="b">
        <v>0</v>
      </c>
      <c r="C1353" t="b">
        <v>1</v>
      </c>
      <c r="D1353" s="3">
        <v>1878</v>
      </c>
      <c r="E1353" s="3">
        <v>1888</v>
      </c>
      <c r="F1353" t="s">
        <v>3216</v>
      </c>
      <c r="G1353" t="s">
        <v>7885</v>
      </c>
      <c r="H1353" s="3">
        <v>24.8323</v>
      </c>
      <c r="I1353" t="s">
        <v>3217</v>
      </c>
      <c r="J1353" t="s">
        <v>12563</v>
      </c>
      <c r="L1353" t="s">
        <v>7886</v>
      </c>
      <c r="M1353" t="str">
        <f>"https://www.artic.edu/iiif/2/"&amp;Table9[[#This Row],[Image ID]]&amp;"/full/843,/0/default.jpg"</f>
        <v>https://www.artic.edu/iiif/2/6d107d39-0cfc-7417-3b88-d3e69f57f197/full/843,/0/default.jpg</v>
      </c>
      <c r="N1353" s="3">
        <v>0.81</v>
      </c>
      <c r="O1353" s="3">
        <v>0.11899999999999999</v>
      </c>
      <c r="P1353" s="3">
        <v>0.69100000000000006</v>
      </c>
      <c r="Q1353" s="3">
        <v>0.62276506423950195</v>
      </c>
    </row>
    <row r="1354" spans="1:17" x14ac:dyDescent="0.45">
      <c r="A1354" s="3">
        <v>28860</v>
      </c>
      <c r="B1354" t="b">
        <v>0</v>
      </c>
      <c r="C1354" t="b">
        <v>1</v>
      </c>
      <c r="D1354" s="3">
        <v>1876</v>
      </c>
      <c r="E1354" s="3">
        <v>1877</v>
      </c>
      <c r="F1354" t="s">
        <v>6830</v>
      </c>
      <c r="G1354" t="s">
        <v>6831</v>
      </c>
      <c r="H1354" s="3">
        <v>26.3767</v>
      </c>
      <c r="I1354" t="s">
        <v>73</v>
      </c>
      <c r="J1354" t="s">
        <v>13583</v>
      </c>
      <c r="K1354" s="5" t="s">
        <v>284</v>
      </c>
      <c r="L1354" t="s">
        <v>6832</v>
      </c>
      <c r="M1354" t="str">
        <f>"https://www.artic.edu/iiif/2/"&amp;Table9[[#This Row],[Image ID]]&amp;"/full/843,/0/default.jpg"</f>
        <v>https://www.artic.edu/iiif/2/bb08408a-0650-380f-4f0f-c3f012d1113e/full/843,/0/default.jpg</v>
      </c>
      <c r="N1354" s="3">
        <v>0.81</v>
      </c>
      <c r="O1354" s="3">
        <v>0.11899999999999999</v>
      </c>
      <c r="P1354" s="3">
        <v>0.69100000000000006</v>
      </c>
      <c r="Q1354" s="3">
        <v>0.79472714662551802</v>
      </c>
    </row>
    <row r="1355" spans="1:17" x14ac:dyDescent="0.45">
      <c r="A1355" s="3">
        <v>862</v>
      </c>
      <c r="B1355" t="b">
        <v>0</v>
      </c>
      <c r="C1355" t="b">
        <v>1</v>
      </c>
      <c r="D1355" s="3">
        <v>1644</v>
      </c>
      <c r="E1355" s="3">
        <v>1644</v>
      </c>
      <c r="F1355" t="s">
        <v>7047</v>
      </c>
      <c r="G1355" t="s">
        <v>7</v>
      </c>
      <c r="H1355" s="3">
        <v>20.366099999999999</v>
      </c>
      <c r="I1355" t="s">
        <v>8622</v>
      </c>
      <c r="J1355" t="s">
        <v>13771</v>
      </c>
      <c r="L1355" t="s">
        <v>10317</v>
      </c>
      <c r="M1355" t="str">
        <f>"https://www.artic.edu/iiif/2/"&amp;Table9[[#This Row],[Image ID]]&amp;"/full/843,/0/default.jpg"</f>
        <v>https://www.artic.edu/iiif/2/c95d58bf-fe9e-e5bb-2c71-ab8bad984759/full/843,/0/default.jpg</v>
      </c>
      <c r="N1355" s="3">
        <v>0.78600000000000003</v>
      </c>
      <c r="O1355" s="3">
        <v>9.5000000000000001E-2</v>
      </c>
      <c r="P1355" s="3">
        <v>0.69100000000000006</v>
      </c>
      <c r="Q1355" s="3">
        <v>0.78139817714691095</v>
      </c>
    </row>
    <row r="1356" spans="1:17" x14ac:dyDescent="0.45">
      <c r="A1356" s="3">
        <v>16544</v>
      </c>
      <c r="B1356" t="b">
        <v>0</v>
      </c>
      <c r="C1356" t="b">
        <v>1</v>
      </c>
      <c r="D1356" s="3">
        <v>1901</v>
      </c>
      <c r="E1356" s="3">
        <v>1901</v>
      </c>
      <c r="F1356" t="s">
        <v>4477</v>
      </c>
      <c r="G1356" t="s">
        <v>7</v>
      </c>
      <c r="H1356" s="3">
        <v>22.268000000000001</v>
      </c>
      <c r="I1356" t="s">
        <v>43</v>
      </c>
      <c r="J1356" t="s">
        <v>14209</v>
      </c>
      <c r="K1356" s="5" t="s">
        <v>9</v>
      </c>
      <c r="L1356" t="s">
        <v>4478</v>
      </c>
      <c r="M1356" t="str">
        <f>"https://www.artic.edu/iiif/2/"&amp;Table9[[#This Row],[Image ID]]&amp;"/full/843,/0/default.jpg"</f>
        <v>https://www.artic.edu/iiif/2/e9179922-f68d-34c5-481d-abf49e046863/full/843,/0/default.jpg</v>
      </c>
      <c r="N1356" s="3">
        <v>0.78600000000000003</v>
      </c>
      <c r="O1356" s="3">
        <v>9.5000000000000001E-2</v>
      </c>
      <c r="P1356" s="3">
        <v>0.69100000000000006</v>
      </c>
      <c r="Q1356" s="3">
        <v>0.64562737941741899</v>
      </c>
    </row>
    <row r="1357" spans="1:17" x14ac:dyDescent="0.45">
      <c r="A1357" s="3">
        <v>188893</v>
      </c>
      <c r="B1357" t="b">
        <v>0</v>
      </c>
      <c r="C1357" t="b">
        <v>0</v>
      </c>
      <c r="D1357" s="3">
        <v>1972</v>
      </c>
      <c r="E1357" s="3">
        <v>1982</v>
      </c>
      <c r="F1357" t="s">
        <v>5134</v>
      </c>
      <c r="G1357" t="s">
        <v>4991</v>
      </c>
      <c r="H1357" s="3">
        <v>33.0779</v>
      </c>
      <c r="I1357" t="s">
        <v>1001</v>
      </c>
      <c r="J1357" t="s">
        <v>12655</v>
      </c>
      <c r="K1357" s="5" t="s">
        <v>13</v>
      </c>
      <c r="L1357" t="s">
        <v>5135</v>
      </c>
      <c r="M1357" t="str">
        <f>"https://www.artic.edu/iiif/2/"&amp;Table9[[#This Row],[Image ID]]&amp;"/full/843,/0/default.jpg"</f>
        <v>https://www.artic.edu/iiif/2/97f93d5f-dc3f-8a53-5cd1-c7d4f48e0934/full/843,/0/default.jpg</v>
      </c>
      <c r="N1357" s="3">
        <v>0.73799999999999999</v>
      </c>
      <c r="O1357" s="3">
        <v>4.7E-2</v>
      </c>
      <c r="P1357" s="3">
        <v>0.69099999999999995</v>
      </c>
      <c r="Q1357" s="3">
        <v>0.745053350925445</v>
      </c>
    </row>
    <row r="1358" spans="1:17" x14ac:dyDescent="0.45">
      <c r="A1358" s="3">
        <v>244936</v>
      </c>
      <c r="B1358" t="b">
        <v>0</v>
      </c>
      <c r="C1358" t="b">
        <v>0</v>
      </c>
      <c r="D1358" s="3">
        <v>1963</v>
      </c>
      <c r="E1358" s="3">
        <v>1963</v>
      </c>
      <c r="F1358" t="s">
        <v>6406</v>
      </c>
      <c r="G1358" t="s">
        <v>6407</v>
      </c>
      <c r="H1358" s="3">
        <v>28.624300000000002</v>
      </c>
      <c r="I1358" t="s">
        <v>6119</v>
      </c>
      <c r="J1358" t="s">
        <v>12482</v>
      </c>
      <c r="L1358" t="s">
        <v>6408</v>
      </c>
      <c r="M1358" t="str">
        <f>"https://www.artic.edu/iiif/2/"&amp;Table9[[#This Row],[Image ID]]&amp;"/full/843,/0/default.jpg"</f>
        <v>https://www.artic.edu/iiif/2/6774454e-8462-055e-ead7-78a3a5bc1cfa/full/843,/0/default.jpg</v>
      </c>
      <c r="N1358" s="3">
        <v>0.71399999999999997</v>
      </c>
      <c r="O1358" s="3">
        <v>2.4E-2</v>
      </c>
      <c r="P1358" s="3">
        <v>0.69</v>
      </c>
      <c r="Q1358" s="3">
        <v>0.81477373838424605</v>
      </c>
    </row>
    <row r="1359" spans="1:17" x14ac:dyDescent="0.45">
      <c r="A1359" s="3">
        <v>184889</v>
      </c>
      <c r="B1359" t="b">
        <v>0</v>
      </c>
      <c r="C1359" t="b">
        <v>0</v>
      </c>
      <c r="D1359" s="3">
        <v>2003</v>
      </c>
      <c r="E1359" s="3">
        <v>2003</v>
      </c>
      <c r="F1359" t="s">
        <v>4872</v>
      </c>
      <c r="G1359" t="s">
        <v>4823</v>
      </c>
      <c r="H1359" s="3">
        <v>9.1538000000000004</v>
      </c>
      <c r="I1359" t="s">
        <v>293</v>
      </c>
      <c r="J1359" t="s">
        <v>10977</v>
      </c>
      <c r="K1359" s="5" t="s">
        <v>15</v>
      </c>
      <c r="L1359" t="s">
        <v>4873</v>
      </c>
      <c r="M1359" t="str">
        <f>"https://www.artic.edu/iiif/2/"&amp;Table9[[#This Row],[Image ID]]&amp;"/full/843,/0/default.jpg"</f>
        <v>https://www.artic.edu/iiif/2/a144f088-a68b-e79d-204f-cc0f9e705de9/full/843,/0/default.jpg</v>
      </c>
      <c r="N1359" s="3">
        <v>0.73799999999999999</v>
      </c>
      <c r="O1359" s="3">
        <v>4.8000000000000001E-2</v>
      </c>
      <c r="P1359" s="3">
        <v>0.69</v>
      </c>
      <c r="Q1359" s="3">
        <v>0.82047718763351396</v>
      </c>
    </row>
    <row r="1360" spans="1:17" x14ac:dyDescent="0.45">
      <c r="A1360" s="3">
        <v>66430</v>
      </c>
      <c r="B1360" t="b">
        <v>0</v>
      </c>
      <c r="C1360" t="b">
        <v>0</v>
      </c>
      <c r="D1360" s="3">
        <v>1956</v>
      </c>
      <c r="E1360" s="3">
        <v>1957</v>
      </c>
      <c r="F1360" t="s">
        <v>9273</v>
      </c>
      <c r="G1360" t="s">
        <v>9274</v>
      </c>
      <c r="H1360" s="3">
        <v>31.189599999999999</v>
      </c>
      <c r="I1360" t="s">
        <v>1091</v>
      </c>
      <c r="J1360" t="s">
        <v>13528</v>
      </c>
      <c r="L1360" t="s">
        <v>9275</v>
      </c>
      <c r="M1360" t="str">
        <f>"https://www.artic.edu/iiif/2/"&amp;Table9[[#This Row],[Image ID]]&amp;"/full/843,/0/default.jpg"</f>
        <v>https://www.artic.edu/iiif/2/b67b5cd2-e59e-7517-aca6-0b431543a9b0/full/843,/0/default.jpg</v>
      </c>
      <c r="N1360" s="3">
        <v>0.83299999999999996</v>
      </c>
      <c r="O1360" s="3">
        <v>0.14299999999999999</v>
      </c>
      <c r="P1360" s="3">
        <v>0.69</v>
      </c>
      <c r="Q1360" s="3">
        <v>0.77513450384140004</v>
      </c>
    </row>
    <row r="1361" spans="1:17" x14ac:dyDescent="0.45">
      <c r="A1361" s="3">
        <v>118576</v>
      </c>
      <c r="B1361" t="b">
        <v>0</v>
      </c>
      <c r="C1361" t="b">
        <v>0</v>
      </c>
      <c r="D1361" s="3">
        <v>1929</v>
      </c>
      <c r="E1361" s="3">
        <v>1929</v>
      </c>
      <c r="F1361" t="s">
        <v>2499</v>
      </c>
      <c r="G1361" t="s">
        <v>7</v>
      </c>
      <c r="H1361" s="3">
        <v>23.643999999999998</v>
      </c>
      <c r="I1361" t="s">
        <v>2500</v>
      </c>
      <c r="J1361" t="s">
        <v>13879</v>
      </c>
      <c r="K1361" s="5" t="s">
        <v>45</v>
      </c>
      <c r="L1361" t="s">
        <v>2501</v>
      </c>
      <c r="M1361" t="str">
        <f>"https://www.artic.edu/iiif/2/"&amp;Table9[[#This Row],[Image ID]]&amp;"/full/843,/0/default.jpg"</f>
        <v>https://www.artic.edu/iiif/2/d374d390-2f73-71ba-f6c1-f077fc6f2672/full/843,/0/default.jpg</v>
      </c>
      <c r="N1361" s="3">
        <v>0.69</v>
      </c>
      <c r="O1361" s="3">
        <v>0</v>
      </c>
      <c r="P1361" s="3">
        <v>0.69</v>
      </c>
      <c r="Q1361" s="3">
        <v>0.72981923818588201</v>
      </c>
    </row>
    <row r="1362" spans="1:17" x14ac:dyDescent="0.45">
      <c r="A1362" s="3">
        <v>23979</v>
      </c>
      <c r="B1362" t="b">
        <v>0</v>
      </c>
      <c r="C1362" t="b">
        <v>0</v>
      </c>
      <c r="D1362" s="3">
        <v>1964</v>
      </c>
      <c r="E1362" s="3">
        <v>1964</v>
      </c>
      <c r="F1362" t="s">
        <v>6351</v>
      </c>
      <c r="G1362" t="s">
        <v>7</v>
      </c>
      <c r="H1362" s="3">
        <v>4.5705999999999998</v>
      </c>
      <c r="I1362" t="s">
        <v>850</v>
      </c>
      <c r="J1362" t="s">
        <v>14537</v>
      </c>
      <c r="L1362" t="s">
        <v>6352</v>
      </c>
      <c r="M1362" t="str">
        <f>"https://www.artic.edu/iiif/2/"&amp;Table9[[#This Row],[Image ID]]&amp;"/full/843,/0/default.jpg"</f>
        <v>https://www.artic.edu/iiif/2/ff7cad77-2c31-8f0d-94f6-ce1e980cb77d/full/843,/0/default.jpg</v>
      </c>
      <c r="N1362" s="3">
        <v>0.73799999999999999</v>
      </c>
      <c r="O1362" s="3">
        <v>4.8000000000000001E-2</v>
      </c>
      <c r="P1362" s="3">
        <v>0.69</v>
      </c>
      <c r="Q1362" s="3">
        <v>0.76025414466857899</v>
      </c>
    </row>
    <row r="1363" spans="1:17" x14ac:dyDescent="0.45">
      <c r="A1363" s="3">
        <v>38981</v>
      </c>
      <c r="B1363" t="b">
        <v>0</v>
      </c>
      <c r="C1363" t="b">
        <v>1</v>
      </c>
      <c r="D1363" s="3">
        <v>1803</v>
      </c>
      <c r="E1363" s="3">
        <v>1852</v>
      </c>
      <c r="F1363" t="s">
        <v>7349</v>
      </c>
      <c r="G1363" t="s">
        <v>7350</v>
      </c>
      <c r="H1363" s="3">
        <v>27.388000000000002</v>
      </c>
      <c r="I1363" t="s">
        <v>3627</v>
      </c>
      <c r="J1363" t="s">
        <v>11531</v>
      </c>
      <c r="L1363" t="s">
        <v>7351</v>
      </c>
      <c r="M1363" t="str">
        <f>"https://www.artic.edu/iiif/2/"&amp;Table9[[#This Row],[Image ID]]&amp;"/full/843,/0/default.jpg"</f>
        <v>https://www.artic.edu/iiif/2/26ac8270-415b-7f00-b736-9cd8e3dd769c/full/843,/0/default.jpg</v>
      </c>
      <c r="N1363" s="3">
        <v>0.69</v>
      </c>
      <c r="O1363" s="3">
        <v>0</v>
      </c>
      <c r="P1363" s="3">
        <v>0.69</v>
      </c>
      <c r="Q1363" s="3">
        <v>0.71602618694305398</v>
      </c>
    </row>
    <row r="1364" spans="1:17" x14ac:dyDescent="0.45">
      <c r="A1364" s="3">
        <v>81566</v>
      </c>
      <c r="B1364" t="b">
        <v>0</v>
      </c>
      <c r="C1364" t="b">
        <v>1</v>
      </c>
      <c r="D1364" s="3">
        <v>1884</v>
      </c>
      <c r="E1364" s="3">
        <v>1889</v>
      </c>
      <c r="F1364" t="s">
        <v>10142</v>
      </c>
      <c r="G1364" t="s">
        <v>7</v>
      </c>
      <c r="H1364" s="3">
        <v>26.791499999999999</v>
      </c>
      <c r="I1364" t="s">
        <v>3217</v>
      </c>
      <c r="J1364" t="s">
        <v>13077</v>
      </c>
      <c r="L1364" t="s">
        <v>10143</v>
      </c>
      <c r="M1364" t="str">
        <f>"https://www.artic.edu/iiif/2/"&amp;Table9[[#This Row],[Image ID]]&amp;"/full/843,/0/default.jpg"</f>
        <v>https://www.artic.edu/iiif/2/94bfb508-31cc-7c9f-63a9-5478c826129a/full/843,/0/default.jpg</v>
      </c>
      <c r="N1364" s="3">
        <v>0.83299999999999996</v>
      </c>
      <c r="O1364" s="3">
        <v>0.14299999999999999</v>
      </c>
      <c r="P1364" s="3">
        <v>0.69</v>
      </c>
      <c r="Q1364" s="3">
        <v>0.59312748908996504</v>
      </c>
    </row>
    <row r="1365" spans="1:17" x14ac:dyDescent="0.45">
      <c r="A1365" s="3">
        <v>235547</v>
      </c>
      <c r="B1365" t="b">
        <v>0</v>
      </c>
      <c r="C1365" t="b">
        <v>1</v>
      </c>
      <c r="D1365" s="3">
        <v>1465</v>
      </c>
      <c r="E1365" s="3">
        <v>1475</v>
      </c>
      <c r="F1365" t="s">
        <v>6239</v>
      </c>
      <c r="G1365" t="s">
        <v>6240</v>
      </c>
      <c r="H1365" s="3">
        <v>31.5518</v>
      </c>
      <c r="J1365" t="s">
        <v>11149</v>
      </c>
      <c r="K1365" s="5" t="s">
        <v>278</v>
      </c>
      <c r="L1365" t="s">
        <v>6241</v>
      </c>
      <c r="M1365" t="str">
        <f>"https://www.artic.edu/iiif/2/"&amp;Table9[[#This Row],[Image ID]]&amp;"/full/843,/0/default.jpg"</f>
        <v>https://www.artic.edu/iiif/2/0d4bb47d-ad1e-555c-21b7-d292b9092f63/full/843,/0/default.jpg</v>
      </c>
      <c r="N1365" s="3">
        <v>0.78</v>
      </c>
      <c r="O1365" s="3">
        <v>9.2999999999999999E-2</v>
      </c>
      <c r="P1365" s="3">
        <v>0.68700000000000006</v>
      </c>
      <c r="Q1365" s="3">
        <v>0.75414651632308904</v>
      </c>
    </row>
    <row r="1366" spans="1:17" x14ac:dyDescent="0.45">
      <c r="A1366" s="3">
        <v>17161</v>
      </c>
      <c r="B1366" t="b">
        <v>0</v>
      </c>
      <c r="C1366" t="b">
        <v>1</v>
      </c>
      <c r="D1366" s="3">
        <v>1790</v>
      </c>
      <c r="E1366" s="3">
        <v>1790</v>
      </c>
      <c r="F1366" t="s">
        <v>4632</v>
      </c>
      <c r="G1366" t="s">
        <v>7</v>
      </c>
      <c r="H1366" s="3">
        <v>32.704599999999999</v>
      </c>
      <c r="I1366" t="s">
        <v>806</v>
      </c>
      <c r="J1366" t="s">
        <v>11629</v>
      </c>
      <c r="L1366" t="s">
        <v>4633</v>
      </c>
      <c r="M1366" t="str">
        <f>"https://www.artic.edu/iiif/2/"&amp;Table9[[#This Row],[Image ID]]&amp;"/full/843,/0/default.jpg"</f>
        <v>https://www.artic.edu/iiif/2/2cdaa4b6-c9d0-7230-952b-690b8e1cf4df/full/843,/0/default.jpg</v>
      </c>
      <c r="N1366" s="3">
        <v>0.85399999999999998</v>
      </c>
      <c r="O1366" s="3">
        <v>0.16700000000000001</v>
      </c>
      <c r="P1366" s="3">
        <v>0.68699999999999994</v>
      </c>
      <c r="Q1366" s="3">
        <v>0.71798658370971602</v>
      </c>
    </row>
    <row r="1367" spans="1:17" x14ac:dyDescent="0.45">
      <c r="A1367" s="3">
        <v>7489</v>
      </c>
      <c r="B1367" t="b">
        <v>0</v>
      </c>
      <c r="C1367" t="b">
        <v>1</v>
      </c>
      <c r="D1367" s="3">
        <v>1870</v>
      </c>
      <c r="E1367" s="3">
        <v>1880</v>
      </c>
      <c r="F1367" t="s">
        <v>9708</v>
      </c>
      <c r="G1367" t="s">
        <v>7</v>
      </c>
      <c r="H1367" s="3">
        <v>23.037299999999998</v>
      </c>
      <c r="I1367" t="s">
        <v>309</v>
      </c>
      <c r="J1367" t="s">
        <v>13111</v>
      </c>
      <c r="L1367" t="s">
        <v>9709</v>
      </c>
      <c r="M1367" t="str">
        <f>"https://www.artic.edu/iiif/2/"&amp;Table9[[#This Row],[Image ID]]&amp;"/full/843,/0/default.jpg"</f>
        <v>https://www.artic.edu/iiif/2/971bc877-e947-4331-5189-c5106c18dcc1/full/843,/0/default.jpg</v>
      </c>
      <c r="N1367" s="3">
        <v>0.80500000000000005</v>
      </c>
      <c r="O1367" s="3">
        <v>0.11899999999999999</v>
      </c>
      <c r="P1367" s="3">
        <v>0.68600000000000005</v>
      </c>
      <c r="Q1367" s="3">
        <v>0.75720977783203103</v>
      </c>
    </row>
    <row r="1368" spans="1:17" x14ac:dyDescent="0.45">
      <c r="A1368" s="3">
        <v>21722</v>
      </c>
      <c r="B1368" t="b">
        <v>0</v>
      </c>
      <c r="C1368" t="b">
        <v>0</v>
      </c>
      <c r="D1368" s="3">
        <v>1913</v>
      </c>
      <c r="E1368" s="3">
        <v>1925</v>
      </c>
      <c r="F1368" t="s">
        <v>5672</v>
      </c>
      <c r="G1368" t="s">
        <v>7</v>
      </c>
      <c r="H1368" s="3">
        <v>21.4712</v>
      </c>
      <c r="I1368" t="s">
        <v>2988</v>
      </c>
      <c r="J1368" t="s">
        <v>12338</v>
      </c>
      <c r="L1368" t="s">
        <v>5673</v>
      </c>
      <c r="M1368" t="str">
        <f>"https://www.artic.edu/iiif/2/"&amp;Table9[[#This Row],[Image ID]]&amp;"/full/843,/0/default.jpg"</f>
        <v>https://www.artic.edu/iiif/2/5d0da1da-57b7-729c-352e-cc738d3871af/full/843,/0/default.jpg</v>
      </c>
      <c r="N1368" s="3">
        <v>0.75600000000000001</v>
      </c>
      <c r="O1368" s="3">
        <v>7.0999999999999994E-2</v>
      </c>
      <c r="P1368" s="3">
        <v>0.68500000000000005</v>
      </c>
      <c r="Q1368" s="3">
        <v>0.57990920543670599</v>
      </c>
    </row>
    <row r="1369" spans="1:17" x14ac:dyDescent="0.45">
      <c r="A1369" s="3">
        <v>59822</v>
      </c>
      <c r="B1369" t="b">
        <v>0</v>
      </c>
      <c r="C1369" t="b">
        <v>0</v>
      </c>
      <c r="D1369" s="3">
        <v>1945</v>
      </c>
      <c r="E1369" s="3">
        <v>1945</v>
      </c>
      <c r="F1369" t="s">
        <v>8588</v>
      </c>
      <c r="G1369" t="s">
        <v>5975</v>
      </c>
      <c r="H1369" s="3">
        <v>35.841799999999999</v>
      </c>
      <c r="I1369" t="s">
        <v>14662</v>
      </c>
      <c r="J1369" t="s">
        <v>13832</v>
      </c>
      <c r="K1369" s="5" t="s">
        <v>56</v>
      </c>
      <c r="L1369" t="s">
        <v>8589</v>
      </c>
      <c r="M1369" t="str">
        <f>"https://www.artic.edu/iiif/2/"&amp;Table9[[#This Row],[Image ID]]&amp;"/full/843,/0/default.jpg"</f>
        <v>https://www.artic.edu/iiif/2/f56dc4cb-3215-9e1e-2fef-9b9005cd7068/full/843,/0/default.jpg</v>
      </c>
      <c r="N1369" s="3">
        <v>0.75600000000000001</v>
      </c>
      <c r="O1369" s="3">
        <v>7.0999999999999994E-2</v>
      </c>
      <c r="P1369" s="3">
        <v>0.68500000000000005</v>
      </c>
      <c r="Q1369" s="3">
        <v>0.77078908681869496</v>
      </c>
    </row>
    <row r="1370" spans="1:17" x14ac:dyDescent="0.45">
      <c r="A1370" s="3">
        <v>107335</v>
      </c>
      <c r="B1370" t="b">
        <v>0</v>
      </c>
      <c r="C1370" t="b">
        <v>1</v>
      </c>
      <c r="D1370" s="3">
        <v>1300</v>
      </c>
      <c r="E1370" s="3">
        <v>1399</v>
      </c>
      <c r="F1370" t="s">
        <v>666</v>
      </c>
      <c r="G1370" t="s">
        <v>584</v>
      </c>
      <c r="H1370" s="3">
        <v>20.787700000000001</v>
      </c>
      <c r="J1370" t="s">
        <v>13539</v>
      </c>
      <c r="K1370" s="5" t="s">
        <v>278</v>
      </c>
      <c r="L1370" t="s">
        <v>667</v>
      </c>
      <c r="M1370" t="str">
        <f>"https://www.artic.edu/iiif/2/"&amp;Table9[[#This Row],[Image ID]]&amp;"/full/843,/0/default.jpg"</f>
        <v>https://www.artic.edu/iiif/2/b7290449-f745-252b-d7cb-6f888a7eeb80/full/843,/0/default.jpg</v>
      </c>
      <c r="N1370" s="3">
        <v>0.75600000000000001</v>
      </c>
      <c r="O1370" s="3">
        <v>7.0999999999999994E-2</v>
      </c>
      <c r="P1370" s="3">
        <v>0.68500000000000005</v>
      </c>
      <c r="Q1370" s="3">
        <v>0.83007693290710405</v>
      </c>
    </row>
    <row r="1371" spans="1:17" x14ac:dyDescent="0.45">
      <c r="A1371" s="3">
        <v>10550</v>
      </c>
      <c r="B1371" t="b">
        <v>0</v>
      </c>
      <c r="C1371" t="b">
        <v>1</v>
      </c>
      <c r="D1371" s="3">
        <v>1745</v>
      </c>
      <c r="E1371" s="3">
        <v>1755</v>
      </c>
      <c r="F1371" t="s">
        <v>336</v>
      </c>
      <c r="G1371" t="s">
        <v>7</v>
      </c>
      <c r="H1371" s="3">
        <v>19.3809</v>
      </c>
      <c r="I1371" t="s">
        <v>521</v>
      </c>
      <c r="J1371" t="s">
        <v>13790</v>
      </c>
      <c r="L1371" t="s">
        <v>522</v>
      </c>
      <c r="M1371" t="str">
        <f>"https://www.artic.edu/iiif/2/"&amp;Table9[[#This Row],[Image ID]]&amp;"/full/843,/0/default.jpg"</f>
        <v>https://www.artic.edu/iiif/2/cb178a5a-6c55-c423-a186-d3d467a72f2f/full/843,/0/default.jpg</v>
      </c>
      <c r="N1371" s="3">
        <v>0.75600000000000001</v>
      </c>
      <c r="O1371" s="3">
        <v>7.0999999999999994E-2</v>
      </c>
      <c r="P1371" s="3">
        <v>0.68500000000000005</v>
      </c>
      <c r="Q1371" s="3">
        <v>0.76798123121261597</v>
      </c>
    </row>
    <row r="1372" spans="1:17" x14ac:dyDescent="0.45">
      <c r="A1372" s="3">
        <v>129684</v>
      </c>
      <c r="B1372" t="b">
        <v>0</v>
      </c>
      <c r="C1372" t="b">
        <v>0</v>
      </c>
      <c r="D1372" s="3">
        <v>1941</v>
      </c>
      <c r="E1372" s="3">
        <v>1941</v>
      </c>
      <c r="F1372" t="s">
        <v>14653</v>
      </c>
      <c r="G1372" t="s">
        <v>2892</v>
      </c>
      <c r="H1372" s="3">
        <v>24.776399999999999</v>
      </c>
      <c r="I1372" t="s">
        <v>14549</v>
      </c>
      <c r="J1372" t="s">
        <v>10990</v>
      </c>
      <c r="L1372" t="s">
        <v>2910</v>
      </c>
      <c r="M1372" t="str">
        <f>"https://www.artic.edu/iiif/2/"&amp;Table9[[#This Row],[Image ID]]&amp;"/full/843,/0/default.jpg"</f>
        <v>https://www.artic.edu/iiif/2/41a65f4f-af9f-2ac2-6d62-f9119e265ecb/full/843,/0/default.jpg</v>
      </c>
      <c r="N1372" s="3">
        <v>0.73199999999999998</v>
      </c>
      <c r="O1372" s="3">
        <v>4.8000000000000001E-2</v>
      </c>
      <c r="P1372" s="3">
        <v>0.68399999999999994</v>
      </c>
      <c r="Q1372" s="3">
        <v>0.78227734565734797</v>
      </c>
    </row>
    <row r="1373" spans="1:17" x14ac:dyDescent="0.45">
      <c r="A1373" s="3">
        <v>9527</v>
      </c>
      <c r="B1373" t="b">
        <v>0</v>
      </c>
      <c r="C1373" t="b">
        <v>0</v>
      </c>
      <c r="D1373" s="3">
        <v>1913</v>
      </c>
      <c r="E1373" s="3">
        <v>1913</v>
      </c>
      <c r="F1373" t="s">
        <v>5352</v>
      </c>
      <c r="G1373" t="s">
        <v>7</v>
      </c>
      <c r="H1373" s="3">
        <v>50.406300000000002</v>
      </c>
      <c r="I1373" t="s">
        <v>4865</v>
      </c>
      <c r="J1373" t="s">
        <v>11437</v>
      </c>
      <c r="L1373" t="s">
        <v>10761</v>
      </c>
      <c r="M1373" t="str">
        <f>"https://www.artic.edu/iiif/2/"&amp;Table9[[#This Row],[Image ID]]&amp;"/full/843,/0/default.jpg"</f>
        <v>https://www.artic.edu/iiif/2/20a28ab8-6eac-7ca5-b717-773a0fe7aee5/full/843,/0/default.jpg</v>
      </c>
      <c r="N1373" s="3">
        <v>0.75600000000000001</v>
      </c>
      <c r="O1373" s="3">
        <v>7.2999999999999995E-2</v>
      </c>
      <c r="P1373" s="3">
        <v>0.68300000000000005</v>
      </c>
      <c r="Q1373" s="3">
        <v>0.74669426679611195</v>
      </c>
    </row>
    <row r="1374" spans="1:17" x14ac:dyDescent="0.45">
      <c r="A1374" s="3">
        <v>30331</v>
      </c>
      <c r="B1374" t="b">
        <v>0</v>
      </c>
      <c r="C1374" t="b">
        <v>0</v>
      </c>
      <c r="D1374" s="3">
        <v>1923</v>
      </c>
      <c r="E1374" s="3">
        <v>1930</v>
      </c>
      <c r="F1374" t="s">
        <v>6934</v>
      </c>
      <c r="G1374" t="s">
        <v>6935</v>
      </c>
      <c r="H1374" s="3">
        <v>33.446800000000003</v>
      </c>
      <c r="I1374" t="s">
        <v>6936</v>
      </c>
      <c r="J1374" t="s">
        <v>11532</v>
      </c>
      <c r="L1374" t="s">
        <v>6937</v>
      </c>
      <c r="M1374" t="str">
        <f>"https://www.artic.edu/iiif/2/"&amp;Table9[[#This Row],[Image ID]]&amp;"/full/843,/0/default.jpg"</f>
        <v>https://www.artic.edu/iiif/2/26c49390-c7bd-413f-0e49-b55b05fd172f/full/843,/0/default.jpg</v>
      </c>
      <c r="N1374" s="3">
        <v>0.68300000000000005</v>
      </c>
      <c r="O1374" s="3">
        <v>0</v>
      </c>
      <c r="P1374" s="3">
        <v>0.68300000000000005</v>
      </c>
      <c r="Q1374" s="3">
        <v>0.86373132467269897</v>
      </c>
    </row>
    <row r="1375" spans="1:17" x14ac:dyDescent="0.45">
      <c r="A1375" s="3">
        <v>63141</v>
      </c>
      <c r="B1375" t="b">
        <v>0</v>
      </c>
      <c r="C1375" t="b">
        <v>0</v>
      </c>
      <c r="D1375" s="3">
        <v>1905</v>
      </c>
      <c r="E1375" s="3">
        <v>1905</v>
      </c>
      <c r="F1375" t="s">
        <v>8923</v>
      </c>
      <c r="G1375" t="s">
        <v>7</v>
      </c>
      <c r="H1375" s="3">
        <v>0</v>
      </c>
      <c r="I1375" t="s">
        <v>4521</v>
      </c>
      <c r="J1375" t="s">
        <v>11649</v>
      </c>
      <c r="L1375" t="s">
        <v>8924</v>
      </c>
      <c r="M1375" t="str">
        <f>"https://www.artic.edu/iiif/2/"&amp;Table9[[#This Row],[Image ID]]&amp;"/full/843,/0/default.jpg"</f>
        <v>https://www.artic.edu/iiif/2/2e6364b7-f97c-46cd-e3b7-bb87054d33ae/full/843,/0/default.jpg</v>
      </c>
      <c r="N1375" s="3">
        <v>0.75600000000000001</v>
      </c>
      <c r="O1375" s="3">
        <v>7.2999999999999995E-2</v>
      </c>
      <c r="P1375" s="3">
        <v>0.68300000000000005</v>
      </c>
      <c r="Q1375" s="3">
        <v>0.720606088638305</v>
      </c>
    </row>
    <row r="1376" spans="1:17" x14ac:dyDescent="0.45">
      <c r="A1376" s="3">
        <v>70550</v>
      </c>
      <c r="B1376" t="b">
        <v>0</v>
      </c>
      <c r="C1376" t="b">
        <v>0</v>
      </c>
      <c r="D1376" s="3">
        <v>1914</v>
      </c>
      <c r="E1376" s="3">
        <v>1914</v>
      </c>
      <c r="F1376" t="s">
        <v>9464</v>
      </c>
      <c r="G1376" t="s">
        <v>7</v>
      </c>
      <c r="H1376" s="3">
        <v>24.570699999999999</v>
      </c>
      <c r="I1376" t="s">
        <v>9465</v>
      </c>
      <c r="J1376" t="s">
        <v>11861</v>
      </c>
      <c r="L1376" t="s">
        <v>9466</v>
      </c>
      <c r="M1376" t="str">
        <f>"https://www.artic.edu/iiif/2/"&amp;Table9[[#This Row],[Image ID]]&amp;"/full/843,/0/default.jpg"</f>
        <v>https://www.artic.edu/iiif/2/3c5592fe-d7fe-d474-086f-5dc6765b58c7/full/843,/0/default.jpg</v>
      </c>
      <c r="N1376" s="3">
        <v>0.75600000000000001</v>
      </c>
      <c r="O1376" s="3">
        <v>7.2999999999999995E-2</v>
      </c>
      <c r="P1376" s="3">
        <v>0.68300000000000005</v>
      </c>
      <c r="Q1376" s="3">
        <v>0.78164583444595304</v>
      </c>
    </row>
    <row r="1377" spans="1:17" x14ac:dyDescent="0.45">
      <c r="A1377" s="3">
        <v>191487</v>
      </c>
      <c r="B1377" t="b">
        <v>0</v>
      </c>
      <c r="C1377" t="b">
        <v>0</v>
      </c>
      <c r="D1377" s="3">
        <v>1984</v>
      </c>
      <c r="E1377" s="3">
        <v>1984</v>
      </c>
      <c r="F1377" t="s">
        <v>5197</v>
      </c>
      <c r="G1377" t="s">
        <v>7</v>
      </c>
      <c r="H1377" s="3">
        <v>75.579499999999996</v>
      </c>
      <c r="I1377" t="s">
        <v>14579</v>
      </c>
      <c r="J1377" t="s">
        <v>12021</v>
      </c>
      <c r="L1377" t="s">
        <v>5198</v>
      </c>
      <c r="M1377" t="str">
        <f>"https://www.artic.edu/iiif/2/"&amp;Table9[[#This Row],[Image ID]]&amp;"/full/843,/0/default.jpg"</f>
        <v>https://www.artic.edu/iiif/2/47449100-065a-fffc-b947-315e9de2609f/full/843,/0/default.jpg</v>
      </c>
      <c r="N1377" s="3">
        <v>0.75600000000000001</v>
      </c>
      <c r="O1377" s="3">
        <v>7.2999999999999995E-2</v>
      </c>
      <c r="P1377" s="3">
        <v>0.68300000000000005</v>
      </c>
      <c r="Q1377" s="3">
        <v>0.91880631446838301</v>
      </c>
    </row>
    <row r="1378" spans="1:17" x14ac:dyDescent="0.45">
      <c r="A1378" s="3">
        <v>55871</v>
      </c>
      <c r="B1378" t="b">
        <v>0</v>
      </c>
      <c r="C1378" t="b">
        <v>0</v>
      </c>
      <c r="D1378" s="3">
        <v>1964</v>
      </c>
      <c r="E1378" s="3">
        <v>1964</v>
      </c>
      <c r="F1378" t="s">
        <v>8406</v>
      </c>
      <c r="G1378" t="s">
        <v>8407</v>
      </c>
      <c r="H1378" s="3">
        <v>33.349800000000002</v>
      </c>
      <c r="I1378" t="s">
        <v>599</v>
      </c>
      <c r="J1378" t="s">
        <v>12234</v>
      </c>
      <c r="L1378" t="s">
        <v>8408</v>
      </c>
      <c r="M1378" t="str">
        <f>"https://www.artic.edu/iiif/2/"&amp;Table9[[#This Row],[Image ID]]&amp;"/full/843,/0/default.jpg"</f>
        <v>https://www.artic.edu/iiif/2/56132b65-17d3-f304-aa77-2f57764363f3/full/843,/0/default.jpg</v>
      </c>
      <c r="N1378" s="3">
        <v>0.75600000000000001</v>
      </c>
      <c r="O1378" s="3">
        <v>7.2999999999999995E-2</v>
      </c>
      <c r="P1378" s="3">
        <v>0.68300000000000005</v>
      </c>
      <c r="Q1378" s="3">
        <v>0.73583823442459095</v>
      </c>
    </row>
    <row r="1379" spans="1:17" x14ac:dyDescent="0.45">
      <c r="A1379" s="3">
        <v>111611</v>
      </c>
      <c r="B1379" t="b">
        <v>0</v>
      </c>
      <c r="C1379" t="b">
        <v>0</v>
      </c>
      <c r="D1379" s="3">
        <v>1851</v>
      </c>
      <c r="E1379" s="3">
        <v>1851</v>
      </c>
      <c r="F1379" t="s">
        <v>1128</v>
      </c>
      <c r="G1379" t="s">
        <v>7</v>
      </c>
      <c r="H1379" s="3">
        <v>29.229199999999999</v>
      </c>
      <c r="I1379" t="s">
        <v>1129</v>
      </c>
      <c r="J1379" t="s">
        <v>12367</v>
      </c>
      <c r="L1379" t="s">
        <v>1130</v>
      </c>
      <c r="M1379" t="str">
        <f>"https://www.artic.edu/iiif/2/"&amp;Table9[[#This Row],[Image ID]]&amp;"/full/843,/0/default.jpg"</f>
        <v>https://www.artic.edu/iiif/2/5f2fcb51-8b4d-44a1-aba4-66fcb92eaf84/full/843,/0/default.jpg</v>
      </c>
      <c r="N1379" s="3">
        <v>0.75600000000000001</v>
      </c>
      <c r="O1379" s="3">
        <v>7.2999999999999995E-2</v>
      </c>
      <c r="P1379" s="3">
        <v>0.68300000000000005</v>
      </c>
      <c r="Q1379" s="3">
        <v>0.59988516569137496</v>
      </c>
    </row>
    <row r="1380" spans="1:17" x14ac:dyDescent="0.45">
      <c r="A1380" s="3">
        <v>235027</v>
      </c>
      <c r="B1380" t="b">
        <v>0</v>
      </c>
      <c r="C1380" t="b">
        <v>0</v>
      </c>
      <c r="D1380" s="3">
        <v>1951</v>
      </c>
      <c r="E1380" s="3">
        <v>1951</v>
      </c>
      <c r="F1380" t="s">
        <v>11</v>
      </c>
      <c r="G1380" t="s">
        <v>7</v>
      </c>
      <c r="H1380" s="3">
        <v>73.719800000000006</v>
      </c>
      <c r="I1380" t="s">
        <v>2673</v>
      </c>
      <c r="J1380" t="s">
        <v>12634</v>
      </c>
      <c r="L1380" t="s">
        <v>6219</v>
      </c>
      <c r="M1380" t="str">
        <f>"https://www.artic.edu/iiif/2/"&amp;Table9[[#This Row],[Image ID]]&amp;"/full/843,/0/default.jpg"</f>
        <v>https://www.artic.edu/iiif/2/71bfa197-00f2-7c70-eda1-39dc252c0201/full/843,/0/default.jpg</v>
      </c>
      <c r="N1380" s="3">
        <v>0.75600000000000001</v>
      </c>
      <c r="O1380" s="3">
        <v>7.2999999999999995E-2</v>
      </c>
      <c r="P1380" s="3">
        <v>0.68300000000000005</v>
      </c>
      <c r="Q1380" s="3">
        <v>0.81392288208007801</v>
      </c>
    </row>
    <row r="1381" spans="1:17" x14ac:dyDescent="0.45">
      <c r="A1381" s="3">
        <v>71575</v>
      </c>
      <c r="B1381" t="b">
        <v>0</v>
      </c>
      <c r="C1381" t="b">
        <v>0</v>
      </c>
      <c r="D1381" s="3">
        <v>1915</v>
      </c>
      <c r="E1381" s="3">
        <v>1915</v>
      </c>
      <c r="F1381" t="s">
        <v>9520</v>
      </c>
      <c r="G1381" t="s">
        <v>7</v>
      </c>
      <c r="H1381" s="3">
        <v>41.073399999999999</v>
      </c>
      <c r="I1381" t="s">
        <v>9521</v>
      </c>
      <c r="J1381" t="s">
        <v>12434</v>
      </c>
      <c r="L1381" t="s">
        <v>9522</v>
      </c>
      <c r="M1381" t="str">
        <f>"https://www.artic.edu/iiif/2/"&amp;Table9[[#This Row],[Image ID]]&amp;"/full/843,/0/default.jpg"</f>
        <v>https://www.artic.edu/iiif/2/be8a7a2b-aa5f-e887-000e-64e3a690af80/full/843,/0/default.jpg</v>
      </c>
      <c r="N1381" s="3">
        <v>0.75600000000000001</v>
      </c>
      <c r="O1381" s="3">
        <v>7.2999999999999995E-2</v>
      </c>
      <c r="P1381" s="3">
        <v>0.68300000000000005</v>
      </c>
      <c r="Q1381" s="3">
        <v>0.89012545347213701</v>
      </c>
    </row>
    <row r="1382" spans="1:17" x14ac:dyDescent="0.45">
      <c r="A1382" s="3">
        <v>62199</v>
      </c>
      <c r="B1382" t="b">
        <v>0</v>
      </c>
      <c r="C1382" t="b">
        <v>0</v>
      </c>
      <c r="D1382" s="3">
        <v>1932</v>
      </c>
      <c r="E1382" s="3">
        <v>1948</v>
      </c>
      <c r="F1382" t="s">
        <v>8862</v>
      </c>
      <c r="G1382" t="s">
        <v>8863</v>
      </c>
      <c r="H1382" s="3">
        <v>33.780099999999997</v>
      </c>
      <c r="I1382" t="s">
        <v>5205</v>
      </c>
      <c r="J1382" t="s">
        <v>13742</v>
      </c>
      <c r="L1382" t="s">
        <v>8864</v>
      </c>
      <c r="M1382" t="str">
        <f>"https://www.artic.edu/iiif/2/"&amp;Table9[[#This Row],[Image ID]]&amp;"/full/843,/0/default.jpg"</f>
        <v>https://www.artic.edu/iiif/2/c76ccc27-bdca-9aaf-0d6d-4058050f0294/full/843,/0/default.jpg</v>
      </c>
      <c r="N1382" s="3">
        <v>0.75600000000000001</v>
      </c>
      <c r="O1382" s="3">
        <v>7.2999999999999995E-2</v>
      </c>
      <c r="P1382" s="3">
        <v>0.68300000000000005</v>
      </c>
      <c r="Q1382" s="3">
        <v>0.77258610725402799</v>
      </c>
    </row>
    <row r="1383" spans="1:17" x14ac:dyDescent="0.45">
      <c r="A1383" s="3">
        <v>24671</v>
      </c>
      <c r="B1383" t="b">
        <v>0</v>
      </c>
      <c r="C1383" t="b">
        <v>0</v>
      </c>
      <c r="D1383" s="3">
        <v>1959</v>
      </c>
      <c r="E1383" s="3">
        <v>1959</v>
      </c>
      <c r="F1383" t="s">
        <v>6416</v>
      </c>
      <c r="G1383" t="s">
        <v>6417</v>
      </c>
      <c r="H1383" s="3">
        <v>0</v>
      </c>
      <c r="I1383" t="s">
        <v>2302</v>
      </c>
      <c r="J1383" t="s">
        <v>13920</v>
      </c>
      <c r="L1383" t="s">
        <v>6418</v>
      </c>
      <c r="M1383" t="str">
        <f>"https://www.artic.edu/iiif/2/"&amp;Table9[[#This Row],[Image ID]]&amp;"/full/843,/0/default.jpg"</f>
        <v>https://www.artic.edu/iiif/2/d627d197-2f49-35b3-8ca2-ca1afba7a448/full/843,/0/default.jpg</v>
      </c>
      <c r="N1383" s="3">
        <v>0.75600000000000001</v>
      </c>
      <c r="O1383" s="3">
        <v>7.2999999999999995E-2</v>
      </c>
      <c r="P1383" s="3">
        <v>0.68300000000000005</v>
      </c>
      <c r="Q1383" s="3">
        <v>0.69959253072738603</v>
      </c>
    </row>
    <row r="1384" spans="1:17" x14ac:dyDescent="0.45">
      <c r="A1384" s="3">
        <v>75374</v>
      </c>
      <c r="B1384" t="b">
        <v>0</v>
      </c>
      <c r="C1384" t="b">
        <v>1</v>
      </c>
      <c r="D1384" s="3">
        <v>1800</v>
      </c>
      <c r="E1384" s="3">
        <v>1810</v>
      </c>
      <c r="F1384" t="s">
        <v>9733</v>
      </c>
      <c r="G1384" t="s">
        <v>7</v>
      </c>
      <c r="H1384" s="3">
        <v>22.348099999999999</v>
      </c>
      <c r="I1384" t="s">
        <v>3831</v>
      </c>
      <c r="J1384" t="s">
        <v>11060</v>
      </c>
      <c r="L1384" t="s">
        <v>9734</v>
      </c>
      <c r="M1384" t="str">
        <f>"https://www.artic.edu/iiif/2/"&amp;Table9[[#This Row],[Image ID]]&amp;"/full/843,/0/default.jpg"</f>
        <v>https://www.artic.edu/iiif/2/05ec4e8c-b958-f0c9-fa63-3997e0a33de4/full/843,/0/default.jpg</v>
      </c>
      <c r="N1384" s="3">
        <v>0.80500000000000005</v>
      </c>
      <c r="O1384" s="3">
        <v>0.122</v>
      </c>
      <c r="P1384" s="3">
        <v>0.68300000000000005</v>
      </c>
      <c r="Q1384" s="3">
        <v>0.819366514682769</v>
      </c>
    </row>
    <row r="1385" spans="1:17" x14ac:dyDescent="0.45">
      <c r="A1385" s="3">
        <v>102087</v>
      </c>
      <c r="B1385" t="b">
        <v>0</v>
      </c>
      <c r="C1385" t="b">
        <v>1</v>
      </c>
      <c r="D1385" s="3">
        <v>1445</v>
      </c>
      <c r="E1385" s="3">
        <v>1455</v>
      </c>
      <c r="F1385" t="s">
        <v>201</v>
      </c>
      <c r="G1385" t="s">
        <v>202</v>
      </c>
      <c r="H1385" s="3">
        <v>76.588099999999997</v>
      </c>
      <c r="I1385" t="s">
        <v>203</v>
      </c>
      <c r="J1385" t="s">
        <v>11279</v>
      </c>
      <c r="L1385" t="s">
        <v>204</v>
      </c>
      <c r="M1385" t="str">
        <f>"https://www.artic.edu/iiif/2/"&amp;Table9[[#This Row],[Image ID]]&amp;"/full/843,/0/default.jpg"</f>
        <v>https://www.artic.edu/iiif/2/16369b49-adca-a356-5aa1-7265fd45870e/full/843,/0/default.jpg</v>
      </c>
      <c r="N1385" s="3">
        <v>0.75600000000000001</v>
      </c>
      <c r="O1385" s="3">
        <v>7.2999999999999995E-2</v>
      </c>
      <c r="P1385" s="3">
        <v>0.68300000000000005</v>
      </c>
      <c r="Q1385" s="3">
        <v>0.73511618375778198</v>
      </c>
    </row>
    <row r="1386" spans="1:17" x14ac:dyDescent="0.45">
      <c r="A1386" s="3">
        <v>80899</v>
      </c>
      <c r="B1386" t="b">
        <v>0</v>
      </c>
      <c r="C1386" t="b">
        <v>1</v>
      </c>
      <c r="D1386" s="3">
        <v>1345</v>
      </c>
      <c r="E1386" s="3">
        <v>1355</v>
      </c>
      <c r="F1386" t="s">
        <v>10050</v>
      </c>
      <c r="G1386" t="s">
        <v>10051</v>
      </c>
      <c r="H1386" s="3">
        <v>24.195699999999999</v>
      </c>
      <c r="J1386" t="s">
        <v>11514</v>
      </c>
      <c r="K1386" s="5" t="s">
        <v>278</v>
      </c>
      <c r="L1386" t="s">
        <v>10052</v>
      </c>
      <c r="M1386" t="str">
        <f>"https://www.artic.edu/iiif/2/"&amp;Table9[[#This Row],[Image ID]]&amp;"/full/843,/0/default.jpg"</f>
        <v>https://www.artic.edu/iiif/2/26193c62-8c23-8d1d-565b-3ff76358ee6a/full/843,/0/default.jpg</v>
      </c>
      <c r="N1386" s="3">
        <v>0.75600000000000001</v>
      </c>
      <c r="O1386" s="3">
        <v>7.2999999999999995E-2</v>
      </c>
      <c r="P1386" s="3">
        <v>0.68300000000000005</v>
      </c>
      <c r="Q1386" s="3">
        <v>0.70753514766693104</v>
      </c>
    </row>
    <row r="1387" spans="1:17" x14ac:dyDescent="0.45">
      <c r="A1387" s="3">
        <v>90638</v>
      </c>
      <c r="B1387" t="b">
        <v>0</v>
      </c>
      <c r="C1387" t="b">
        <v>1</v>
      </c>
      <c r="D1387" s="3">
        <v>1854</v>
      </c>
      <c r="E1387" s="3">
        <v>1854</v>
      </c>
      <c r="F1387" t="s">
        <v>10535</v>
      </c>
      <c r="G1387" t="s">
        <v>642</v>
      </c>
      <c r="H1387" s="3">
        <v>16.877700000000001</v>
      </c>
      <c r="I1387" t="s">
        <v>10536</v>
      </c>
      <c r="J1387" t="s">
        <v>11954</v>
      </c>
      <c r="L1387" t="s">
        <v>10537</v>
      </c>
      <c r="M1387" t="str">
        <f>"https://www.artic.edu/iiif/2/"&amp;Table9[[#This Row],[Image ID]]&amp;"/full/843,/0/default.jpg"</f>
        <v>https://www.artic.edu/iiif/2/425c4529-486c-d399-1fc8-52081b884633/full/843,/0/default.jpg</v>
      </c>
      <c r="N1387" s="3">
        <v>0.80500000000000005</v>
      </c>
      <c r="O1387" s="3">
        <v>0.122</v>
      </c>
      <c r="P1387" s="3">
        <v>0.68300000000000005</v>
      </c>
      <c r="Q1387" s="3">
        <v>0.82573819160461404</v>
      </c>
    </row>
    <row r="1388" spans="1:17" x14ac:dyDescent="0.45">
      <c r="A1388" s="3">
        <v>102777</v>
      </c>
      <c r="B1388" t="b">
        <v>0</v>
      </c>
      <c r="C1388" t="b">
        <v>1</v>
      </c>
      <c r="D1388" s="3">
        <v>1754</v>
      </c>
      <c r="E1388" s="3">
        <v>1754</v>
      </c>
      <c r="F1388" t="s">
        <v>294</v>
      </c>
      <c r="G1388" t="s">
        <v>7</v>
      </c>
      <c r="H1388" s="3">
        <v>23.426500000000001</v>
      </c>
      <c r="I1388" t="s">
        <v>295</v>
      </c>
      <c r="J1388" t="s">
        <v>12152</v>
      </c>
      <c r="L1388" t="s">
        <v>296</v>
      </c>
      <c r="M1388" t="str">
        <f>"https://www.artic.edu/iiif/2/"&amp;Table9[[#This Row],[Image ID]]&amp;"/full/843,/0/default.jpg"</f>
        <v>https://www.artic.edu/iiif/2/513678a8-6b70-d2f4-addc-3640b0e1191f/full/843,/0/default.jpg</v>
      </c>
      <c r="N1388" s="3">
        <v>0.878</v>
      </c>
      <c r="O1388" s="3">
        <v>0.19500000000000001</v>
      </c>
      <c r="P1388" s="3">
        <v>0.68300000000000005</v>
      </c>
      <c r="Q1388" s="3">
        <v>0.84265309572219804</v>
      </c>
    </row>
    <row r="1389" spans="1:17" x14ac:dyDescent="0.45">
      <c r="A1389" s="3">
        <v>30365</v>
      </c>
      <c r="B1389" t="b">
        <v>0</v>
      </c>
      <c r="C1389" t="b">
        <v>1</v>
      </c>
      <c r="D1389" s="3">
        <v>1655</v>
      </c>
      <c r="E1389" s="3">
        <v>1665</v>
      </c>
      <c r="F1389" t="s">
        <v>6941</v>
      </c>
      <c r="G1389" t="s">
        <v>7</v>
      </c>
      <c r="H1389" s="3">
        <v>16.659300000000002</v>
      </c>
      <c r="I1389" t="s">
        <v>6942</v>
      </c>
      <c r="J1389" t="s">
        <v>12221</v>
      </c>
      <c r="L1389" t="s">
        <v>6943</v>
      </c>
      <c r="M1389" t="str">
        <f>"https://www.artic.edu/iiif/2/"&amp;Table9[[#This Row],[Image ID]]&amp;"/full/843,/0/default.jpg"</f>
        <v>https://www.artic.edu/iiif/2/5510e671-04eb-e498-51b1-09e177bb5b46/full/843,/0/default.jpg</v>
      </c>
      <c r="N1389" s="3">
        <v>0.75600000000000001</v>
      </c>
      <c r="O1389" s="3">
        <v>7.2999999999999995E-2</v>
      </c>
      <c r="P1389" s="3">
        <v>0.68300000000000005</v>
      </c>
      <c r="Q1389" s="3">
        <v>0.82678657770156805</v>
      </c>
    </row>
    <row r="1390" spans="1:17" x14ac:dyDescent="0.45">
      <c r="A1390" s="3">
        <v>15303</v>
      </c>
      <c r="B1390" t="b">
        <v>0</v>
      </c>
      <c r="C1390" t="b">
        <v>1</v>
      </c>
      <c r="D1390" s="3">
        <v>1815</v>
      </c>
      <c r="E1390" s="3">
        <v>1825</v>
      </c>
      <c r="F1390" t="s">
        <v>904</v>
      </c>
      <c r="G1390" t="s">
        <v>7</v>
      </c>
      <c r="H1390" s="3">
        <v>0</v>
      </c>
      <c r="I1390" t="s">
        <v>3938</v>
      </c>
      <c r="J1390" t="s">
        <v>12340</v>
      </c>
      <c r="L1390" t="s">
        <v>3939</v>
      </c>
      <c r="M1390" t="str">
        <f>"https://www.artic.edu/iiif/2/"&amp;Table9[[#This Row],[Image ID]]&amp;"/full/843,/0/default.jpg"</f>
        <v>https://www.artic.edu/iiif/2/5d1de0c7-99d3-b95c-e8e5-16f881ee2fe3/full/843,/0/default.jpg</v>
      </c>
      <c r="N1390" s="3">
        <v>0.75600000000000001</v>
      </c>
      <c r="O1390" s="3">
        <v>7.2999999999999995E-2</v>
      </c>
      <c r="P1390" s="3">
        <v>0.68300000000000005</v>
      </c>
      <c r="Q1390" s="3">
        <v>0.77607291936874301</v>
      </c>
    </row>
    <row r="1391" spans="1:17" x14ac:dyDescent="0.45">
      <c r="A1391" s="3">
        <v>89012</v>
      </c>
      <c r="B1391" t="b">
        <v>0</v>
      </c>
      <c r="C1391" t="b">
        <v>1</v>
      </c>
      <c r="D1391" s="3">
        <v>1761</v>
      </c>
      <c r="E1391" s="3">
        <v>1770</v>
      </c>
      <c r="F1391" t="s">
        <v>10446</v>
      </c>
      <c r="G1391" t="s">
        <v>129</v>
      </c>
      <c r="H1391" s="3">
        <v>36.449300000000001</v>
      </c>
      <c r="I1391" t="s">
        <v>777</v>
      </c>
      <c r="J1391" t="s">
        <v>12418</v>
      </c>
      <c r="K1391" s="5" t="s">
        <v>13</v>
      </c>
      <c r="L1391" t="s">
        <v>10447</v>
      </c>
      <c r="M1391" t="str">
        <f>"https://www.artic.edu/iiif/2/"&amp;Table9[[#This Row],[Image ID]]&amp;"/full/843,/0/default.jpg"</f>
        <v>https://www.artic.edu/iiif/2/631479e8-fb15-07f9-cb06-0dac4462d27c/full/843,/0/default.jpg</v>
      </c>
      <c r="N1391" s="3">
        <v>0.68300000000000005</v>
      </c>
      <c r="O1391" s="3">
        <v>0</v>
      </c>
      <c r="P1391" s="3">
        <v>0.68300000000000005</v>
      </c>
      <c r="Q1391" s="3">
        <v>0.68312567472457797</v>
      </c>
    </row>
    <row r="1392" spans="1:17" x14ac:dyDescent="0.45">
      <c r="A1392" s="3">
        <v>111669</v>
      </c>
      <c r="B1392" t="b">
        <v>0</v>
      </c>
      <c r="C1392" t="b">
        <v>1</v>
      </c>
      <c r="D1392" s="3">
        <v>1850</v>
      </c>
      <c r="E1392" s="3">
        <v>1900</v>
      </c>
      <c r="F1392" t="s">
        <v>1230</v>
      </c>
      <c r="G1392" t="s">
        <v>7</v>
      </c>
      <c r="H1392" s="3">
        <v>25.433499999999999</v>
      </c>
      <c r="I1392" t="s">
        <v>1231</v>
      </c>
      <c r="J1392" t="s">
        <v>12542</v>
      </c>
      <c r="L1392" t="s">
        <v>1232</v>
      </c>
      <c r="M1392" t="str">
        <f>"https://www.artic.edu/iiif/2/"&amp;Table9[[#This Row],[Image ID]]&amp;"/full/843,/0/default.jpg"</f>
        <v>https://www.artic.edu/iiif/2/6b80849d-e3ef-ee82-5432-12d5d62cdb55/full/843,/0/default.jpg</v>
      </c>
      <c r="N1392" s="3">
        <v>0.80500000000000005</v>
      </c>
      <c r="O1392" s="3">
        <v>0.122</v>
      </c>
      <c r="P1392" s="3">
        <v>0.68300000000000005</v>
      </c>
      <c r="Q1392" s="3">
        <v>0.59006631374359098</v>
      </c>
    </row>
    <row r="1393" spans="1:17" x14ac:dyDescent="0.45">
      <c r="A1393" s="3">
        <v>79768</v>
      </c>
      <c r="B1393" t="b">
        <v>0</v>
      </c>
      <c r="C1393" t="b">
        <v>1</v>
      </c>
      <c r="D1393" s="3">
        <v>1749</v>
      </c>
      <c r="E1393" s="3">
        <v>1752</v>
      </c>
      <c r="F1393" t="s">
        <v>2567</v>
      </c>
      <c r="G1393" t="s">
        <v>7</v>
      </c>
      <c r="H1393" s="3">
        <v>13.997999999999999</v>
      </c>
      <c r="I1393" t="s">
        <v>6710</v>
      </c>
      <c r="J1393" t="s">
        <v>13093</v>
      </c>
      <c r="L1393" t="s">
        <v>9913</v>
      </c>
      <c r="M1393" t="str">
        <f>"https://www.artic.edu/iiif/2/"&amp;Table9[[#This Row],[Image ID]]&amp;"/full/843,/0/default.jpg"</f>
        <v>https://www.artic.edu/iiif/2/95e33ca7-2bbb-2954-ea06-8edcfa458541/full/843,/0/default.jpg</v>
      </c>
      <c r="N1393" s="3">
        <v>0.878</v>
      </c>
      <c r="O1393" s="3">
        <v>0.19500000000000001</v>
      </c>
      <c r="P1393" s="3">
        <v>0.68300000000000005</v>
      </c>
      <c r="Q1393" s="3">
        <v>0.82044661045074396</v>
      </c>
    </row>
    <row r="1394" spans="1:17" x14ac:dyDescent="0.45">
      <c r="A1394" s="3">
        <v>66507</v>
      </c>
      <c r="B1394" t="b">
        <v>0</v>
      </c>
      <c r="C1394" t="b">
        <v>1</v>
      </c>
      <c r="D1394" s="3">
        <v>1900</v>
      </c>
      <c r="E1394" s="3">
        <v>1900</v>
      </c>
      <c r="F1394" t="s">
        <v>9287</v>
      </c>
      <c r="G1394" t="s">
        <v>9288</v>
      </c>
      <c r="H1394" s="3">
        <v>23.457699999999999</v>
      </c>
      <c r="I1394" t="s">
        <v>1527</v>
      </c>
      <c r="J1394" t="s">
        <v>13208</v>
      </c>
      <c r="L1394" t="s">
        <v>9289</v>
      </c>
      <c r="M1394" t="str">
        <f>"https://www.artic.edu/iiif/2/"&amp;Table9[[#This Row],[Image ID]]&amp;"/full/843,/0/default.jpg"</f>
        <v>https://www.artic.edu/iiif/2/9e1d8033-da21-99b5-b980-e14b93bcbc74/full/843,/0/default.jpg</v>
      </c>
      <c r="N1394" s="3">
        <v>0.75600000000000001</v>
      </c>
      <c r="O1394" s="3">
        <v>7.2999999999999995E-2</v>
      </c>
      <c r="P1394" s="3">
        <v>0.68300000000000005</v>
      </c>
      <c r="Q1394" s="3">
        <v>0.89197385311126698</v>
      </c>
    </row>
    <row r="1395" spans="1:17" x14ac:dyDescent="0.45">
      <c r="A1395" s="3">
        <v>3203</v>
      </c>
      <c r="B1395" t="b">
        <v>0</v>
      </c>
      <c r="C1395" t="b">
        <v>1</v>
      </c>
      <c r="D1395" s="3">
        <v>1898</v>
      </c>
      <c r="E1395" s="3">
        <v>1908</v>
      </c>
      <c r="F1395" t="s">
        <v>7038</v>
      </c>
      <c r="G1395" t="s">
        <v>7039</v>
      </c>
      <c r="H1395" s="3">
        <v>26.772400000000001</v>
      </c>
      <c r="I1395" t="s">
        <v>7040</v>
      </c>
      <c r="J1395" t="s">
        <v>13527</v>
      </c>
      <c r="L1395" t="s">
        <v>7041</v>
      </c>
      <c r="M1395" t="str">
        <f>"https://www.artic.edu/iiif/2/"&amp;Table9[[#This Row],[Image ID]]&amp;"/full/843,/0/default.jpg"</f>
        <v>https://www.artic.edu/iiif/2/b668452c-8804-a008-984c-f1aeb4b55e24/full/843,/0/default.jpg</v>
      </c>
      <c r="N1395" s="3">
        <v>0.75600000000000001</v>
      </c>
      <c r="O1395" s="3">
        <v>7.2999999999999995E-2</v>
      </c>
      <c r="P1395" s="3">
        <v>0.68300000000000005</v>
      </c>
      <c r="Q1395" s="3">
        <v>0.67135238647460904</v>
      </c>
    </row>
    <row r="1396" spans="1:17" x14ac:dyDescent="0.45">
      <c r="A1396" s="3">
        <v>61125</v>
      </c>
      <c r="B1396" t="b">
        <v>0</v>
      </c>
      <c r="C1396" t="b">
        <v>1</v>
      </c>
      <c r="D1396" s="3">
        <v>1820</v>
      </c>
      <c r="E1396" s="3">
        <v>1840</v>
      </c>
      <c r="F1396" t="s">
        <v>8770</v>
      </c>
      <c r="G1396" t="s">
        <v>7</v>
      </c>
      <c r="H1396" s="3">
        <v>22.013200000000001</v>
      </c>
      <c r="I1396" t="s">
        <v>21</v>
      </c>
      <c r="J1396" t="s">
        <v>13743</v>
      </c>
      <c r="L1396" t="s">
        <v>8771</v>
      </c>
      <c r="M1396" t="str">
        <f>"https://www.artic.edu/iiif/2/"&amp;Table9[[#This Row],[Image ID]]&amp;"/full/843,/0/default.jpg"</f>
        <v>https://www.artic.edu/iiif/2/c79efbd9-7cda-18d4-38d1-87b9a9f89a24/full/843,/0/default.jpg</v>
      </c>
      <c r="N1396" s="3">
        <v>0.878</v>
      </c>
      <c r="O1396" s="3">
        <v>0.19500000000000001</v>
      </c>
      <c r="P1396" s="3">
        <v>0.68300000000000005</v>
      </c>
      <c r="Q1396" s="3">
        <v>0.88327080011367798</v>
      </c>
    </row>
    <row r="1397" spans="1:17" x14ac:dyDescent="0.45">
      <c r="A1397" s="3">
        <v>27148</v>
      </c>
      <c r="B1397" t="b">
        <v>0</v>
      </c>
      <c r="C1397" t="b">
        <v>1</v>
      </c>
      <c r="D1397" s="3">
        <v>1764</v>
      </c>
      <c r="E1397" s="3">
        <v>1778</v>
      </c>
      <c r="F1397" t="s">
        <v>6707</v>
      </c>
      <c r="G1397" t="s">
        <v>7</v>
      </c>
      <c r="H1397" s="3">
        <v>27.346</v>
      </c>
      <c r="I1397" t="s">
        <v>6702</v>
      </c>
      <c r="J1397" t="s">
        <v>14022</v>
      </c>
      <c r="L1397" t="s">
        <v>6708</v>
      </c>
      <c r="M1397" t="str">
        <f>"https://www.artic.edu/iiif/2/"&amp;Table9[[#This Row],[Image ID]]&amp;"/full/843,/0/default.jpg"</f>
        <v>https://www.artic.edu/iiif/2/dd3ea854-1e8b-de71-a536-031ceb389b98/full/843,/0/default.jpg</v>
      </c>
      <c r="N1397" s="3">
        <v>0.75600000000000001</v>
      </c>
      <c r="O1397" s="3">
        <v>7.2999999999999995E-2</v>
      </c>
      <c r="P1397" s="3">
        <v>0.68300000000000005</v>
      </c>
      <c r="Q1397" s="3">
        <v>0.82124543190002397</v>
      </c>
    </row>
    <row r="1398" spans="1:17" x14ac:dyDescent="0.45">
      <c r="A1398" s="3">
        <v>2174</v>
      </c>
      <c r="B1398" t="b">
        <v>0</v>
      </c>
      <c r="C1398" t="b">
        <v>1</v>
      </c>
      <c r="D1398" s="3">
        <v>1275</v>
      </c>
      <c r="E1398" s="3">
        <v>1299</v>
      </c>
      <c r="F1398" t="s">
        <v>5685</v>
      </c>
      <c r="G1398" t="s">
        <v>5686</v>
      </c>
      <c r="H1398" s="3">
        <v>22.446999999999999</v>
      </c>
      <c r="I1398" t="s">
        <v>5687</v>
      </c>
      <c r="J1398" t="s">
        <v>14167</v>
      </c>
      <c r="K1398" s="5" t="s">
        <v>278</v>
      </c>
      <c r="L1398" t="s">
        <v>5688</v>
      </c>
      <c r="M1398" t="str">
        <f>"https://www.artic.edu/iiif/2/"&amp;Table9[[#This Row],[Image ID]]&amp;"/full/843,/0/default.jpg"</f>
        <v>https://www.artic.edu/iiif/2/e67d1ada-72dc-3e57-a0ec-3c147093d5fe/full/843,/0/default.jpg</v>
      </c>
      <c r="N1398" s="3">
        <v>0.80500000000000005</v>
      </c>
      <c r="O1398" s="3">
        <v>0.122</v>
      </c>
      <c r="P1398" s="3">
        <v>0.68300000000000005</v>
      </c>
      <c r="Q1398" s="3">
        <v>0.84244453907012895</v>
      </c>
    </row>
    <row r="1399" spans="1:17" x14ac:dyDescent="0.45">
      <c r="A1399" s="3">
        <v>110872</v>
      </c>
      <c r="B1399" t="b">
        <v>0</v>
      </c>
      <c r="C1399" t="b">
        <v>1</v>
      </c>
      <c r="D1399" s="3">
        <v>1525</v>
      </c>
      <c r="E1399" s="3">
        <v>1565</v>
      </c>
      <c r="F1399" t="s">
        <v>567</v>
      </c>
      <c r="G1399" t="s">
        <v>7</v>
      </c>
      <c r="H1399" s="3">
        <v>32.695</v>
      </c>
      <c r="I1399" t="s">
        <v>957</v>
      </c>
      <c r="J1399" t="s">
        <v>14193</v>
      </c>
      <c r="L1399" t="s">
        <v>958</v>
      </c>
      <c r="M1399" t="str">
        <f>"https://www.artic.edu/iiif/2/"&amp;Table9[[#This Row],[Image ID]]&amp;"/full/843,/0/default.jpg"</f>
        <v>https://www.artic.edu/iiif/2/e8344810-288f-ea60-6264-d7c785ffc097/full/843,/0/default.jpg</v>
      </c>
      <c r="N1399" s="3">
        <v>0.92700000000000005</v>
      </c>
      <c r="O1399" s="3">
        <v>0.24399999999999999</v>
      </c>
      <c r="P1399" s="3">
        <v>0.68300000000000005</v>
      </c>
      <c r="Q1399" s="3">
        <v>0.92121338844299305</v>
      </c>
    </row>
    <row r="1400" spans="1:17" x14ac:dyDescent="0.45">
      <c r="A1400" s="3">
        <v>69533</v>
      </c>
      <c r="B1400" t="b">
        <v>0</v>
      </c>
      <c r="C1400" t="b">
        <v>1</v>
      </c>
      <c r="D1400" s="3">
        <v>1863</v>
      </c>
      <c r="E1400" s="3">
        <v>1863</v>
      </c>
      <c r="F1400" t="s">
        <v>9399</v>
      </c>
      <c r="G1400" t="s">
        <v>75</v>
      </c>
      <c r="H1400" s="3">
        <v>16.978899999999999</v>
      </c>
      <c r="I1400" t="s">
        <v>9400</v>
      </c>
      <c r="J1400" t="s">
        <v>14223</v>
      </c>
      <c r="K1400" s="5" t="s">
        <v>284</v>
      </c>
      <c r="L1400" t="s">
        <v>9401</v>
      </c>
      <c r="M1400" t="str">
        <f>"https://www.artic.edu/iiif/2/"&amp;Table9[[#This Row],[Image ID]]&amp;"/full/843,/0/default.jpg"</f>
        <v>https://www.artic.edu/iiif/2/ea1e120f-2a56-99a8-99d8-ea824d466d65/full/843,/0/default.jpg</v>
      </c>
      <c r="N1400" s="3">
        <v>0.80500000000000005</v>
      </c>
      <c r="O1400" s="3">
        <v>0.122</v>
      </c>
      <c r="P1400" s="3">
        <v>0.68300000000000005</v>
      </c>
      <c r="Q1400" s="3">
        <v>0.629580318927764</v>
      </c>
    </row>
    <row r="1401" spans="1:17" x14ac:dyDescent="0.45">
      <c r="A1401" s="3">
        <v>127253</v>
      </c>
      <c r="B1401" t="b">
        <v>0</v>
      </c>
      <c r="C1401" t="b">
        <v>0</v>
      </c>
      <c r="D1401" s="3">
        <v>1938</v>
      </c>
      <c r="E1401" s="3">
        <v>1938</v>
      </c>
      <c r="F1401" t="s">
        <v>2803</v>
      </c>
      <c r="G1401" t="s">
        <v>2804</v>
      </c>
      <c r="H1401" s="3">
        <v>22.8628</v>
      </c>
      <c r="I1401" t="s">
        <v>2796</v>
      </c>
      <c r="J1401" t="s">
        <v>11113</v>
      </c>
      <c r="L1401" t="s">
        <v>2805</v>
      </c>
      <c r="M1401" t="str">
        <f>"https://www.artic.edu/iiif/2/"&amp;Table9[[#This Row],[Image ID]]&amp;"/full/843,/0/default.jpg"</f>
        <v>https://www.artic.edu/iiif/2/09cdd7ad-d512-39c7-16d3-491be97b13c3/full/843,/0/default.jpg</v>
      </c>
      <c r="N1401" s="3">
        <v>0.73199999999999998</v>
      </c>
      <c r="O1401" s="3">
        <v>4.9000000000000002E-2</v>
      </c>
      <c r="P1401" s="3">
        <v>0.68299999999999994</v>
      </c>
      <c r="Q1401" s="3">
        <v>0.740914106369018</v>
      </c>
    </row>
    <row r="1402" spans="1:17" x14ac:dyDescent="0.45">
      <c r="A1402" s="3">
        <v>118569</v>
      </c>
      <c r="B1402" t="b">
        <v>0</v>
      </c>
      <c r="C1402" t="b">
        <v>0</v>
      </c>
      <c r="D1402" s="3">
        <v>1970</v>
      </c>
      <c r="E1402" s="3">
        <v>1970</v>
      </c>
      <c r="F1402" t="s">
        <v>2497</v>
      </c>
      <c r="G1402" t="s">
        <v>7</v>
      </c>
      <c r="H1402" s="3">
        <v>32.141199999999998</v>
      </c>
      <c r="I1402" t="s">
        <v>838</v>
      </c>
      <c r="J1402" t="s">
        <v>11617</v>
      </c>
      <c r="L1402" t="s">
        <v>2498</v>
      </c>
      <c r="M1402" t="str">
        <f>"https://www.artic.edu/iiif/2/"&amp;Table9[[#This Row],[Image ID]]&amp;"/full/843,/0/default.jpg"</f>
        <v>https://www.artic.edu/iiif/2/2ba52998-3adf-80e3-8efb-54dd9d83b5cd/full/843,/0/default.jpg</v>
      </c>
      <c r="N1402" s="3">
        <v>0.73199999999999998</v>
      </c>
      <c r="O1402" s="3">
        <v>4.9000000000000002E-2</v>
      </c>
      <c r="P1402" s="3">
        <v>0.68299999999999994</v>
      </c>
      <c r="Q1402" s="3">
        <v>0.79808366298675504</v>
      </c>
    </row>
    <row r="1403" spans="1:17" x14ac:dyDescent="0.45">
      <c r="A1403" s="3">
        <v>7755</v>
      </c>
      <c r="B1403" t="b">
        <v>0</v>
      </c>
      <c r="C1403" t="b">
        <v>0</v>
      </c>
      <c r="D1403" s="3">
        <v>1921</v>
      </c>
      <c r="E1403" s="3">
        <v>1921</v>
      </c>
      <c r="F1403" t="s">
        <v>9828</v>
      </c>
      <c r="G1403" t="s">
        <v>7</v>
      </c>
      <c r="H1403" s="3">
        <v>71.490700000000004</v>
      </c>
      <c r="I1403" t="s">
        <v>2823</v>
      </c>
      <c r="J1403" t="s">
        <v>11868</v>
      </c>
      <c r="K1403" s="5" t="s">
        <v>45</v>
      </c>
      <c r="L1403" t="s">
        <v>9829</v>
      </c>
      <c r="M1403" t="str">
        <f>"https://www.artic.edu/iiif/2/"&amp;Table9[[#This Row],[Image ID]]&amp;"/full/843,/0/default.jpg"</f>
        <v>https://www.artic.edu/iiif/2/3c9eff28-3289-f650-a019-7df9db9d286c/full/843,/0/default.jpg</v>
      </c>
      <c r="N1403" s="3">
        <v>0.73199999999999998</v>
      </c>
      <c r="O1403" s="3">
        <v>4.9000000000000002E-2</v>
      </c>
      <c r="P1403" s="3">
        <v>0.68299999999999994</v>
      </c>
      <c r="Q1403" s="3">
        <v>0.51924860477447499</v>
      </c>
    </row>
    <row r="1404" spans="1:17" x14ac:dyDescent="0.45">
      <c r="A1404" s="3">
        <v>228836</v>
      </c>
      <c r="B1404" t="b">
        <v>0</v>
      </c>
      <c r="C1404" t="b">
        <v>0</v>
      </c>
      <c r="D1404" s="3">
        <v>1999</v>
      </c>
      <c r="E1404" s="3">
        <v>1999</v>
      </c>
      <c r="F1404" t="s">
        <v>6018</v>
      </c>
      <c r="G1404" t="s">
        <v>141</v>
      </c>
      <c r="H1404" s="3">
        <v>3.0282</v>
      </c>
      <c r="I1404" t="s">
        <v>6016</v>
      </c>
      <c r="J1404" t="s">
        <v>11455</v>
      </c>
      <c r="L1404" t="s">
        <v>6019</v>
      </c>
      <c r="M1404" t="str">
        <f>"https://www.artic.edu/iiif/2/"&amp;Table9[[#This Row],[Image ID]]&amp;"/full/843,/0/default.jpg"</f>
        <v>https://www.artic.edu/iiif/2/52167013-b3dd-f910-af09-b098e7ca280e/full/843,/0/default.jpg</v>
      </c>
      <c r="N1404" s="3">
        <v>0.82899999999999996</v>
      </c>
      <c r="O1404" s="3">
        <v>0.14599999999999999</v>
      </c>
      <c r="P1404" s="3">
        <v>0.68299999999999994</v>
      </c>
      <c r="Q1404" s="3">
        <v>0.84678637981414795</v>
      </c>
    </row>
    <row r="1405" spans="1:17" x14ac:dyDescent="0.45">
      <c r="A1405" s="3">
        <v>68414</v>
      </c>
      <c r="B1405" t="b">
        <v>0</v>
      </c>
      <c r="C1405" t="b">
        <v>0</v>
      </c>
      <c r="D1405" s="3">
        <v>1904</v>
      </c>
      <c r="E1405" s="3">
        <v>1904</v>
      </c>
      <c r="F1405" t="s">
        <v>9355</v>
      </c>
      <c r="G1405" t="s">
        <v>9356</v>
      </c>
      <c r="H1405" s="3">
        <v>18.865200000000002</v>
      </c>
      <c r="I1405" t="s">
        <v>133</v>
      </c>
      <c r="J1405" t="s">
        <v>12286</v>
      </c>
      <c r="L1405" t="s">
        <v>9357</v>
      </c>
      <c r="M1405" t="str">
        <f>"https://www.artic.edu/iiif/2/"&amp;Table9[[#This Row],[Image ID]]&amp;"/full/843,/0/default.jpg"</f>
        <v>https://www.artic.edu/iiif/2/59771454-78ee-98a1-00b8-f51372f85b94/full/843,/0/default.jpg</v>
      </c>
      <c r="N1405" s="3">
        <v>0.73199999999999998</v>
      </c>
      <c r="O1405" s="3">
        <v>4.9000000000000002E-2</v>
      </c>
      <c r="P1405" s="3">
        <v>0.68299999999999994</v>
      </c>
      <c r="Q1405" s="3">
        <v>0.85002458095550504</v>
      </c>
    </row>
    <row r="1406" spans="1:17" x14ac:dyDescent="0.45">
      <c r="A1406" s="3">
        <v>71524</v>
      </c>
      <c r="B1406" t="b">
        <v>0</v>
      </c>
      <c r="C1406" t="b">
        <v>0</v>
      </c>
      <c r="D1406" s="3">
        <v>1977</v>
      </c>
      <c r="E1406" s="3">
        <v>1977</v>
      </c>
      <c r="F1406" t="s">
        <v>9486</v>
      </c>
      <c r="G1406" t="s">
        <v>59</v>
      </c>
      <c r="H1406" s="3">
        <v>24.581299999999999</v>
      </c>
      <c r="I1406" t="s">
        <v>293</v>
      </c>
      <c r="J1406" t="s">
        <v>12640</v>
      </c>
      <c r="L1406" t="s">
        <v>9487</v>
      </c>
      <c r="M1406" t="str">
        <f>"https://www.artic.edu/iiif/2/"&amp;Table9[[#This Row],[Image ID]]&amp;"/full/843,/0/default.jpg"</f>
        <v>https://www.artic.edu/iiif/2/72b2ac1c-7db4-85c1-3fed-8f1a39732807/full/843,/0/default.jpg</v>
      </c>
      <c r="N1406" s="3">
        <v>0.73199999999999998</v>
      </c>
      <c r="O1406" s="3">
        <v>4.9000000000000002E-2</v>
      </c>
      <c r="P1406" s="3">
        <v>0.68299999999999994</v>
      </c>
      <c r="Q1406" s="3">
        <v>0.79634809494018499</v>
      </c>
    </row>
    <row r="1407" spans="1:17" x14ac:dyDescent="0.45">
      <c r="A1407" s="3">
        <v>202031</v>
      </c>
      <c r="B1407" t="b">
        <v>0</v>
      </c>
      <c r="C1407" t="b">
        <v>0</v>
      </c>
      <c r="D1407" s="3">
        <v>1945</v>
      </c>
      <c r="E1407" s="3">
        <v>2000</v>
      </c>
      <c r="F1407" t="s">
        <v>4008</v>
      </c>
      <c r="G1407" t="s">
        <v>5346</v>
      </c>
      <c r="H1407" s="3">
        <v>42.958100000000002</v>
      </c>
      <c r="I1407" t="s">
        <v>5320</v>
      </c>
      <c r="J1407" t="s">
        <v>12762</v>
      </c>
      <c r="K1407" s="5" t="s">
        <v>15</v>
      </c>
      <c r="L1407" t="s">
        <v>5347</v>
      </c>
      <c r="M1407" t="str">
        <f>"https://www.artic.edu/iiif/2/"&amp;Table9[[#This Row],[Image ID]]&amp;"/full/843,/0/default.jpg"</f>
        <v>https://www.artic.edu/iiif/2/7bdb2f9e-5195-5361-485d-2256a834f352/full/843,/0/default.jpg</v>
      </c>
      <c r="N1407" s="3">
        <v>0.70699999999999996</v>
      </c>
      <c r="O1407" s="3">
        <v>2.4E-2</v>
      </c>
      <c r="P1407" s="3">
        <v>0.68299999999999994</v>
      </c>
      <c r="Q1407" s="3">
        <v>0.87972259521484297</v>
      </c>
    </row>
    <row r="1408" spans="1:17" x14ac:dyDescent="0.45">
      <c r="A1408" s="3">
        <v>51692</v>
      </c>
      <c r="B1408" t="b">
        <v>0</v>
      </c>
      <c r="C1408" t="b">
        <v>0</v>
      </c>
      <c r="D1408" s="3">
        <v>1913</v>
      </c>
      <c r="E1408" s="3">
        <v>1976</v>
      </c>
      <c r="F1408" t="s">
        <v>8162</v>
      </c>
      <c r="G1408" t="s">
        <v>8163</v>
      </c>
      <c r="H1408" s="3">
        <v>34.988599999999998</v>
      </c>
      <c r="I1408" t="s">
        <v>8164</v>
      </c>
      <c r="J1408" t="s">
        <v>13026</v>
      </c>
      <c r="L1408" t="s">
        <v>8165</v>
      </c>
      <c r="M1408" t="str">
        <f>"https://www.artic.edu/iiif/2/"&amp;Table9[[#This Row],[Image ID]]&amp;"/full/843,/0/default.jpg"</f>
        <v>https://www.artic.edu/iiif/2/901d01d7-bcc5-429d-e8bb-983daf0b457f/full/843,/0/default.jpg</v>
      </c>
      <c r="N1408" s="3">
        <v>0.82899999999999996</v>
      </c>
      <c r="O1408" s="3">
        <v>0.14599999999999999</v>
      </c>
      <c r="P1408" s="3">
        <v>0.68299999999999994</v>
      </c>
      <c r="Q1408" s="3">
        <v>0.87344813346862704</v>
      </c>
    </row>
    <row r="1409" spans="1:17" x14ac:dyDescent="0.45">
      <c r="A1409" s="3">
        <v>119982</v>
      </c>
      <c r="B1409" t="b">
        <v>0</v>
      </c>
      <c r="C1409" t="b">
        <v>0</v>
      </c>
      <c r="D1409" s="3">
        <v>1982</v>
      </c>
      <c r="E1409" s="3">
        <v>1982</v>
      </c>
      <c r="F1409" t="s">
        <v>2598</v>
      </c>
      <c r="G1409" t="s">
        <v>7</v>
      </c>
      <c r="H1409" s="3">
        <v>34.861600000000003</v>
      </c>
      <c r="I1409" t="s">
        <v>2318</v>
      </c>
      <c r="J1409" t="s">
        <v>13236</v>
      </c>
      <c r="L1409" t="s">
        <v>2599</v>
      </c>
      <c r="M1409" t="str">
        <f>"https://www.artic.edu/iiif/2/"&amp;Table9[[#This Row],[Image ID]]&amp;"/full/843,/0/default.jpg"</f>
        <v>https://www.artic.edu/iiif/2/a0649606-38df-3931-993d-adda35cd92bf/full/843,/0/default.jpg</v>
      </c>
      <c r="N1409" s="3">
        <v>0.73199999999999998</v>
      </c>
      <c r="O1409" s="3">
        <v>4.9000000000000002E-2</v>
      </c>
      <c r="P1409" s="3">
        <v>0.68299999999999994</v>
      </c>
      <c r="Q1409" s="3">
        <v>0.79268205165863004</v>
      </c>
    </row>
    <row r="1410" spans="1:17" x14ac:dyDescent="0.45">
      <c r="A1410" s="3">
        <v>79013</v>
      </c>
      <c r="B1410" t="b">
        <v>0</v>
      </c>
      <c r="C1410" t="b">
        <v>0</v>
      </c>
      <c r="D1410" s="3">
        <v>1919</v>
      </c>
      <c r="E1410" s="3">
        <v>1920</v>
      </c>
      <c r="F1410" t="s">
        <v>2701</v>
      </c>
      <c r="G1410" t="s">
        <v>7</v>
      </c>
      <c r="H1410" s="3">
        <v>40.556399999999996</v>
      </c>
      <c r="I1410" t="s">
        <v>49</v>
      </c>
      <c r="J1410" t="s">
        <v>9860</v>
      </c>
      <c r="L1410" t="s">
        <v>9859</v>
      </c>
      <c r="M1410" t="str">
        <f>"https://www.artic.edu/iiif/2/"&amp;Table9[[#This Row],[Image ID]]&amp;"/full/843,/0/default.jpg"</f>
        <v>https://www.artic.edu/iiif/2/b1e21091-dada-2beb-234a-972444a9f3f7/full/843,/0/default.jpg</v>
      </c>
      <c r="N1410" s="3">
        <v>0.70699999999999996</v>
      </c>
      <c r="O1410" s="3">
        <v>2.4E-2</v>
      </c>
      <c r="P1410" s="3">
        <v>0.68299999999999994</v>
      </c>
      <c r="Q1410" s="3">
        <v>0.79616230726241999</v>
      </c>
    </row>
    <row r="1411" spans="1:17" x14ac:dyDescent="0.45">
      <c r="A1411" s="3">
        <v>104259</v>
      </c>
      <c r="B1411" t="b">
        <v>0</v>
      </c>
      <c r="C1411" t="b">
        <v>0</v>
      </c>
      <c r="D1411" s="3">
        <v>1981</v>
      </c>
      <c r="E1411" s="3">
        <v>1981</v>
      </c>
      <c r="F1411" t="s">
        <v>376</v>
      </c>
      <c r="G1411" t="s">
        <v>377</v>
      </c>
      <c r="H1411" s="3">
        <v>18.1737</v>
      </c>
      <c r="I1411" t="s">
        <v>378</v>
      </c>
      <c r="J1411" t="s">
        <v>13791</v>
      </c>
      <c r="K1411" s="5" t="s">
        <v>45</v>
      </c>
      <c r="L1411" t="s">
        <v>379</v>
      </c>
      <c r="M1411" t="str">
        <f>"https://www.artic.edu/iiif/2/"&amp;Table9[[#This Row],[Image ID]]&amp;"/full/843,/0/default.jpg"</f>
        <v>https://www.artic.edu/iiif/2/cb2a5848-c125-8a0f-d05c-eb958b6ba94f/full/843,/0/default.jpg</v>
      </c>
      <c r="N1411" s="3">
        <v>0.73199999999999998</v>
      </c>
      <c r="O1411" s="3">
        <v>4.9000000000000002E-2</v>
      </c>
      <c r="P1411" s="3">
        <v>0.68299999999999994</v>
      </c>
      <c r="Q1411" s="3">
        <v>0.83555424213409402</v>
      </c>
    </row>
    <row r="1412" spans="1:17" x14ac:dyDescent="0.45">
      <c r="A1412" s="3">
        <v>145242</v>
      </c>
      <c r="B1412" t="b">
        <v>0</v>
      </c>
      <c r="C1412" t="b">
        <v>0</v>
      </c>
      <c r="D1412" s="3">
        <v>1947</v>
      </c>
      <c r="E1412" s="3">
        <v>1947</v>
      </c>
      <c r="F1412" t="s">
        <v>3347</v>
      </c>
      <c r="G1412" t="s">
        <v>845</v>
      </c>
      <c r="H1412" s="3">
        <v>36.718400000000003</v>
      </c>
      <c r="I1412" t="s">
        <v>172</v>
      </c>
      <c r="J1412" t="s">
        <v>13864</v>
      </c>
      <c r="L1412" t="s">
        <v>3348</v>
      </c>
      <c r="M1412" t="str">
        <f>"https://www.artic.edu/iiif/2/"&amp;Table9[[#This Row],[Image ID]]&amp;"/full/843,/0/default.jpg"</f>
        <v>https://www.artic.edu/iiif/2/d1b6707e-f542-cbb7-b52c-18d50e28ce67/full/843,/0/default.jpg</v>
      </c>
      <c r="N1412" s="3">
        <v>0.70699999999999996</v>
      </c>
      <c r="O1412" s="3">
        <v>2.4E-2</v>
      </c>
      <c r="P1412" s="3">
        <v>0.68299999999999994</v>
      </c>
      <c r="Q1412" s="3">
        <v>0.84817308187484697</v>
      </c>
    </row>
    <row r="1413" spans="1:17" x14ac:dyDescent="0.45">
      <c r="A1413" s="3">
        <v>152429</v>
      </c>
      <c r="B1413" t="b">
        <v>0</v>
      </c>
      <c r="C1413" t="b">
        <v>0</v>
      </c>
      <c r="D1413" s="3">
        <v>1994</v>
      </c>
      <c r="E1413" s="3">
        <v>1994</v>
      </c>
      <c r="F1413" t="s">
        <v>3888</v>
      </c>
      <c r="G1413" t="s">
        <v>141</v>
      </c>
      <c r="H1413" s="3">
        <v>12.635400000000001</v>
      </c>
      <c r="I1413" t="s">
        <v>3889</v>
      </c>
      <c r="J1413" t="s">
        <v>13881</v>
      </c>
      <c r="L1413" t="s">
        <v>3890</v>
      </c>
      <c r="M1413" t="str">
        <f>"https://www.artic.edu/iiif/2/"&amp;Table9[[#This Row],[Image ID]]&amp;"/full/843,/0/default.jpg"</f>
        <v>https://www.artic.edu/iiif/2/d38260e3-3ccc-611a-1c4f-7a86db168f94/full/843,/0/default.jpg</v>
      </c>
      <c r="N1413" s="3">
        <v>0.73199999999999998</v>
      </c>
      <c r="O1413" s="3">
        <v>4.9000000000000002E-2</v>
      </c>
      <c r="P1413" s="3">
        <v>0.68299999999999994</v>
      </c>
      <c r="Q1413" s="3">
        <v>0.82938534021377497</v>
      </c>
    </row>
    <row r="1414" spans="1:17" x14ac:dyDescent="0.45">
      <c r="A1414" s="3">
        <v>229343</v>
      </c>
      <c r="B1414" t="b">
        <v>0</v>
      </c>
      <c r="C1414" t="b">
        <v>0</v>
      </c>
      <c r="D1414" s="3">
        <v>1963</v>
      </c>
      <c r="E1414" s="3">
        <v>1963</v>
      </c>
      <c r="F1414" t="s">
        <v>6060</v>
      </c>
      <c r="G1414" t="s">
        <v>7</v>
      </c>
      <c r="H1414" s="3">
        <v>31.404499999999999</v>
      </c>
      <c r="I1414" t="s">
        <v>6061</v>
      </c>
      <c r="J1414" t="s">
        <v>14106</v>
      </c>
      <c r="K1414" s="5" t="s">
        <v>45</v>
      </c>
      <c r="L1414" t="s">
        <v>6062</v>
      </c>
      <c r="M1414" t="str">
        <f>"https://www.artic.edu/iiif/2/"&amp;Table9[[#This Row],[Image ID]]&amp;"/full/843,/0/default.jpg"</f>
        <v>https://www.artic.edu/iiif/2/e244fda8-c920-78ed-0f98-05c856ff88bc/full/843,/0/default.jpg</v>
      </c>
      <c r="N1414" s="3">
        <v>0.73199999999999998</v>
      </c>
      <c r="O1414" s="3">
        <v>4.9000000000000002E-2</v>
      </c>
      <c r="P1414" s="3">
        <v>0.68299999999999994</v>
      </c>
      <c r="Q1414" s="3">
        <v>0.81378054618835405</v>
      </c>
    </row>
    <row r="1415" spans="1:17" x14ac:dyDescent="0.45">
      <c r="A1415" s="3">
        <v>115139</v>
      </c>
      <c r="B1415" t="b">
        <v>0</v>
      </c>
      <c r="C1415" t="b">
        <v>1</v>
      </c>
      <c r="D1415" s="3">
        <v>1852</v>
      </c>
      <c r="E1415" s="3">
        <v>1852</v>
      </c>
      <c r="F1415" t="s">
        <v>1795</v>
      </c>
      <c r="G1415" t="s">
        <v>1796</v>
      </c>
      <c r="H1415" s="3">
        <v>15.835699999999999</v>
      </c>
      <c r="I1415" t="s">
        <v>1555</v>
      </c>
      <c r="J1415" t="s">
        <v>11162</v>
      </c>
      <c r="L1415" t="s">
        <v>1797</v>
      </c>
      <c r="M1415" t="str">
        <f>"https://www.artic.edu/iiif/2/"&amp;Table9[[#This Row],[Image ID]]&amp;"/full/843,/0/default.jpg"</f>
        <v>https://www.artic.edu/iiif/2/0e7104e7-c85e-71fc-ec9c-f834f99bd32d/full/843,/0/default.jpg</v>
      </c>
      <c r="N1415" s="3">
        <v>0.73199999999999998</v>
      </c>
      <c r="O1415" s="3">
        <v>4.9000000000000002E-2</v>
      </c>
      <c r="P1415" s="3">
        <v>0.68299999999999994</v>
      </c>
      <c r="Q1415" s="3">
        <v>0.80831748247146595</v>
      </c>
    </row>
    <row r="1416" spans="1:17" x14ac:dyDescent="0.45">
      <c r="A1416" s="3">
        <v>53213</v>
      </c>
      <c r="B1416" t="b">
        <v>0</v>
      </c>
      <c r="C1416" t="b">
        <v>1</v>
      </c>
      <c r="D1416" s="3">
        <v>1895</v>
      </c>
      <c r="E1416" s="3">
        <v>1905</v>
      </c>
      <c r="F1416" t="s">
        <v>8249</v>
      </c>
      <c r="G1416" t="s">
        <v>7</v>
      </c>
      <c r="H1416" s="3">
        <v>0</v>
      </c>
      <c r="I1416" t="s">
        <v>458</v>
      </c>
      <c r="J1416" t="s">
        <v>11178</v>
      </c>
      <c r="L1416" t="s">
        <v>8250</v>
      </c>
      <c r="M1416" t="str">
        <f>"https://www.artic.edu/iiif/2/"&amp;Table9[[#This Row],[Image ID]]&amp;"/full/843,/0/default.jpg"</f>
        <v>https://www.artic.edu/iiif/2/0f9304d9-e93d-7169-e1ab-48d3cc664dde/full/843,/0/default.jpg</v>
      </c>
      <c r="N1416" s="3">
        <v>0.73199999999999998</v>
      </c>
      <c r="O1416" s="3">
        <v>4.9000000000000002E-2</v>
      </c>
      <c r="P1416" s="3">
        <v>0.68299999999999994</v>
      </c>
      <c r="Q1416" s="3">
        <v>0.79115414619445801</v>
      </c>
    </row>
    <row r="1417" spans="1:17" x14ac:dyDescent="0.45">
      <c r="A1417" s="3">
        <v>16162</v>
      </c>
      <c r="B1417" t="b">
        <v>0</v>
      </c>
      <c r="C1417" t="b">
        <v>1</v>
      </c>
      <c r="D1417" s="3">
        <v>1455</v>
      </c>
      <c r="E1417" s="3">
        <v>1460</v>
      </c>
      <c r="F1417" t="s">
        <v>4274</v>
      </c>
      <c r="G1417" t="s">
        <v>103</v>
      </c>
      <c r="H1417" s="3">
        <v>28.547799999999999</v>
      </c>
      <c r="I1417" t="s">
        <v>4270</v>
      </c>
      <c r="J1417" t="s">
        <v>11392</v>
      </c>
      <c r="L1417" t="s">
        <v>4275</v>
      </c>
      <c r="M1417" t="str">
        <f>"https://www.artic.edu/iiif/2/"&amp;Table9[[#This Row],[Image ID]]&amp;"/full/843,/0/default.jpg"</f>
        <v>https://www.artic.edu/iiif/2/1e0cda1e-d7e4-d144-4eda-dff8a9a5b396/full/843,/0/default.jpg</v>
      </c>
      <c r="N1417" s="3">
        <v>0.70699999999999996</v>
      </c>
      <c r="O1417" s="3">
        <v>2.4E-2</v>
      </c>
      <c r="P1417" s="3">
        <v>0.68299999999999994</v>
      </c>
      <c r="Q1417" s="3">
        <v>0.62038528919219904</v>
      </c>
    </row>
    <row r="1418" spans="1:17" x14ac:dyDescent="0.45">
      <c r="A1418" s="3">
        <v>48719</v>
      </c>
      <c r="B1418" t="b">
        <v>0</v>
      </c>
      <c r="C1418" t="b">
        <v>1</v>
      </c>
      <c r="D1418" s="3">
        <v>1778</v>
      </c>
      <c r="E1418" s="3">
        <v>1778</v>
      </c>
      <c r="F1418" t="s">
        <v>8025</v>
      </c>
      <c r="G1418" t="s">
        <v>7</v>
      </c>
      <c r="H1418" s="3">
        <v>22.104800000000001</v>
      </c>
      <c r="I1418" t="s">
        <v>879</v>
      </c>
      <c r="J1418" t="s">
        <v>11669</v>
      </c>
      <c r="L1418" t="s">
        <v>8026</v>
      </c>
      <c r="M1418" t="str">
        <f>"https://www.artic.edu/iiif/2/"&amp;Table9[[#This Row],[Image ID]]&amp;"/full/843,/0/default.jpg"</f>
        <v>https://www.artic.edu/iiif/2/2f8c0896-069a-af5b-5aad-adac25b43980/full/843,/0/default.jpg</v>
      </c>
      <c r="N1418" s="3">
        <v>0.82899999999999996</v>
      </c>
      <c r="O1418" s="3">
        <v>0.14599999999999999</v>
      </c>
      <c r="P1418" s="3">
        <v>0.68299999999999994</v>
      </c>
      <c r="Q1418" s="3">
        <v>0.79160887002944902</v>
      </c>
    </row>
    <row r="1419" spans="1:17" x14ac:dyDescent="0.45">
      <c r="A1419" s="3">
        <v>111608</v>
      </c>
      <c r="B1419" t="b">
        <v>0</v>
      </c>
      <c r="C1419" t="b">
        <v>1</v>
      </c>
      <c r="D1419" s="3">
        <v>1485</v>
      </c>
      <c r="E1419" s="3">
        <v>1495</v>
      </c>
      <c r="F1419" t="s">
        <v>1124</v>
      </c>
      <c r="G1419" t="s">
        <v>212</v>
      </c>
      <c r="H1419" s="3">
        <v>46.460999999999999</v>
      </c>
      <c r="J1419" t="s">
        <v>12589</v>
      </c>
      <c r="L1419" t="s">
        <v>1125</v>
      </c>
      <c r="M1419" t="str">
        <f>"https://www.artic.edu/iiif/2/"&amp;Table9[[#This Row],[Image ID]]&amp;"/full/843,/0/default.jpg"</f>
        <v>https://www.artic.edu/iiif/2/6f01cb05-cd90-87c8-fd24-a1d31e2ccec6/full/843,/0/default.jpg</v>
      </c>
      <c r="N1419" s="3">
        <v>0.70699999999999996</v>
      </c>
      <c r="O1419" s="3">
        <v>2.4E-2</v>
      </c>
      <c r="P1419" s="3">
        <v>0.68299999999999994</v>
      </c>
      <c r="Q1419" s="3">
        <v>0.72018557786941495</v>
      </c>
    </row>
    <row r="1420" spans="1:17" x14ac:dyDescent="0.45">
      <c r="A1420" s="3">
        <v>111631</v>
      </c>
      <c r="B1420" t="b">
        <v>0</v>
      </c>
      <c r="C1420" t="b">
        <v>1</v>
      </c>
      <c r="D1420" s="3">
        <v>1751</v>
      </c>
      <c r="E1420" s="3">
        <v>1760</v>
      </c>
      <c r="F1420" t="s">
        <v>1170</v>
      </c>
      <c r="G1420" t="s">
        <v>7</v>
      </c>
      <c r="H1420" s="3">
        <v>18.6128</v>
      </c>
      <c r="I1420" t="s">
        <v>1171</v>
      </c>
      <c r="J1420" t="s">
        <v>12646</v>
      </c>
      <c r="L1420" t="s">
        <v>1172</v>
      </c>
      <c r="M1420" t="str">
        <f>"https://www.artic.edu/iiif/2/"&amp;Table9[[#This Row],[Image ID]]&amp;"/full/843,/0/default.jpg"</f>
        <v>https://www.artic.edu/iiif/2/7354024b-0aa0-9e6c-c3c8-ec40c318a4bb/full/843,/0/default.jpg</v>
      </c>
      <c r="N1420" s="3">
        <v>0.73199999999999998</v>
      </c>
      <c r="O1420" s="3">
        <v>4.9000000000000002E-2</v>
      </c>
      <c r="P1420" s="3">
        <v>0.68299999999999994</v>
      </c>
      <c r="Q1420" s="3">
        <v>0.53900200128555298</v>
      </c>
    </row>
    <row r="1421" spans="1:17" x14ac:dyDescent="0.45">
      <c r="A1421" s="3">
        <v>64686</v>
      </c>
      <c r="B1421" t="b">
        <v>0</v>
      </c>
      <c r="C1421" t="b">
        <v>1</v>
      </c>
      <c r="D1421" s="3">
        <v>1808</v>
      </c>
      <c r="E1421" s="3">
        <v>1810</v>
      </c>
      <c r="F1421" t="s">
        <v>8998</v>
      </c>
      <c r="G1421" t="s">
        <v>2618</v>
      </c>
      <c r="H1421" s="3">
        <v>34.353099999999998</v>
      </c>
      <c r="I1421" t="s">
        <v>8785</v>
      </c>
      <c r="J1421" t="s">
        <v>11153</v>
      </c>
      <c r="L1421" t="s">
        <v>8999</v>
      </c>
      <c r="M1421" t="str">
        <f>"https://www.artic.edu/iiif/2/"&amp;Table9[[#This Row],[Image ID]]&amp;"/full/843,/0/default.jpg"</f>
        <v>https://www.artic.edu/iiif/2/7dd956f2-4d5e-66d9-e37c-d6359ff385c2/full/843,/0/default.jpg</v>
      </c>
      <c r="N1421" s="3">
        <v>0.82899999999999996</v>
      </c>
      <c r="O1421" s="3">
        <v>0.14599999999999999</v>
      </c>
      <c r="P1421" s="3">
        <v>0.68299999999999994</v>
      </c>
      <c r="Q1421" s="3">
        <v>0.81887459754943803</v>
      </c>
    </row>
    <row r="1422" spans="1:17" x14ac:dyDescent="0.45">
      <c r="A1422" s="3">
        <v>27949</v>
      </c>
      <c r="B1422" t="b">
        <v>0</v>
      </c>
      <c r="C1422" t="b">
        <v>1</v>
      </c>
      <c r="D1422" s="3">
        <v>1889</v>
      </c>
      <c r="E1422" s="3">
        <v>1889</v>
      </c>
      <c r="F1422" t="s">
        <v>6754</v>
      </c>
      <c r="G1422" t="s">
        <v>7</v>
      </c>
      <c r="H1422" s="3">
        <v>34.415599999999998</v>
      </c>
      <c r="I1422" t="s">
        <v>768</v>
      </c>
      <c r="J1422" t="s">
        <v>13062</v>
      </c>
      <c r="K1422" s="5" t="s">
        <v>115</v>
      </c>
      <c r="L1422" t="s">
        <v>6755</v>
      </c>
      <c r="M1422" t="str">
        <f>"https://www.artic.edu/iiif/2/"&amp;Table9[[#This Row],[Image ID]]&amp;"/full/843,/0/default.jpg"</f>
        <v>https://www.artic.edu/iiif/2/9325e3ea-2d5d-120f-5bfb-faa0f8266ca6/full/843,/0/default.jpg</v>
      </c>
      <c r="N1422" s="3">
        <v>0.73199999999999998</v>
      </c>
      <c r="O1422" s="3">
        <v>4.9000000000000002E-2</v>
      </c>
      <c r="P1422" s="3">
        <v>0.68299999999999994</v>
      </c>
      <c r="Q1422" s="3">
        <v>0.79191356897354104</v>
      </c>
    </row>
    <row r="1423" spans="1:17" x14ac:dyDescent="0.45">
      <c r="A1423" s="3">
        <v>75390</v>
      </c>
      <c r="B1423" t="b">
        <v>0</v>
      </c>
      <c r="C1423" t="b">
        <v>1</v>
      </c>
      <c r="D1423" s="3">
        <v>1740</v>
      </c>
      <c r="E1423" s="3">
        <v>1741</v>
      </c>
      <c r="F1423" t="s">
        <v>9735</v>
      </c>
      <c r="G1423" t="s">
        <v>7</v>
      </c>
      <c r="H1423" s="3">
        <v>25.698599999999999</v>
      </c>
      <c r="I1423" t="s">
        <v>5665</v>
      </c>
      <c r="J1423" t="s">
        <v>13550</v>
      </c>
      <c r="L1423" t="s">
        <v>9736</v>
      </c>
      <c r="M1423" t="str">
        <f>"https://www.artic.edu/iiif/2/"&amp;Table9[[#This Row],[Image ID]]&amp;"/full/843,/0/default.jpg"</f>
        <v>https://www.artic.edu/iiif/2/b80d42a4-6840-6476-5aa8-4285753a3b8c/full/843,/0/default.jpg</v>
      </c>
      <c r="N1423" s="3">
        <v>0.82899999999999996</v>
      </c>
      <c r="O1423" s="3">
        <v>0.14599999999999999</v>
      </c>
      <c r="P1423" s="3">
        <v>0.68299999999999994</v>
      </c>
      <c r="Q1423" s="3">
        <v>0.67575788497924805</v>
      </c>
    </row>
    <row r="1424" spans="1:17" x14ac:dyDescent="0.45">
      <c r="A1424" s="3">
        <v>14695</v>
      </c>
      <c r="B1424" t="b">
        <v>0</v>
      </c>
      <c r="C1424" t="b">
        <v>1</v>
      </c>
      <c r="D1424" s="3">
        <v>1301</v>
      </c>
      <c r="E1424" s="3">
        <v>1400</v>
      </c>
      <c r="F1424" t="s">
        <v>3525</v>
      </c>
      <c r="G1424" t="s">
        <v>584</v>
      </c>
      <c r="H1424" s="3">
        <v>38.9039</v>
      </c>
      <c r="J1424" t="s">
        <v>13803</v>
      </c>
      <c r="K1424" s="5" t="s">
        <v>278</v>
      </c>
      <c r="L1424" t="s">
        <v>3526</v>
      </c>
      <c r="M1424" t="str">
        <f>"https://www.artic.edu/iiif/2/"&amp;Table9[[#This Row],[Image ID]]&amp;"/full/843,/0/default.jpg"</f>
        <v>https://www.artic.edu/iiif/2/cc58aefa-0894-6842-a95c-e3c2904d5f81/full/843,/0/default.jpg</v>
      </c>
      <c r="N1424" s="3">
        <v>0.85399999999999998</v>
      </c>
      <c r="O1424" s="3">
        <v>0.17100000000000001</v>
      </c>
      <c r="P1424" s="3">
        <v>0.68299999999999994</v>
      </c>
      <c r="Q1424" s="3">
        <v>0.74434930086135798</v>
      </c>
    </row>
    <row r="1425" spans="1:17" x14ac:dyDescent="0.45">
      <c r="A1425" s="3">
        <v>40130</v>
      </c>
      <c r="B1425" t="b">
        <v>0</v>
      </c>
      <c r="C1425" t="b">
        <v>1</v>
      </c>
      <c r="D1425" s="3">
        <v>1788</v>
      </c>
      <c r="E1425" s="3">
        <v>1788</v>
      </c>
      <c r="F1425" t="s">
        <v>7632</v>
      </c>
      <c r="G1425" t="s">
        <v>7633</v>
      </c>
      <c r="H1425" s="3">
        <v>13.873200000000001</v>
      </c>
      <c r="I1425" t="s">
        <v>2568</v>
      </c>
      <c r="J1425" t="s">
        <v>14245</v>
      </c>
      <c r="L1425" t="s">
        <v>7634</v>
      </c>
      <c r="M1425" t="str">
        <f>"https://www.artic.edu/iiif/2/"&amp;Table9[[#This Row],[Image ID]]&amp;"/full/843,/0/default.jpg"</f>
        <v>https://www.artic.edu/iiif/2/eb6539fc-c9ab-c524-2c77-d0af798592c3/full/843,/0/default.jpg</v>
      </c>
      <c r="N1425" s="3">
        <v>0.73199999999999998</v>
      </c>
      <c r="O1425" s="3">
        <v>4.9000000000000002E-2</v>
      </c>
      <c r="P1425" s="3">
        <v>0.68299999999999994</v>
      </c>
      <c r="Q1425" s="3">
        <v>0.80257189273834195</v>
      </c>
    </row>
    <row r="1426" spans="1:17" x14ac:dyDescent="0.45">
      <c r="A1426" s="3">
        <v>117547</v>
      </c>
      <c r="B1426" t="b">
        <v>0</v>
      </c>
      <c r="C1426" t="b">
        <v>1</v>
      </c>
      <c r="D1426" s="3">
        <v>1667</v>
      </c>
      <c r="E1426" s="3">
        <v>1670</v>
      </c>
      <c r="F1426" t="s">
        <v>2363</v>
      </c>
      <c r="G1426" t="s">
        <v>2364</v>
      </c>
      <c r="H1426" s="3">
        <v>8.8748000000000005</v>
      </c>
      <c r="I1426" t="s">
        <v>2365</v>
      </c>
      <c r="J1426" t="s">
        <v>14420</v>
      </c>
      <c r="L1426" t="s">
        <v>2366</v>
      </c>
      <c r="M1426" t="str">
        <f>"https://www.artic.edu/iiif/2/"&amp;Table9[[#This Row],[Image ID]]&amp;"/full/843,/0/default.jpg"</f>
        <v>https://www.artic.edu/iiif/2/f74b1088-f544-641a-649c-2661c5b852ca/full/843,/0/default.jpg</v>
      </c>
      <c r="N1426" s="3">
        <v>0.85399999999999998</v>
      </c>
      <c r="O1426" s="3">
        <v>0.17100000000000001</v>
      </c>
      <c r="P1426" s="3">
        <v>0.68299999999999994</v>
      </c>
      <c r="Q1426" s="3">
        <v>0.66315454244613603</v>
      </c>
    </row>
    <row r="1427" spans="1:17" x14ac:dyDescent="0.45">
      <c r="A1427" s="3">
        <v>236943</v>
      </c>
      <c r="B1427" t="b">
        <v>0</v>
      </c>
      <c r="C1427" t="b">
        <v>0</v>
      </c>
      <c r="D1427" s="3">
        <v>1969</v>
      </c>
      <c r="E1427" s="3">
        <v>1972</v>
      </c>
      <c r="F1427" t="s">
        <v>6300</v>
      </c>
      <c r="G1427" t="s">
        <v>59</v>
      </c>
      <c r="H1427" s="3">
        <v>38.335299999999997</v>
      </c>
      <c r="I1427" t="s">
        <v>2280</v>
      </c>
      <c r="J1427" t="s">
        <v>11252</v>
      </c>
      <c r="L1427" t="s">
        <v>6301</v>
      </c>
      <c r="M1427" t="str">
        <f>"https://www.artic.edu/iiif/2/"&amp;Table9[[#This Row],[Image ID]]&amp;"/full/843,/0/default.jpg"</f>
        <v>https://www.artic.edu/iiif/2/148c4cb0-a9e9-8dce-89b7-cae588f345b5/full/843,/0/default.jpg</v>
      </c>
      <c r="N1427" s="3">
        <v>0.78</v>
      </c>
      <c r="O1427" s="3">
        <v>9.8000000000000004E-2</v>
      </c>
      <c r="P1427" s="3">
        <v>0.68200000000000005</v>
      </c>
      <c r="Q1427" s="3">
        <v>0.68351805210113503</v>
      </c>
    </row>
    <row r="1428" spans="1:17" x14ac:dyDescent="0.45">
      <c r="A1428" s="3">
        <v>182388</v>
      </c>
      <c r="B1428" t="b">
        <v>0</v>
      </c>
      <c r="C1428" t="b">
        <v>0</v>
      </c>
      <c r="D1428" s="3">
        <v>1898</v>
      </c>
      <c r="E1428" s="3">
        <v>1898</v>
      </c>
      <c r="F1428" t="s">
        <v>4758</v>
      </c>
      <c r="G1428" t="s">
        <v>7</v>
      </c>
      <c r="H1428" s="3">
        <v>30.577500000000001</v>
      </c>
      <c r="I1428" t="s">
        <v>4746</v>
      </c>
      <c r="J1428" t="s">
        <v>11268</v>
      </c>
      <c r="L1428" t="s">
        <v>4759</v>
      </c>
      <c r="M1428" t="str">
        <f>"https://www.artic.edu/iiif/2/"&amp;Table9[[#This Row],[Image ID]]&amp;"/full/843,/0/default.jpg"</f>
        <v>https://www.artic.edu/iiif/2/15ae3683-b6f4-cae2-d713-8395748b9ce7/full/843,/0/default.jpg</v>
      </c>
      <c r="N1428" s="3">
        <v>0.78</v>
      </c>
      <c r="O1428" s="3">
        <v>9.8000000000000004E-2</v>
      </c>
      <c r="P1428" s="3">
        <v>0.68200000000000005</v>
      </c>
      <c r="Q1428" s="3">
        <v>0.81313604116439797</v>
      </c>
    </row>
    <row r="1429" spans="1:17" x14ac:dyDescent="0.45">
      <c r="A1429" s="3">
        <v>69774</v>
      </c>
      <c r="B1429" t="b">
        <v>0</v>
      </c>
      <c r="C1429" t="b">
        <v>0</v>
      </c>
      <c r="D1429" s="3">
        <v>1910</v>
      </c>
      <c r="E1429" s="3">
        <v>1910</v>
      </c>
      <c r="F1429" t="s">
        <v>9410</v>
      </c>
      <c r="G1429" t="s">
        <v>7</v>
      </c>
      <c r="H1429" s="3">
        <v>20.457699999999999</v>
      </c>
      <c r="I1429" t="s">
        <v>2638</v>
      </c>
      <c r="J1429" t="s">
        <v>11300</v>
      </c>
      <c r="K1429" s="5" t="s">
        <v>9</v>
      </c>
      <c r="L1429" t="s">
        <v>9411</v>
      </c>
      <c r="M1429" t="str">
        <f>"https://www.artic.edu/iiif/2/"&amp;Table9[[#This Row],[Image ID]]&amp;"/full/843,/0/default.jpg"</f>
        <v>https://www.artic.edu/iiif/2/1792802f-9146-cd55-2864-f5dc24c65377/full/843,/0/default.jpg</v>
      </c>
      <c r="N1429" s="3">
        <v>0.78</v>
      </c>
      <c r="O1429" s="3">
        <v>9.8000000000000004E-2</v>
      </c>
      <c r="P1429" s="3">
        <v>0.68200000000000005</v>
      </c>
      <c r="Q1429" s="3">
        <v>0.83692842721938998</v>
      </c>
    </row>
    <row r="1430" spans="1:17" x14ac:dyDescent="0.45">
      <c r="A1430" s="3">
        <v>152727</v>
      </c>
      <c r="B1430" t="b">
        <v>0</v>
      </c>
      <c r="C1430" t="b">
        <v>0</v>
      </c>
      <c r="D1430" s="3">
        <v>1942</v>
      </c>
      <c r="E1430" s="3">
        <v>1942</v>
      </c>
      <c r="F1430" t="s">
        <v>912</v>
      </c>
      <c r="G1430" t="s">
        <v>3906</v>
      </c>
      <c r="H1430" s="3">
        <v>74.909400000000005</v>
      </c>
      <c r="I1430" t="s">
        <v>14565</v>
      </c>
      <c r="J1430" t="s">
        <v>11457</v>
      </c>
      <c r="L1430" t="s">
        <v>3907</v>
      </c>
      <c r="M1430" t="str">
        <f>"https://www.artic.edu/iiif/2/"&amp;Table9[[#This Row],[Image ID]]&amp;"/full/843,/0/default.jpg"</f>
        <v>https://www.artic.edu/iiif/2/2201e595-da09-28a7-834f-91f98acc0356/full/843,/0/default.jpg</v>
      </c>
      <c r="N1430" s="3">
        <v>0.78</v>
      </c>
      <c r="O1430" s="3">
        <v>9.8000000000000004E-2</v>
      </c>
      <c r="P1430" s="3">
        <v>0.68200000000000005</v>
      </c>
      <c r="Q1430" s="3">
        <v>0.79582059383392301</v>
      </c>
    </row>
    <row r="1431" spans="1:17" x14ac:dyDescent="0.45">
      <c r="A1431" s="3">
        <v>184930</v>
      </c>
      <c r="B1431" t="b">
        <v>0</v>
      </c>
      <c r="C1431" t="b">
        <v>0</v>
      </c>
      <c r="D1431" s="3">
        <v>2003</v>
      </c>
      <c r="E1431" s="3">
        <v>2003</v>
      </c>
      <c r="F1431" t="s">
        <v>4918</v>
      </c>
      <c r="G1431" t="s">
        <v>4823</v>
      </c>
      <c r="H1431" s="3">
        <v>7.9805999999999999</v>
      </c>
      <c r="I1431" t="s">
        <v>293</v>
      </c>
      <c r="J1431" t="s">
        <v>10977</v>
      </c>
      <c r="K1431" s="5" t="s">
        <v>15</v>
      </c>
      <c r="L1431" t="s">
        <v>4919</v>
      </c>
      <c r="M1431" t="str">
        <f>"https://www.artic.edu/iiif/2/"&amp;Table9[[#This Row],[Image ID]]&amp;"/full/843,/0/default.jpg"</f>
        <v>https://www.artic.edu/iiif/2/36867d34-5d54-55f2-a91a-fe2aab9c9cd2/full/843,/0/default.jpg</v>
      </c>
      <c r="N1431" s="3">
        <v>0.77300000000000002</v>
      </c>
      <c r="O1431" s="3">
        <v>9.0999999999999998E-2</v>
      </c>
      <c r="P1431" s="3">
        <v>0.68200000000000005</v>
      </c>
      <c r="Q1431" s="3">
        <v>0.90148282051086404</v>
      </c>
    </row>
    <row r="1432" spans="1:17" x14ac:dyDescent="0.45">
      <c r="A1432" s="3">
        <v>59942</v>
      </c>
      <c r="B1432" t="b">
        <v>0</v>
      </c>
      <c r="C1432" t="b">
        <v>0</v>
      </c>
      <c r="D1432" s="3">
        <v>1785</v>
      </c>
      <c r="E1432" s="3">
        <v>1795</v>
      </c>
      <c r="F1432" t="s">
        <v>8646</v>
      </c>
      <c r="G1432" t="s">
        <v>8647</v>
      </c>
      <c r="H1432" s="3">
        <v>37.288499999999999</v>
      </c>
      <c r="I1432" t="s">
        <v>1726</v>
      </c>
      <c r="J1432" t="s">
        <v>8649</v>
      </c>
      <c r="L1432" t="s">
        <v>8648</v>
      </c>
      <c r="M1432" t="str">
        <f>"https://www.artic.edu/iiif/2/"&amp;Table9[[#This Row],[Image ID]]&amp;"/full/843,/0/default.jpg"</f>
        <v>https://www.artic.edu/iiif/2/7a27c7fb-6363-27d6-462b-5cec65799291/full/843,/0/default.jpg</v>
      </c>
      <c r="N1432" s="3">
        <v>0.78</v>
      </c>
      <c r="O1432" s="3">
        <v>9.8000000000000004E-2</v>
      </c>
      <c r="P1432" s="3">
        <v>0.68200000000000005</v>
      </c>
      <c r="Q1432" s="3">
        <v>0.76323002576828003</v>
      </c>
    </row>
    <row r="1433" spans="1:17" x14ac:dyDescent="0.45">
      <c r="A1433" s="3">
        <v>204438</v>
      </c>
      <c r="B1433" t="b">
        <v>0</v>
      </c>
      <c r="C1433" t="b">
        <v>0</v>
      </c>
      <c r="D1433" s="3">
        <v>1965</v>
      </c>
      <c r="E1433" s="3">
        <v>1975</v>
      </c>
      <c r="F1433" t="s">
        <v>5424</v>
      </c>
      <c r="G1433" t="s">
        <v>5425</v>
      </c>
      <c r="H1433" s="3">
        <v>26.6023</v>
      </c>
      <c r="I1433" t="s">
        <v>430</v>
      </c>
      <c r="J1433" t="s">
        <v>11158</v>
      </c>
      <c r="L1433" t="s">
        <v>5426</v>
      </c>
      <c r="M1433" t="str">
        <f>"https://www.artic.edu/iiif/2/"&amp;Table9[[#This Row],[Image ID]]&amp;"/full/843,/0/default.jpg"</f>
        <v>https://www.artic.edu/iiif/2/859f301c-6c43-2aca-e5e5-6202c77c1031/full/843,/0/default.jpg</v>
      </c>
      <c r="N1433" s="3">
        <v>0.77300000000000002</v>
      </c>
      <c r="O1433" s="3">
        <v>9.0999999999999998E-2</v>
      </c>
      <c r="P1433" s="3">
        <v>0.68200000000000005</v>
      </c>
      <c r="Q1433" s="3">
        <v>0.74602806568145696</v>
      </c>
    </row>
    <row r="1434" spans="1:17" x14ac:dyDescent="0.45">
      <c r="A1434" s="3">
        <v>133550</v>
      </c>
      <c r="B1434" t="b">
        <v>0</v>
      </c>
      <c r="C1434" t="b">
        <v>0</v>
      </c>
      <c r="D1434" s="3">
        <v>1926</v>
      </c>
      <c r="E1434" s="3">
        <v>1926</v>
      </c>
      <c r="F1434" t="s">
        <v>3060</v>
      </c>
      <c r="G1434" t="s">
        <v>3041</v>
      </c>
      <c r="H1434" s="3">
        <v>49.3767</v>
      </c>
      <c r="I1434" t="s">
        <v>3058</v>
      </c>
      <c r="J1434" t="s">
        <v>13138</v>
      </c>
      <c r="L1434" t="s">
        <v>3061</v>
      </c>
      <c r="M1434" t="str">
        <f>"https://www.artic.edu/iiif/2/"&amp;Table9[[#This Row],[Image ID]]&amp;"/full/843,/0/default.jpg"</f>
        <v>https://www.artic.edu/iiif/2/993fbd86-1d6f-7f5e-d4ef-a8056527607e/full/843,/0/default.jpg</v>
      </c>
      <c r="N1434" s="3">
        <v>0.78</v>
      </c>
      <c r="O1434" s="3">
        <v>9.8000000000000004E-2</v>
      </c>
      <c r="P1434" s="3">
        <v>0.68200000000000005</v>
      </c>
      <c r="Q1434" s="3">
        <v>0.49009317159652699</v>
      </c>
    </row>
    <row r="1435" spans="1:17" x14ac:dyDescent="0.45">
      <c r="A1435" s="3">
        <v>17444</v>
      </c>
      <c r="B1435" t="b">
        <v>0</v>
      </c>
      <c r="C1435" t="b">
        <v>0</v>
      </c>
      <c r="D1435" s="3">
        <v>1918</v>
      </c>
      <c r="E1435" s="3">
        <v>1918</v>
      </c>
      <c r="F1435" t="s">
        <v>4646</v>
      </c>
      <c r="G1435" t="s">
        <v>4647</v>
      </c>
      <c r="H1435" s="3">
        <v>47.2059</v>
      </c>
      <c r="I1435" t="s">
        <v>4648</v>
      </c>
      <c r="J1435" t="s">
        <v>13354</v>
      </c>
      <c r="L1435" t="s">
        <v>4649</v>
      </c>
      <c r="M1435" t="str">
        <f>"https://www.artic.edu/iiif/2/"&amp;Table9[[#This Row],[Image ID]]&amp;"/full/843,/0/default.jpg"</f>
        <v>https://www.artic.edu/iiif/2/a878b2e3-09a6-62e0-2b71-950277fc18da/full/843,/0/default.jpg</v>
      </c>
      <c r="N1435" s="3">
        <v>0.78</v>
      </c>
      <c r="O1435" s="3">
        <v>9.8000000000000004E-2</v>
      </c>
      <c r="P1435" s="3">
        <v>0.68200000000000005</v>
      </c>
      <c r="Q1435" s="3">
        <v>0.88998037576675404</v>
      </c>
    </row>
    <row r="1436" spans="1:17" x14ac:dyDescent="0.45">
      <c r="A1436" s="3">
        <v>83168</v>
      </c>
      <c r="B1436" t="b">
        <v>0</v>
      </c>
      <c r="C1436" t="b">
        <v>0</v>
      </c>
      <c r="D1436" s="3">
        <v>1870</v>
      </c>
      <c r="E1436" s="3">
        <v>1923</v>
      </c>
      <c r="F1436" t="s">
        <v>10214</v>
      </c>
      <c r="G1436" t="s">
        <v>2069</v>
      </c>
      <c r="H1436" s="3">
        <v>11.478899999999999</v>
      </c>
      <c r="I1436" t="s">
        <v>10215</v>
      </c>
      <c r="J1436" t="s">
        <v>13618</v>
      </c>
      <c r="L1436" t="s">
        <v>10216</v>
      </c>
      <c r="M1436" t="str">
        <f>"https://www.artic.edu/iiif/2/"&amp;Table9[[#This Row],[Image ID]]&amp;"/full/843,/0/default.jpg"</f>
        <v>https://www.artic.edu/iiif/2/bdc171d9-4a98-d483-9690-ac8a152f92da/full/843,/0/default.jpg</v>
      </c>
      <c r="N1436" s="3">
        <v>0.78</v>
      </c>
      <c r="O1436" s="3">
        <v>9.8000000000000004E-2</v>
      </c>
      <c r="P1436" s="3">
        <v>0.68200000000000005</v>
      </c>
      <c r="Q1436" s="3">
        <v>0.71947920322418202</v>
      </c>
    </row>
    <row r="1437" spans="1:17" x14ac:dyDescent="0.45">
      <c r="A1437" s="3">
        <v>184941</v>
      </c>
      <c r="B1437" t="b">
        <v>0</v>
      </c>
      <c r="C1437" t="b">
        <v>0</v>
      </c>
      <c r="D1437" s="3">
        <v>2003</v>
      </c>
      <c r="E1437" s="3">
        <v>2003</v>
      </c>
      <c r="F1437" t="s">
        <v>4930</v>
      </c>
      <c r="G1437" t="s">
        <v>4823</v>
      </c>
      <c r="H1437" s="3">
        <v>7.3113000000000001</v>
      </c>
      <c r="I1437" t="s">
        <v>293</v>
      </c>
      <c r="J1437" t="s">
        <v>10977</v>
      </c>
      <c r="K1437" s="5" t="s">
        <v>15</v>
      </c>
      <c r="L1437" t="s">
        <v>4931</v>
      </c>
      <c r="M1437" t="str">
        <f>"https://www.artic.edu/iiif/2/"&amp;Table9[[#This Row],[Image ID]]&amp;"/full/843,/0/default.jpg"</f>
        <v>https://www.artic.edu/iiif/2/dc588751-e251-582d-8173-f3a3b71f7a1a/full/843,/0/default.jpg</v>
      </c>
      <c r="N1437" s="3">
        <v>0.78</v>
      </c>
      <c r="O1437" s="3">
        <v>9.8000000000000004E-2</v>
      </c>
      <c r="P1437" s="3">
        <v>0.68200000000000005</v>
      </c>
      <c r="Q1437" s="3">
        <v>0.86301785707473699</v>
      </c>
    </row>
    <row r="1438" spans="1:17" x14ac:dyDescent="0.45">
      <c r="A1438" s="3">
        <v>14781</v>
      </c>
      <c r="B1438" t="b">
        <v>0</v>
      </c>
      <c r="C1438" t="b">
        <v>0</v>
      </c>
      <c r="D1438" s="3">
        <v>1888</v>
      </c>
      <c r="E1438" s="3">
        <v>1941</v>
      </c>
      <c r="F1438" t="s">
        <v>3667</v>
      </c>
      <c r="G1438" t="s">
        <v>3668</v>
      </c>
      <c r="H1438" s="3">
        <v>17.2803</v>
      </c>
      <c r="I1438" t="s">
        <v>1311</v>
      </c>
      <c r="J1438" t="s">
        <v>14540</v>
      </c>
      <c r="L1438" t="s">
        <v>3669</v>
      </c>
      <c r="M1438" t="str">
        <f>"https://www.artic.edu/iiif/2/"&amp;Table9[[#This Row],[Image ID]]&amp;"/full/843,/0/default.jpg"</f>
        <v>https://www.artic.edu/iiif/2/ff7f3ddc-87ee-ba97-d675-0a26baafd48d/full/843,/0/default.jpg</v>
      </c>
      <c r="N1438" s="3">
        <v>0.78</v>
      </c>
      <c r="O1438" s="3">
        <v>9.8000000000000004E-2</v>
      </c>
      <c r="P1438" s="3">
        <v>0.68200000000000005</v>
      </c>
      <c r="Q1438" s="3">
        <v>0.85641843080520597</v>
      </c>
    </row>
    <row r="1439" spans="1:17" ht="85.5" x14ac:dyDescent="0.45">
      <c r="A1439" s="3">
        <v>80537</v>
      </c>
      <c r="B1439" t="b">
        <v>0</v>
      </c>
      <c r="C1439" t="b">
        <v>1</v>
      </c>
      <c r="D1439" s="3">
        <v>1485</v>
      </c>
      <c r="E1439" s="3">
        <v>1495</v>
      </c>
      <c r="F1439" t="s">
        <v>81</v>
      </c>
      <c r="G1439" t="s">
        <v>103</v>
      </c>
      <c r="H1439" s="3">
        <v>44.426400000000001</v>
      </c>
      <c r="I1439" t="s">
        <v>10003</v>
      </c>
      <c r="J1439" s="1" t="s">
        <v>11023</v>
      </c>
      <c r="L1439" t="s">
        <v>10004</v>
      </c>
      <c r="M1439" t="str">
        <f>"https://www.artic.edu/iiif/2/"&amp;Table9[[#This Row],[Image ID]]&amp;"/full/843,/0/default.jpg"</f>
        <v>https://www.artic.edu/iiif/2/036eafef-d2fe-f7fb-2450-98660b0a49f9/full/843,/0/default.jpg</v>
      </c>
      <c r="N1439" s="3">
        <v>0.78</v>
      </c>
      <c r="O1439" s="3">
        <v>9.8000000000000004E-2</v>
      </c>
      <c r="P1439" s="3">
        <v>0.68200000000000005</v>
      </c>
      <c r="Q1439" s="3">
        <v>0.77878832817077603</v>
      </c>
    </row>
    <row r="1440" spans="1:17" x14ac:dyDescent="0.45">
      <c r="A1440" s="3">
        <v>76969</v>
      </c>
      <c r="B1440" t="b">
        <v>0</v>
      </c>
      <c r="C1440" t="b">
        <v>1</v>
      </c>
      <c r="D1440" s="3">
        <v>1420</v>
      </c>
      <c r="E1440" s="3">
        <v>1440</v>
      </c>
      <c r="F1440" t="s">
        <v>9813</v>
      </c>
      <c r="G1440" t="s">
        <v>9814</v>
      </c>
      <c r="H1440" s="3">
        <v>25.4038</v>
      </c>
      <c r="J1440" t="s">
        <v>11248</v>
      </c>
      <c r="K1440" s="5" t="s">
        <v>278</v>
      </c>
      <c r="L1440" t="s">
        <v>9815</v>
      </c>
      <c r="M1440" t="str">
        <f>"https://www.artic.edu/iiif/2/"&amp;Table9[[#This Row],[Image ID]]&amp;"/full/843,/0/default.jpg"</f>
        <v>https://www.artic.edu/iiif/2/144eb47e-7be4-6075-10b7-26de379fcfd4/full/843,/0/default.jpg</v>
      </c>
      <c r="N1440" s="3">
        <v>0.78</v>
      </c>
      <c r="O1440" s="3">
        <v>9.8000000000000004E-2</v>
      </c>
      <c r="P1440" s="3">
        <v>0.68200000000000005</v>
      </c>
      <c r="Q1440" s="3">
        <v>0.77901208400726296</v>
      </c>
    </row>
    <row r="1441" spans="1:17" x14ac:dyDescent="0.45">
      <c r="A1441" s="3">
        <v>145823</v>
      </c>
      <c r="B1441" t="b">
        <v>0</v>
      </c>
      <c r="C1441" t="b">
        <v>1</v>
      </c>
      <c r="D1441" s="3">
        <v>1898</v>
      </c>
      <c r="E1441" s="3">
        <v>1899</v>
      </c>
      <c r="F1441" t="s">
        <v>3379</v>
      </c>
      <c r="G1441" t="s">
        <v>3380</v>
      </c>
      <c r="H1441" s="3">
        <v>18.738800000000001</v>
      </c>
      <c r="I1441" t="s">
        <v>1337</v>
      </c>
      <c r="J1441" t="s">
        <v>11987</v>
      </c>
      <c r="L1441" t="s">
        <v>3381</v>
      </c>
      <c r="M1441" t="str">
        <f>"https://www.artic.edu/iiif/2/"&amp;Table9[[#This Row],[Image ID]]&amp;"/full/843,/0/default.jpg"</f>
        <v>https://www.artic.edu/iiif/2/4472904e-92de-7e95-d52e-4a7c764973df/full/843,/0/default.jpg</v>
      </c>
      <c r="N1441" s="3">
        <v>0.78</v>
      </c>
      <c r="O1441" s="3">
        <v>9.8000000000000004E-2</v>
      </c>
      <c r="P1441" s="3">
        <v>0.68200000000000005</v>
      </c>
      <c r="Q1441" s="3">
        <v>0.66328167915344205</v>
      </c>
    </row>
    <row r="1442" spans="1:17" x14ac:dyDescent="0.45">
      <c r="A1442" s="3">
        <v>214269</v>
      </c>
      <c r="B1442" t="b">
        <v>0</v>
      </c>
      <c r="C1442" t="b">
        <v>1</v>
      </c>
      <c r="D1442" s="3">
        <v>1665</v>
      </c>
      <c r="E1442" s="3">
        <v>1670</v>
      </c>
      <c r="F1442" t="s">
        <v>5614</v>
      </c>
      <c r="G1442" t="s">
        <v>75</v>
      </c>
      <c r="H1442" s="3">
        <v>20.447500000000002</v>
      </c>
      <c r="I1442" t="s">
        <v>738</v>
      </c>
      <c r="J1442" t="s">
        <v>12091</v>
      </c>
      <c r="L1442" t="s">
        <v>5615</v>
      </c>
      <c r="M1442" t="str">
        <f>"https://www.artic.edu/iiif/2/"&amp;Table9[[#This Row],[Image ID]]&amp;"/full/843,/0/default.jpg"</f>
        <v>https://www.artic.edu/iiif/2/4cf54b0c-c643-20c7-b0a4-68bc4b7626d9/full/843,/0/default.jpg</v>
      </c>
      <c r="N1442" s="3">
        <v>0.78</v>
      </c>
      <c r="O1442" s="3">
        <v>9.8000000000000004E-2</v>
      </c>
      <c r="P1442" s="3">
        <v>0.68200000000000005</v>
      </c>
      <c r="Q1442" s="3">
        <v>0.67375153303146296</v>
      </c>
    </row>
    <row r="1443" spans="1:17" x14ac:dyDescent="0.45">
      <c r="A1443" s="3">
        <v>20706</v>
      </c>
      <c r="B1443" t="b">
        <v>0</v>
      </c>
      <c r="C1443" t="b">
        <v>1</v>
      </c>
      <c r="D1443" s="3">
        <v>1907</v>
      </c>
      <c r="E1443" s="3">
        <v>1907</v>
      </c>
      <c r="F1443" t="s">
        <v>5503</v>
      </c>
      <c r="G1443" t="s">
        <v>7</v>
      </c>
      <c r="H1443" s="3">
        <v>24.171900000000001</v>
      </c>
      <c r="I1443" t="s">
        <v>1277</v>
      </c>
      <c r="J1443" t="s">
        <v>14141</v>
      </c>
      <c r="L1443" t="s">
        <v>5504</v>
      </c>
      <c r="M1443" t="str">
        <f>"https://www.artic.edu/iiif/2/"&amp;Table9[[#This Row],[Image ID]]&amp;"/full/843,/0/default.jpg"</f>
        <v>https://www.artic.edu/iiif/2/e474f7cf-2e39-1de2-3fd3-ccb6b84c78f2/full/843,/0/default.jpg</v>
      </c>
      <c r="N1443" s="3">
        <v>0.78</v>
      </c>
      <c r="O1443" s="3">
        <v>9.8000000000000004E-2</v>
      </c>
      <c r="P1443" s="3">
        <v>0.68200000000000005</v>
      </c>
      <c r="Q1443" s="3">
        <v>0.64198583364486606</v>
      </c>
    </row>
    <row r="1444" spans="1:17" x14ac:dyDescent="0.45">
      <c r="A1444" s="3">
        <v>71559</v>
      </c>
      <c r="B1444" t="b">
        <v>0</v>
      </c>
      <c r="C1444" t="b">
        <v>1</v>
      </c>
      <c r="D1444" s="3">
        <v>1475</v>
      </c>
      <c r="E1444" s="3">
        <v>1485</v>
      </c>
      <c r="F1444" t="s">
        <v>9510</v>
      </c>
      <c r="G1444" t="s">
        <v>9511</v>
      </c>
      <c r="H1444" s="3">
        <v>29.497199999999999</v>
      </c>
      <c r="I1444" t="s">
        <v>9485</v>
      </c>
      <c r="J1444" t="s">
        <v>14407</v>
      </c>
      <c r="K1444" s="5" t="s">
        <v>278</v>
      </c>
      <c r="L1444" t="s">
        <v>9512</v>
      </c>
      <c r="M1444" t="str">
        <f>"https://www.artic.edu/iiif/2/"&amp;Table9[[#This Row],[Image ID]]&amp;"/full/843,/0/default.jpg"</f>
        <v>https://www.artic.edu/iiif/2/f68b33da-7289-9c95-bd12-e5cc2445e3e2/full/843,/0/default.jpg</v>
      </c>
      <c r="N1444" s="3">
        <v>0.78</v>
      </c>
      <c r="O1444" s="3">
        <v>9.8000000000000004E-2</v>
      </c>
      <c r="P1444" s="3">
        <v>0.68200000000000005</v>
      </c>
      <c r="Q1444" s="3">
        <v>0.58848345279693604</v>
      </c>
    </row>
    <row r="1445" spans="1:17" x14ac:dyDescent="0.45">
      <c r="A1445" s="3">
        <v>20529</v>
      </c>
      <c r="B1445" t="b">
        <v>0</v>
      </c>
      <c r="C1445" t="b">
        <v>1</v>
      </c>
      <c r="D1445" s="3">
        <v>1880</v>
      </c>
      <c r="E1445" s="3">
        <v>1890</v>
      </c>
      <c r="F1445" t="s">
        <v>5448</v>
      </c>
      <c r="G1445" t="s">
        <v>5449</v>
      </c>
      <c r="H1445" s="3">
        <v>26.827000000000002</v>
      </c>
      <c r="I1445" t="s">
        <v>14591</v>
      </c>
      <c r="J1445" t="s">
        <v>14485</v>
      </c>
      <c r="L1445" t="s">
        <v>5450</v>
      </c>
      <c r="M1445" t="str">
        <f>"https://www.artic.edu/iiif/2/"&amp;Table9[[#This Row],[Image ID]]&amp;"/full/843,/0/default.jpg"</f>
        <v>https://www.artic.edu/iiif/2/fc52988d-cd56-cf6b-4f7f-706d2c20b214/full/843,/0/default.jpg</v>
      </c>
      <c r="N1445" s="3">
        <v>0.78</v>
      </c>
      <c r="O1445" s="3">
        <v>9.8000000000000004E-2</v>
      </c>
      <c r="P1445" s="3">
        <v>0.68200000000000005</v>
      </c>
      <c r="Q1445" s="3">
        <v>0.755798399448394</v>
      </c>
    </row>
    <row r="1446" spans="1:17" x14ac:dyDescent="0.45">
      <c r="A1446" s="3">
        <v>239320</v>
      </c>
      <c r="B1446" t="b">
        <v>0</v>
      </c>
      <c r="C1446" t="b">
        <v>0</v>
      </c>
      <c r="D1446" s="3">
        <v>1966</v>
      </c>
      <c r="E1446" s="3">
        <v>1966</v>
      </c>
      <c r="F1446" t="s">
        <v>11</v>
      </c>
      <c r="G1446" t="s">
        <v>6340</v>
      </c>
      <c r="H1446" s="3">
        <v>9.7459000000000007</v>
      </c>
      <c r="I1446" t="s">
        <v>3825</v>
      </c>
      <c r="J1446" t="s">
        <v>11017</v>
      </c>
      <c r="L1446" t="s">
        <v>6341</v>
      </c>
      <c r="M1446" t="str">
        <f>"https://www.artic.edu/iiif/2/"&amp;Table9[[#This Row],[Image ID]]&amp;"/full/843,/0/default.jpg"</f>
        <v>https://www.artic.edu/iiif/2/0343c92d-e22f-1a5c-cf5c-7f989a9d5d5b/full/843,/0/default.jpg</v>
      </c>
      <c r="N1446" s="3">
        <v>0.75</v>
      </c>
      <c r="O1446" s="3">
        <v>6.8000000000000005E-2</v>
      </c>
      <c r="P1446" s="3">
        <v>0.68199999999999994</v>
      </c>
      <c r="Q1446" s="3">
        <v>0.92257428169250399</v>
      </c>
    </row>
    <row r="1447" spans="1:17" x14ac:dyDescent="0.45">
      <c r="A1447" s="3">
        <v>129820</v>
      </c>
      <c r="B1447" t="b">
        <v>0</v>
      </c>
      <c r="C1447" t="b">
        <v>0</v>
      </c>
      <c r="D1447" s="3">
        <v>1944</v>
      </c>
      <c r="E1447" s="3">
        <v>1994</v>
      </c>
      <c r="F1447" t="s">
        <v>2942</v>
      </c>
      <c r="G1447" t="s">
        <v>2943</v>
      </c>
      <c r="H1447" s="3">
        <v>35.610999999999997</v>
      </c>
      <c r="I1447" t="s">
        <v>1281</v>
      </c>
      <c r="J1447" t="s">
        <v>13794</v>
      </c>
      <c r="L1447" t="s">
        <v>2944</v>
      </c>
      <c r="M1447" t="str">
        <f>"https://www.artic.edu/iiif/2/"&amp;Table9[[#This Row],[Image ID]]&amp;"/full/843,/0/default.jpg"</f>
        <v>https://www.artic.edu/iiif/2/cb7d7f30-e47e-23cd-9b08-72732f7d859c/full/843,/0/default.jpg</v>
      </c>
      <c r="N1447" s="3">
        <v>0.75</v>
      </c>
      <c r="O1447" s="3">
        <v>6.8000000000000005E-2</v>
      </c>
      <c r="P1447" s="3">
        <v>0.68199999999999994</v>
      </c>
      <c r="Q1447" s="3">
        <v>0.77868884801864602</v>
      </c>
    </row>
    <row r="1448" spans="1:17" x14ac:dyDescent="0.45">
      <c r="A1448" s="3">
        <v>185765</v>
      </c>
      <c r="B1448" t="b">
        <v>0</v>
      </c>
      <c r="C1448" t="b">
        <v>0</v>
      </c>
      <c r="D1448" s="3">
        <v>1938</v>
      </c>
      <c r="E1448" s="3">
        <v>1938</v>
      </c>
      <c r="F1448" t="s">
        <v>5009</v>
      </c>
      <c r="G1448" t="s">
        <v>7</v>
      </c>
      <c r="H1448" s="3">
        <v>41.161999999999999</v>
      </c>
      <c r="I1448" t="s">
        <v>190</v>
      </c>
      <c r="J1448" t="s">
        <v>11434</v>
      </c>
      <c r="K1448" s="5" t="s">
        <v>2</v>
      </c>
      <c r="L1448" t="s">
        <v>5010</v>
      </c>
      <c r="M1448" t="str">
        <f>"https://www.artic.edu/iiif/2/"&amp;Table9[[#This Row],[Image ID]]&amp;"/full/843,/0/default.jpg"</f>
        <v>https://www.artic.edu/iiif/2/202dac73-c26b-83ac-1bb3-1c9b941227f2/full/843,/0/default.jpg</v>
      </c>
      <c r="N1448" s="3">
        <v>0.75</v>
      </c>
      <c r="O1448" s="3">
        <v>7.0999999999999994E-2</v>
      </c>
      <c r="P1448" s="3">
        <v>0.67900000000000005</v>
      </c>
      <c r="Q1448" s="3">
        <v>0.63015425205230702</v>
      </c>
    </row>
    <row r="1449" spans="1:17" x14ac:dyDescent="0.45">
      <c r="A1449" s="3">
        <v>80507</v>
      </c>
      <c r="B1449" t="b">
        <v>0</v>
      </c>
      <c r="C1449" t="b">
        <v>0</v>
      </c>
      <c r="D1449" s="3">
        <v>1941</v>
      </c>
      <c r="E1449" s="3">
        <v>1941</v>
      </c>
      <c r="F1449" t="s">
        <v>9988</v>
      </c>
      <c r="G1449" t="s">
        <v>9989</v>
      </c>
      <c r="H1449" s="3">
        <v>21.6524</v>
      </c>
      <c r="I1449" t="s">
        <v>2957</v>
      </c>
      <c r="J1449" t="s">
        <v>11000</v>
      </c>
      <c r="L1449" t="s">
        <v>9990</v>
      </c>
      <c r="M1449" t="str">
        <f>"https://www.artic.edu/iiif/2/"&amp;Table9[[#This Row],[Image ID]]&amp;"/full/843,/0/default.jpg"</f>
        <v>https://www.artic.edu/iiif/2/02557d5d-7378-7d99-4aba-728241a98913/full/843,/0/default.jpg</v>
      </c>
      <c r="N1449" s="3">
        <v>0.85</v>
      </c>
      <c r="O1449" s="3">
        <v>0.17100000000000001</v>
      </c>
      <c r="P1449" s="3">
        <v>0.67899999999999994</v>
      </c>
      <c r="Q1449" s="3">
        <v>0.84943962097167902</v>
      </c>
    </row>
    <row r="1450" spans="1:17" x14ac:dyDescent="0.45">
      <c r="A1450" s="3">
        <v>35455</v>
      </c>
      <c r="B1450" t="b">
        <v>0</v>
      </c>
      <c r="C1450" t="b">
        <v>0</v>
      </c>
      <c r="D1450" s="3">
        <v>1969</v>
      </c>
      <c r="E1450" s="3">
        <v>1969</v>
      </c>
      <c r="F1450" t="s">
        <v>7191</v>
      </c>
      <c r="G1450" t="s">
        <v>59</v>
      </c>
      <c r="H1450" s="3">
        <v>74.465400000000002</v>
      </c>
      <c r="I1450" t="s">
        <v>7192</v>
      </c>
      <c r="J1450" t="s">
        <v>11199</v>
      </c>
      <c r="L1450" t="s">
        <v>7193</v>
      </c>
      <c r="M1450" t="str">
        <f>"https://www.artic.edu/iiif/2/"&amp;Table9[[#This Row],[Image ID]]&amp;"/full/843,/0/default.jpg"</f>
        <v>https://www.artic.edu/iiif/2/1170399d-c903-d0d2-1f0b-178eee54601d/full/843,/0/default.jpg</v>
      </c>
      <c r="N1450" s="3">
        <v>0.8</v>
      </c>
      <c r="O1450" s="3">
        <v>0.122</v>
      </c>
      <c r="P1450" s="3">
        <v>0.67800000000000005</v>
      </c>
      <c r="Q1450" s="3">
        <v>0.81297224760055498</v>
      </c>
    </row>
    <row r="1451" spans="1:17" x14ac:dyDescent="0.45">
      <c r="A1451" s="3">
        <v>129679</v>
      </c>
      <c r="B1451" t="b">
        <v>0</v>
      </c>
      <c r="C1451" t="b">
        <v>0</v>
      </c>
      <c r="D1451" s="3">
        <v>1941</v>
      </c>
      <c r="E1451" s="3">
        <v>1941</v>
      </c>
      <c r="F1451" t="s">
        <v>2900</v>
      </c>
      <c r="G1451" t="s">
        <v>2892</v>
      </c>
      <c r="H1451" s="3">
        <v>52.452800000000003</v>
      </c>
      <c r="I1451" t="s">
        <v>14549</v>
      </c>
      <c r="J1451" t="s">
        <v>10990</v>
      </c>
      <c r="L1451" t="s">
        <v>2901</v>
      </c>
      <c r="M1451" t="str">
        <f>"https://www.artic.edu/iiif/2/"&amp;Table9[[#This Row],[Image ID]]&amp;"/full/843,/0/default.jpg"</f>
        <v>https://www.artic.edu/iiif/2/861a7b79-2146-382b-6480-15d30e8a4b35/full/843,/0/default.jpg</v>
      </c>
      <c r="N1451" s="3">
        <v>0.8</v>
      </c>
      <c r="O1451" s="3">
        <v>0.122</v>
      </c>
      <c r="P1451" s="3">
        <v>0.67800000000000005</v>
      </c>
      <c r="Q1451" s="3">
        <v>0.88985896110534601</v>
      </c>
    </row>
    <row r="1452" spans="1:17" x14ac:dyDescent="0.45">
      <c r="A1452" s="3">
        <v>109447</v>
      </c>
      <c r="B1452" t="b">
        <v>0</v>
      </c>
      <c r="C1452" t="b">
        <v>0</v>
      </c>
      <c r="D1452" s="3">
        <v>1970</v>
      </c>
      <c r="E1452" s="3">
        <v>1970</v>
      </c>
      <c r="F1452" t="s">
        <v>794</v>
      </c>
      <c r="G1452" t="s">
        <v>795</v>
      </c>
      <c r="H1452" s="3">
        <v>89.997200000000007</v>
      </c>
      <c r="I1452" t="s">
        <v>796</v>
      </c>
      <c r="J1452" t="s">
        <v>11187</v>
      </c>
      <c r="L1452" t="s">
        <v>797</v>
      </c>
      <c r="M1452" t="str">
        <f>"https://www.artic.edu/iiif/2/"&amp;Table9[[#This Row],[Image ID]]&amp;"/full/843,/0/default.jpg"</f>
        <v>https://www.artic.edu/iiif/2/1071228e-f1a1-bca3-8443-e6c31738d2d9/full/843,/0/default.jpg</v>
      </c>
      <c r="N1452" s="3">
        <v>0.75</v>
      </c>
      <c r="O1452" s="3">
        <v>7.2999999999999995E-2</v>
      </c>
      <c r="P1452" s="3">
        <v>0.67700000000000005</v>
      </c>
      <c r="Q1452" s="3">
        <v>0.70171457529067904</v>
      </c>
    </row>
    <row r="1453" spans="1:17" x14ac:dyDescent="0.45">
      <c r="A1453" s="3">
        <v>145861</v>
      </c>
      <c r="B1453" t="b">
        <v>0</v>
      </c>
      <c r="C1453" t="b">
        <v>0</v>
      </c>
      <c r="D1453" s="3">
        <v>1964</v>
      </c>
      <c r="E1453" s="3">
        <v>1964</v>
      </c>
      <c r="F1453" t="s">
        <v>3400</v>
      </c>
      <c r="G1453" t="s">
        <v>3401</v>
      </c>
      <c r="H1453" s="3">
        <v>31.3384</v>
      </c>
      <c r="I1453" t="s">
        <v>2342</v>
      </c>
      <c r="J1453" t="s">
        <v>11401</v>
      </c>
      <c r="L1453" t="s">
        <v>3402</v>
      </c>
      <c r="M1453" t="str">
        <f>"https://www.artic.edu/iiif/2/"&amp;Table9[[#This Row],[Image ID]]&amp;"/full/843,/0/default.jpg"</f>
        <v>https://www.artic.edu/iiif/2/1e9c28f5-c6df-1fe5-a74b-dbc7041fa6f4/full/843,/0/default.jpg</v>
      </c>
      <c r="N1453" s="3">
        <v>0.75</v>
      </c>
      <c r="O1453" s="3">
        <v>7.2999999999999995E-2</v>
      </c>
      <c r="P1453" s="3">
        <v>0.67700000000000005</v>
      </c>
      <c r="Q1453" s="3">
        <v>0.81902486085891701</v>
      </c>
    </row>
    <row r="1454" spans="1:17" x14ac:dyDescent="0.45">
      <c r="A1454" s="3">
        <v>184936</v>
      </c>
      <c r="B1454" t="b">
        <v>0</v>
      </c>
      <c r="C1454" t="b">
        <v>0</v>
      </c>
      <c r="D1454" s="3">
        <v>2003</v>
      </c>
      <c r="E1454" s="3">
        <v>2003</v>
      </c>
      <c r="F1454" t="s">
        <v>4920</v>
      </c>
      <c r="G1454" t="s">
        <v>4823</v>
      </c>
      <c r="H1454" s="3">
        <v>10.2652</v>
      </c>
      <c r="I1454" t="s">
        <v>293</v>
      </c>
      <c r="J1454" t="s">
        <v>10977</v>
      </c>
      <c r="K1454" s="5" t="s">
        <v>15</v>
      </c>
      <c r="L1454" t="s">
        <v>4921</v>
      </c>
      <c r="M1454" t="str">
        <f>"https://www.artic.edu/iiif/2/"&amp;Table9[[#This Row],[Image ID]]&amp;"/full/843,/0/default.jpg"</f>
        <v>https://www.artic.edu/iiif/2/adb5449c-0487-9fa9-27af-0f34142394fa/full/843,/0/default.jpg</v>
      </c>
      <c r="N1454" s="3">
        <v>0.77500000000000002</v>
      </c>
      <c r="O1454" s="3">
        <v>9.8000000000000004E-2</v>
      </c>
      <c r="P1454" s="3">
        <v>0.67700000000000005</v>
      </c>
      <c r="Q1454" s="3">
        <v>0.76832967996597201</v>
      </c>
    </row>
    <row r="1455" spans="1:17" x14ac:dyDescent="0.45">
      <c r="A1455" s="3">
        <v>63532</v>
      </c>
      <c r="B1455" t="b">
        <v>0</v>
      </c>
      <c r="C1455" t="b">
        <v>0</v>
      </c>
      <c r="D1455" s="3">
        <v>1882</v>
      </c>
      <c r="E1455" s="3">
        <v>1882</v>
      </c>
      <c r="F1455" t="s">
        <v>8933</v>
      </c>
      <c r="G1455" t="s">
        <v>7</v>
      </c>
      <c r="H1455" s="3">
        <v>37.031599999999997</v>
      </c>
      <c r="I1455" t="s">
        <v>8270</v>
      </c>
      <c r="J1455" t="s">
        <v>12105</v>
      </c>
      <c r="L1455" t="s">
        <v>8934</v>
      </c>
      <c r="M1455" t="str">
        <f>"https://www.artic.edu/iiif/2/"&amp;Table9[[#This Row],[Image ID]]&amp;"/full/843,/0/default.jpg"</f>
        <v>https://www.artic.edu/iiif/2/4da06460-1314-a2af-c1b0-bf4d12e76d45/full/843,/0/default.jpg</v>
      </c>
      <c r="N1455" s="3">
        <v>0.72499999999999998</v>
      </c>
      <c r="O1455" s="3">
        <v>4.8000000000000001E-2</v>
      </c>
      <c r="P1455" s="3">
        <v>0.67699999999999994</v>
      </c>
      <c r="Q1455" s="3">
        <v>0.53260803222656194</v>
      </c>
    </row>
    <row r="1456" spans="1:17" x14ac:dyDescent="0.45">
      <c r="A1456" s="3">
        <v>97908</v>
      </c>
      <c r="B1456" t="b">
        <v>0</v>
      </c>
      <c r="C1456" t="b">
        <v>1</v>
      </c>
      <c r="D1456" s="3">
        <v>1893</v>
      </c>
      <c r="E1456" s="3">
        <v>1893</v>
      </c>
      <c r="F1456" t="s">
        <v>10897</v>
      </c>
      <c r="G1456" t="s">
        <v>7</v>
      </c>
      <c r="H1456" s="3">
        <v>12.404400000000001</v>
      </c>
      <c r="I1456" t="s">
        <v>192</v>
      </c>
      <c r="J1456" t="s">
        <v>11444</v>
      </c>
      <c r="L1456" t="s">
        <v>10898</v>
      </c>
      <c r="M1456" t="str">
        <f>"https://www.artic.edu/iiif/2/"&amp;Table9[[#This Row],[Image ID]]&amp;"/full/843,/0/default.jpg"</f>
        <v>https://www.artic.edu/iiif/2/211e903f-a1a3-76d5-90b0-13a1717ee210/full/843,/0/default.jpg</v>
      </c>
      <c r="N1456" s="3">
        <v>0.72499999999999998</v>
      </c>
      <c r="O1456" s="3">
        <v>4.8000000000000001E-2</v>
      </c>
      <c r="P1456" s="3">
        <v>0.67699999999999994</v>
      </c>
      <c r="Q1456" s="3">
        <v>0.824240982532501</v>
      </c>
    </row>
    <row r="1457" spans="1:17" x14ac:dyDescent="0.45">
      <c r="A1457" s="3">
        <v>96625</v>
      </c>
      <c r="B1457" t="b">
        <v>0</v>
      </c>
      <c r="C1457" t="b">
        <v>0</v>
      </c>
      <c r="D1457" s="3">
        <v>1945</v>
      </c>
      <c r="E1457" s="3">
        <v>1945</v>
      </c>
      <c r="F1457" t="s">
        <v>10805</v>
      </c>
      <c r="G1457" t="s">
        <v>7</v>
      </c>
      <c r="H1457" s="3">
        <v>33.582799999999999</v>
      </c>
      <c r="I1457" t="s">
        <v>172</v>
      </c>
      <c r="J1457" t="s">
        <v>11518</v>
      </c>
      <c r="L1457" t="s">
        <v>10806</v>
      </c>
      <c r="M1457" t="str">
        <f>"https://www.artic.edu/iiif/2/"&amp;Table9[[#This Row],[Image ID]]&amp;"/full/843,/0/default.jpg"</f>
        <v>https://www.artic.edu/iiif/2/262f965f-e86a-d0ba-8e24-fefcdc3979de/full/843,/0/default.jpg</v>
      </c>
      <c r="N1457" s="3">
        <v>0.72499999999999998</v>
      </c>
      <c r="O1457" s="3">
        <v>4.9000000000000002E-2</v>
      </c>
      <c r="P1457" s="3">
        <v>0.67599999999999993</v>
      </c>
      <c r="Q1457" s="3">
        <v>0.81225419044494596</v>
      </c>
    </row>
    <row r="1458" spans="1:17" x14ac:dyDescent="0.45">
      <c r="A1458" s="3">
        <v>73648</v>
      </c>
      <c r="B1458" t="b">
        <v>0</v>
      </c>
      <c r="C1458" t="b">
        <v>0</v>
      </c>
      <c r="D1458" s="3">
        <v>1929</v>
      </c>
      <c r="E1458" s="3">
        <v>1929</v>
      </c>
      <c r="F1458" t="s">
        <v>9637</v>
      </c>
      <c r="G1458" t="s">
        <v>7</v>
      </c>
      <c r="H1458" s="3">
        <v>55.698700000000002</v>
      </c>
      <c r="I1458" t="s">
        <v>14572</v>
      </c>
      <c r="J1458" t="s">
        <v>11737</v>
      </c>
      <c r="L1458" t="s">
        <v>9638</v>
      </c>
      <c r="M1458" t="str">
        <f>"https://www.artic.edu/iiif/2/"&amp;Table9[[#This Row],[Image ID]]&amp;"/full/843,/0/default.jpg"</f>
        <v>https://www.artic.edu/iiif/2/34a18ce8-f39d-059a-18c8-932c22fb0a5d/full/843,/0/default.jpg</v>
      </c>
      <c r="N1458" s="3">
        <v>0.72499999999999998</v>
      </c>
      <c r="O1458" s="3">
        <v>4.9000000000000002E-2</v>
      </c>
      <c r="P1458" s="3">
        <v>0.67599999999999993</v>
      </c>
      <c r="Q1458" s="3">
        <v>0.75408339500427202</v>
      </c>
    </row>
    <row r="1459" spans="1:17" x14ac:dyDescent="0.45">
      <c r="A1459" s="3">
        <v>27103</v>
      </c>
      <c r="B1459" t="b">
        <v>0</v>
      </c>
      <c r="C1459" t="b">
        <v>0</v>
      </c>
      <c r="D1459" s="3">
        <v>1962</v>
      </c>
      <c r="E1459" s="3">
        <v>1962</v>
      </c>
      <c r="F1459" t="s">
        <v>6697</v>
      </c>
      <c r="G1459" t="s">
        <v>6698</v>
      </c>
      <c r="H1459" s="3">
        <v>11.3309</v>
      </c>
      <c r="I1459" t="s">
        <v>612</v>
      </c>
      <c r="J1459" t="s">
        <v>12896</v>
      </c>
      <c r="L1459" t="s">
        <v>6699</v>
      </c>
      <c r="M1459" t="str">
        <f>"https://www.artic.edu/iiif/2/"&amp;Table9[[#This Row],[Image ID]]&amp;"/full/843,/0/default.jpg"</f>
        <v>https://www.artic.edu/iiif/2/857653de-8087-38f4-0a4c-305862f85154/full/843,/0/default.jpg</v>
      </c>
      <c r="N1459" s="3">
        <v>0.72099999999999997</v>
      </c>
      <c r="O1459" s="3">
        <v>4.4999999999999998E-2</v>
      </c>
      <c r="P1459" s="3">
        <v>0.67599999999999993</v>
      </c>
      <c r="Q1459" s="3">
        <v>0.74983400106429998</v>
      </c>
    </row>
    <row r="1460" spans="1:17" x14ac:dyDescent="0.45">
      <c r="A1460" s="3">
        <v>99758</v>
      </c>
      <c r="B1460" t="b">
        <v>0</v>
      </c>
      <c r="C1460" t="b">
        <v>0</v>
      </c>
      <c r="D1460" s="3">
        <v>1940</v>
      </c>
      <c r="E1460" s="3">
        <v>1940</v>
      </c>
      <c r="F1460" t="s">
        <v>10953</v>
      </c>
      <c r="G1460" t="s">
        <v>7</v>
      </c>
      <c r="H1460" s="3">
        <v>20.8141</v>
      </c>
      <c r="I1460" t="s">
        <v>378</v>
      </c>
      <c r="J1460" t="s">
        <v>13213</v>
      </c>
      <c r="K1460" s="5" t="s">
        <v>45</v>
      </c>
      <c r="L1460" t="s">
        <v>10954</v>
      </c>
      <c r="M1460" t="str">
        <f>"https://www.artic.edu/iiif/2/"&amp;Table9[[#This Row],[Image ID]]&amp;"/full/843,/0/default.jpg"</f>
        <v>https://www.artic.edu/iiif/2/9e39cf81-fa7c-9c62-5e02-ba92cbffcba5/full/843,/0/default.jpg</v>
      </c>
      <c r="N1460" s="3">
        <v>0.72499999999999998</v>
      </c>
      <c r="O1460" s="3">
        <v>4.9000000000000002E-2</v>
      </c>
      <c r="P1460" s="3">
        <v>0.67599999999999993</v>
      </c>
      <c r="Q1460" s="3">
        <v>0.69848358631134</v>
      </c>
    </row>
    <row r="1461" spans="1:17" x14ac:dyDescent="0.45">
      <c r="A1461" s="3">
        <v>158752</v>
      </c>
      <c r="B1461" t="b">
        <v>0</v>
      </c>
      <c r="C1461" t="b">
        <v>0</v>
      </c>
      <c r="D1461" s="3">
        <v>1943</v>
      </c>
      <c r="E1461" s="3">
        <v>1943</v>
      </c>
      <c r="F1461" t="s">
        <v>4162</v>
      </c>
      <c r="G1461" t="s">
        <v>7</v>
      </c>
      <c r="H1461" s="3">
        <v>77.696899999999999</v>
      </c>
      <c r="I1461" t="s">
        <v>144</v>
      </c>
      <c r="J1461" t="s">
        <v>6635</v>
      </c>
      <c r="K1461" s="5" t="s">
        <v>45</v>
      </c>
      <c r="L1461" t="s">
        <v>4163</v>
      </c>
      <c r="M1461" t="str">
        <f>"https://www.artic.edu/iiif/2/"&amp;Table9[[#This Row],[Image ID]]&amp;"/full/843,/0/default.jpg"</f>
        <v>https://www.artic.edu/iiif/2/a5b8d8f3-79a4-6ee4-bf3e-ce143cc9d2fd/full/843,/0/default.jpg</v>
      </c>
      <c r="N1461" s="3">
        <v>0.7</v>
      </c>
      <c r="O1461" s="3">
        <v>2.4E-2</v>
      </c>
      <c r="P1461" s="3">
        <v>0.67599999999999993</v>
      </c>
      <c r="Q1461" s="3">
        <v>0.87168288230895996</v>
      </c>
    </row>
    <row r="1462" spans="1:17" x14ac:dyDescent="0.45">
      <c r="A1462" s="3">
        <v>119115</v>
      </c>
      <c r="B1462" t="b">
        <v>0</v>
      </c>
      <c r="C1462" t="b">
        <v>0</v>
      </c>
      <c r="D1462" s="3">
        <v>1910</v>
      </c>
      <c r="E1462" s="3">
        <v>1910</v>
      </c>
      <c r="F1462" t="s">
        <v>2583</v>
      </c>
      <c r="G1462" t="s">
        <v>7</v>
      </c>
      <c r="H1462" s="3">
        <v>26.6343</v>
      </c>
      <c r="I1462" t="s">
        <v>2584</v>
      </c>
      <c r="J1462" t="s">
        <v>13320</v>
      </c>
      <c r="L1462" t="s">
        <v>2585</v>
      </c>
      <c r="M1462" t="str">
        <f>"https://www.artic.edu/iiif/2/"&amp;Table9[[#This Row],[Image ID]]&amp;"/full/843,/0/default.jpg"</f>
        <v>https://www.artic.edu/iiif/2/a66caf23-d8db-3bba-55bd-40c59127c322/full/843,/0/default.jpg</v>
      </c>
      <c r="N1462" s="3">
        <v>0.72499999999999998</v>
      </c>
      <c r="O1462" s="3">
        <v>4.9000000000000002E-2</v>
      </c>
      <c r="P1462" s="3">
        <v>0.67599999999999993</v>
      </c>
      <c r="Q1462" s="3">
        <v>0.66749316453933705</v>
      </c>
    </row>
    <row r="1463" spans="1:17" x14ac:dyDescent="0.45">
      <c r="A1463" s="3">
        <v>41593</v>
      </c>
      <c r="B1463" t="b">
        <v>0</v>
      </c>
      <c r="C1463" t="b">
        <v>0</v>
      </c>
      <c r="D1463" s="3">
        <v>1932</v>
      </c>
      <c r="E1463" s="3">
        <v>1942</v>
      </c>
      <c r="F1463" t="s">
        <v>11</v>
      </c>
      <c r="G1463" t="s">
        <v>7697</v>
      </c>
      <c r="H1463" s="3">
        <v>88.097999999999999</v>
      </c>
      <c r="I1463" t="s">
        <v>5612</v>
      </c>
      <c r="J1463" t="s">
        <v>14232</v>
      </c>
      <c r="L1463" t="s">
        <v>7698</v>
      </c>
      <c r="M1463" t="str">
        <f>"https://www.artic.edu/iiif/2/"&amp;Table9[[#This Row],[Image ID]]&amp;"/full/843,/0/default.jpg"</f>
        <v>https://www.artic.edu/iiif/2/ea742a26-1a2c-66f6-9dc2-b080d65d189a/full/843,/0/default.jpg</v>
      </c>
      <c r="N1463" s="3">
        <v>0.7</v>
      </c>
      <c r="O1463" s="3">
        <v>2.4E-2</v>
      </c>
      <c r="P1463" s="3">
        <v>0.67599999999999993</v>
      </c>
      <c r="Q1463" s="3">
        <v>0.87552213668823198</v>
      </c>
    </row>
    <row r="1464" spans="1:17" x14ac:dyDescent="0.45">
      <c r="A1464" s="3">
        <v>17738</v>
      </c>
      <c r="B1464" t="b">
        <v>0</v>
      </c>
      <c r="C1464" t="b">
        <v>0</v>
      </c>
      <c r="D1464" s="3">
        <v>1904</v>
      </c>
      <c r="E1464" s="3">
        <v>1904</v>
      </c>
      <c r="F1464" t="s">
        <v>438</v>
      </c>
      <c r="G1464" t="s">
        <v>4679</v>
      </c>
      <c r="H1464" s="3">
        <v>30.3779</v>
      </c>
      <c r="I1464" t="s">
        <v>748</v>
      </c>
      <c r="J1464" t="s">
        <v>14297</v>
      </c>
      <c r="L1464" t="s">
        <v>4680</v>
      </c>
      <c r="M1464" t="str">
        <f>"https://www.artic.edu/iiif/2/"&amp;Table9[[#This Row],[Image ID]]&amp;"/full/843,/0/default.jpg"</f>
        <v>https://www.artic.edu/iiif/2/eee7000e-db46-3deb-b842-342547cca5fa/full/843,/0/default.jpg</v>
      </c>
      <c r="N1464" s="3">
        <v>0.72499999999999998</v>
      </c>
      <c r="O1464" s="3">
        <v>4.9000000000000002E-2</v>
      </c>
      <c r="P1464" s="3">
        <v>0.67599999999999993</v>
      </c>
      <c r="Q1464" s="3">
        <v>0.79139900207519498</v>
      </c>
    </row>
    <row r="1465" spans="1:17" x14ac:dyDescent="0.45">
      <c r="A1465" s="3">
        <v>111639</v>
      </c>
      <c r="B1465" t="b">
        <v>0</v>
      </c>
      <c r="C1465" t="b">
        <v>1</v>
      </c>
      <c r="D1465" s="3">
        <v>1501</v>
      </c>
      <c r="E1465" s="3">
        <v>1600</v>
      </c>
      <c r="F1465" t="s">
        <v>567</v>
      </c>
      <c r="G1465" t="s">
        <v>75</v>
      </c>
      <c r="H1465" s="3">
        <v>41.181600000000003</v>
      </c>
      <c r="I1465" t="s">
        <v>1184</v>
      </c>
      <c r="J1465" t="s">
        <v>11985</v>
      </c>
      <c r="L1465" t="s">
        <v>1185</v>
      </c>
      <c r="M1465" t="str">
        <f>"https://www.artic.edu/iiif/2/"&amp;Table9[[#This Row],[Image ID]]&amp;"/full/843,/0/default.jpg"</f>
        <v>https://www.artic.edu/iiif/2/4444c9bb-d6c2-0820-ec61-d04a4ae70793/full/843,/0/default.jpg</v>
      </c>
      <c r="N1465" s="3">
        <v>0.72499999999999998</v>
      </c>
      <c r="O1465" s="3">
        <v>4.9000000000000002E-2</v>
      </c>
      <c r="P1465" s="3">
        <v>0.67599999999999993</v>
      </c>
      <c r="Q1465" s="3">
        <v>0.85388213396072299</v>
      </c>
    </row>
    <row r="1466" spans="1:17" x14ac:dyDescent="0.45">
      <c r="A1466" s="3">
        <v>16200</v>
      </c>
      <c r="B1466" t="b">
        <v>0</v>
      </c>
      <c r="C1466" t="b">
        <v>1</v>
      </c>
      <c r="D1466" s="3">
        <v>1500</v>
      </c>
      <c r="E1466" s="3">
        <v>1505</v>
      </c>
      <c r="F1466" t="s">
        <v>4304</v>
      </c>
      <c r="G1466" t="s">
        <v>4302</v>
      </c>
      <c r="H1466" s="3">
        <v>34.8474</v>
      </c>
      <c r="I1466" t="s">
        <v>2732</v>
      </c>
      <c r="J1466" t="s">
        <v>12306</v>
      </c>
      <c r="L1466" t="s">
        <v>4305</v>
      </c>
      <c r="M1466" t="str">
        <f>"https://www.artic.edu/iiif/2/"&amp;Table9[[#This Row],[Image ID]]&amp;"/full/843,/0/default.jpg"</f>
        <v>https://www.artic.edu/iiif/2/5afefd41-d4b6-4e5f-8f62-c3387625b212/full/843,/0/default.jpg</v>
      </c>
      <c r="N1466" s="3">
        <v>0.72499999999999998</v>
      </c>
      <c r="O1466" s="3">
        <v>4.9000000000000002E-2</v>
      </c>
      <c r="P1466" s="3">
        <v>0.67599999999999993</v>
      </c>
      <c r="Q1466" s="3">
        <v>0.79865676164626997</v>
      </c>
    </row>
    <row r="1467" spans="1:17" x14ac:dyDescent="0.45">
      <c r="A1467" s="3">
        <v>123643</v>
      </c>
      <c r="B1467" t="b">
        <v>0</v>
      </c>
      <c r="C1467" t="b">
        <v>1</v>
      </c>
      <c r="D1467" s="3">
        <v>1440</v>
      </c>
      <c r="E1467" s="3">
        <v>1470</v>
      </c>
      <c r="F1467" t="s">
        <v>14619</v>
      </c>
      <c r="G1467" t="s">
        <v>2722</v>
      </c>
      <c r="H1467" s="3">
        <v>56.212699999999998</v>
      </c>
      <c r="I1467" t="s">
        <v>2723</v>
      </c>
      <c r="J1467" t="s">
        <v>13916</v>
      </c>
      <c r="K1467" s="5" t="s">
        <v>278</v>
      </c>
      <c r="L1467" t="s">
        <v>2724</v>
      </c>
      <c r="M1467" t="str">
        <f>"https://www.artic.edu/iiif/2/"&amp;Table9[[#This Row],[Image ID]]&amp;"/full/843,/0/default.jpg"</f>
        <v>https://www.artic.edu/iiif/2/d5e530dd-02d3-db01-0c34-f5f8d4da72d8/full/843,/0/default.jpg</v>
      </c>
      <c r="N1467" s="3">
        <v>0.7</v>
      </c>
      <c r="O1467" s="3">
        <v>2.4E-2</v>
      </c>
      <c r="P1467" s="3">
        <v>0.67599999999999993</v>
      </c>
      <c r="Q1467" s="3">
        <v>0.81703138351440396</v>
      </c>
    </row>
    <row r="1468" spans="1:17" x14ac:dyDescent="0.45">
      <c r="A1468" s="3">
        <v>89195</v>
      </c>
      <c r="B1468" t="b">
        <v>0</v>
      </c>
      <c r="C1468" t="b">
        <v>1</v>
      </c>
      <c r="D1468" s="3">
        <v>1767</v>
      </c>
      <c r="E1468" s="3">
        <v>1778</v>
      </c>
      <c r="F1468" t="s">
        <v>7042</v>
      </c>
      <c r="G1468" t="s">
        <v>2313</v>
      </c>
      <c r="H1468" s="3">
        <v>22.155999999999999</v>
      </c>
      <c r="I1468" t="s">
        <v>778</v>
      </c>
      <c r="J1468" t="s">
        <v>14222</v>
      </c>
      <c r="K1468" s="5" t="s">
        <v>13</v>
      </c>
      <c r="L1468" t="s">
        <v>10451</v>
      </c>
      <c r="M1468" t="str">
        <f>"https://www.artic.edu/iiif/2/"&amp;Table9[[#This Row],[Image ID]]&amp;"/full/843,/0/default.jpg"</f>
        <v>https://www.artic.edu/iiif/2/ea1d48e5-4bc1-0cbc-3e19-dde71e8feeef/full/843,/0/default.jpg</v>
      </c>
      <c r="N1468" s="3">
        <v>0.72499999999999998</v>
      </c>
      <c r="O1468" s="3">
        <v>4.9000000000000002E-2</v>
      </c>
      <c r="P1468" s="3">
        <v>0.67599999999999993</v>
      </c>
      <c r="Q1468" s="3">
        <v>0.79607117176055897</v>
      </c>
    </row>
    <row r="1469" spans="1:17" x14ac:dyDescent="0.45">
      <c r="A1469" s="3">
        <v>64957</v>
      </c>
      <c r="B1469" t="b">
        <v>0</v>
      </c>
      <c r="C1469" t="b">
        <v>1</v>
      </c>
      <c r="D1469" s="3">
        <v>1887</v>
      </c>
      <c r="E1469" s="3">
        <v>1887</v>
      </c>
      <c r="F1469" t="s">
        <v>9011</v>
      </c>
      <c r="G1469" t="s">
        <v>7</v>
      </c>
      <c r="H1469" s="3">
        <v>39.144199999999998</v>
      </c>
      <c r="I1469" t="s">
        <v>768</v>
      </c>
      <c r="J1469" t="s">
        <v>14333</v>
      </c>
      <c r="K1469" s="5" t="s">
        <v>115</v>
      </c>
      <c r="L1469" t="s">
        <v>9012</v>
      </c>
      <c r="M1469" t="str">
        <f>"https://www.artic.edu/iiif/2/"&amp;Table9[[#This Row],[Image ID]]&amp;"/full/843,/0/default.jpg"</f>
        <v>https://www.artic.edu/iiif/2/f11bd233-6cc3-4221-59eb-f7363be4119e/full/843,/0/default.jpg</v>
      </c>
      <c r="N1469" s="3">
        <v>0.72499999999999998</v>
      </c>
      <c r="O1469" s="3">
        <v>4.9000000000000002E-2</v>
      </c>
      <c r="P1469" s="3">
        <v>0.67599999999999993</v>
      </c>
      <c r="Q1469" s="3">
        <v>0.75944149494171098</v>
      </c>
    </row>
    <row r="1470" spans="1:17" x14ac:dyDescent="0.45">
      <c r="A1470" s="3">
        <v>82061</v>
      </c>
      <c r="B1470" t="b">
        <v>0</v>
      </c>
      <c r="C1470" t="b">
        <v>0</v>
      </c>
      <c r="D1470" s="3">
        <v>1860</v>
      </c>
      <c r="E1470" s="3">
        <v>1917</v>
      </c>
      <c r="F1470" t="s">
        <v>10166</v>
      </c>
      <c r="G1470" t="s">
        <v>10167</v>
      </c>
      <c r="H1470" s="3">
        <v>27.375299999999999</v>
      </c>
      <c r="I1470" t="s">
        <v>68</v>
      </c>
      <c r="J1470" t="s">
        <v>11042</v>
      </c>
      <c r="L1470" t="s">
        <v>10168</v>
      </c>
      <c r="M1470" t="str">
        <f>"https://www.artic.edu/iiif/2/"&amp;Table9[[#This Row],[Image ID]]&amp;"/full/843,/0/default.jpg"</f>
        <v>https://www.artic.edu/iiif/2/04d17e6d-99f2-7ab6-6abc-afee1e0526c1/full/843,/0/default.jpg</v>
      </c>
      <c r="N1470" s="3">
        <v>0.8</v>
      </c>
      <c r="O1470" s="3">
        <v>0.125</v>
      </c>
      <c r="P1470" s="3">
        <v>0.67500000000000004</v>
      </c>
      <c r="Q1470" s="3">
        <v>0.78147059679031305</v>
      </c>
    </row>
    <row r="1471" spans="1:17" x14ac:dyDescent="0.45">
      <c r="A1471" s="3">
        <v>61669</v>
      </c>
      <c r="B1471" t="b">
        <v>0</v>
      </c>
      <c r="C1471" t="b">
        <v>0</v>
      </c>
      <c r="D1471" s="3">
        <v>1900</v>
      </c>
      <c r="E1471" s="3">
        <v>1947</v>
      </c>
      <c r="F1471" t="s">
        <v>1018</v>
      </c>
      <c r="G1471" t="s">
        <v>8822</v>
      </c>
      <c r="H1471" s="3">
        <v>17.0839</v>
      </c>
      <c r="I1471" t="s">
        <v>14554</v>
      </c>
      <c r="J1471" t="s">
        <v>11080</v>
      </c>
      <c r="L1471" t="s">
        <v>8823</v>
      </c>
      <c r="M1471" t="str">
        <f>"https://www.artic.edu/iiif/2/"&amp;Table9[[#This Row],[Image ID]]&amp;"/full/843,/0/default.jpg"</f>
        <v>https://www.artic.edu/iiif/2/07cf615d-2a48-4541-9374-e768102db6cd/full/843,/0/default.jpg</v>
      </c>
      <c r="N1471" s="3">
        <v>0.75</v>
      </c>
      <c r="O1471" s="3">
        <v>7.4999999999999997E-2</v>
      </c>
      <c r="P1471" s="3">
        <v>0.67500000000000004</v>
      </c>
      <c r="Q1471" s="3">
        <v>0.83676564693450906</v>
      </c>
    </row>
    <row r="1472" spans="1:17" x14ac:dyDescent="0.45">
      <c r="A1472" s="3">
        <v>79021</v>
      </c>
      <c r="B1472" t="b">
        <v>0</v>
      </c>
      <c r="C1472" t="b">
        <v>0</v>
      </c>
      <c r="D1472" s="3">
        <v>1899</v>
      </c>
      <c r="E1472" s="3">
        <v>1909</v>
      </c>
      <c r="F1472" t="s">
        <v>9861</v>
      </c>
      <c r="G1472" t="s">
        <v>7</v>
      </c>
      <c r="H1472" s="3">
        <v>21.958200000000001</v>
      </c>
      <c r="I1472" t="s">
        <v>5058</v>
      </c>
      <c r="J1472" t="s">
        <v>11085</v>
      </c>
      <c r="L1472" t="s">
        <v>9862</v>
      </c>
      <c r="M1472" t="str">
        <f>"https://www.artic.edu/iiif/2/"&amp;Table9[[#This Row],[Image ID]]&amp;"/full/843,/0/default.jpg"</f>
        <v>https://www.artic.edu/iiif/2/07ffe0d9-4de3-6449-7a34-13e8f81a5ee4/full/843,/0/default.jpg</v>
      </c>
      <c r="N1472" s="3">
        <v>0.75</v>
      </c>
      <c r="O1472" s="3">
        <v>7.4999999999999997E-2</v>
      </c>
      <c r="P1472" s="3">
        <v>0.67500000000000004</v>
      </c>
      <c r="Q1472" s="3">
        <v>0.82919150590896595</v>
      </c>
    </row>
    <row r="1473" spans="1:17" x14ac:dyDescent="0.45">
      <c r="A1473" s="3">
        <v>145878</v>
      </c>
      <c r="B1473" t="b">
        <v>0</v>
      </c>
      <c r="C1473" t="b">
        <v>0</v>
      </c>
      <c r="D1473" s="3">
        <v>1961</v>
      </c>
      <c r="E1473" s="3">
        <v>1961</v>
      </c>
      <c r="F1473" t="s">
        <v>11</v>
      </c>
      <c r="G1473" t="s">
        <v>3411</v>
      </c>
      <c r="H1473" s="3">
        <v>59.168199999999999</v>
      </c>
      <c r="I1473" t="s">
        <v>1165</v>
      </c>
      <c r="J1473" t="s">
        <v>11100</v>
      </c>
      <c r="L1473" t="s">
        <v>3412</v>
      </c>
      <c r="M1473" t="str">
        <f>"https://www.artic.edu/iiif/2/"&amp;Table9[[#This Row],[Image ID]]&amp;"/full/843,/0/default.jpg"</f>
        <v>https://www.artic.edu/iiif/2/08f421f3-671f-bc73-24b4-f9deb2a4092c/full/843,/0/default.jpg</v>
      </c>
      <c r="N1473" s="3">
        <v>0.67500000000000004</v>
      </c>
      <c r="O1473" s="3">
        <v>0</v>
      </c>
      <c r="P1473" s="3">
        <v>0.67500000000000004</v>
      </c>
      <c r="Q1473" s="3">
        <v>0.88612580299377397</v>
      </c>
    </row>
    <row r="1474" spans="1:17" x14ac:dyDescent="0.45">
      <c r="A1474" s="3">
        <v>32630</v>
      </c>
      <c r="B1474" t="b">
        <v>0</v>
      </c>
      <c r="C1474" t="b">
        <v>0</v>
      </c>
      <c r="D1474" s="3">
        <v>1943</v>
      </c>
      <c r="E1474" s="3">
        <v>1943</v>
      </c>
      <c r="F1474" t="s">
        <v>7058</v>
      </c>
      <c r="G1474" t="s">
        <v>7</v>
      </c>
      <c r="H1474" s="3">
        <v>36.746499999999997</v>
      </c>
      <c r="I1474" t="s">
        <v>144</v>
      </c>
      <c r="J1474" t="s">
        <v>11151</v>
      </c>
      <c r="K1474" s="5" t="s">
        <v>45</v>
      </c>
      <c r="L1474" t="s">
        <v>7059</v>
      </c>
      <c r="M1474" t="str">
        <f>"https://www.artic.edu/iiif/2/"&amp;Table9[[#This Row],[Image ID]]&amp;"/full/843,/0/default.jpg"</f>
        <v>https://www.artic.edu/iiif/2/0d8382f8-b876-8c93-c88b-2e89b4f0d2d9/full/843,/0/default.jpg</v>
      </c>
      <c r="N1474" s="3">
        <v>0.77500000000000002</v>
      </c>
      <c r="O1474" s="3">
        <v>0.1</v>
      </c>
      <c r="P1474" s="3">
        <v>0.67500000000000004</v>
      </c>
      <c r="Q1474" s="3">
        <v>0.76048952341079701</v>
      </c>
    </row>
    <row r="1475" spans="1:17" x14ac:dyDescent="0.45">
      <c r="A1475" s="3">
        <v>220551</v>
      </c>
      <c r="B1475" t="b">
        <v>0</v>
      </c>
      <c r="C1475" t="b">
        <v>0</v>
      </c>
      <c r="D1475" s="3">
        <v>1996</v>
      </c>
      <c r="E1475" s="3">
        <v>1996</v>
      </c>
      <c r="F1475" t="s">
        <v>11</v>
      </c>
      <c r="G1475" t="s">
        <v>5014</v>
      </c>
      <c r="H1475" s="3">
        <v>9.0243000000000002</v>
      </c>
      <c r="I1475" t="s">
        <v>5781</v>
      </c>
      <c r="J1475" t="s">
        <v>11175</v>
      </c>
      <c r="L1475" t="s">
        <v>5795</v>
      </c>
      <c r="M1475" t="str">
        <f>"https://www.artic.edu/iiif/2/"&amp;Table9[[#This Row],[Image ID]]&amp;"/full/843,/0/default.jpg"</f>
        <v>https://www.artic.edu/iiif/2/0f35a52a-c27c-0145-9d20-3e55e6280939/full/843,/0/default.jpg</v>
      </c>
      <c r="N1475" s="3">
        <v>0.75</v>
      </c>
      <c r="O1475" s="3">
        <v>7.4999999999999997E-2</v>
      </c>
      <c r="P1475" s="3">
        <v>0.67500000000000004</v>
      </c>
      <c r="Q1475" s="3">
        <v>0.78287148475646895</v>
      </c>
    </row>
    <row r="1476" spans="1:17" x14ac:dyDescent="0.45">
      <c r="A1476" s="3">
        <v>134050</v>
      </c>
      <c r="B1476" t="b">
        <v>0</v>
      </c>
      <c r="C1476" t="b">
        <v>0</v>
      </c>
      <c r="D1476" s="3">
        <v>1918</v>
      </c>
      <c r="E1476" s="3">
        <v>1919</v>
      </c>
      <c r="F1476" t="s">
        <v>3083</v>
      </c>
      <c r="G1476" t="s">
        <v>3084</v>
      </c>
      <c r="H1476" s="3">
        <v>38.412999999999997</v>
      </c>
      <c r="I1476" t="s">
        <v>3085</v>
      </c>
      <c r="J1476" t="s">
        <v>11180</v>
      </c>
      <c r="K1476" s="5" t="s">
        <v>3086</v>
      </c>
      <c r="L1476" t="s">
        <v>3087</v>
      </c>
      <c r="M1476" t="str">
        <f>"https://www.artic.edu/iiif/2/"&amp;Table9[[#This Row],[Image ID]]&amp;"/full/843,/0/default.jpg"</f>
        <v>https://www.artic.edu/iiif/2/0fa47cd1-ade2-c57a-733f-ba3f08ee47be/full/843,/0/default.jpg</v>
      </c>
      <c r="N1476" s="3">
        <v>0.77500000000000002</v>
      </c>
      <c r="O1476" s="3">
        <v>0.1</v>
      </c>
      <c r="P1476" s="3">
        <v>0.67500000000000004</v>
      </c>
      <c r="Q1476" s="3">
        <v>0.74629271030426003</v>
      </c>
    </row>
    <row r="1477" spans="1:17" x14ac:dyDescent="0.45">
      <c r="A1477" s="3">
        <v>113693</v>
      </c>
      <c r="B1477" t="b">
        <v>0</v>
      </c>
      <c r="C1477" t="b">
        <v>0</v>
      </c>
      <c r="D1477" s="3">
        <v>1943</v>
      </c>
      <c r="E1477" s="3">
        <v>1945</v>
      </c>
      <c r="F1477" t="s">
        <v>562</v>
      </c>
      <c r="G1477" t="s">
        <v>1488</v>
      </c>
      <c r="H1477" s="3">
        <v>22.1509</v>
      </c>
      <c r="I1477" t="s">
        <v>563</v>
      </c>
      <c r="J1477" t="s">
        <v>11317</v>
      </c>
      <c r="L1477" t="s">
        <v>1489</v>
      </c>
      <c r="M1477" t="str">
        <f>"https://www.artic.edu/iiif/2/"&amp;Table9[[#This Row],[Image ID]]&amp;"/full/843,/0/default.jpg"</f>
        <v>https://www.artic.edu/iiif/2/192c9cb7-a3c2-eaa1-944d-21f7ab4602e8/full/843,/0/default.jpg</v>
      </c>
      <c r="N1477" s="3">
        <v>0.75</v>
      </c>
      <c r="O1477" s="3">
        <v>7.4999999999999997E-2</v>
      </c>
      <c r="P1477" s="3">
        <v>0.67500000000000004</v>
      </c>
      <c r="Q1477" s="3">
        <v>0.528370380401611</v>
      </c>
    </row>
    <row r="1478" spans="1:17" x14ac:dyDescent="0.45">
      <c r="A1478" s="3">
        <v>244931</v>
      </c>
      <c r="B1478" t="b">
        <v>0</v>
      </c>
      <c r="C1478" t="b">
        <v>0</v>
      </c>
      <c r="D1478" s="3">
        <v>1963</v>
      </c>
      <c r="E1478" s="3">
        <v>1963</v>
      </c>
      <c r="F1478" t="s">
        <v>6400</v>
      </c>
      <c r="G1478" t="s">
        <v>6401</v>
      </c>
      <c r="H1478" s="3">
        <v>29.687999999999999</v>
      </c>
      <c r="I1478" t="s">
        <v>6119</v>
      </c>
      <c r="J1478" t="s">
        <v>11343</v>
      </c>
      <c r="L1478" t="s">
        <v>6402</v>
      </c>
      <c r="M1478" t="str">
        <f>"https://www.artic.edu/iiif/2/"&amp;Table9[[#This Row],[Image ID]]&amp;"/full/843,/0/default.jpg"</f>
        <v>https://www.artic.edu/iiif/2/1aac77b6-ca55-7393-cebc-418370111d69/full/843,/0/default.jpg</v>
      </c>
      <c r="N1478" s="3">
        <v>0.75</v>
      </c>
      <c r="O1478" s="3">
        <v>7.4999999999999997E-2</v>
      </c>
      <c r="P1478" s="3">
        <v>0.67500000000000004</v>
      </c>
      <c r="Q1478" s="3">
        <v>0.65335035324096602</v>
      </c>
    </row>
    <row r="1479" spans="1:17" x14ac:dyDescent="0.45">
      <c r="A1479" s="3">
        <v>225741</v>
      </c>
      <c r="B1479" t="b">
        <v>0</v>
      </c>
      <c r="C1479" t="b">
        <v>0</v>
      </c>
      <c r="D1479" s="3">
        <v>1959</v>
      </c>
      <c r="E1479" s="3">
        <v>1959</v>
      </c>
      <c r="F1479" t="s">
        <v>5942</v>
      </c>
      <c r="G1479" t="s">
        <v>5917</v>
      </c>
      <c r="H1479" s="3">
        <v>54.447899999999997</v>
      </c>
      <c r="I1479" t="s">
        <v>5918</v>
      </c>
      <c r="J1479" t="s">
        <v>11203</v>
      </c>
      <c r="L1479" t="s">
        <v>5943</v>
      </c>
      <c r="M1479" t="str">
        <f>"https://www.artic.edu/iiif/2/"&amp;Table9[[#This Row],[Image ID]]&amp;"/full/843,/0/default.jpg"</f>
        <v>https://www.artic.edu/iiif/2/1bd9696c-d89d-caf0-1e3f-e18d74cead84/full/843,/0/default.jpg</v>
      </c>
      <c r="N1479" s="3">
        <v>0.75</v>
      </c>
      <c r="O1479" s="3">
        <v>7.4999999999999997E-2</v>
      </c>
      <c r="P1479" s="3">
        <v>0.67500000000000004</v>
      </c>
      <c r="Q1479" s="3">
        <v>0.80597901344299305</v>
      </c>
    </row>
    <row r="1480" spans="1:17" x14ac:dyDescent="0.45">
      <c r="A1480" s="3">
        <v>63776</v>
      </c>
      <c r="B1480" t="b">
        <v>0</v>
      </c>
      <c r="C1480" t="b">
        <v>0</v>
      </c>
      <c r="D1480" s="3">
        <v>1940</v>
      </c>
      <c r="E1480" s="3">
        <v>1940</v>
      </c>
      <c r="F1480" t="s">
        <v>8943</v>
      </c>
      <c r="G1480" t="s">
        <v>2534</v>
      </c>
      <c r="H1480" s="3">
        <v>0</v>
      </c>
      <c r="I1480" t="s">
        <v>1</v>
      </c>
      <c r="J1480" t="s">
        <v>11452</v>
      </c>
      <c r="K1480" s="5" t="s">
        <v>2</v>
      </c>
      <c r="L1480" t="s">
        <v>8944</v>
      </c>
      <c r="M1480" t="str">
        <f>"https://www.artic.edu/iiif/2/"&amp;Table9[[#This Row],[Image ID]]&amp;"/full/843,/0/default.jpg"</f>
        <v>https://www.artic.edu/iiif/2/21d09325-ed82-4235-d7ab-c0c39760c792/full/843,/0/default.jpg</v>
      </c>
      <c r="N1480" s="3">
        <v>0.75</v>
      </c>
      <c r="O1480" s="3">
        <v>7.4999999999999997E-2</v>
      </c>
      <c r="P1480" s="3">
        <v>0.67500000000000004</v>
      </c>
      <c r="Q1480" s="3">
        <v>0.66795873641967696</v>
      </c>
    </row>
    <row r="1481" spans="1:17" x14ac:dyDescent="0.45">
      <c r="A1481" s="3">
        <v>94013</v>
      </c>
      <c r="B1481" t="b">
        <v>0</v>
      </c>
      <c r="C1481" t="b">
        <v>0</v>
      </c>
      <c r="D1481" s="3">
        <v>1967</v>
      </c>
      <c r="E1481" s="3">
        <v>1967</v>
      </c>
      <c r="F1481" t="s">
        <v>10677</v>
      </c>
      <c r="G1481" t="s">
        <v>10680</v>
      </c>
      <c r="H1481" s="3">
        <v>34.536900000000003</v>
      </c>
      <c r="I1481" t="s">
        <v>378</v>
      </c>
      <c r="J1481" t="s">
        <v>11152</v>
      </c>
      <c r="L1481" t="s">
        <v>10681</v>
      </c>
      <c r="M1481" t="str">
        <f>"https://www.artic.edu/iiif/2/"&amp;Table9[[#This Row],[Image ID]]&amp;"/full/843,/0/default.jpg"</f>
        <v>https://www.artic.edu/iiif/2/2b100eab-d388-9a7a-01c8-e7321adaa056/full/843,/0/default.jpg</v>
      </c>
      <c r="N1481" s="3">
        <v>0.75</v>
      </c>
      <c r="O1481" s="3">
        <v>7.4999999999999997E-2</v>
      </c>
      <c r="P1481" s="3">
        <v>0.67500000000000004</v>
      </c>
      <c r="Q1481" s="3">
        <v>0.697332262992858</v>
      </c>
    </row>
    <row r="1482" spans="1:17" x14ac:dyDescent="0.45">
      <c r="A1482" s="3">
        <v>52998</v>
      </c>
      <c r="B1482" t="b">
        <v>0</v>
      </c>
      <c r="C1482" t="b">
        <v>0</v>
      </c>
      <c r="D1482" s="3">
        <v>1949</v>
      </c>
      <c r="E1482" s="3">
        <v>1949</v>
      </c>
      <c r="F1482" t="s">
        <v>72</v>
      </c>
      <c r="G1482" t="s">
        <v>250</v>
      </c>
      <c r="H1482" s="3">
        <v>0</v>
      </c>
      <c r="I1482" t="s">
        <v>8217</v>
      </c>
      <c r="J1482" t="s">
        <v>11630</v>
      </c>
      <c r="L1482" t="s">
        <v>8218</v>
      </c>
      <c r="M1482" t="str">
        <f>"https://www.artic.edu/iiif/2/"&amp;Table9[[#This Row],[Image ID]]&amp;"/full/843,/0/default.jpg"</f>
        <v>https://www.artic.edu/iiif/2/2d12a122-7a9d-3f93-f1b1-8a940155cf6d/full/843,/0/default.jpg</v>
      </c>
      <c r="N1482" s="3">
        <v>0.75</v>
      </c>
      <c r="O1482" s="3">
        <v>7.4999999999999997E-2</v>
      </c>
      <c r="P1482" s="3">
        <v>0.67500000000000004</v>
      </c>
      <c r="Q1482" s="3">
        <v>0.81460988521575906</v>
      </c>
    </row>
    <row r="1483" spans="1:17" x14ac:dyDescent="0.45">
      <c r="A1483" s="3">
        <v>181216</v>
      </c>
      <c r="B1483" t="b">
        <v>0</v>
      </c>
      <c r="C1483" t="b">
        <v>0</v>
      </c>
      <c r="D1483" s="3">
        <v>1904</v>
      </c>
      <c r="E1483" s="3">
        <v>1914</v>
      </c>
      <c r="F1483" t="s">
        <v>3806</v>
      </c>
      <c r="G1483" t="s">
        <v>2222</v>
      </c>
      <c r="H1483" s="3">
        <v>54.395200000000003</v>
      </c>
      <c r="I1483" t="s">
        <v>870</v>
      </c>
      <c r="J1483" t="s">
        <v>11719</v>
      </c>
      <c r="L1483" t="s">
        <v>4712</v>
      </c>
      <c r="M1483" t="str">
        <f>"https://www.artic.edu/iiif/2/"&amp;Table9[[#This Row],[Image ID]]&amp;"/full/843,/0/default.jpg"</f>
        <v>https://www.artic.edu/iiif/2/3329fa3e-c069-5bc7-793a-535da260f252/full/843,/0/default.jpg</v>
      </c>
      <c r="N1483" s="3">
        <v>0.8</v>
      </c>
      <c r="O1483" s="3">
        <v>0.125</v>
      </c>
      <c r="P1483" s="3">
        <v>0.67500000000000004</v>
      </c>
      <c r="Q1483" s="3">
        <v>0.80661159753799405</v>
      </c>
    </row>
    <row r="1484" spans="1:17" x14ac:dyDescent="0.45">
      <c r="A1484" s="3">
        <v>86286</v>
      </c>
      <c r="B1484" t="b">
        <v>0</v>
      </c>
      <c r="C1484" t="b">
        <v>0</v>
      </c>
      <c r="D1484" s="3">
        <v>1956</v>
      </c>
      <c r="E1484" s="3">
        <v>1956</v>
      </c>
      <c r="F1484" t="s">
        <v>131</v>
      </c>
      <c r="G1484" t="s">
        <v>7</v>
      </c>
      <c r="H1484" s="3">
        <v>24.037500000000001</v>
      </c>
      <c r="I1484" t="s">
        <v>2952</v>
      </c>
      <c r="J1484" t="s">
        <v>11788</v>
      </c>
      <c r="L1484" t="s">
        <v>10324</v>
      </c>
      <c r="M1484" t="str">
        <f>"https://www.artic.edu/iiif/2/"&amp;Table9[[#This Row],[Image ID]]&amp;"/full/843,/0/default.jpg"</f>
        <v>https://www.artic.edu/iiif/2/38237270-d7bc-c89f-3276-f5a7281f9f81/full/843,/0/default.jpg</v>
      </c>
      <c r="N1484" s="3">
        <v>0.77500000000000002</v>
      </c>
      <c r="O1484" s="3">
        <v>0.1</v>
      </c>
      <c r="P1484" s="3">
        <v>0.67500000000000004</v>
      </c>
      <c r="Q1484" s="3">
        <v>0.59649002552032404</v>
      </c>
    </row>
    <row r="1485" spans="1:17" x14ac:dyDescent="0.45">
      <c r="A1485" s="3">
        <v>147002</v>
      </c>
      <c r="B1485" t="b">
        <v>0</v>
      </c>
      <c r="C1485" t="b">
        <v>0</v>
      </c>
      <c r="D1485" s="3">
        <v>1967</v>
      </c>
      <c r="E1485" s="3">
        <v>1967</v>
      </c>
      <c r="F1485" t="s">
        <v>3569</v>
      </c>
      <c r="G1485" t="s">
        <v>7</v>
      </c>
      <c r="H1485" s="3">
        <v>28.2239</v>
      </c>
      <c r="I1485" t="s">
        <v>52</v>
      </c>
      <c r="J1485" t="s">
        <v>11791</v>
      </c>
      <c r="L1485" t="s">
        <v>3570</v>
      </c>
      <c r="M1485" t="str">
        <f>"https://www.artic.edu/iiif/2/"&amp;Table9[[#This Row],[Image ID]]&amp;"/full/843,/0/default.jpg"</f>
        <v>https://www.artic.edu/iiif/2/38384f8b-a065-0064-9eb7-c47e57b63b38/full/843,/0/default.jpg</v>
      </c>
      <c r="N1485" s="3">
        <v>0.75</v>
      </c>
      <c r="O1485" s="3">
        <v>7.4999999999999997E-2</v>
      </c>
      <c r="P1485" s="3">
        <v>0.67500000000000004</v>
      </c>
      <c r="Q1485" s="3">
        <v>0.88654226064681996</v>
      </c>
    </row>
    <row r="1486" spans="1:17" x14ac:dyDescent="0.45">
      <c r="A1486" s="3">
        <v>118592</v>
      </c>
      <c r="B1486" t="b">
        <v>0</v>
      </c>
      <c r="C1486" t="b">
        <v>0</v>
      </c>
      <c r="D1486" s="3">
        <v>1934</v>
      </c>
      <c r="E1486" s="3">
        <v>1934</v>
      </c>
      <c r="F1486" t="s">
        <v>2510</v>
      </c>
      <c r="G1486" t="s">
        <v>2511</v>
      </c>
      <c r="H1486" s="3">
        <v>30.378799999999998</v>
      </c>
      <c r="I1486" t="s">
        <v>2302</v>
      </c>
      <c r="J1486" t="s">
        <v>11807</v>
      </c>
      <c r="L1486" t="s">
        <v>2512</v>
      </c>
      <c r="M1486" t="str">
        <f>"https://www.artic.edu/iiif/2/"&amp;Table9[[#This Row],[Image ID]]&amp;"/full/843,/0/default.jpg"</f>
        <v>https://www.artic.edu/iiif/2/3914ee3e-f510-b95f-a455-099d92b75734/full/843,/0/default.jpg</v>
      </c>
      <c r="N1486" s="3">
        <v>0.75</v>
      </c>
      <c r="O1486" s="3">
        <v>7.4999999999999997E-2</v>
      </c>
      <c r="P1486" s="3">
        <v>0.67500000000000004</v>
      </c>
      <c r="Q1486" s="3">
        <v>0.72070658206939697</v>
      </c>
    </row>
    <row r="1487" spans="1:17" x14ac:dyDescent="0.45">
      <c r="A1487" s="3">
        <v>129147</v>
      </c>
      <c r="B1487" t="b">
        <v>0</v>
      </c>
      <c r="C1487" t="b">
        <v>0</v>
      </c>
      <c r="D1487" s="3">
        <v>1944</v>
      </c>
      <c r="E1487" s="3">
        <v>1944</v>
      </c>
      <c r="F1487" t="s">
        <v>11</v>
      </c>
      <c r="G1487" t="s">
        <v>2857</v>
      </c>
      <c r="H1487" s="3">
        <v>71.395700000000005</v>
      </c>
      <c r="I1487" t="s">
        <v>14549</v>
      </c>
      <c r="J1487" t="s">
        <v>11294</v>
      </c>
      <c r="L1487" t="s">
        <v>2870</v>
      </c>
      <c r="M1487" t="str">
        <f>"https://www.artic.edu/iiif/2/"&amp;Table9[[#This Row],[Image ID]]&amp;"/full/843,/0/default.jpg"</f>
        <v>https://www.artic.edu/iiif/2/406c359f-3672-5bb2-a1e6-6219e223a2bb/full/843,/0/default.jpg</v>
      </c>
      <c r="N1487" s="3">
        <v>0.77500000000000002</v>
      </c>
      <c r="O1487" s="3">
        <v>0.1</v>
      </c>
      <c r="P1487" s="3">
        <v>0.67500000000000004</v>
      </c>
      <c r="Q1487" s="3">
        <v>0.86462193727493197</v>
      </c>
    </row>
    <row r="1488" spans="1:17" x14ac:dyDescent="0.45">
      <c r="A1488" s="3">
        <v>99611</v>
      </c>
      <c r="B1488" t="b">
        <v>0</v>
      </c>
      <c r="C1488" t="b">
        <v>0</v>
      </c>
      <c r="D1488" s="3">
        <v>1973</v>
      </c>
      <c r="E1488" s="3">
        <v>1973</v>
      </c>
      <c r="F1488">
        <v>26987</v>
      </c>
      <c r="G1488" t="s">
        <v>59</v>
      </c>
      <c r="H1488" s="3">
        <v>0</v>
      </c>
      <c r="I1488" t="s">
        <v>772</v>
      </c>
      <c r="J1488" t="s">
        <v>11989</v>
      </c>
      <c r="L1488" t="s">
        <v>10936</v>
      </c>
      <c r="M1488" t="str">
        <f>"https://www.artic.edu/iiif/2/"&amp;Table9[[#This Row],[Image ID]]&amp;"/full/843,/0/default.jpg"</f>
        <v>https://www.artic.edu/iiif/2/44a2255f-ed7b-51e3-e706-f3d0bffc5bc8/full/843,/0/default.jpg</v>
      </c>
      <c r="N1488" s="3">
        <v>0.77500000000000002</v>
      </c>
      <c r="O1488" s="3">
        <v>0.1</v>
      </c>
      <c r="P1488" s="3">
        <v>0.67500000000000004</v>
      </c>
      <c r="Q1488" s="3">
        <v>0.86664772033691395</v>
      </c>
    </row>
    <row r="1489" spans="1:17" x14ac:dyDescent="0.45">
      <c r="A1489" s="3">
        <v>25036</v>
      </c>
      <c r="B1489" t="b">
        <v>0</v>
      </c>
      <c r="C1489" t="b">
        <v>0</v>
      </c>
      <c r="D1489" s="3">
        <v>1965</v>
      </c>
      <c r="E1489" s="3">
        <v>1965</v>
      </c>
      <c r="F1489" t="s">
        <v>6463</v>
      </c>
      <c r="G1489" t="s">
        <v>7</v>
      </c>
      <c r="H1489" s="3">
        <v>44.960500000000003</v>
      </c>
      <c r="I1489" t="s">
        <v>6464</v>
      </c>
      <c r="J1489" t="s">
        <v>11991</v>
      </c>
      <c r="L1489" t="s">
        <v>6465</v>
      </c>
      <c r="M1489" t="str">
        <f>"https://www.artic.edu/iiif/2/"&amp;Table9[[#This Row],[Image ID]]&amp;"/full/843,/0/default.jpg"</f>
        <v>https://www.artic.edu/iiif/2/44a93609-f0ba-916e-2b21-f8cb6712550c/full/843,/0/default.jpg</v>
      </c>
      <c r="N1489" s="3">
        <v>0.79100000000000004</v>
      </c>
      <c r="O1489" s="3">
        <v>0.11600000000000001</v>
      </c>
      <c r="P1489" s="3">
        <v>0.67500000000000004</v>
      </c>
      <c r="Q1489" s="3">
        <v>0.90689045190811102</v>
      </c>
    </row>
    <row r="1490" spans="1:17" x14ac:dyDescent="0.45">
      <c r="A1490" s="3">
        <v>17179</v>
      </c>
      <c r="B1490" t="b">
        <v>0</v>
      </c>
      <c r="C1490" t="b">
        <v>0</v>
      </c>
      <c r="D1490" s="3">
        <v>1957</v>
      </c>
      <c r="E1490" s="3">
        <v>1957</v>
      </c>
      <c r="F1490" t="s">
        <v>4637</v>
      </c>
      <c r="G1490" t="s">
        <v>7</v>
      </c>
      <c r="H1490" s="3">
        <v>0</v>
      </c>
      <c r="I1490" t="s">
        <v>4028</v>
      </c>
      <c r="J1490" t="s">
        <v>11992</v>
      </c>
      <c r="L1490" t="s">
        <v>4638</v>
      </c>
      <c r="M1490" t="str">
        <f>"https://www.artic.edu/iiif/2/"&amp;Table9[[#This Row],[Image ID]]&amp;"/full/843,/0/default.jpg"</f>
        <v>https://www.artic.edu/iiif/2/44b0c0c5-bcf8-6454-2225-d3861ffcb17d/full/843,/0/default.jpg</v>
      </c>
      <c r="N1490" s="3">
        <v>0.75</v>
      </c>
      <c r="O1490" s="3">
        <v>7.4999999999999997E-2</v>
      </c>
      <c r="P1490" s="3">
        <v>0.67500000000000004</v>
      </c>
      <c r="Q1490" s="3">
        <v>0.69255250692367498</v>
      </c>
    </row>
    <row r="1491" spans="1:17" x14ac:dyDescent="0.45">
      <c r="A1491" s="3">
        <v>223334</v>
      </c>
      <c r="B1491" t="b">
        <v>0</v>
      </c>
      <c r="C1491" t="b">
        <v>0</v>
      </c>
      <c r="D1491" s="3">
        <v>1964</v>
      </c>
      <c r="E1491" s="3">
        <v>1964</v>
      </c>
      <c r="F1491" t="s">
        <v>5867</v>
      </c>
      <c r="G1491" t="s">
        <v>7</v>
      </c>
      <c r="H1491" s="3">
        <v>114.94840000000001</v>
      </c>
      <c r="I1491" t="s">
        <v>2681</v>
      </c>
      <c r="J1491" t="s">
        <v>11859</v>
      </c>
      <c r="L1491" t="s">
        <v>5868</v>
      </c>
      <c r="M1491" t="str">
        <f>"https://www.artic.edu/iiif/2/"&amp;Table9[[#This Row],[Image ID]]&amp;"/full/843,/0/default.jpg"</f>
        <v>https://www.artic.edu/iiif/2/44e4895f-e6c4-9eaa-c852-a4d448042114/full/843,/0/default.jpg</v>
      </c>
      <c r="N1491" s="3">
        <v>0.8</v>
      </c>
      <c r="O1491" s="3">
        <v>0.125</v>
      </c>
      <c r="P1491" s="3">
        <v>0.67500000000000004</v>
      </c>
      <c r="Q1491" s="3">
        <v>0.87601423263549805</v>
      </c>
    </row>
    <row r="1492" spans="1:17" x14ac:dyDescent="0.45">
      <c r="A1492" s="3">
        <v>79785</v>
      </c>
      <c r="B1492" t="b">
        <v>0</v>
      </c>
      <c r="C1492" t="b">
        <v>0</v>
      </c>
      <c r="D1492" s="3">
        <v>1550</v>
      </c>
      <c r="E1492" s="3">
        <v>1560</v>
      </c>
      <c r="F1492" t="s">
        <v>297</v>
      </c>
      <c r="G1492" t="s">
        <v>75</v>
      </c>
      <c r="H1492" s="3">
        <v>0</v>
      </c>
      <c r="J1492" t="s">
        <v>9923</v>
      </c>
      <c r="L1492" t="s">
        <v>9922</v>
      </c>
      <c r="M1492" t="str">
        <f>"https://www.artic.edu/iiif/2/"&amp;Table9[[#This Row],[Image ID]]&amp;"/full/843,/0/default.jpg"</f>
        <v>https://www.artic.edu/iiif/2/4d1ca626-d109-a33a-9e6d-eafff952d385/full/843,/0/default.jpg</v>
      </c>
      <c r="N1492" s="3">
        <v>0.67500000000000004</v>
      </c>
      <c r="O1492" s="3">
        <v>0</v>
      </c>
      <c r="P1492" s="3">
        <v>0.67500000000000004</v>
      </c>
      <c r="Q1492" s="3">
        <v>0.83350634574890103</v>
      </c>
    </row>
    <row r="1493" spans="1:17" x14ac:dyDescent="0.45">
      <c r="A1493" s="3">
        <v>186365</v>
      </c>
      <c r="B1493" t="b">
        <v>0</v>
      </c>
      <c r="C1493" t="b">
        <v>0</v>
      </c>
      <c r="D1493" s="3">
        <v>1999</v>
      </c>
      <c r="E1493" s="3">
        <v>1999</v>
      </c>
      <c r="F1493" t="s">
        <v>5050</v>
      </c>
      <c r="G1493" t="s">
        <v>7</v>
      </c>
      <c r="H1493" s="3">
        <v>44.959200000000003</v>
      </c>
      <c r="I1493" t="s">
        <v>5051</v>
      </c>
      <c r="J1493" t="s">
        <v>12146</v>
      </c>
      <c r="L1493" t="s">
        <v>5052</v>
      </c>
      <c r="M1493" t="str">
        <f>"https://www.artic.edu/iiif/2/"&amp;Table9[[#This Row],[Image ID]]&amp;"/full/843,/0/default.jpg"</f>
        <v>https://www.artic.edu/iiif/2/50cda425-973d-8764-9862-0e994ff3a593/full/843,/0/default.jpg</v>
      </c>
      <c r="N1493" s="3">
        <v>0.75</v>
      </c>
      <c r="O1493" s="3">
        <v>7.4999999999999997E-2</v>
      </c>
      <c r="P1493" s="3">
        <v>0.67500000000000004</v>
      </c>
      <c r="Q1493" s="3">
        <v>0.83481138944625799</v>
      </c>
    </row>
    <row r="1494" spans="1:17" x14ac:dyDescent="0.45">
      <c r="A1494" s="3">
        <v>5173</v>
      </c>
      <c r="B1494" t="b">
        <v>0</v>
      </c>
      <c r="C1494" t="b">
        <v>0</v>
      </c>
      <c r="D1494" s="3">
        <v>1938</v>
      </c>
      <c r="E1494" s="3">
        <v>1938</v>
      </c>
      <c r="F1494" t="s">
        <v>8172</v>
      </c>
      <c r="G1494" t="s">
        <v>7</v>
      </c>
      <c r="H1494" s="3">
        <v>36.918599999999998</v>
      </c>
      <c r="I1494" t="s">
        <v>14585</v>
      </c>
      <c r="J1494" t="s">
        <v>12193</v>
      </c>
      <c r="L1494" t="s">
        <v>8173</v>
      </c>
      <c r="M1494" t="str">
        <f>"https://www.artic.edu/iiif/2/"&amp;Table9[[#This Row],[Image ID]]&amp;"/full/843,/0/default.jpg"</f>
        <v>https://www.artic.edu/iiif/2/53afd7af-a05d-50fa-33e6-046317c0c034/full/843,/0/default.jpg</v>
      </c>
      <c r="N1494" s="3">
        <v>0.75</v>
      </c>
      <c r="O1494" s="3">
        <v>7.4999999999999997E-2</v>
      </c>
      <c r="P1494" s="3">
        <v>0.67500000000000004</v>
      </c>
      <c r="Q1494" s="3">
        <v>0.84995424747466997</v>
      </c>
    </row>
    <row r="1495" spans="1:17" x14ac:dyDescent="0.45">
      <c r="A1495" s="3">
        <v>154127</v>
      </c>
      <c r="B1495" t="b">
        <v>0</v>
      </c>
      <c r="C1495" t="b">
        <v>0</v>
      </c>
      <c r="D1495" s="3">
        <v>1961</v>
      </c>
      <c r="E1495" s="3">
        <v>1961</v>
      </c>
      <c r="F1495" t="s">
        <v>3985</v>
      </c>
      <c r="G1495" t="s">
        <v>7</v>
      </c>
      <c r="H1495" s="3">
        <v>68.305899999999994</v>
      </c>
      <c r="I1495" t="s">
        <v>3503</v>
      </c>
      <c r="J1495" t="s">
        <v>12326</v>
      </c>
      <c r="L1495" t="s">
        <v>3986</v>
      </c>
      <c r="M1495" t="str">
        <f>"https://www.artic.edu/iiif/2/"&amp;Table9[[#This Row],[Image ID]]&amp;"/full/843,/0/default.jpg"</f>
        <v>https://www.artic.edu/iiif/2/5c5bffa9-e877-b7c3-1504-67030888a0ff/full/843,/0/default.jpg</v>
      </c>
      <c r="N1495" s="3">
        <v>0.8</v>
      </c>
      <c r="O1495" s="3">
        <v>0.125</v>
      </c>
      <c r="P1495" s="3">
        <v>0.67500000000000004</v>
      </c>
      <c r="Q1495" s="3">
        <v>0.69231587648391701</v>
      </c>
    </row>
    <row r="1496" spans="1:17" x14ac:dyDescent="0.45">
      <c r="A1496" s="3">
        <v>215708</v>
      </c>
      <c r="B1496" t="b">
        <v>0</v>
      </c>
      <c r="C1496" t="b">
        <v>0</v>
      </c>
      <c r="D1496" s="3">
        <v>1932</v>
      </c>
      <c r="E1496" s="3">
        <v>1937</v>
      </c>
      <c r="F1496" t="s">
        <v>572</v>
      </c>
      <c r="G1496" t="s">
        <v>5636</v>
      </c>
      <c r="H1496" s="3">
        <v>32.846299999999999</v>
      </c>
      <c r="I1496" t="s">
        <v>5637</v>
      </c>
      <c r="J1496" t="s">
        <v>12343</v>
      </c>
      <c r="L1496" t="s">
        <v>5639</v>
      </c>
      <c r="M1496" t="str">
        <f>"https://www.artic.edu/iiif/2/"&amp;Table9[[#This Row],[Image ID]]&amp;"/full/843,/0/default.jpg"</f>
        <v>https://www.artic.edu/iiif/2/5d3de478-4e2b-d40f-cb92-98e8bde13912/full/843,/0/default.jpg</v>
      </c>
      <c r="N1496" s="3">
        <v>0.77500000000000002</v>
      </c>
      <c r="O1496" s="3">
        <v>0.1</v>
      </c>
      <c r="P1496" s="3">
        <v>0.67500000000000004</v>
      </c>
      <c r="Q1496" s="3">
        <v>0.78263753652572599</v>
      </c>
    </row>
    <row r="1497" spans="1:17" x14ac:dyDescent="0.45">
      <c r="A1497" s="3">
        <v>112042</v>
      </c>
      <c r="B1497" t="b">
        <v>0</v>
      </c>
      <c r="C1497" t="b">
        <v>0</v>
      </c>
      <c r="D1497" s="3">
        <v>1971</v>
      </c>
      <c r="E1497" s="3">
        <v>1979</v>
      </c>
      <c r="F1497" t="s">
        <v>1288</v>
      </c>
      <c r="G1497" t="s">
        <v>1289</v>
      </c>
      <c r="H1497" s="3">
        <v>30.3432</v>
      </c>
      <c r="I1497" t="s">
        <v>1281</v>
      </c>
      <c r="J1497" t="s">
        <v>12443</v>
      </c>
      <c r="L1497" t="s">
        <v>1290</v>
      </c>
      <c r="M1497" t="str">
        <f>"https://www.artic.edu/iiif/2/"&amp;Table9[[#This Row],[Image ID]]&amp;"/full/843,/0/default.jpg"</f>
        <v>https://www.artic.edu/iiif/2/64f8fcb9-0d04-8610-e1fa-15d1085cad1c/full/843,/0/default.jpg</v>
      </c>
      <c r="N1497" s="3">
        <v>0.8</v>
      </c>
      <c r="O1497" s="3">
        <v>0.125</v>
      </c>
      <c r="P1497" s="3">
        <v>0.67500000000000004</v>
      </c>
      <c r="Q1497" s="3">
        <v>0.833107769489288</v>
      </c>
    </row>
    <row r="1498" spans="1:17" x14ac:dyDescent="0.45">
      <c r="A1498" s="3">
        <v>113495</v>
      </c>
      <c r="B1498" t="b">
        <v>0</v>
      </c>
      <c r="C1498" t="b">
        <v>0</v>
      </c>
      <c r="D1498" s="3">
        <v>1919</v>
      </c>
      <c r="E1498" s="3">
        <v>1919</v>
      </c>
      <c r="F1498" t="s">
        <v>1451</v>
      </c>
      <c r="G1498" t="s">
        <v>1452</v>
      </c>
      <c r="H1498" s="3">
        <v>16.794</v>
      </c>
      <c r="I1498" t="s">
        <v>459</v>
      </c>
      <c r="J1498" t="s">
        <v>12477</v>
      </c>
      <c r="K1498" s="5" t="s">
        <v>166</v>
      </c>
      <c r="L1498" t="s">
        <v>1453</v>
      </c>
      <c r="M1498" t="str">
        <f>"https://www.artic.edu/iiif/2/"&amp;Table9[[#This Row],[Image ID]]&amp;"/full/843,/0/default.jpg"</f>
        <v>https://www.artic.edu/iiif/2/66c576ce-e4c1-fcd4-89b4-ac753ee61664/full/843,/0/default.jpg</v>
      </c>
      <c r="N1498" s="3">
        <v>0.67500000000000004</v>
      </c>
      <c r="O1498" s="3">
        <v>0</v>
      </c>
      <c r="P1498" s="3">
        <v>0.67500000000000004</v>
      </c>
      <c r="Q1498" s="3">
        <v>0.82259058952331499</v>
      </c>
    </row>
    <row r="1499" spans="1:17" x14ac:dyDescent="0.45">
      <c r="A1499" s="3">
        <v>184902</v>
      </c>
      <c r="B1499" t="b">
        <v>0</v>
      </c>
      <c r="C1499" t="b">
        <v>0</v>
      </c>
      <c r="D1499" s="3">
        <v>2003</v>
      </c>
      <c r="E1499" s="3">
        <v>2003</v>
      </c>
      <c r="F1499" t="s">
        <v>4894</v>
      </c>
      <c r="G1499" t="s">
        <v>4823</v>
      </c>
      <c r="H1499" s="3">
        <v>9.6318000000000001</v>
      </c>
      <c r="I1499" t="s">
        <v>293</v>
      </c>
      <c r="J1499" t="s">
        <v>10977</v>
      </c>
      <c r="K1499" s="5" t="s">
        <v>15</v>
      </c>
      <c r="L1499" t="s">
        <v>4895</v>
      </c>
      <c r="M1499" t="str">
        <f>"https://www.artic.edu/iiif/2/"&amp;Table9[[#This Row],[Image ID]]&amp;"/full/843,/0/default.jpg"</f>
        <v>https://www.artic.edu/iiif/2/66ecb07d-165d-e9ec-9c80-bc7caa676936/full/843,/0/default.jpg</v>
      </c>
      <c r="N1499" s="3">
        <v>0.77500000000000002</v>
      </c>
      <c r="O1499" s="3">
        <v>0.1</v>
      </c>
      <c r="P1499" s="3">
        <v>0.67500000000000004</v>
      </c>
      <c r="Q1499" s="3">
        <v>0.79009622335433904</v>
      </c>
    </row>
    <row r="1500" spans="1:17" x14ac:dyDescent="0.45">
      <c r="A1500" s="3">
        <v>42500</v>
      </c>
      <c r="B1500" t="b">
        <v>0</v>
      </c>
      <c r="C1500" t="b">
        <v>0</v>
      </c>
      <c r="D1500" s="3">
        <v>1850</v>
      </c>
      <c r="E1500" s="3">
        <v>1927</v>
      </c>
      <c r="F1500" t="s">
        <v>7708</v>
      </c>
      <c r="G1500" t="s">
        <v>1774</v>
      </c>
      <c r="H1500" s="3">
        <v>30.627500000000001</v>
      </c>
      <c r="I1500" t="s">
        <v>7709</v>
      </c>
      <c r="J1500" t="s">
        <v>12536</v>
      </c>
      <c r="L1500" t="s">
        <v>7710</v>
      </c>
      <c r="M1500" t="str">
        <f>"https://www.artic.edu/iiif/2/"&amp;Table9[[#This Row],[Image ID]]&amp;"/full/843,/0/default.jpg"</f>
        <v>https://www.artic.edu/iiif/2/6b3720ee-9254-f29c-c451-4ca1650d4adf/full/843,/0/default.jpg</v>
      </c>
      <c r="N1500" s="3">
        <v>0.67500000000000004</v>
      </c>
      <c r="O1500" s="3">
        <v>0</v>
      </c>
      <c r="P1500" s="3">
        <v>0.67500000000000004</v>
      </c>
      <c r="Q1500" s="3">
        <v>0.80301606655120805</v>
      </c>
    </row>
    <row r="1501" spans="1:17" x14ac:dyDescent="0.45">
      <c r="A1501" s="3">
        <v>94030</v>
      </c>
      <c r="B1501" t="b">
        <v>0</v>
      </c>
      <c r="C1501" t="b">
        <v>0</v>
      </c>
      <c r="D1501" s="3">
        <v>1966</v>
      </c>
      <c r="E1501" s="3">
        <v>1966</v>
      </c>
      <c r="F1501" t="s">
        <v>10700</v>
      </c>
      <c r="G1501" t="s">
        <v>10701</v>
      </c>
      <c r="H1501" s="3">
        <v>30.063700000000001</v>
      </c>
      <c r="I1501" t="s">
        <v>378</v>
      </c>
      <c r="J1501" t="s">
        <v>11276</v>
      </c>
      <c r="L1501" t="s">
        <v>10702</v>
      </c>
      <c r="M1501" t="str">
        <f>"https://www.artic.edu/iiif/2/"&amp;Table9[[#This Row],[Image ID]]&amp;"/full/843,/0/default.jpg"</f>
        <v>https://www.artic.edu/iiif/2/7052eade-4416-15a4-ed58-8931ec3c2d0f/full/843,/0/default.jpg</v>
      </c>
      <c r="N1501" s="3">
        <v>0.77500000000000002</v>
      </c>
      <c r="O1501" s="3">
        <v>0.1</v>
      </c>
      <c r="P1501" s="3">
        <v>0.67500000000000004</v>
      </c>
      <c r="Q1501" s="3">
        <v>0.718100726604461</v>
      </c>
    </row>
    <row r="1502" spans="1:17" x14ac:dyDescent="0.45">
      <c r="A1502" s="3">
        <v>94009</v>
      </c>
      <c r="B1502" t="b">
        <v>0</v>
      </c>
      <c r="C1502" t="b">
        <v>0</v>
      </c>
      <c r="D1502" s="3">
        <v>1962</v>
      </c>
      <c r="E1502" s="3">
        <v>1962</v>
      </c>
      <c r="F1502" t="s">
        <v>10669</v>
      </c>
      <c r="G1502" t="s">
        <v>10670</v>
      </c>
      <c r="H1502" s="3">
        <v>26.235399999999998</v>
      </c>
      <c r="I1502" t="s">
        <v>378</v>
      </c>
      <c r="J1502" t="s">
        <v>12661</v>
      </c>
      <c r="L1502" t="s">
        <v>10671</v>
      </c>
      <c r="M1502" t="str">
        <f>"https://www.artic.edu/iiif/2/"&amp;Table9[[#This Row],[Image ID]]&amp;"/full/843,/0/default.jpg"</f>
        <v>https://www.artic.edu/iiif/2/7447cb51-40eb-b81c-665c-407ca8e0b05d/full/843,/0/default.jpg</v>
      </c>
      <c r="N1502" s="3">
        <v>0.75</v>
      </c>
      <c r="O1502" s="3">
        <v>7.4999999999999997E-2</v>
      </c>
      <c r="P1502" s="3">
        <v>0.67500000000000004</v>
      </c>
      <c r="Q1502" s="3">
        <v>0.61588799953460605</v>
      </c>
    </row>
    <row r="1503" spans="1:17" x14ac:dyDescent="0.45">
      <c r="A1503" s="3">
        <v>146952</v>
      </c>
      <c r="B1503" t="b">
        <v>0</v>
      </c>
      <c r="C1503" t="b">
        <v>0</v>
      </c>
      <c r="D1503" s="3">
        <v>1965</v>
      </c>
      <c r="E1503" s="3">
        <v>1965</v>
      </c>
      <c r="F1503" t="s">
        <v>3527</v>
      </c>
      <c r="G1503" t="s">
        <v>7</v>
      </c>
      <c r="H1503" s="3">
        <v>42.8262</v>
      </c>
      <c r="I1503" t="s">
        <v>3503</v>
      </c>
      <c r="J1503" t="s">
        <v>12673</v>
      </c>
      <c r="L1503" t="s">
        <v>3528</v>
      </c>
      <c r="M1503" t="str">
        <f>"https://www.artic.edu/iiif/2/"&amp;Table9[[#This Row],[Image ID]]&amp;"/full/843,/0/default.jpg"</f>
        <v>https://www.artic.edu/iiif/2/7514db03-b320-338b-05e9-23aca6676a88/full/843,/0/default.jpg</v>
      </c>
      <c r="N1503" s="3">
        <v>0.8</v>
      </c>
      <c r="O1503" s="3">
        <v>0.125</v>
      </c>
      <c r="P1503" s="3">
        <v>0.67500000000000004</v>
      </c>
      <c r="Q1503" s="3">
        <v>0.64485275745391801</v>
      </c>
    </row>
    <row r="1504" spans="1:17" x14ac:dyDescent="0.45">
      <c r="A1504" s="3">
        <v>184937</v>
      </c>
      <c r="B1504" t="b">
        <v>0</v>
      </c>
      <c r="C1504" t="b">
        <v>0</v>
      </c>
      <c r="D1504" s="3">
        <v>2003</v>
      </c>
      <c r="E1504" s="3">
        <v>2003</v>
      </c>
      <c r="F1504" t="s">
        <v>4922</v>
      </c>
      <c r="G1504" t="s">
        <v>4823</v>
      </c>
      <c r="H1504" s="3">
        <v>8.0785999999999998</v>
      </c>
      <c r="I1504" t="s">
        <v>293</v>
      </c>
      <c r="J1504" t="s">
        <v>10977</v>
      </c>
      <c r="K1504" s="5" t="s">
        <v>15</v>
      </c>
      <c r="L1504" t="s">
        <v>4923</v>
      </c>
      <c r="M1504" t="str">
        <f>"https://www.artic.edu/iiif/2/"&amp;Table9[[#This Row],[Image ID]]&amp;"/full/843,/0/default.jpg"</f>
        <v>https://www.artic.edu/iiif/2/7b1d6dd5-7718-4575-a97c-f068cb2ec30c/full/843,/0/default.jpg</v>
      </c>
      <c r="N1504" s="3">
        <v>0.8</v>
      </c>
      <c r="O1504" s="3">
        <v>0.125</v>
      </c>
      <c r="P1504" s="3">
        <v>0.67500000000000004</v>
      </c>
      <c r="Q1504" s="3">
        <v>0.79529458284377996</v>
      </c>
    </row>
    <row r="1505" spans="1:17" x14ac:dyDescent="0.45">
      <c r="A1505" s="3">
        <v>146853</v>
      </c>
      <c r="B1505" t="b">
        <v>0</v>
      </c>
      <c r="C1505" t="b">
        <v>0</v>
      </c>
      <c r="D1505" s="3">
        <v>1929</v>
      </c>
      <c r="E1505" s="3">
        <v>1929</v>
      </c>
      <c r="F1505" t="s">
        <v>3493</v>
      </c>
      <c r="G1505" t="s">
        <v>3494</v>
      </c>
      <c r="H1505" s="3">
        <v>24.8489</v>
      </c>
      <c r="I1505" t="s">
        <v>1430</v>
      </c>
      <c r="J1505" t="s">
        <v>12772</v>
      </c>
      <c r="K1505" s="5" t="s">
        <v>45</v>
      </c>
      <c r="L1505" t="s">
        <v>3495</v>
      </c>
      <c r="M1505" t="str">
        <f>"https://www.artic.edu/iiif/2/"&amp;Table9[[#This Row],[Image ID]]&amp;"/full/843,/0/default.jpg"</f>
        <v>https://www.artic.edu/iiif/2/7cb1f655-b9bd-5e58-15d1-ddaf02e9819c/full/843,/0/default.jpg</v>
      </c>
      <c r="N1505" s="3">
        <v>0.8</v>
      </c>
      <c r="O1505" s="3">
        <v>0.125</v>
      </c>
      <c r="P1505" s="3">
        <v>0.67500000000000004</v>
      </c>
      <c r="Q1505" s="3">
        <v>0.75183844566345204</v>
      </c>
    </row>
    <row r="1506" spans="1:17" x14ac:dyDescent="0.45">
      <c r="A1506" s="3">
        <v>111342</v>
      </c>
      <c r="B1506" t="b">
        <v>0</v>
      </c>
      <c r="C1506" t="b">
        <v>0</v>
      </c>
      <c r="D1506" s="3">
        <v>1881</v>
      </c>
      <c r="E1506" s="3">
        <v>1913</v>
      </c>
      <c r="F1506" t="s">
        <v>1080</v>
      </c>
      <c r="G1506" t="s">
        <v>1081</v>
      </c>
      <c r="H1506" s="3">
        <v>28.758700000000001</v>
      </c>
      <c r="I1506" t="s">
        <v>1078</v>
      </c>
      <c r="J1506" t="s">
        <v>12808</v>
      </c>
      <c r="L1506" t="s">
        <v>1082</v>
      </c>
      <c r="M1506" t="str">
        <f>"https://www.artic.edu/iiif/2/"&amp;Table9[[#This Row],[Image ID]]&amp;"/full/843,/0/default.jpg"</f>
        <v>https://www.artic.edu/iiif/2/7f77597b-914d-3fc3-a349-2d8175405eed/full/843,/0/default.jpg</v>
      </c>
      <c r="N1506" s="3">
        <v>0.8</v>
      </c>
      <c r="O1506" s="3">
        <v>0.125</v>
      </c>
      <c r="P1506" s="3">
        <v>0.67500000000000004</v>
      </c>
      <c r="Q1506" s="3">
        <v>0.69575816392898504</v>
      </c>
    </row>
    <row r="1507" spans="1:17" x14ac:dyDescent="0.45">
      <c r="A1507" s="3">
        <v>100077</v>
      </c>
      <c r="B1507" t="b">
        <v>0</v>
      </c>
      <c r="C1507" t="b">
        <v>0</v>
      </c>
      <c r="D1507" s="3">
        <v>1979</v>
      </c>
      <c r="E1507" s="3">
        <v>1979</v>
      </c>
      <c r="F1507" t="s">
        <v>34</v>
      </c>
      <c r="G1507" t="s">
        <v>35</v>
      </c>
      <c r="H1507" s="3">
        <v>26.3367</v>
      </c>
      <c r="I1507" t="s">
        <v>32</v>
      </c>
      <c r="J1507" t="s">
        <v>13003</v>
      </c>
      <c r="L1507" t="s">
        <v>36</v>
      </c>
      <c r="M1507" t="str">
        <f>"https://www.artic.edu/iiif/2/"&amp;Table9[[#This Row],[Image ID]]&amp;"/full/843,/0/default.jpg"</f>
        <v>https://www.artic.edu/iiif/2/8e2c5882-c396-ed7f-853d-f00b83e44141/full/843,/0/default.jpg</v>
      </c>
      <c r="N1507" s="3">
        <v>0.75</v>
      </c>
      <c r="O1507" s="3">
        <v>7.4999999999999997E-2</v>
      </c>
      <c r="P1507" s="3">
        <v>0.67500000000000004</v>
      </c>
      <c r="Q1507" s="3">
        <v>0.68963849544525102</v>
      </c>
    </row>
    <row r="1508" spans="1:17" x14ac:dyDescent="0.45">
      <c r="A1508" s="3">
        <v>187054</v>
      </c>
      <c r="B1508" t="b">
        <v>0</v>
      </c>
      <c r="C1508" t="b">
        <v>0</v>
      </c>
      <c r="D1508" s="3">
        <v>1901</v>
      </c>
      <c r="E1508" s="3">
        <v>2000</v>
      </c>
      <c r="F1508" t="s">
        <v>5099</v>
      </c>
      <c r="G1508" t="s">
        <v>5100</v>
      </c>
      <c r="H1508" s="3">
        <v>27.8141</v>
      </c>
      <c r="I1508" t="s">
        <v>5101</v>
      </c>
      <c r="J1508" t="s">
        <v>13035</v>
      </c>
      <c r="K1508" s="5" t="s">
        <v>130</v>
      </c>
      <c r="L1508" t="s">
        <v>5102</v>
      </c>
      <c r="M1508" t="str">
        <f>"https://www.artic.edu/iiif/2/"&amp;Table9[[#This Row],[Image ID]]&amp;"/full/843,/0/default.jpg"</f>
        <v>https://www.artic.edu/iiif/2/90bdf22d-72d2-8551-5e59-68625bdf0272/full/843,/0/default.jpg</v>
      </c>
      <c r="N1508" s="3">
        <v>0.77500000000000002</v>
      </c>
      <c r="O1508" s="3">
        <v>0.1</v>
      </c>
      <c r="P1508" s="3">
        <v>0.67500000000000004</v>
      </c>
      <c r="Q1508" s="3">
        <v>0.73964446783065796</v>
      </c>
    </row>
    <row r="1509" spans="1:17" x14ac:dyDescent="0.45">
      <c r="A1509" s="3">
        <v>26082</v>
      </c>
      <c r="B1509" t="b">
        <v>0</v>
      </c>
      <c r="C1509" t="b">
        <v>0</v>
      </c>
      <c r="D1509" s="3">
        <v>1928</v>
      </c>
      <c r="E1509" s="3">
        <v>1928</v>
      </c>
      <c r="F1509" t="s">
        <v>14702</v>
      </c>
      <c r="G1509" t="s">
        <v>7</v>
      </c>
      <c r="H1509" s="3">
        <v>50.328099999999999</v>
      </c>
      <c r="I1509" t="s">
        <v>2555</v>
      </c>
      <c r="J1509" t="s">
        <v>13078</v>
      </c>
      <c r="L1509" t="s">
        <v>6670</v>
      </c>
      <c r="M1509" t="str">
        <f>"https://www.artic.edu/iiif/2/"&amp;Table9[[#This Row],[Image ID]]&amp;"/full/843,/0/default.jpg"</f>
        <v>https://www.artic.edu/iiif/2/94cdf00a-373d-0f0f-685a-8eebe8d26bc2/full/843,/0/default.jpg</v>
      </c>
      <c r="N1509" s="3">
        <v>0.75</v>
      </c>
      <c r="O1509" s="3">
        <v>7.4999999999999997E-2</v>
      </c>
      <c r="P1509" s="3">
        <v>0.67500000000000004</v>
      </c>
      <c r="Q1509" s="3">
        <v>0.74576419591903598</v>
      </c>
    </row>
    <row r="1510" spans="1:17" x14ac:dyDescent="0.45">
      <c r="A1510" s="3">
        <v>133457</v>
      </c>
      <c r="B1510" t="b">
        <v>0</v>
      </c>
      <c r="C1510" t="b">
        <v>0</v>
      </c>
      <c r="D1510" s="3">
        <v>1887</v>
      </c>
      <c r="E1510" s="3">
        <v>1956</v>
      </c>
      <c r="F1510" t="s">
        <v>3040</v>
      </c>
      <c r="G1510" t="s">
        <v>3041</v>
      </c>
      <c r="H1510" s="3">
        <v>36.339399999999998</v>
      </c>
      <c r="I1510" t="s">
        <v>3042</v>
      </c>
      <c r="J1510" t="s">
        <v>13135</v>
      </c>
      <c r="L1510" t="s">
        <v>3043</v>
      </c>
      <c r="M1510" t="str">
        <f>"https://www.artic.edu/iiif/2/"&amp;Table9[[#This Row],[Image ID]]&amp;"/full/843,/0/default.jpg"</f>
        <v>https://www.artic.edu/iiif/2/98f484cf-9dcd-d803-7256-9aba9a8e86f5/full/843,/0/default.jpg</v>
      </c>
      <c r="N1510" s="3">
        <v>0.77500000000000002</v>
      </c>
      <c r="O1510" s="3">
        <v>0.1</v>
      </c>
      <c r="P1510" s="3">
        <v>0.67500000000000004</v>
      </c>
      <c r="Q1510" s="3">
        <v>0.62103271484375</v>
      </c>
    </row>
    <row r="1511" spans="1:17" x14ac:dyDescent="0.45">
      <c r="A1511" s="3">
        <v>228838</v>
      </c>
      <c r="B1511" t="b">
        <v>0</v>
      </c>
      <c r="C1511" t="b">
        <v>0</v>
      </c>
      <c r="D1511" s="3">
        <v>2010</v>
      </c>
      <c r="E1511" s="3">
        <v>2010</v>
      </c>
      <c r="F1511" t="s">
        <v>6022</v>
      </c>
      <c r="G1511" t="s">
        <v>141</v>
      </c>
      <c r="H1511" s="3">
        <v>2.8130999999999999</v>
      </c>
      <c r="I1511" t="s">
        <v>6016</v>
      </c>
      <c r="J1511" t="s">
        <v>11455</v>
      </c>
      <c r="K1511" s="5" t="s">
        <v>15</v>
      </c>
      <c r="L1511" t="s">
        <v>6023</v>
      </c>
      <c r="M1511" t="str">
        <f>"https://www.artic.edu/iiif/2/"&amp;Table9[[#This Row],[Image ID]]&amp;"/full/843,/0/default.jpg"</f>
        <v>https://www.artic.edu/iiif/2/9901cdf7-2ef1-4f5e-2d6e-d2e35f89fe72/full/843,/0/default.jpg</v>
      </c>
      <c r="N1511" s="3">
        <v>0.8</v>
      </c>
      <c r="O1511" s="3">
        <v>0.125</v>
      </c>
      <c r="P1511" s="3">
        <v>0.67500000000000004</v>
      </c>
      <c r="Q1511" s="3">
        <v>0.83340525627136197</v>
      </c>
    </row>
    <row r="1512" spans="1:17" x14ac:dyDescent="0.45">
      <c r="A1512" s="3">
        <v>115831</v>
      </c>
      <c r="B1512" t="b">
        <v>0</v>
      </c>
      <c r="C1512" t="b">
        <v>0</v>
      </c>
      <c r="D1512" s="3">
        <v>1884</v>
      </c>
      <c r="E1512" s="3">
        <v>1949</v>
      </c>
      <c r="F1512" t="s">
        <v>2111</v>
      </c>
      <c r="G1512" t="s">
        <v>2112</v>
      </c>
      <c r="H1512" s="3">
        <v>24.088899999999999</v>
      </c>
      <c r="I1512" t="s">
        <v>2113</v>
      </c>
      <c r="J1512" t="s">
        <v>13204</v>
      </c>
      <c r="L1512" t="s">
        <v>2114</v>
      </c>
      <c r="M1512" t="str">
        <f>"https://www.artic.edu/iiif/2/"&amp;Table9[[#This Row],[Image ID]]&amp;"/full/843,/0/default.jpg"</f>
        <v>https://www.artic.edu/iiif/2/9dff0cc6-d859-699c-acf1-a5fad7311b9b/full/843,/0/default.jpg</v>
      </c>
      <c r="N1512" s="3">
        <v>0.75</v>
      </c>
      <c r="O1512" s="3">
        <v>7.4999999999999997E-2</v>
      </c>
      <c r="P1512" s="3">
        <v>0.67500000000000004</v>
      </c>
      <c r="Q1512" s="3">
        <v>0.66473186016082697</v>
      </c>
    </row>
    <row r="1513" spans="1:17" x14ac:dyDescent="0.45">
      <c r="A1513" s="3">
        <v>55501</v>
      </c>
      <c r="B1513" t="b">
        <v>0</v>
      </c>
      <c r="C1513" t="b">
        <v>0</v>
      </c>
      <c r="D1513" s="3">
        <v>1932</v>
      </c>
      <c r="E1513" s="3">
        <v>1932</v>
      </c>
      <c r="F1513" t="s">
        <v>8343</v>
      </c>
      <c r="G1513" t="s">
        <v>7</v>
      </c>
      <c r="H1513" s="3">
        <v>21.636700000000001</v>
      </c>
      <c r="I1513" t="s">
        <v>1032</v>
      </c>
      <c r="J1513" t="s">
        <v>13312</v>
      </c>
      <c r="K1513" s="5" t="s">
        <v>2</v>
      </c>
      <c r="L1513" t="s">
        <v>8344</v>
      </c>
      <c r="M1513" t="str">
        <f>"https://www.artic.edu/iiif/2/"&amp;Table9[[#This Row],[Image ID]]&amp;"/full/843,/0/default.jpg"</f>
        <v>https://www.artic.edu/iiif/2/a5ed8247-1427-586e-d37c-6bdc04948350/full/843,/0/default.jpg</v>
      </c>
      <c r="N1513" s="3">
        <v>0.75</v>
      </c>
      <c r="O1513" s="3">
        <v>7.4999999999999997E-2</v>
      </c>
      <c r="P1513" s="3">
        <v>0.67500000000000004</v>
      </c>
      <c r="Q1513" s="3">
        <v>0.84941643476486195</v>
      </c>
    </row>
    <row r="1514" spans="1:17" x14ac:dyDescent="0.45">
      <c r="A1514" s="3">
        <v>230381</v>
      </c>
      <c r="B1514" t="b">
        <v>0</v>
      </c>
      <c r="C1514" t="b">
        <v>0</v>
      </c>
      <c r="D1514" s="3">
        <v>1974</v>
      </c>
      <c r="E1514" s="3">
        <v>1974</v>
      </c>
      <c r="F1514" t="s">
        <v>6141</v>
      </c>
      <c r="G1514" t="s">
        <v>7</v>
      </c>
      <c r="H1514" s="3">
        <v>30.857600000000001</v>
      </c>
      <c r="I1514" t="s">
        <v>5769</v>
      </c>
      <c r="J1514" t="s">
        <v>13359</v>
      </c>
      <c r="L1514" t="s">
        <v>6142</v>
      </c>
      <c r="M1514" t="str">
        <f>"https://www.artic.edu/iiif/2/"&amp;Table9[[#This Row],[Image ID]]&amp;"/full/843,/0/default.jpg"</f>
        <v>https://www.artic.edu/iiif/2/a8b8f1e1-5f1b-3328-2848-e1cc29ad21fc/full/843,/0/default.jpg</v>
      </c>
      <c r="N1514" s="3">
        <v>0.75</v>
      </c>
      <c r="O1514" s="3">
        <v>7.4999999999999997E-2</v>
      </c>
      <c r="P1514" s="3">
        <v>0.67500000000000004</v>
      </c>
      <c r="Q1514" s="3">
        <v>0.75307148694991999</v>
      </c>
    </row>
    <row r="1515" spans="1:17" x14ac:dyDescent="0.45">
      <c r="A1515" s="3">
        <v>93798</v>
      </c>
      <c r="B1515" t="b">
        <v>0</v>
      </c>
      <c r="C1515" t="b">
        <v>0</v>
      </c>
      <c r="D1515" s="3">
        <v>1943</v>
      </c>
      <c r="E1515" s="3">
        <v>1944</v>
      </c>
      <c r="F1515" t="s">
        <v>10617</v>
      </c>
      <c r="G1515" t="s">
        <v>7</v>
      </c>
      <c r="I1515" t="s">
        <v>378</v>
      </c>
      <c r="J1515" t="s">
        <v>13374</v>
      </c>
      <c r="K1515" s="5" t="s">
        <v>2</v>
      </c>
      <c r="L1515" t="s">
        <v>10618</v>
      </c>
      <c r="M1515" t="str">
        <f>"https://www.artic.edu/iiif/2/"&amp;Table9[[#This Row],[Image ID]]&amp;"/full/843,/0/default.jpg"</f>
        <v>https://www.artic.edu/iiif/2/aa2b57e9-3773-03c1-0fb4-0135e7358dc6/full/843,/0/default.jpg</v>
      </c>
      <c r="N1515" s="3">
        <v>0.75</v>
      </c>
      <c r="O1515" s="3">
        <v>7.4999999999999997E-2</v>
      </c>
      <c r="P1515" s="3">
        <v>0.67500000000000004</v>
      </c>
      <c r="Q1515" s="3">
        <v>0.65493011474609297</v>
      </c>
    </row>
    <row r="1516" spans="1:17" x14ac:dyDescent="0.45">
      <c r="A1516" s="3">
        <v>90440</v>
      </c>
      <c r="B1516" t="b">
        <v>0</v>
      </c>
      <c r="C1516" t="b">
        <v>0</v>
      </c>
      <c r="D1516" s="3">
        <v>1916</v>
      </c>
      <c r="E1516" s="3">
        <v>1916</v>
      </c>
      <c r="F1516" t="s">
        <v>5116</v>
      </c>
      <c r="G1516" t="s">
        <v>7</v>
      </c>
      <c r="H1516" s="3">
        <v>53.040199999999999</v>
      </c>
      <c r="I1516" t="s">
        <v>14572</v>
      </c>
      <c r="J1516" t="s">
        <v>13397</v>
      </c>
      <c r="L1516" t="s">
        <v>10527</v>
      </c>
      <c r="M1516" t="str">
        <f>"https://www.artic.edu/iiif/2/"&amp;Table9[[#This Row],[Image ID]]&amp;"/full/843,/0/default.jpg"</f>
        <v>https://www.artic.edu/iiif/2/ac7d2c43-e79b-b927-2c11-805ba933d717/full/843,/0/default.jpg</v>
      </c>
      <c r="N1516" s="3">
        <v>0.8</v>
      </c>
      <c r="O1516" s="3">
        <v>0.125</v>
      </c>
      <c r="P1516" s="3">
        <v>0.67500000000000004</v>
      </c>
      <c r="Q1516" s="3">
        <v>0.76200604438781705</v>
      </c>
    </row>
    <row r="1517" spans="1:17" x14ac:dyDescent="0.45">
      <c r="A1517" s="3">
        <v>196142</v>
      </c>
      <c r="B1517" t="b">
        <v>0</v>
      </c>
      <c r="C1517" t="b">
        <v>0</v>
      </c>
      <c r="D1517" s="3">
        <v>1957</v>
      </c>
      <c r="E1517" s="3">
        <v>1957</v>
      </c>
      <c r="F1517" t="s">
        <v>5276</v>
      </c>
      <c r="G1517" t="s">
        <v>5277</v>
      </c>
      <c r="H1517" s="3">
        <v>98.010999999999996</v>
      </c>
      <c r="I1517" t="s">
        <v>3723</v>
      </c>
      <c r="J1517" t="s">
        <v>13405</v>
      </c>
      <c r="L1517" t="s">
        <v>5278</v>
      </c>
      <c r="M1517" t="str">
        <f>"https://www.artic.edu/iiif/2/"&amp;Table9[[#This Row],[Image ID]]&amp;"/full/843,/0/default.jpg"</f>
        <v>https://www.artic.edu/iiif/2/accc2e47-093c-8efa-6e30-fe5841eb9618/full/843,/0/default.jpg</v>
      </c>
      <c r="N1517" s="3">
        <v>0.75</v>
      </c>
      <c r="O1517" s="3">
        <v>7.4999999999999997E-2</v>
      </c>
      <c r="P1517" s="3">
        <v>0.67500000000000004</v>
      </c>
      <c r="Q1517" s="3">
        <v>0.92133009433746305</v>
      </c>
    </row>
    <row r="1518" spans="1:17" x14ac:dyDescent="0.45">
      <c r="A1518" s="3">
        <v>58617</v>
      </c>
      <c r="B1518" t="b">
        <v>0</v>
      </c>
      <c r="C1518" t="b">
        <v>0</v>
      </c>
      <c r="D1518" s="3">
        <v>1930</v>
      </c>
      <c r="E1518" s="3">
        <v>1960</v>
      </c>
      <c r="F1518" t="s">
        <v>8520</v>
      </c>
      <c r="G1518" t="s">
        <v>8521</v>
      </c>
      <c r="H1518" s="3">
        <v>43.9358</v>
      </c>
      <c r="I1518" t="s">
        <v>498</v>
      </c>
      <c r="J1518" t="s">
        <v>13433</v>
      </c>
      <c r="L1518" t="s">
        <v>8522</v>
      </c>
      <c r="M1518" t="str">
        <f>"https://www.artic.edu/iiif/2/"&amp;Table9[[#This Row],[Image ID]]&amp;"/full/843,/0/default.jpg"</f>
        <v>https://www.artic.edu/iiif/2/aedc67b3-16c3-c5f7-7dc7-12a985da73cd/full/843,/0/default.jpg</v>
      </c>
      <c r="N1518" s="3">
        <v>0.75</v>
      </c>
      <c r="O1518" s="3">
        <v>7.4999999999999997E-2</v>
      </c>
      <c r="P1518" s="3">
        <v>0.67500000000000004</v>
      </c>
      <c r="Q1518" s="3">
        <v>0.734885454177856</v>
      </c>
    </row>
    <row r="1519" spans="1:17" x14ac:dyDescent="0.45">
      <c r="A1519" s="3">
        <v>225743</v>
      </c>
      <c r="B1519" t="b">
        <v>0</v>
      </c>
      <c r="C1519" t="b">
        <v>0</v>
      </c>
      <c r="D1519" s="3">
        <v>1959</v>
      </c>
      <c r="E1519" s="3">
        <v>1959</v>
      </c>
      <c r="F1519" t="s">
        <v>5946</v>
      </c>
      <c r="G1519" t="s">
        <v>5917</v>
      </c>
      <c r="H1519" s="3">
        <v>36.432299999999998</v>
      </c>
      <c r="I1519" t="s">
        <v>5918</v>
      </c>
      <c r="J1519" t="s">
        <v>11203</v>
      </c>
      <c r="L1519" t="s">
        <v>5947</v>
      </c>
      <c r="M1519" t="str">
        <f>"https://www.artic.edu/iiif/2/"&amp;Table9[[#This Row],[Image ID]]&amp;"/full/843,/0/default.jpg"</f>
        <v>https://www.artic.edu/iiif/2/b0b21768-ebf2-8227-04ba-bd0375ab8b40/full/843,/0/default.jpg</v>
      </c>
      <c r="N1519" s="3">
        <v>0.8</v>
      </c>
      <c r="O1519" s="3">
        <v>0.125</v>
      </c>
      <c r="P1519" s="3">
        <v>0.67500000000000004</v>
      </c>
      <c r="Q1519" s="3">
        <v>0.76502126455306996</v>
      </c>
    </row>
    <row r="1520" spans="1:17" x14ac:dyDescent="0.45">
      <c r="A1520" s="3">
        <v>94024</v>
      </c>
      <c r="B1520" t="b">
        <v>0</v>
      </c>
      <c r="C1520" t="b">
        <v>0</v>
      </c>
      <c r="D1520" s="3">
        <v>1967</v>
      </c>
      <c r="E1520" s="3">
        <v>1967</v>
      </c>
      <c r="F1520" t="s">
        <v>508</v>
      </c>
      <c r="G1520" t="s">
        <v>10692</v>
      </c>
      <c r="H1520" s="3">
        <v>59.328299999999999</v>
      </c>
      <c r="I1520" t="s">
        <v>378</v>
      </c>
      <c r="J1520" t="s">
        <v>13523</v>
      </c>
      <c r="L1520" t="s">
        <v>10693</v>
      </c>
      <c r="M1520" t="str">
        <f>"https://www.artic.edu/iiif/2/"&amp;Table9[[#This Row],[Image ID]]&amp;"/full/843,/0/default.jpg"</f>
        <v>https://www.artic.edu/iiif/2/b60e1fff-b50a-17ab-ff72-ab9d7cfed5a9/full/843,/0/default.jpg</v>
      </c>
      <c r="N1520" s="3">
        <v>0.8</v>
      </c>
      <c r="O1520" s="3">
        <v>0.125</v>
      </c>
      <c r="P1520" s="3">
        <v>0.67500000000000004</v>
      </c>
      <c r="Q1520" s="3">
        <v>0.80435633659362704</v>
      </c>
    </row>
    <row r="1521" spans="1:17" x14ac:dyDescent="0.45">
      <c r="A1521" s="3">
        <v>22322</v>
      </c>
      <c r="B1521" t="b">
        <v>0</v>
      </c>
      <c r="C1521" t="b">
        <v>0</v>
      </c>
      <c r="D1521" s="3">
        <v>1935</v>
      </c>
      <c r="E1521" s="3">
        <v>1935</v>
      </c>
      <c r="F1521" t="s">
        <v>5856</v>
      </c>
      <c r="G1521" t="s">
        <v>5857</v>
      </c>
      <c r="H1521" s="3">
        <v>67.539500000000004</v>
      </c>
      <c r="I1521" t="s">
        <v>5858</v>
      </c>
      <c r="J1521" t="s">
        <v>13573</v>
      </c>
      <c r="L1521" t="s">
        <v>5859</v>
      </c>
      <c r="M1521" t="str">
        <f>"https://www.artic.edu/iiif/2/"&amp;Table9[[#This Row],[Image ID]]&amp;"/full/843,/0/default.jpg"</f>
        <v>https://www.artic.edu/iiif/2/ba591090-dc73-4db5-c105-47638b4e2f99/full/843,/0/default.jpg</v>
      </c>
      <c r="N1521" s="3">
        <v>0.75</v>
      </c>
      <c r="O1521" s="3">
        <v>7.4999999999999997E-2</v>
      </c>
      <c r="P1521" s="3">
        <v>0.67500000000000004</v>
      </c>
      <c r="Q1521" s="3">
        <v>0.74117112159729004</v>
      </c>
    </row>
    <row r="1522" spans="1:17" x14ac:dyDescent="0.45">
      <c r="A1522" s="3">
        <v>93779</v>
      </c>
      <c r="B1522" t="b">
        <v>0</v>
      </c>
      <c r="C1522" t="b">
        <v>0</v>
      </c>
      <c r="D1522" s="3">
        <v>1938</v>
      </c>
      <c r="E1522" s="3">
        <v>1939</v>
      </c>
      <c r="F1522" t="s">
        <v>10600</v>
      </c>
      <c r="G1522" t="s">
        <v>7</v>
      </c>
      <c r="H1522" s="3">
        <v>26.228999999999999</v>
      </c>
      <c r="I1522" t="s">
        <v>5069</v>
      </c>
      <c r="J1522" t="s">
        <v>13609</v>
      </c>
      <c r="K1522" s="5" t="s">
        <v>2</v>
      </c>
      <c r="L1522" t="s">
        <v>10601</v>
      </c>
      <c r="M1522" t="str">
        <f>"https://www.artic.edu/iiif/2/"&amp;Table9[[#This Row],[Image ID]]&amp;"/full/843,/0/default.jpg"</f>
        <v>https://www.artic.edu/iiif/2/bd327ce2-0971-2ba5-864e-8cb3761104a4/full/843,/0/default.jpg</v>
      </c>
      <c r="N1522" s="3">
        <v>0.77500000000000002</v>
      </c>
      <c r="O1522" s="3">
        <v>0.1</v>
      </c>
      <c r="P1522" s="3">
        <v>0.67500000000000004</v>
      </c>
      <c r="Q1522" s="3">
        <v>0.77113795280456499</v>
      </c>
    </row>
    <row r="1523" spans="1:17" x14ac:dyDescent="0.45">
      <c r="A1523" s="3">
        <v>81040</v>
      </c>
      <c r="B1523" t="b">
        <v>0</v>
      </c>
      <c r="C1523" t="b">
        <v>0</v>
      </c>
      <c r="D1523" s="3">
        <v>1899</v>
      </c>
      <c r="E1523" s="3">
        <v>1922</v>
      </c>
      <c r="F1523" t="s">
        <v>10089</v>
      </c>
      <c r="G1523" t="s">
        <v>10090</v>
      </c>
      <c r="H1523" s="3">
        <v>114.5637</v>
      </c>
      <c r="I1523" t="s">
        <v>9926</v>
      </c>
      <c r="J1523" t="s">
        <v>13632</v>
      </c>
      <c r="L1523" t="s">
        <v>10091</v>
      </c>
      <c r="M1523" t="str">
        <f>"https://www.artic.edu/iiif/2/"&amp;Table9[[#This Row],[Image ID]]&amp;"/full/843,/0/default.jpg"</f>
        <v>https://www.artic.edu/iiif/2/be86b291-2d8f-048c-4442-993b422bee96/full/843,/0/default.jpg</v>
      </c>
      <c r="N1523" s="3">
        <v>0.75</v>
      </c>
      <c r="O1523" s="3">
        <v>7.4999999999999997E-2</v>
      </c>
      <c r="P1523" s="3">
        <v>0.67500000000000004</v>
      </c>
      <c r="Q1523" s="3">
        <v>0.83945739269256503</v>
      </c>
    </row>
    <row r="1524" spans="1:17" x14ac:dyDescent="0.45">
      <c r="A1524" s="3">
        <v>73646</v>
      </c>
      <c r="B1524" t="b">
        <v>0</v>
      </c>
      <c r="C1524" t="b">
        <v>0</v>
      </c>
      <c r="D1524" s="3">
        <v>1930</v>
      </c>
      <c r="E1524" s="3">
        <v>1930</v>
      </c>
      <c r="F1524" t="s">
        <v>9633</v>
      </c>
      <c r="G1524" t="s">
        <v>7</v>
      </c>
      <c r="H1524" s="3">
        <v>24.2151</v>
      </c>
      <c r="I1524" t="s">
        <v>462</v>
      </c>
      <c r="J1524" t="s">
        <v>13654</v>
      </c>
      <c r="L1524" t="s">
        <v>9634</v>
      </c>
      <c r="M1524" t="str">
        <f>"https://www.artic.edu/iiif/2/"&amp;Table9[[#This Row],[Image ID]]&amp;"/full/843,/0/default.jpg"</f>
        <v>https://www.artic.edu/iiif/2/c04fa77a-c8fc-e2b6-b871-6294a4eadaba/full/843,/0/default.jpg</v>
      </c>
      <c r="N1524" s="3">
        <v>0.67500000000000004</v>
      </c>
      <c r="O1524" s="3">
        <v>0</v>
      </c>
      <c r="P1524" s="3">
        <v>0.67500000000000004</v>
      </c>
      <c r="Q1524" s="3">
        <v>0.75803077220916704</v>
      </c>
    </row>
    <row r="1525" spans="1:17" x14ac:dyDescent="0.45">
      <c r="A1525" s="3">
        <v>109454</v>
      </c>
      <c r="B1525" t="b">
        <v>0</v>
      </c>
      <c r="C1525" t="b">
        <v>0</v>
      </c>
      <c r="D1525" s="3">
        <v>1974</v>
      </c>
      <c r="E1525" s="3">
        <v>1974</v>
      </c>
      <c r="F1525" t="s">
        <v>802</v>
      </c>
      <c r="G1525" t="s">
        <v>803</v>
      </c>
      <c r="H1525" s="3">
        <v>52.591799999999999</v>
      </c>
      <c r="I1525" t="s">
        <v>804</v>
      </c>
      <c r="J1525" t="s">
        <v>13664</v>
      </c>
      <c r="L1525" t="s">
        <v>805</v>
      </c>
      <c r="M1525" t="str">
        <f>"https://www.artic.edu/iiif/2/"&amp;Table9[[#This Row],[Image ID]]&amp;"/full/843,/0/default.jpg"</f>
        <v>https://www.artic.edu/iiif/2/c0edf263-843d-f45f-6123-b2ae43e65bde/full/843,/0/default.jpg</v>
      </c>
      <c r="N1525" s="3">
        <v>0.77500000000000002</v>
      </c>
      <c r="O1525" s="3">
        <v>0.1</v>
      </c>
      <c r="P1525" s="3">
        <v>0.67500000000000004</v>
      </c>
      <c r="Q1525" s="3">
        <v>0.85371911525726296</v>
      </c>
    </row>
    <row r="1526" spans="1:17" x14ac:dyDescent="0.45">
      <c r="A1526" s="3">
        <v>25983</v>
      </c>
      <c r="B1526" t="b">
        <v>0</v>
      </c>
      <c r="C1526" t="b">
        <v>0</v>
      </c>
      <c r="D1526" s="3">
        <v>1937</v>
      </c>
      <c r="E1526" s="3">
        <v>1937</v>
      </c>
      <c r="F1526" t="s">
        <v>6661</v>
      </c>
      <c r="G1526" t="s">
        <v>6662</v>
      </c>
      <c r="H1526" s="3">
        <v>32.381</v>
      </c>
      <c r="I1526" t="s">
        <v>2404</v>
      </c>
      <c r="J1526" t="s">
        <v>13665</v>
      </c>
      <c r="L1526" t="s">
        <v>6663</v>
      </c>
      <c r="M1526" t="str">
        <f>"https://www.artic.edu/iiif/2/"&amp;Table9[[#This Row],[Image ID]]&amp;"/full/843,/0/default.jpg"</f>
        <v>https://www.artic.edu/iiif/2/c106d395-8539-148b-a005-eb7142da469a/full/843,/0/default.jpg</v>
      </c>
      <c r="N1526" s="3">
        <v>0.67500000000000004</v>
      </c>
      <c r="O1526" s="3">
        <v>0</v>
      </c>
      <c r="P1526" s="3">
        <v>0.67500000000000004</v>
      </c>
      <c r="Q1526" s="3">
        <v>0.63527429103851296</v>
      </c>
    </row>
    <row r="1527" spans="1:17" x14ac:dyDescent="0.45">
      <c r="A1527" s="3">
        <v>102245</v>
      </c>
      <c r="B1527" t="b">
        <v>0</v>
      </c>
      <c r="C1527" t="b">
        <v>0</v>
      </c>
      <c r="D1527" s="3">
        <v>1983</v>
      </c>
      <c r="E1527" s="3">
        <v>1983</v>
      </c>
      <c r="F1527" t="s">
        <v>255</v>
      </c>
      <c r="G1527" t="s">
        <v>7</v>
      </c>
      <c r="H1527" s="3">
        <v>71.798500000000004</v>
      </c>
      <c r="I1527" t="s">
        <v>256</v>
      </c>
      <c r="J1527" t="s">
        <v>13668</v>
      </c>
      <c r="L1527" t="s">
        <v>257</v>
      </c>
      <c r="M1527" t="str">
        <f>"https://www.artic.edu/iiif/2/"&amp;Table9[[#This Row],[Image ID]]&amp;"/full/843,/0/default.jpg"</f>
        <v>https://www.artic.edu/iiif/2/c14094a6-d0fb-26da-2a22-0b35cb43f6bd/full/843,/0/default.jpg</v>
      </c>
      <c r="N1527" s="3">
        <v>0.75</v>
      </c>
      <c r="O1527" s="3">
        <v>7.4999999999999997E-2</v>
      </c>
      <c r="P1527" s="3">
        <v>0.67500000000000004</v>
      </c>
      <c r="Q1527" s="3">
        <v>0.78314650058746305</v>
      </c>
    </row>
    <row r="1528" spans="1:17" x14ac:dyDescent="0.45">
      <c r="A1528" s="3">
        <v>249688</v>
      </c>
      <c r="B1528" t="b">
        <v>0</v>
      </c>
      <c r="C1528" t="b">
        <v>0</v>
      </c>
      <c r="D1528" s="3">
        <v>1953</v>
      </c>
      <c r="E1528" s="3">
        <v>1953</v>
      </c>
      <c r="F1528" t="s">
        <v>6456</v>
      </c>
      <c r="G1528" t="s">
        <v>272</v>
      </c>
      <c r="H1528" s="3">
        <v>9.218</v>
      </c>
      <c r="I1528" t="s">
        <v>3073</v>
      </c>
      <c r="J1528" t="s">
        <v>6459</v>
      </c>
      <c r="K1528" s="5" t="s">
        <v>6457</v>
      </c>
      <c r="L1528" t="s">
        <v>6458</v>
      </c>
      <c r="M1528" t="str">
        <f>"https://www.artic.edu/iiif/2/"&amp;Table9[[#This Row],[Image ID]]&amp;"/full/843,/0/default.jpg"</f>
        <v>https://www.artic.edu/iiif/2/c64319cf-35d0-e156-31bb-41f22b0e85d7/full/843,/0/default.jpg</v>
      </c>
      <c r="N1528" s="3">
        <v>0.85</v>
      </c>
      <c r="O1528" s="3">
        <v>0.17499999999999999</v>
      </c>
      <c r="P1528" s="3">
        <v>0.67500000000000004</v>
      </c>
      <c r="Q1528" s="3">
        <v>0.80456948280334395</v>
      </c>
    </row>
    <row r="1529" spans="1:17" x14ac:dyDescent="0.45">
      <c r="A1529" s="3">
        <v>180581</v>
      </c>
      <c r="B1529" t="b">
        <v>0</v>
      </c>
      <c r="C1529" t="b">
        <v>0</v>
      </c>
      <c r="D1529" s="3">
        <v>1950</v>
      </c>
      <c r="E1529" s="3">
        <v>1960</v>
      </c>
      <c r="F1529" t="s">
        <v>4695</v>
      </c>
      <c r="G1529" t="s">
        <v>4696</v>
      </c>
      <c r="H1529" s="3">
        <v>44.926900000000003</v>
      </c>
      <c r="I1529" t="s">
        <v>4697</v>
      </c>
      <c r="J1529" t="s">
        <v>13758</v>
      </c>
      <c r="L1529" t="s">
        <v>4698</v>
      </c>
      <c r="M1529" t="str">
        <f>"https://www.artic.edu/iiif/2/"&amp;Table9[[#This Row],[Image ID]]&amp;"/full/843,/0/default.jpg"</f>
        <v>https://www.artic.edu/iiif/2/c8927012-69bc-abf7-6abc-7a5bbb69dc0c/full/843,/0/default.jpg</v>
      </c>
      <c r="N1529" s="3">
        <v>0.77500000000000002</v>
      </c>
      <c r="O1529" s="3">
        <v>0.1</v>
      </c>
      <c r="P1529" s="3">
        <v>0.67500000000000004</v>
      </c>
      <c r="Q1529" s="3">
        <v>0.77284365892410201</v>
      </c>
    </row>
    <row r="1530" spans="1:17" x14ac:dyDescent="0.45">
      <c r="A1530" s="3">
        <v>47370</v>
      </c>
      <c r="B1530" t="b">
        <v>0</v>
      </c>
      <c r="C1530" t="b">
        <v>0</v>
      </c>
      <c r="D1530" s="3">
        <v>1928</v>
      </c>
      <c r="E1530" s="3">
        <v>1943</v>
      </c>
      <c r="F1530" t="s">
        <v>7946</v>
      </c>
      <c r="G1530" t="s">
        <v>7947</v>
      </c>
      <c r="H1530" s="3">
        <v>35.499400000000001</v>
      </c>
      <c r="I1530" t="s">
        <v>7807</v>
      </c>
      <c r="J1530" t="s">
        <v>13767</v>
      </c>
      <c r="L1530" t="s">
        <v>7948</v>
      </c>
      <c r="M1530" t="str">
        <f>"https://www.artic.edu/iiif/2/"&amp;Table9[[#This Row],[Image ID]]&amp;"/full/843,/0/default.jpg"</f>
        <v>https://www.artic.edu/iiif/2/c9257759-d77a-7ae1-9d92-5cfe04c4ee33/full/843,/0/default.jpg</v>
      </c>
      <c r="N1530" s="3">
        <v>0.75</v>
      </c>
      <c r="O1530" s="3">
        <v>7.4999999999999997E-2</v>
      </c>
      <c r="P1530" s="3">
        <v>0.67500000000000004</v>
      </c>
      <c r="Q1530" s="3">
        <v>0.72295212745666504</v>
      </c>
    </row>
    <row r="1531" spans="1:17" x14ac:dyDescent="0.45">
      <c r="A1531" s="3">
        <v>14786</v>
      </c>
      <c r="B1531" t="b">
        <v>0</v>
      </c>
      <c r="C1531" t="b">
        <v>0</v>
      </c>
      <c r="D1531" s="3">
        <v>1928</v>
      </c>
      <c r="E1531" s="3">
        <v>1928</v>
      </c>
      <c r="F1531" t="s">
        <v>3673</v>
      </c>
      <c r="G1531" t="s">
        <v>3674</v>
      </c>
      <c r="H1531" s="3">
        <v>32.710999999999999</v>
      </c>
      <c r="I1531" t="s">
        <v>3675</v>
      </c>
      <c r="J1531" t="s">
        <v>13782</v>
      </c>
      <c r="L1531" t="s">
        <v>3676</v>
      </c>
      <c r="M1531" t="str">
        <f>"https://www.artic.edu/iiif/2/"&amp;Table9[[#This Row],[Image ID]]&amp;"/full/843,/0/default.jpg"</f>
        <v>https://www.artic.edu/iiif/2/ca85c5cc-c28c-87c0-499f-14ab25e1bf1c/full/843,/0/default.jpg</v>
      </c>
      <c r="N1531" s="3">
        <v>0.75</v>
      </c>
      <c r="O1531" s="3">
        <v>7.4999999999999997E-2</v>
      </c>
      <c r="P1531" s="3">
        <v>0.67500000000000004</v>
      </c>
      <c r="Q1531" s="3">
        <v>0.65989345312118497</v>
      </c>
    </row>
    <row r="1532" spans="1:17" x14ac:dyDescent="0.45">
      <c r="A1532" s="3">
        <v>2936</v>
      </c>
      <c r="B1532" t="b">
        <v>0</v>
      </c>
      <c r="C1532" t="b">
        <v>0</v>
      </c>
      <c r="D1532" s="3">
        <v>1910</v>
      </c>
      <c r="E1532" s="3">
        <v>1910</v>
      </c>
      <c r="F1532" t="s">
        <v>1263</v>
      </c>
      <c r="G1532" t="s">
        <v>6908</v>
      </c>
      <c r="H1532" s="3">
        <v>19.1568</v>
      </c>
      <c r="I1532" t="s">
        <v>949</v>
      </c>
      <c r="J1532" t="s">
        <v>11667</v>
      </c>
      <c r="L1532" t="s">
        <v>6909</v>
      </c>
      <c r="M1532" t="str">
        <f>"https://www.artic.edu/iiif/2/"&amp;Table9[[#This Row],[Image ID]]&amp;"/full/843,/0/default.jpg"</f>
        <v>https://www.artic.edu/iiif/2/cac7ff54-ce8a-1d8b-f7ff-319831c60d15/full/843,/0/default.jpg</v>
      </c>
      <c r="N1532" s="3">
        <v>0.77500000000000002</v>
      </c>
      <c r="O1532" s="3">
        <v>0.1</v>
      </c>
      <c r="P1532" s="3">
        <v>0.67500000000000004</v>
      </c>
      <c r="Q1532" s="3">
        <v>0.73945248126983598</v>
      </c>
    </row>
    <row r="1533" spans="1:17" x14ac:dyDescent="0.45">
      <c r="A1533" s="3">
        <v>104274</v>
      </c>
      <c r="B1533" t="b">
        <v>0</v>
      </c>
      <c r="C1533" t="b">
        <v>0</v>
      </c>
      <c r="D1533" s="3">
        <v>1982</v>
      </c>
      <c r="E1533" s="3">
        <v>1982</v>
      </c>
      <c r="F1533" t="s">
        <v>412</v>
      </c>
      <c r="G1533" t="s">
        <v>272</v>
      </c>
      <c r="H1533" s="3">
        <v>43.837600000000002</v>
      </c>
      <c r="I1533" t="s">
        <v>378</v>
      </c>
      <c r="J1533" t="s">
        <v>12099</v>
      </c>
      <c r="K1533" s="5" t="s">
        <v>45</v>
      </c>
      <c r="L1533" t="s">
        <v>413</v>
      </c>
      <c r="M1533" t="str">
        <f>"https://www.artic.edu/iiif/2/"&amp;Table9[[#This Row],[Image ID]]&amp;"/full/843,/0/default.jpg"</f>
        <v>https://www.artic.edu/iiif/2/d618e310-7d27-ff22-e400-de8892b5befc/full/843,/0/default.jpg</v>
      </c>
      <c r="N1533" s="3">
        <v>0.77500000000000002</v>
      </c>
      <c r="O1533" s="3">
        <v>0.1</v>
      </c>
      <c r="P1533" s="3">
        <v>0.67500000000000004</v>
      </c>
      <c r="Q1533" s="3">
        <v>0.872569620609283</v>
      </c>
    </row>
    <row r="1534" spans="1:17" x14ac:dyDescent="0.45">
      <c r="A1534" s="3">
        <v>99425</v>
      </c>
      <c r="B1534" t="b">
        <v>0</v>
      </c>
      <c r="C1534" t="b">
        <v>0</v>
      </c>
      <c r="D1534" s="3">
        <v>1973</v>
      </c>
      <c r="E1534" s="3">
        <v>1973</v>
      </c>
      <c r="F1534" t="s">
        <v>10918</v>
      </c>
      <c r="G1534" t="s">
        <v>10919</v>
      </c>
      <c r="H1534" s="3">
        <v>22.681899999999999</v>
      </c>
      <c r="I1534" t="s">
        <v>5262</v>
      </c>
      <c r="J1534" t="s">
        <v>13955</v>
      </c>
      <c r="L1534" t="s">
        <v>10920</v>
      </c>
      <c r="M1534" t="str">
        <f>"https://www.artic.edu/iiif/2/"&amp;Table9[[#This Row],[Image ID]]&amp;"/full/843,/0/default.jpg"</f>
        <v>https://www.artic.edu/iiif/2/d85ce969-9dfe-9c8b-7cf9-9eec101c97a4/full/843,/0/default.jpg</v>
      </c>
      <c r="N1534" s="3">
        <v>0.8</v>
      </c>
      <c r="O1534" s="3">
        <v>0.125</v>
      </c>
      <c r="P1534" s="3">
        <v>0.67500000000000004</v>
      </c>
      <c r="Q1534" s="3">
        <v>0.86426198482513406</v>
      </c>
    </row>
    <row r="1535" spans="1:17" x14ac:dyDescent="0.45">
      <c r="A1535" s="3">
        <v>66031</v>
      </c>
      <c r="B1535" t="b">
        <v>0</v>
      </c>
      <c r="C1535" t="b">
        <v>0</v>
      </c>
      <c r="D1535" s="3">
        <v>1916</v>
      </c>
      <c r="E1535" s="3">
        <v>1916</v>
      </c>
      <c r="F1535" t="s">
        <v>9171</v>
      </c>
      <c r="G1535" t="s">
        <v>7</v>
      </c>
      <c r="H1535" s="3">
        <v>86.127399999999994</v>
      </c>
      <c r="I1535" t="s">
        <v>19</v>
      </c>
      <c r="J1535" t="s">
        <v>14086</v>
      </c>
      <c r="L1535" t="s">
        <v>9172</v>
      </c>
      <c r="M1535" t="str">
        <f>"https://www.artic.edu/iiif/2/"&amp;Table9[[#This Row],[Image ID]]&amp;"/full/843,/0/default.jpg"</f>
        <v>https://www.artic.edu/iiif/2/e13264d2-c031-47f4-d2ac-7e56665c93d8/full/843,/0/default.jpg</v>
      </c>
      <c r="N1535" s="3">
        <v>0.77500000000000002</v>
      </c>
      <c r="O1535" s="3">
        <v>0.1</v>
      </c>
      <c r="P1535" s="3">
        <v>0.67500000000000004</v>
      </c>
      <c r="Q1535" s="3">
        <v>0.81155353784561102</v>
      </c>
    </row>
    <row r="1536" spans="1:17" x14ac:dyDescent="0.45">
      <c r="A1536" s="3">
        <v>104263</v>
      </c>
      <c r="B1536" t="b">
        <v>0</v>
      </c>
      <c r="C1536" t="b">
        <v>0</v>
      </c>
      <c r="D1536" s="3">
        <v>1981</v>
      </c>
      <c r="E1536" s="3">
        <v>1981</v>
      </c>
      <c r="F1536" t="s">
        <v>387</v>
      </c>
      <c r="G1536" t="s">
        <v>272</v>
      </c>
      <c r="H1536" s="3">
        <v>19.840599999999998</v>
      </c>
      <c r="I1536" t="s">
        <v>378</v>
      </c>
      <c r="J1536" t="s">
        <v>10996</v>
      </c>
      <c r="K1536" s="5" t="s">
        <v>45</v>
      </c>
      <c r="L1536" t="s">
        <v>388</v>
      </c>
      <c r="M1536" t="str">
        <f>"https://www.artic.edu/iiif/2/"&amp;Table9[[#This Row],[Image ID]]&amp;"/full/843,/0/default.jpg"</f>
        <v>https://www.artic.edu/iiif/2/e25a910d-f8ed-34d3-dd37-6c83bbc22123/full/843,/0/default.jpg</v>
      </c>
      <c r="N1536" s="3">
        <v>0.75</v>
      </c>
      <c r="O1536" s="3">
        <v>7.4999999999999997E-2</v>
      </c>
      <c r="P1536" s="3">
        <v>0.67500000000000004</v>
      </c>
      <c r="Q1536" s="3">
        <v>0.93125593662261896</v>
      </c>
    </row>
    <row r="1537" spans="1:17" x14ac:dyDescent="0.45">
      <c r="A1537" s="3">
        <v>134057</v>
      </c>
      <c r="B1537" t="b">
        <v>0</v>
      </c>
      <c r="C1537" t="b">
        <v>0</v>
      </c>
      <c r="D1537" s="3">
        <v>1939</v>
      </c>
      <c r="E1537" s="3">
        <v>1939</v>
      </c>
      <c r="F1537" t="s">
        <v>3092</v>
      </c>
      <c r="G1537" t="s">
        <v>3093</v>
      </c>
      <c r="H1537" s="3">
        <v>50.758800000000001</v>
      </c>
      <c r="I1537" t="s">
        <v>40</v>
      </c>
      <c r="J1537" t="s">
        <v>14281</v>
      </c>
      <c r="L1537" t="s">
        <v>3094</v>
      </c>
      <c r="M1537" t="str">
        <f>"https://www.artic.edu/iiif/2/"&amp;Table9[[#This Row],[Image ID]]&amp;"/full/843,/0/default.jpg"</f>
        <v>https://www.artic.edu/iiif/2/edac05ea-4a88-35c5-07ae-93c31f94ac31/full/843,/0/default.jpg</v>
      </c>
      <c r="N1537" s="3">
        <v>0.75</v>
      </c>
      <c r="O1537" s="3">
        <v>7.4999999999999997E-2</v>
      </c>
      <c r="P1537" s="3">
        <v>0.67500000000000004</v>
      </c>
      <c r="Q1537" s="3">
        <v>0.74894654750823897</v>
      </c>
    </row>
    <row r="1538" spans="1:17" x14ac:dyDescent="0.45">
      <c r="A1538" s="3">
        <v>34896</v>
      </c>
      <c r="B1538" t="b">
        <v>0</v>
      </c>
      <c r="C1538" t="b">
        <v>0</v>
      </c>
      <c r="D1538" s="3">
        <v>1920</v>
      </c>
      <c r="E1538" s="3">
        <v>1927</v>
      </c>
      <c r="F1538" t="s">
        <v>7136</v>
      </c>
      <c r="G1538" t="s">
        <v>7137</v>
      </c>
      <c r="H1538" s="3">
        <v>61.452800000000003</v>
      </c>
      <c r="I1538" t="s">
        <v>7138</v>
      </c>
      <c r="J1538" t="s">
        <v>14350</v>
      </c>
      <c r="L1538" t="s">
        <v>7139</v>
      </c>
      <c r="M1538" t="str">
        <f>"https://www.artic.edu/iiif/2/"&amp;Table9[[#This Row],[Image ID]]&amp;"/full/843,/0/default.jpg"</f>
        <v>https://www.artic.edu/iiif/2/f2931a47-b4fb-8be5-4916-9d1b2e9cc2b0/full/843,/0/default.jpg</v>
      </c>
      <c r="N1538" s="3">
        <v>0.77500000000000002</v>
      </c>
      <c r="O1538" s="3">
        <v>0.1</v>
      </c>
      <c r="P1538" s="3">
        <v>0.67500000000000004</v>
      </c>
      <c r="Q1538" s="3">
        <v>0.62695968151092496</v>
      </c>
    </row>
    <row r="1539" spans="1:17" x14ac:dyDescent="0.45">
      <c r="A1539" s="3">
        <v>105534</v>
      </c>
      <c r="B1539" t="b">
        <v>0</v>
      </c>
      <c r="C1539" t="b">
        <v>0</v>
      </c>
      <c r="D1539" s="3">
        <v>1916</v>
      </c>
      <c r="E1539" s="3">
        <v>1917</v>
      </c>
      <c r="F1539" t="s">
        <v>535</v>
      </c>
      <c r="G1539" t="s">
        <v>536</v>
      </c>
      <c r="H1539" s="3">
        <v>32.785899999999998</v>
      </c>
      <c r="I1539" t="s">
        <v>14637</v>
      </c>
      <c r="J1539" t="s">
        <v>14411</v>
      </c>
      <c r="L1539" t="s">
        <v>537</v>
      </c>
      <c r="M1539" t="str">
        <f>"https://www.artic.edu/iiif/2/"&amp;Table9[[#This Row],[Image ID]]&amp;"/full/843,/0/default.jpg"</f>
        <v>https://www.artic.edu/iiif/2/f6cfc65e-8534-f83e-0bdc-024a970c7dc3/full/843,/0/default.jpg</v>
      </c>
      <c r="N1539" s="3">
        <v>0.77500000000000002</v>
      </c>
      <c r="O1539" s="3">
        <v>0.1</v>
      </c>
      <c r="P1539" s="3">
        <v>0.67500000000000004</v>
      </c>
      <c r="Q1539" s="3">
        <v>0.87053465843200595</v>
      </c>
    </row>
    <row r="1540" spans="1:17" x14ac:dyDescent="0.45">
      <c r="A1540" s="3">
        <v>111082</v>
      </c>
      <c r="B1540" t="b">
        <v>0</v>
      </c>
      <c r="C1540" t="b">
        <v>0</v>
      </c>
      <c r="D1540" s="3">
        <v>1941</v>
      </c>
      <c r="E1540" s="3">
        <v>1941</v>
      </c>
      <c r="F1540" t="s">
        <v>1029</v>
      </c>
      <c r="G1540" t="s">
        <v>7</v>
      </c>
      <c r="H1540" s="3">
        <v>70.876499999999993</v>
      </c>
      <c r="I1540" t="s">
        <v>14565</v>
      </c>
      <c r="J1540" t="s">
        <v>14482</v>
      </c>
      <c r="L1540" t="s">
        <v>1030</v>
      </c>
      <c r="M1540" t="str">
        <f>"https://www.artic.edu/iiif/2/"&amp;Table9[[#This Row],[Image ID]]&amp;"/full/843,/0/default.jpg"</f>
        <v>https://www.artic.edu/iiif/2/fc248326-c193-c37d-e40e-40cbce487438/full/843,/0/default.jpg</v>
      </c>
      <c r="N1540" s="3">
        <v>0.77500000000000002</v>
      </c>
      <c r="O1540" s="3">
        <v>0.1</v>
      </c>
      <c r="P1540" s="3">
        <v>0.67500000000000004</v>
      </c>
      <c r="Q1540" s="3">
        <v>0.79128962755203203</v>
      </c>
    </row>
    <row r="1541" spans="1:17" x14ac:dyDescent="0.45">
      <c r="A1541" s="3">
        <v>233335</v>
      </c>
      <c r="B1541" t="b">
        <v>0</v>
      </c>
      <c r="C1541" t="b">
        <v>0</v>
      </c>
      <c r="D1541" s="3">
        <v>1957</v>
      </c>
      <c r="E1541" s="3">
        <v>1957</v>
      </c>
      <c r="F1541" t="s">
        <v>11</v>
      </c>
      <c r="G1541" t="s">
        <v>6169</v>
      </c>
      <c r="H1541" s="3">
        <v>80.993200000000002</v>
      </c>
      <c r="I1541" t="s">
        <v>14635</v>
      </c>
      <c r="J1541" t="s">
        <v>14492</v>
      </c>
      <c r="K1541" s="5" t="s">
        <v>5771</v>
      </c>
      <c r="L1541" t="s">
        <v>6170</v>
      </c>
      <c r="M1541" t="str">
        <f>"https://www.artic.edu/iiif/2/"&amp;Table9[[#This Row],[Image ID]]&amp;"/full/843,/0/default.jpg"</f>
        <v>https://www.artic.edu/iiif/2/fced132f-6c88-0a32-1308-9aca15c78698/full/843,/0/default.jpg</v>
      </c>
      <c r="N1541" s="3">
        <v>0.75</v>
      </c>
      <c r="O1541" s="3">
        <v>7.4999999999999997E-2</v>
      </c>
      <c r="P1541" s="3">
        <v>0.67500000000000004</v>
      </c>
      <c r="Q1541" s="3">
        <v>0.83559179306030196</v>
      </c>
    </row>
    <row r="1542" spans="1:17" x14ac:dyDescent="0.45">
      <c r="A1542" s="3">
        <v>102207</v>
      </c>
      <c r="B1542" t="b">
        <v>0</v>
      </c>
      <c r="C1542" t="b">
        <v>0</v>
      </c>
      <c r="D1542" s="3">
        <v>1966</v>
      </c>
      <c r="E1542" s="3">
        <v>1966</v>
      </c>
      <c r="F1542" t="s">
        <v>237</v>
      </c>
      <c r="G1542" t="s">
        <v>238</v>
      </c>
      <c r="H1542" s="3">
        <v>16.817699999999999</v>
      </c>
      <c r="I1542" t="s">
        <v>239</v>
      </c>
      <c r="J1542" t="s">
        <v>14497</v>
      </c>
      <c r="L1542" t="s">
        <v>240</v>
      </c>
      <c r="M1542" t="str">
        <f>"https://www.artic.edu/iiif/2/"&amp;Table9[[#This Row],[Image ID]]&amp;"/full/843,/0/default.jpg"</f>
        <v>https://www.artic.edu/iiif/2/fd65fb44-1296-b351-32ae-81166621f8ef/full/843,/0/default.jpg</v>
      </c>
      <c r="N1542" s="3">
        <v>0.75</v>
      </c>
      <c r="O1542" s="3">
        <v>7.4999999999999997E-2</v>
      </c>
      <c r="P1542" s="3">
        <v>0.67500000000000004</v>
      </c>
      <c r="Q1542" s="3">
        <v>0.80896073579788197</v>
      </c>
    </row>
    <row r="1543" spans="1:17" x14ac:dyDescent="0.45">
      <c r="A1543" s="3">
        <v>14667</v>
      </c>
      <c r="B1543" t="b">
        <v>0</v>
      </c>
      <c r="C1543" t="b">
        <v>0</v>
      </c>
      <c r="D1543" s="3">
        <v>1913</v>
      </c>
      <c r="E1543" s="3">
        <v>1913</v>
      </c>
      <c r="F1543" t="s">
        <v>1128</v>
      </c>
      <c r="G1543" t="s">
        <v>3463</v>
      </c>
      <c r="H1543" s="3">
        <v>38.762</v>
      </c>
      <c r="I1543" t="s">
        <v>3464</v>
      </c>
      <c r="J1543" t="s">
        <v>14529</v>
      </c>
      <c r="L1543" t="s">
        <v>3465</v>
      </c>
      <c r="M1543" t="str">
        <f>"https://www.artic.edu/iiif/2/"&amp;Table9[[#This Row],[Image ID]]&amp;"/full/843,/0/default.jpg"</f>
        <v>https://www.artic.edu/iiif/2/ff29f7da-a1f5-5644-4897-bef150bbf1cb/full/843,/0/default.jpg</v>
      </c>
      <c r="N1543" s="3">
        <v>0.77500000000000002</v>
      </c>
      <c r="O1543" s="3">
        <v>0.1</v>
      </c>
      <c r="P1543" s="3">
        <v>0.67500000000000004</v>
      </c>
      <c r="Q1543" s="3">
        <v>0.74830257892608598</v>
      </c>
    </row>
    <row r="1544" spans="1:17" x14ac:dyDescent="0.45">
      <c r="A1544" s="3">
        <v>28876</v>
      </c>
      <c r="B1544" t="b">
        <v>0</v>
      </c>
      <c r="C1544" t="b">
        <v>1</v>
      </c>
      <c r="D1544" s="3">
        <v>1695</v>
      </c>
      <c r="E1544" s="3">
        <v>1705</v>
      </c>
      <c r="F1544" t="s">
        <v>3968</v>
      </c>
      <c r="G1544" t="s">
        <v>7</v>
      </c>
      <c r="H1544" s="3">
        <v>0</v>
      </c>
      <c r="I1544" t="s">
        <v>170</v>
      </c>
      <c r="J1544" t="s">
        <v>11014</v>
      </c>
      <c r="L1544" t="s">
        <v>6839</v>
      </c>
      <c r="M1544" t="str">
        <f>"https://www.artic.edu/iiif/2/"&amp;Table9[[#This Row],[Image ID]]&amp;"/full/843,/0/default.jpg"</f>
        <v>https://www.artic.edu/iiif/2/032420c7-9605-8f39-7180-dc38299f0431/full/843,/0/default.jpg</v>
      </c>
      <c r="N1544" s="3">
        <v>0.8</v>
      </c>
      <c r="O1544" s="3">
        <v>0.125</v>
      </c>
      <c r="P1544" s="3">
        <v>0.67500000000000004</v>
      </c>
      <c r="Q1544" s="3">
        <v>0.83082479238510099</v>
      </c>
    </row>
    <row r="1545" spans="1:17" x14ac:dyDescent="0.45">
      <c r="A1545" s="3">
        <v>45267</v>
      </c>
      <c r="B1545" t="b">
        <v>0</v>
      </c>
      <c r="C1545" t="b">
        <v>1</v>
      </c>
      <c r="D1545" s="3">
        <v>1840</v>
      </c>
      <c r="E1545" s="3">
        <v>1850</v>
      </c>
      <c r="F1545" t="s">
        <v>7838</v>
      </c>
      <c r="G1545" t="s">
        <v>7</v>
      </c>
      <c r="H1545" s="3">
        <v>34.402700000000003</v>
      </c>
      <c r="I1545" t="s">
        <v>1274</v>
      </c>
      <c r="J1545" t="s">
        <v>11124</v>
      </c>
      <c r="L1545" t="s">
        <v>7839</v>
      </c>
      <c r="M1545" t="str">
        <f>"https://www.artic.edu/iiif/2/"&amp;Table9[[#This Row],[Image ID]]&amp;"/full/843,/0/default.jpg"</f>
        <v>https://www.artic.edu/iiif/2/0aff6ae5-99ae-d92c-1239-0bc9bb0ad9ae/full/843,/0/default.jpg</v>
      </c>
      <c r="N1545" s="3">
        <v>0.75</v>
      </c>
      <c r="O1545" s="3">
        <v>7.4999999999999997E-2</v>
      </c>
      <c r="P1545" s="3">
        <v>0.67500000000000004</v>
      </c>
      <c r="Q1545" s="3">
        <v>0.52745068073272705</v>
      </c>
    </row>
    <row r="1546" spans="1:17" x14ac:dyDescent="0.45">
      <c r="A1546" s="3">
        <v>81555</v>
      </c>
      <c r="B1546" t="b">
        <v>0</v>
      </c>
      <c r="C1546" t="b">
        <v>1</v>
      </c>
      <c r="D1546" s="3">
        <v>1875</v>
      </c>
      <c r="E1546" s="3">
        <v>1875</v>
      </c>
      <c r="F1546" t="s">
        <v>10135</v>
      </c>
      <c r="G1546" t="s">
        <v>7</v>
      </c>
      <c r="I1546" t="s">
        <v>8</v>
      </c>
      <c r="J1546" t="s">
        <v>11335</v>
      </c>
      <c r="K1546" s="5" t="s">
        <v>9</v>
      </c>
      <c r="L1546" t="s">
        <v>10136</v>
      </c>
      <c r="M1546" t="str">
        <f>"https://www.artic.edu/iiif/2/"&amp;Table9[[#This Row],[Image ID]]&amp;"/full/843,/0/default.jpg"</f>
        <v>https://www.artic.edu/iiif/2/1a1b74fe-ff2a-8991-0581-5d420f0b840e/full/843,/0/default.jpg</v>
      </c>
      <c r="N1546" s="3">
        <v>0.77500000000000002</v>
      </c>
      <c r="O1546" s="3">
        <v>0.1</v>
      </c>
      <c r="P1546" s="3">
        <v>0.67500000000000004</v>
      </c>
      <c r="Q1546" s="3">
        <v>0.80001044273376398</v>
      </c>
    </row>
    <row r="1547" spans="1:17" x14ac:dyDescent="0.45">
      <c r="A1547" s="3">
        <v>110869</v>
      </c>
      <c r="B1547" t="b">
        <v>0</v>
      </c>
      <c r="C1547" t="b">
        <v>1</v>
      </c>
      <c r="D1547" s="3">
        <v>1544</v>
      </c>
      <c r="E1547" s="3">
        <v>1544</v>
      </c>
      <c r="F1547" t="s">
        <v>904</v>
      </c>
      <c r="G1547" t="s">
        <v>75</v>
      </c>
      <c r="H1547" s="3">
        <v>30.873899999999999</v>
      </c>
      <c r="I1547" t="s">
        <v>953</v>
      </c>
      <c r="J1547" t="s">
        <v>11355</v>
      </c>
      <c r="L1547" t="s">
        <v>954</v>
      </c>
      <c r="M1547" t="str">
        <f>"https://www.artic.edu/iiif/2/"&amp;Table9[[#This Row],[Image ID]]&amp;"/full/843,/0/default.jpg"</f>
        <v>https://www.artic.edu/iiif/2/1bdba183-8dfc-4e43-e8e2-70ad0e0f1647/full/843,/0/default.jpg</v>
      </c>
      <c r="N1547" s="3">
        <v>0.8</v>
      </c>
      <c r="O1547" s="3">
        <v>0.125</v>
      </c>
      <c r="P1547" s="3">
        <v>0.67500000000000004</v>
      </c>
      <c r="Q1547" s="3">
        <v>0.81713473796844405</v>
      </c>
    </row>
    <row r="1548" spans="1:17" x14ac:dyDescent="0.45">
      <c r="A1548" s="3">
        <v>20199</v>
      </c>
      <c r="B1548" t="b">
        <v>0</v>
      </c>
      <c r="C1548" t="b">
        <v>1</v>
      </c>
      <c r="D1548" s="3">
        <v>1883</v>
      </c>
      <c r="E1548" s="3">
        <v>1883</v>
      </c>
      <c r="F1548" t="s">
        <v>14684</v>
      </c>
      <c r="G1548" t="s">
        <v>75</v>
      </c>
      <c r="H1548" s="3">
        <v>33.727200000000003</v>
      </c>
      <c r="I1548" t="s">
        <v>3799</v>
      </c>
      <c r="J1548" t="s">
        <v>11387</v>
      </c>
      <c r="K1548" s="5" t="s">
        <v>115</v>
      </c>
      <c r="L1548" t="s">
        <v>5345</v>
      </c>
      <c r="M1548" t="str">
        <f>"https://www.artic.edu/iiif/2/"&amp;Table9[[#This Row],[Image ID]]&amp;"/full/843,/0/default.jpg"</f>
        <v>https://www.artic.edu/iiif/2/1db67905-d421-95bf-1e91-4b60dd776886/full/843,/0/default.jpg</v>
      </c>
      <c r="N1548" s="3">
        <v>0.8</v>
      </c>
      <c r="O1548" s="3">
        <v>0.125</v>
      </c>
      <c r="P1548" s="3">
        <v>0.67500000000000004</v>
      </c>
      <c r="Q1548" s="3">
        <v>0.69049125909805298</v>
      </c>
    </row>
    <row r="1549" spans="1:17" x14ac:dyDescent="0.45">
      <c r="A1549" s="3">
        <v>16212</v>
      </c>
      <c r="B1549" t="b">
        <v>0</v>
      </c>
      <c r="C1549" t="b">
        <v>1</v>
      </c>
      <c r="D1549" s="3">
        <v>1450</v>
      </c>
      <c r="E1549" s="3">
        <v>1460</v>
      </c>
      <c r="F1549" t="s">
        <v>4309</v>
      </c>
      <c r="G1549" t="s">
        <v>103</v>
      </c>
      <c r="H1549" s="3">
        <v>42.421700000000001</v>
      </c>
      <c r="I1549" t="s">
        <v>4310</v>
      </c>
      <c r="J1549" t="s">
        <v>11501</v>
      </c>
      <c r="L1549" t="s">
        <v>4311</v>
      </c>
      <c r="M1549" t="str">
        <f>"https://www.artic.edu/iiif/2/"&amp;Table9[[#This Row],[Image ID]]&amp;"/full/843,/0/default.jpg"</f>
        <v>https://www.artic.edu/iiif/2/2563126c-ce54-2c5d-b41c-89eaebaf4ef7/full/843,/0/default.jpg</v>
      </c>
      <c r="N1549" s="3">
        <v>0.75</v>
      </c>
      <c r="O1549" s="3">
        <v>7.4999999999999997E-2</v>
      </c>
      <c r="P1549" s="3">
        <v>0.67500000000000004</v>
      </c>
      <c r="Q1549" s="3">
        <v>0.73035478591918901</v>
      </c>
    </row>
    <row r="1550" spans="1:17" x14ac:dyDescent="0.45">
      <c r="A1550" s="3">
        <v>111318</v>
      </c>
      <c r="B1550" t="b">
        <v>0</v>
      </c>
      <c r="C1550" t="b">
        <v>1</v>
      </c>
      <c r="D1550" s="3">
        <v>1890</v>
      </c>
      <c r="E1550" s="3">
        <v>1891</v>
      </c>
      <c r="F1550" t="s">
        <v>1061</v>
      </c>
      <c r="G1550" t="s">
        <v>7</v>
      </c>
      <c r="H1550" s="3">
        <v>18.348800000000001</v>
      </c>
      <c r="I1550" t="s">
        <v>43</v>
      </c>
      <c r="J1550" t="s">
        <v>11551</v>
      </c>
      <c r="K1550" s="5" t="s">
        <v>9</v>
      </c>
      <c r="L1550" t="s">
        <v>1062</v>
      </c>
      <c r="M1550" t="str">
        <f>"https://www.artic.edu/iiif/2/"&amp;Table9[[#This Row],[Image ID]]&amp;"/full/843,/0/default.jpg"</f>
        <v>https://www.artic.edu/iiif/2/27c1d720-8ca5-79a4-5e51-530bf75c1591/full/843,/0/default.jpg</v>
      </c>
      <c r="N1550" s="3">
        <v>0.8</v>
      </c>
      <c r="O1550" s="3">
        <v>0.125</v>
      </c>
      <c r="P1550" s="3">
        <v>0.67500000000000004</v>
      </c>
      <c r="Q1550" s="3">
        <v>0.725963175296783</v>
      </c>
    </row>
    <row r="1551" spans="1:17" x14ac:dyDescent="0.45">
      <c r="A1551" s="3">
        <v>16413</v>
      </c>
      <c r="B1551" t="b">
        <v>0</v>
      </c>
      <c r="C1551" t="b">
        <v>1</v>
      </c>
      <c r="D1551" s="3">
        <v>1645</v>
      </c>
      <c r="E1551" s="3">
        <v>1655</v>
      </c>
      <c r="F1551" t="s">
        <v>4417</v>
      </c>
      <c r="G1551" t="s">
        <v>7</v>
      </c>
      <c r="H1551" s="3">
        <v>0</v>
      </c>
      <c r="I1551" t="s">
        <v>684</v>
      </c>
      <c r="J1551" t="s">
        <v>11574</v>
      </c>
      <c r="L1551" t="s">
        <v>4418</v>
      </c>
      <c r="M1551" t="str">
        <f>"https://www.artic.edu/iiif/2/"&amp;Table9[[#This Row],[Image ID]]&amp;"/full/843,/0/default.jpg"</f>
        <v>https://www.artic.edu/iiif/2/292c2b1e-90cb-3539-7527-819a7875218d/full/843,/0/default.jpg</v>
      </c>
      <c r="N1551" s="3">
        <v>0.8</v>
      </c>
      <c r="O1551" s="3">
        <v>0.125</v>
      </c>
      <c r="P1551" s="3">
        <v>0.67500000000000004</v>
      </c>
      <c r="Q1551" s="3">
        <v>0.76450532674789395</v>
      </c>
    </row>
    <row r="1552" spans="1:17" x14ac:dyDescent="0.45">
      <c r="A1552" s="3">
        <v>190405</v>
      </c>
      <c r="B1552" t="b">
        <v>0</v>
      </c>
      <c r="C1552" t="b">
        <v>1</v>
      </c>
      <c r="D1552" s="3">
        <v>1530</v>
      </c>
      <c r="E1552" s="3">
        <v>1540</v>
      </c>
      <c r="F1552" t="s">
        <v>5163</v>
      </c>
      <c r="G1552" t="s">
        <v>75</v>
      </c>
      <c r="H1552" s="3">
        <v>20.731000000000002</v>
      </c>
      <c r="I1552" t="s">
        <v>894</v>
      </c>
      <c r="J1552" t="s">
        <v>11730</v>
      </c>
      <c r="L1552" t="s">
        <v>5164</v>
      </c>
      <c r="M1552" t="str">
        <f>"https://www.artic.edu/iiif/2/"&amp;Table9[[#This Row],[Image ID]]&amp;"/full/843,/0/default.jpg"</f>
        <v>https://www.artic.edu/iiif/2/33f100cf-7ebb-f1ae-a5ec-326c28088b02/full/843,/0/default.jpg</v>
      </c>
      <c r="N1552" s="3">
        <v>0.85</v>
      </c>
      <c r="O1552" s="3">
        <v>0.17499999999999999</v>
      </c>
      <c r="P1552" s="3">
        <v>0.67500000000000004</v>
      </c>
      <c r="Q1552" s="3">
        <v>0.82637816667556696</v>
      </c>
    </row>
    <row r="1553" spans="1:17" x14ac:dyDescent="0.45">
      <c r="A1553" s="3">
        <v>111428</v>
      </c>
      <c r="B1553" t="b">
        <v>0</v>
      </c>
      <c r="C1553" t="b">
        <v>1</v>
      </c>
      <c r="D1553" s="3">
        <v>1620</v>
      </c>
      <c r="E1553" s="3">
        <v>1640</v>
      </c>
      <c r="F1553" t="s">
        <v>1102</v>
      </c>
      <c r="G1553" t="s">
        <v>7</v>
      </c>
      <c r="H1553" s="3">
        <v>26.189499999999999</v>
      </c>
      <c r="I1553" t="s">
        <v>1100</v>
      </c>
      <c r="J1553" t="s">
        <v>11965</v>
      </c>
      <c r="L1553" t="s">
        <v>1103</v>
      </c>
      <c r="M1553" t="str">
        <f>"https://www.artic.edu/iiif/2/"&amp;Table9[[#This Row],[Image ID]]&amp;"/full/843,/0/default.jpg"</f>
        <v>https://www.artic.edu/iiif/2/43325575-c0a1-67c2-4eb5-5fcabafd098e/full/843,/0/default.jpg</v>
      </c>
      <c r="N1553" s="3">
        <v>0.75</v>
      </c>
      <c r="O1553" s="3">
        <v>7.4999999999999997E-2</v>
      </c>
      <c r="P1553" s="3">
        <v>0.67500000000000004</v>
      </c>
      <c r="Q1553" s="3">
        <v>0.6939058303833</v>
      </c>
    </row>
    <row r="1554" spans="1:17" x14ac:dyDescent="0.45">
      <c r="A1554" s="3">
        <v>27160</v>
      </c>
      <c r="B1554" t="b">
        <v>0</v>
      </c>
      <c r="C1554" t="b">
        <v>1</v>
      </c>
      <c r="D1554" s="3">
        <v>1749</v>
      </c>
      <c r="E1554" s="3">
        <v>1758</v>
      </c>
      <c r="F1554" t="s">
        <v>6709</v>
      </c>
      <c r="G1554" t="s">
        <v>7</v>
      </c>
      <c r="H1554" s="3">
        <v>25.681999999999999</v>
      </c>
      <c r="I1554" t="s">
        <v>6710</v>
      </c>
      <c r="J1554" t="s">
        <v>11967</v>
      </c>
      <c r="L1554" t="s">
        <v>6711</v>
      </c>
      <c r="M1554" t="str">
        <f>"https://www.artic.edu/iiif/2/"&amp;Table9[[#This Row],[Image ID]]&amp;"/full/843,/0/default.jpg"</f>
        <v>https://www.artic.edu/iiif/2/4340ff79-2795-b564-a39d-440716edbcac/full/843,/0/default.jpg</v>
      </c>
      <c r="N1554" s="3">
        <v>0.875</v>
      </c>
      <c r="O1554" s="3">
        <v>0.2</v>
      </c>
      <c r="P1554" s="3">
        <v>0.67500000000000004</v>
      </c>
      <c r="Q1554" s="3">
        <v>0.85303068161010698</v>
      </c>
    </row>
    <row r="1555" spans="1:17" x14ac:dyDescent="0.45">
      <c r="A1555" s="3">
        <v>111467</v>
      </c>
      <c r="B1555" t="b">
        <v>0</v>
      </c>
      <c r="C1555" t="b">
        <v>1</v>
      </c>
      <c r="D1555" s="3">
        <v>1630</v>
      </c>
      <c r="E1555" s="3">
        <v>1635</v>
      </c>
      <c r="F1555" t="s">
        <v>154</v>
      </c>
      <c r="G1555" t="s">
        <v>75</v>
      </c>
      <c r="H1555" s="3">
        <v>15.1473</v>
      </c>
      <c r="I1555" t="s">
        <v>1118</v>
      </c>
      <c r="J1555" t="s">
        <v>12063</v>
      </c>
      <c r="L1555" t="s">
        <v>1119</v>
      </c>
      <c r="M1555" t="str">
        <f>"https://www.artic.edu/iiif/2/"&amp;Table9[[#This Row],[Image ID]]&amp;"/full/843,/0/default.jpg"</f>
        <v>https://www.artic.edu/iiif/2/4aae65a7-e5db-54be-82d5-43cc6b347dbd/full/843,/0/default.jpg</v>
      </c>
      <c r="N1555" s="3">
        <v>0.77500000000000002</v>
      </c>
      <c r="O1555" s="3">
        <v>0.1</v>
      </c>
      <c r="P1555" s="3">
        <v>0.67500000000000004</v>
      </c>
      <c r="Q1555" s="3">
        <v>0.62742227315902699</v>
      </c>
    </row>
    <row r="1556" spans="1:17" x14ac:dyDescent="0.45">
      <c r="A1556" s="3">
        <v>100489</v>
      </c>
      <c r="B1556" t="b">
        <v>0</v>
      </c>
      <c r="C1556" t="b">
        <v>1</v>
      </c>
      <c r="D1556" s="3">
        <v>1866</v>
      </c>
      <c r="E1556" s="3">
        <v>1866</v>
      </c>
      <c r="F1556" t="s">
        <v>122</v>
      </c>
      <c r="G1556" t="s">
        <v>7</v>
      </c>
      <c r="H1556" s="3">
        <v>42.214799999999997</v>
      </c>
      <c r="I1556" t="s">
        <v>123</v>
      </c>
      <c r="J1556" t="s">
        <v>12082</v>
      </c>
      <c r="L1556" t="s">
        <v>124</v>
      </c>
      <c r="M1556" t="str">
        <f>"https://www.artic.edu/iiif/2/"&amp;Table9[[#This Row],[Image ID]]&amp;"/full/843,/0/default.jpg"</f>
        <v>https://www.artic.edu/iiif/2/4c5abec2-d94f-9afa-b689-de4dc93791f2/full/843,/0/default.jpg</v>
      </c>
      <c r="N1556" s="3">
        <v>0.75</v>
      </c>
      <c r="O1556" s="3">
        <v>7.4999999999999997E-2</v>
      </c>
      <c r="P1556" s="3">
        <v>0.67500000000000004</v>
      </c>
      <c r="Q1556" s="3">
        <v>0.52454745769500699</v>
      </c>
    </row>
    <row r="1557" spans="1:17" x14ac:dyDescent="0.45">
      <c r="A1557" s="3">
        <v>131892</v>
      </c>
      <c r="B1557" t="b">
        <v>0</v>
      </c>
      <c r="C1557" t="b">
        <v>1</v>
      </c>
      <c r="D1557" s="3">
        <v>1495</v>
      </c>
      <c r="E1557" s="3">
        <v>1505</v>
      </c>
      <c r="F1557" t="s">
        <v>2996</v>
      </c>
      <c r="G1557" t="s">
        <v>119</v>
      </c>
      <c r="H1557" s="3">
        <v>24.2804</v>
      </c>
      <c r="I1557" t="s">
        <v>117</v>
      </c>
      <c r="J1557" t="s">
        <v>12173</v>
      </c>
      <c r="L1557" t="s">
        <v>2997</v>
      </c>
      <c r="M1557" t="str">
        <f>"https://www.artic.edu/iiif/2/"&amp;Table9[[#This Row],[Image ID]]&amp;"/full/843,/0/default.jpg"</f>
        <v>https://www.artic.edu/iiif/2/521f1b87-f5c8-d80e-8cc9-0f67dcb5115d/full/843,/0/default.jpg</v>
      </c>
      <c r="N1557" s="3">
        <v>0.8</v>
      </c>
      <c r="O1557" s="3">
        <v>0.125</v>
      </c>
      <c r="P1557" s="3">
        <v>0.67500000000000004</v>
      </c>
      <c r="Q1557" s="3">
        <v>0.94149833917617798</v>
      </c>
    </row>
    <row r="1558" spans="1:17" x14ac:dyDescent="0.45">
      <c r="A1558" s="3">
        <v>101781</v>
      </c>
      <c r="B1558" t="b">
        <v>0</v>
      </c>
      <c r="C1558" t="b">
        <v>1</v>
      </c>
      <c r="D1558" s="3">
        <v>1885</v>
      </c>
      <c r="E1558" s="3">
        <v>1885</v>
      </c>
      <c r="F1558" t="s">
        <v>196</v>
      </c>
      <c r="G1558" t="s">
        <v>7</v>
      </c>
      <c r="H1558" s="3">
        <v>0</v>
      </c>
      <c r="I1558" t="s">
        <v>197</v>
      </c>
      <c r="J1558" t="s">
        <v>12233</v>
      </c>
      <c r="L1558" t="s">
        <v>198</v>
      </c>
      <c r="M1558" t="str">
        <f>"https://www.artic.edu/iiif/2/"&amp;Table9[[#This Row],[Image ID]]&amp;"/full/843,/0/default.jpg"</f>
        <v>https://www.artic.edu/iiif/2/55e859bd-b34e-a580-bbe4-8da923ecc445/full/843,/0/default.jpg</v>
      </c>
      <c r="N1558" s="3">
        <v>0.75</v>
      </c>
      <c r="O1558" s="3">
        <v>7.4999999999999997E-2</v>
      </c>
      <c r="P1558" s="3">
        <v>0.67500000000000004</v>
      </c>
      <c r="Q1558" s="3">
        <v>0.66110283136367798</v>
      </c>
    </row>
    <row r="1559" spans="1:17" x14ac:dyDescent="0.45">
      <c r="A1559" s="3">
        <v>88374</v>
      </c>
      <c r="B1559" t="b">
        <v>0</v>
      </c>
      <c r="C1559" t="b">
        <v>1</v>
      </c>
      <c r="D1559" s="3">
        <v>1745</v>
      </c>
      <c r="E1559" s="3">
        <v>1750</v>
      </c>
      <c r="F1559" t="s">
        <v>10417</v>
      </c>
      <c r="G1559" t="s">
        <v>7</v>
      </c>
      <c r="H1559" s="3">
        <v>27.566800000000001</v>
      </c>
      <c r="I1559" t="s">
        <v>4080</v>
      </c>
      <c r="J1559" t="s">
        <v>12384</v>
      </c>
      <c r="L1559" t="s">
        <v>10418</v>
      </c>
      <c r="M1559" t="str">
        <f>"https://www.artic.edu/iiif/2/"&amp;Table9[[#This Row],[Image ID]]&amp;"/full/843,/0/default.jpg"</f>
        <v>https://www.artic.edu/iiif/2/60699af7-9aab-5e2b-7309-1266286b0810/full/843,/0/default.jpg</v>
      </c>
      <c r="N1559" s="3">
        <v>0.8</v>
      </c>
      <c r="O1559" s="3">
        <v>0.125</v>
      </c>
      <c r="P1559" s="3">
        <v>0.67500000000000004</v>
      </c>
      <c r="Q1559" s="3">
        <v>0.85580217838287298</v>
      </c>
    </row>
    <row r="1560" spans="1:17" x14ac:dyDescent="0.45">
      <c r="A1560" s="3">
        <v>16803</v>
      </c>
      <c r="B1560" t="b">
        <v>0</v>
      </c>
      <c r="C1560" t="b">
        <v>1</v>
      </c>
      <c r="D1560" s="3">
        <v>1880</v>
      </c>
      <c r="E1560" s="3">
        <v>1880</v>
      </c>
      <c r="F1560" t="s">
        <v>4589</v>
      </c>
      <c r="G1560" t="s">
        <v>4590</v>
      </c>
      <c r="H1560" s="3">
        <v>32.182899999999997</v>
      </c>
      <c r="I1560" t="s">
        <v>1337</v>
      </c>
      <c r="J1560" t="s">
        <v>12414</v>
      </c>
      <c r="L1560" t="s">
        <v>4591</v>
      </c>
      <c r="M1560" t="str">
        <f>"https://www.artic.edu/iiif/2/"&amp;Table9[[#This Row],[Image ID]]&amp;"/full/843,/0/default.jpg"</f>
        <v>https://www.artic.edu/iiif/2/62dc84e5-4343-8095-0b82-8d0cb810595f/full/843,/0/default.jpg</v>
      </c>
      <c r="N1560" s="3">
        <v>0.75</v>
      </c>
      <c r="O1560" s="3">
        <v>7.4999999999999997E-2</v>
      </c>
      <c r="P1560" s="3">
        <v>0.67500000000000004</v>
      </c>
      <c r="Q1560" s="3">
        <v>0.73267555236816395</v>
      </c>
    </row>
    <row r="1561" spans="1:17" x14ac:dyDescent="0.45">
      <c r="A1561" s="3">
        <v>14630</v>
      </c>
      <c r="B1561" t="b">
        <v>0</v>
      </c>
      <c r="C1561" t="b">
        <v>1</v>
      </c>
      <c r="D1561" s="3">
        <v>1908</v>
      </c>
      <c r="E1561" s="3">
        <v>1908</v>
      </c>
      <c r="F1561" t="s">
        <v>3439</v>
      </c>
      <c r="G1561" t="s">
        <v>7</v>
      </c>
      <c r="H1561" s="3">
        <v>15.1229</v>
      </c>
      <c r="I1561" t="s">
        <v>43</v>
      </c>
      <c r="J1561" t="s">
        <v>12440</v>
      </c>
      <c r="K1561" s="5" t="s">
        <v>9</v>
      </c>
      <c r="L1561" t="s">
        <v>3440</v>
      </c>
      <c r="M1561" t="str">
        <f>"https://www.artic.edu/iiif/2/"&amp;Table9[[#This Row],[Image ID]]&amp;"/full/843,/0/default.jpg"</f>
        <v>https://www.artic.edu/iiif/2/64c38f6d-f0d5-b553-a27e-3552550f351a/full/843,/0/default.jpg</v>
      </c>
      <c r="N1561" s="3">
        <v>0.77500000000000002</v>
      </c>
      <c r="O1561" s="3">
        <v>0.1</v>
      </c>
      <c r="P1561" s="3">
        <v>0.67500000000000004</v>
      </c>
      <c r="Q1561" s="3">
        <v>0.721116483211517</v>
      </c>
    </row>
    <row r="1562" spans="1:17" x14ac:dyDescent="0.45">
      <c r="A1562" s="3">
        <v>39228</v>
      </c>
      <c r="B1562" t="b">
        <v>0</v>
      </c>
      <c r="C1562" t="b">
        <v>1</v>
      </c>
      <c r="D1562" s="3">
        <v>1835</v>
      </c>
      <c r="E1562" s="3">
        <v>1882</v>
      </c>
      <c r="F1562" t="s">
        <v>7526</v>
      </c>
      <c r="G1562" t="s">
        <v>7527</v>
      </c>
      <c r="H1562" s="3">
        <v>19.949200000000001</v>
      </c>
      <c r="I1562" t="s">
        <v>5317</v>
      </c>
      <c r="J1562" t="s">
        <v>12469</v>
      </c>
      <c r="L1562" t="s">
        <v>7528</v>
      </c>
      <c r="M1562" t="str">
        <f>"https://www.artic.edu/iiif/2/"&amp;Table9[[#This Row],[Image ID]]&amp;"/full/843,/0/default.jpg"</f>
        <v>https://www.artic.edu/iiif/2/6633031c-ca52-3adc-8cbd-0a720bf4c7e3/full/843,/0/default.jpg</v>
      </c>
      <c r="N1562" s="3">
        <v>0.75</v>
      </c>
      <c r="O1562" s="3">
        <v>7.4999999999999997E-2</v>
      </c>
      <c r="P1562" s="3">
        <v>0.67500000000000004</v>
      </c>
      <c r="Q1562" s="3">
        <v>0.72793811559677102</v>
      </c>
    </row>
    <row r="1563" spans="1:17" x14ac:dyDescent="0.45">
      <c r="A1563" s="3">
        <v>16558</v>
      </c>
      <c r="B1563" t="b">
        <v>0</v>
      </c>
      <c r="C1563" t="b">
        <v>1</v>
      </c>
      <c r="D1563" s="3">
        <v>1868</v>
      </c>
      <c r="E1563" s="3">
        <v>1868</v>
      </c>
      <c r="F1563" t="s">
        <v>4488</v>
      </c>
      <c r="G1563" t="s">
        <v>7</v>
      </c>
      <c r="H1563" s="3">
        <v>33.445799999999998</v>
      </c>
      <c r="I1563" t="s">
        <v>4486</v>
      </c>
      <c r="J1563" t="s">
        <v>12551</v>
      </c>
      <c r="L1563" t="s">
        <v>4489</v>
      </c>
      <c r="M1563" t="str">
        <f>"https://www.artic.edu/iiif/2/"&amp;Table9[[#This Row],[Image ID]]&amp;"/full/843,/0/default.jpg"</f>
        <v>https://www.artic.edu/iiif/2/6c265c85-4579-a9a6-b51b-0732d7110d0b/full/843,/0/default.jpg</v>
      </c>
      <c r="N1563" s="3">
        <v>0.75</v>
      </c>
      <c r="O1563" s="3">
        <v>7.4999999999999997E-2</v>
      </c>
      <c r="P1563" s="3">
        <v>0.67500000000000004</v>
      </c>
      <c r="Q1563" s="3">
        <v>0.82378423213958696</v>
      </c>
    </row>
    <row r="1564" spans="1:17" x14ac:dyDescent="0.45">
      <c r="A1564" s="3">
        <v>90386</v>
      </c>
      <c r="B1564" t="b">
        <v>0</v>
      </c>
      <c r="C1564" t="b">
        <v>1</v>
      </c>
      <c r="D1564" s="3">
        <v>1810</v>
      </c>
      <c r="E1564" s="3">
        <v>1813</v>
      </c>
      <c r="F1564" t="s">
        <v>5534</v>
      </c>
      <c r="G1564" t="s">
        <v>10522</v>
      </c>
      <c r="H1564" s="3">
        <v>29.949000000000002</v>
      </c>
      <c r="I1564" t="s">
        <v>16</v>
      </c>
      <c r="J1564" t="s">
        <v>12569</v>
      </c>
      <c r="L1564" t="s">
        <v>10523</v>
      </c>
      <c r="M1564" t="str">
        <f>"https://www.artic.edu/iiif/2/"&amp;Table9[[#This Row],[Image ID]]&amp;"/full/843,/0/default.jpg"</f>
        <v>https://www.artic.edu/iiif/2/6e1387cd-82fb-b520-53c4-91e568414aca/full/843,/0/default.jpg</v>
      </c>
      <c r="N1564" s="3">
        <v>0.75</v>
      </c>
      <c r="O1564" s="3">
        <v>7.4999999999999997E-2</v>
      </c>
      <c r="P1564" s="3">
        <v>0.67500000000000004</v>
      </c>
      <c r="Q1564" s="3">
        <v>0.72052681446075395</v>
      </c>
    </row>
    <row r="1565" spans="1:17" x14ac:dyDescent="0.45">
      <c r="A1565" s="3">
        <v>100061</v>
      </c>
      <c r="B1565" t="b">
        <v>0</v>
      </c>
      <c r="C1565" t="b">
        <v>1</v>
      </c>
      <c r="D1565" s="3">
        <v>1796</v>
      </c>
      <c r="E1565" s="3">
        <v>1796</v>
      </c>
      <c r="F1565" t="s">
        <v>26</v>
      </c>
      <c r="G1565" t="s">
        <v>7</v>
      </c>
      <c r="H1565" s="3">
        <v>24.776700000000002</v>
      </c>
      <c r="I1565" t="s">
        <v>23</v>
      </c>
      <c r="J1565" t="s">
        <v>12588</v>
      </c>
      <c r="L1565" t="s">
        <v>27</v>
      </c>
      <c r="M1565" t="str">
        <f>"https://www.artic.edu/iiif/2/"&amp;Table9[[#This Row],[Image ID]]&amp;"/full/843,/0/default.jpg"</f>
        <v>https://www.artic.edu/iiif/2/6f00201c-5257-3e7f-a399-e70da5cdadab/full/843,/0/default.jpg</v>
      </c>
      <c r="N1565" s="3">
        <v>0.9</v>
      </c>
      <c r="O1565" s="3">
        <v>0.22500000000000001</v>
      </c>
      <c r="P1565" s="3">
        <v>0.67500000000000004</v>
      </c>
      <c r="Q1565" s="3">
        <v>0.498679548501968</v>
      </c>
    </row>
    <row r="1566" spans="1:17" x14ac:dyDescent="0.45">
      <c r="A1566" s="3">
        <v>22646</v>
      </c>
      <c r="B1566" t="b">
        <v>0</v>
      </c>
      <c r="C1566" t="b">
        <v>1</v>
      </c>
      <c r="D1566" s="3">
        <v>1620</v>
      </c>
      <c r="E1566" s="3">
        <v>1633</v>
      </c>
      <c r="F1566" t="s">
        <v>5965</v>
      </c>
      <c r="G1566" t="s">
        <v>5966</v>
      </c>
      <c r="H1566" s="3">
        <v>25.5383</v>
      </c>
      <c r="I1566" t="s">
        <v>5967</v>
      </c>
      <c r="J1566" t="s">
        <v>12809</v>
      </c>
      <c r="L1566" t="s">
        <v>5968</v>
      </c>
      <c r="M1566" t="str">
        <f>"https://www.artic.edu/iiif/2/"&amp;Table9[[#This Row],[Image ID]]&amp;"/full/843,/0/default.jpg"</f>
        <v>https://www.artic.edu/iiif/2/7fa0814e-3d78-c876-b025-9dab522ec0c5/full/843,/0/default.jpg</v>
      </c>
      <c r="N1566" s="3">
        <v>0.77500000000000002</v>
      </c>
      <c r="O1566" s="3">
        <v>0.1</v>
      </c>
      <c r="P1566" s="3">
        <v>0.67500000000000004</v>
      </c>
      <c r="Q1566" s="3">
        <v>0.81639891862869196</v>
      </c>
    </row>
    <row r="1567" spans="1:17" x14ac:dyDescent="0.45">
      <c r="A1567" s="3">
        <v>115653</v>
      </c>
      <c r="B1567" t="b">
        <v>0</v>
      </c>
      <c r="C1567" t="b">
        <v>1</v>
      </c>
      <c r="D1567" s="3">
        <v>1882</v>
      </c>
      <c r="E1567" s="3">
        <v>1882</v>
      </c>
      <c r="F1567" t="s">
        <v>2047</v>
      </c>
      <c r="G1567" t="s">
        <v>2048</v>
      </c>
      <c r="H1567" s="3">
        <v>19.333200000000001</v>
      </c>
      <c r="I1567" t="s">
        <v>2049</v>
      </c>
      <c r="J1567" t="s">
        <v>12831</v>
      </c>
      <c r="L1567" t="s">
        <v>2050</v>
      </c>
      <c r="M1567" t="str">
        <f>"https://www.artic.edu/iiif/2/"&amp;Table9[[#This Row],[Image ID]]&amp;"/full/843,/0/default.jpg"</f>
        <v>https://www.artic.edu/iiif/2/80bf6d8b-3508-cb4f-f2bd-1e0b654bfc48/full/843,/0/default.jpg</v>
      </c>
      <c r="N1567" s="3">
        <v>0.75</v>
      </c>
      <c r="O1567" s="3">
        <v>7.4999999999999997E-2</v>
      </c>
      <c r="P1567" s="3">
        <v>0.67500000000000004</v>
      </c>
      <c r="Q1567" s="3">
        <v>0.84671139717101995</v>
      </c>
    </row>
    <row r="1568" spans="1:17" x14ac:dyDescent="0.45">
      <c r="A1568" s="3">
        <v>57050</v>
      </c>
      <c r="B1568" t="b">
        <v>0</v>
      </c>
      <c r="C1568" t="b">
        <v>1</v>
      </c>
      <c r="D1568" s="3">
        <v>1787</v>
      </c>
      <c r="E1568" s="3">
        <v>1788</v>
      </c>
      <c r="F1568" t="s">
        <v>8470</v>
      </c>
      <c r="G1568" t="s">
        <v>7</v>
      </c>
      <c r="H1568" s="3">
        <v>18.9071</v>
      </c>
      <c r="I1568" t="s">
        <v>820</v>
      </c>
      <c r="J1568" t="s">
        <v>12861</v>
      </c>
      <c r="L1568" t="s">
        <v>8471</v>
      </c>
      <c r="M1568" t="str">
        <f>"https://www.artic.edu/iiif/2/"&amp;Table9[[#This Row],[Image ID]]&amp;"/full/843,/0/default.jpg"</f>
        <v>https://www.artic.edu/iiif/2/83092988-7180-21d1-b8a3-cf39ddf39a68/full/843,/0/default.jpg</v>
      </c>
      <c r="N1568" s="3">
        <v>0.8</v>
      </c>
      <c r="O1568" s="3">
        <v>0.125</v>
      </c>
      <c r="P1568" s="3">
        <v>0.67500000000000004</v>
      </c>
      <c r="Q1568" s="3">
        <v>0.66987168788909901</v>
      </c>
    </row>
    <row r="1569" spans="1:17" x14ac:dyDescent="0.45">
      <c r="A1569" s="3">
        <v>159085</v>
      </c>
      <c r="B1569" t="b">
        <v>0</v>
      </c>
      <c r="C1569" t="b">
        <v>1</v>
      </c>
      <c r="D1569" s="3">
        <v>1894</v>
      </c>
      <c r="E1569" s="3">
        <v>1894</v>
      </c>
      <c r="F1569" t="s">
        <v>4194</v>
      </c>
      <c r="G1569" t="s">
        <v>4195</v>
      </c>
      <c r="H1569" s="3">
        <v>42.690899999999999</v>
      </c>
      <c r="I1569" t="s">
        <v>872</v>
      </c>
      <c r="J1569" t="s">
        <v>12866</v>
      </c>
      <c r="L1569" t="s">
        <v>4196</v>
      </c>
      <c r="M1569" t="str">
        <f>"https://www.artic.edu/iiif/2/"&amp;Table9[[#This Row],[Image ID]]&amp;"/full/843,/0/default.jpg"</f>
        <v>https://www.artic.edu/iiif/2/83570e68-86e9-eed9-21f5-ca9af0f8169a/full/843,/0/default.jpg</v>
      </c>
      <c r="N1569" s="3">
        <v>0.67500000000000004</v>
      </c>
      <c r="O1569" s="3">
        <v>0</v>
      </c>
      <c r="P1569" s="3">
        <v>0.67500000000000004</v>
      </c>
      <c r="Q1569" s="3">
        <v>0.79316735267639105</v>
      </c>
    </row>
    <row r="1570" spans="1:17" ht="99.75" x14ac:dyDescent="0.45">
      <c r="A1570" s="3">
        <v>111663</v>
      </c>
      <c r="B1570" t="b">
        <v>0</v>
      </c>
      <c r="C1570" t="b">
        <v>1</v>
      </c>
      <c r="D1570" s="3">
        <v>1525</v>
      </c>
      <c r="E1570" s="3">
        <v>1535</v>
      </c>
      <c r="F1570" t="s">
        <v>201</v>
      </c>
      <c r="G1570" t="s">
        <v>75</v>
      </c>
      <c r="H1570" s="3">
        <v>0</v>
      </c>
      <c r="I1570" t="s">
        <v>1215</v>
      </c>
      <c r="J1570" s="1" t="s">
        <v>12991</v>
      </c>
      <c r="L1570" t="s">
        <v>1216</v>
      </c>
      <c r="M1570" t="str">
        <f>"https://www.artic.edu/iiif/2/"&amp;Table9[[#This Row],[Image ID]]&amp;"/full/843,/0/default.jpg"</f>
        <v>https://www.artic.edu/iiif/2/8ce5043b-dd57-bee3-517b-f5941f40bc71/full/843,/0/default.jpg</v>
      </c>
      <c r="N1570" s="3">
        <v>0.8</v>
      </c>
      <c r="O1570" s="3">
        <v>0.125</v>
      </c>
      <c r="P1570" s="3">
        <v>0.67500000000000004</v>
      </c>
      <c r="Q1570" s="3">
        <v>0.872902631759643</v>
      </c>
    </row>
    <row r="1571" spans="1:17" x14ac:dyDescent="0.45">
      <c r="A1571" s="3">
        <v>11812</v>
      </c>
      <c r="B1571" t="b">
        <v>0</v>
      </c>
      <c r="C1571" t="b">
        <v>1</v>
      </c>
      <c r="D1571" s="3">
        <v>1800</v>
      </c>
      <c r="E1571" s="3">
        <v>1908</v>
      </c>
      <c r="F1571" t="s">
        <v>2476</v>
      </c>
      <c r="G1571" t="s">
        <v>2474</v>
      </c>
      <c r="H1571" s="3">
        <v>40.3172</v>
      </c>
      <c r="J1571" t="s">
        <v>12996</v>
      </c>
      <c r="K1571" s="5" t="s">
        <v>278</v>
      </c>
      <c r="L1571" t="s">
        <v>2477</v>
      </c>
      <c r="M1571" t="str">
        <f>"https://www.artic.edu/iiif/2/"&amp;Table9[[#This Row],[Image ID]]&amp;"/full/843,/0/default.jpg"</f>
        <v>https://www.artic.edu/iiif/2/8db6b602-32c3-2819-e3c4-1d6c359626b9/full/843,/0/default.jpg</v>
      </c>
      <c r="N1571" s="3">
        <v>0.77500000000000002</v>
      </c>
      <c r="O1571" s="3">
        <v>0.1</v>
      </c>
      <c r="P1571" s="3">
        <v>0.67500000000000004</v>
      </c>
      <c r="Q1571" s="3">
        <v>0.806227207183837</v>
      </c>
    </row>
    <row r="1572" spans="1:17" x14ac:dyDescent="0.45">
      <c r="A1572" s="3">
        <v>39066</v>
      </c>
      <c r="B1572" t="b">
        <v>0</v>
      </c>
      <c r="C1572" t="b">
        <v>1</v>
      </c>
      <c r="D1572" s="3">
        <v>1840</v>
      </c>
      <c r="E1572" s="3">
        <v>1849</v>
      </c>
      <c r="F1572" t="s">
        <v>7408</v>
      </c>
      <c r="G1572" t="s">
        <v>7409</v>
      </c>
      <c r="H1572" s="3">
        <v>27.527799999999999</v>
      </c>
      <c r="I1572" t="s">
        <v>1295</v>
      </c>
      <c r="J1572" t="s">
        <v>11994</v>
      </c>
      <c r="L1572" t="s">
        <v>7410</v>
      </c>
      <c r="M1572" t="str">
        <f>"https://www.artic.edu/iiif/2/"&amp;Table9[[#This Row],[Image ID]]&amp;"/full/843,/0/default.jpg"</f>
        <v>https://www.artic.edu/iiif/2/90715591-116b-9820-81f1-7cf4a2266cb5/full/843,/0/default.jpg</v>
      </c>
      <c r="N1572" s="3">
        <v>0.8</v>
      </c>
      <c r="O1572" s="3">
        <v>0.125</v>
      </c>
      <c r="P1572" s="3">
        <v>0.67500000000000004</v>
      </c>
      <c r="Q1572" s="3">
        <v>0.79545509815215998</v>
      </c>
    </row>
    <row r="1573" spans="1:17" x14ac:dyDescent="0.45">
      <c r="A1573" s="3">
        <v>114781</v>
      </c>
      <c r="B1573" t="b">
        <v>0</v>
      </c>
      <c r="C1573" t="b">
        <v>1</v>
      </c>
      <c r="D1573" s="3">
        <v>1800</v>
      </c>
      <c r="E1573" s="3">
        <v>1850</v>
      </c>
      <c r="F1573" t="s">
        <v>1730</v>
      </c>
      <c r="G1573" t="s">
        <v>1731</v>
      </c>
      <c r="H1573" s="3">
        <v>31.352699999999999</v>
      </c>
      <c r="I1573" t="s">
        <v>1292</v>
      </c>
      <c r="J1573" t="s">
        <v>13094</v>
      </c>
      <c r="L1573" t="s">
        <v>1732</v>
      </c>
      <c r="M1573" t="str">
        <f>"https://www.artic.edu/iiif/2/"&amp;Table9[[#This Row],[Image ID]]&amp;"/full/843,/0/default.jpg"</f>
        <v>https://www.artic.edu/iiif/2/95e9e7df-984c-53f9-145e-f1a96b133a05/full/843,/0/default.jpg</v>
      </c>
      <c r="N1573" s="3">
        <v>0.75</v>
      </c>
      <c r="O1573" s="3">
        <v>7.4999999999999997E-2</v>
      </c>
      <c r="P1573" s="3">
        <v>0.67500000000000004</v>
      </c>
      <c r="Q1573" s="3">
        <v>0.78122812509536699</v>
      </c>
    </row>
    <row r="1574" spans="1:17" x14ac:dyDescent="0.45">
      <c r="A1574" s="3">
        <v>46865</v>
      </c>
      <c r="B1574" t="b">
        <v>0</v>
      </c>
      <c r="C1574" t="b">
        <v>1</v>
      </c>
      <c r="D1574" s="3">
        <v>1820</v>
      </c>
      <c r="E1574" s="3">
        <v>1844</v>
      </c>
      <c r="F1574" t="s">
        <v>7904</v>
      </c>
      <c r="G1574" t="s">
        <v>7905</v>
      </c>
      <c r="H1574" s="3">
        <v>33.985199999999999</v>
      </c>
      <c r="I1574" t="s">
        <v>7906</v>
      </c>
      <c r="J1574" t="s">
        <v>13137</v>
      </c>
      <c r="L1574" t="s">
        <v>7907</v>
      </c>
      <c r="M1574" t="str">
        <f>"https://www.artic.edu/iiif/2/"&amp;Table9[[#This Row],[Image ID]]&amp;"/full/843,/0/default.jpg"</f>
        <v>https://www.artic.edu/iiif/2/990cdd0e-fd56-75c3-bcb3-0041ff037d7b/full/843,/0/default.jpg</v>
      </c>
      <c r="N1574" s="3">
        <v>0.8</v>
      </c>
      <c r="O1574" s="3">
        <v>0.125</v>
      </c>
      <c r="P1574" s="3">
        <v>0.67500000000000004</v>
      </c>
      <c r="Q1574" s="3">
        <v>0.758625507354736</v>
      </c>
    </row>
    <row r="1575" spans="1:17" x14ac:dyDescent="0.45">
      <c r="A1575" s="3">
        <v>105887</v>
      </c>
      <c r="B1575" t="b">
        <v>0</v>
      </c>
      <c r="C1575" t="b">
        <v>1</v>
      </c>
      <c r="D1575" s="3">
        <v>1685</v>
      </c>
      <c r="E1575" s="3">
        <v>1695</v>
      </c>
      <c r="F1575" t="s">
        <v>564</v>
      </c>
      <c r="G1575" t="s">
        <v>7</v>
      </c>
      <c r="H1575" s="3">
        <v>39.581000000000003</v>
      </c>
      <c r="I1575" t="s">
        <v>565</v>
      </c>
      <c r="J1575" t="s">
        <v>13195</v>
      </c>
      <c r="L1575" t="s">
        <v>566</v>
      </c>
      <c r="M1575" t="str">
        <f>"https://www.artic.edu/iiif/2/"&amp;Table9[[#This Row],[Image ID]]&amp;"/full/843,/0/default.jpg"</f>
        <v>https://www.artic.edu/iiif/2/9d2f074a-744d-3960-ed1b-0612af893cff/full/843,/0/default.jpg</v>
      </c>
      <c r="N1575" s="3">
        <v>0.77500000000000002</v>
      </c>
      <c r="O1575" s="3">
        <v>0.1</v>
      </c>
      <c r="P1575" s="3">
        <v>0.67500000000000004</v>
      </c>
      <c r="Q1575" s="3">
        <v>0.82624465227126997</v>
      </c>
    </row>
    <row r="1576" spans="1:17" x14ac:dyDescent="0.45">
      <c r="A1576" s="3">
        <v>114322</v>
      </c>
      <c r="B1576" t="b">
        <v>0</v>
      </c>
      <c r="C1576" t="b">
        <v>1</v>
      </c>
      <c r="D1576" s="3">
        <v>1735</v>
      </c>
      <c r="E1576" s="3">
        <v>1868</v>
      </c>
      <c r="F1576" t="s">
        <v>1593</v>
      </c>
      <c r="G1576" t="s">
        <v>1594</v>
      </c>
      <c r="H1576" s="3">
        <v>30.880199999999999</v>
      </c>
      <c r="I1576" t="s">
        <v>1595</v>
      </c>
      <c r="J1576" t="s">
        <v>13199</v>
      </c>
      <c r="L1576" t="s">
        <v>1596</v>
      </c>
      <c r="M1576" t="str">
        <f>"https://www.artic.edu/iiif/2/"&amp;Table9[[#This Row],[Image ID]]&amp;"/full/843,/0/default.jpg"</f>
        <v>https://www.artic.edu/iiif/2/9d977c40-02af-876e-b9a8-38a2c8576457/full/843,/0/default.jpg</v>
      </c>
      <c r="N1576" s="3">
        <v>0.77500000000000002</v>
      </c>
      <c r="O1576" s="3">
        <v>0.1</v>
      </c>
      <c r="P1576" s="3">
        <v>0.67500000000000004</v>
      </c>
      <c r="Q1576" s="3">
        <v>0.559670090675354</v>
      </c>
    </row>
    <row r="1577" spans="1:17" x14ac:dyDescent="0.45">
      <c r="A1577" s="3">
        <v>87056</v>
      </c>
      <c r="B1577" t="b">
        <v>0</v>
      </c>
      <c r="C1577" t="b">
        <v>1</v>
      </c>
      <c r="D1577" s="3">
        <v>1815</v>
      </c>
      <c r="E1577" s="3">
        <v>1825</v>
      </c>
      <c r="F1577" t="s">
        <v>10369</v>
      </c>
      <c r="G1577" t="s">
        <v>7</v>
      </c>
      <c r="H1577" s="3">
        <v>21.317699999999999</v>
      </c>
      <c r="I1577" t="s">
        <v>14675</v>
      </c>
      <c r="J1577" t="s">
        <v>13206</v>
      </c>
      <c r="L1577" t="s">
        <v>10370</v>
      </c>
      <c r="M1577" t="str">
        <f>"https://www.artic.edu/iiif/2/"&amp;Table9[[#This Row],[Image ID]]&amp;"/full/843,/0/default.jpg"</f>
        <v>https://www.artic.edu/iiif/2/9e0a66f0-2404-7c56-b45b-dabccabe011d/full/843,/0/default.jpg</v>
      </c>
      <c r="N1577" s="3">
        <v>0.85</v>
      </c>
      <c r="O1577" s="3">
        <v>0.17499999999999999</v>
      </c>
      <c r="P1577" s="3">
        <v>0.67500000000000004</v>
      </c>
      <c r="Q1577" s="3">
        <v>0.83130604028701705</v>
      </c>
    </row>
    <row r="1578" spans="1:17" x14ac:dyDescent="0.45">
      <c r="A1578" s="3">
        <v>59974</v>
      </c>
      <c r="B1578" t="b">
        <v>0</v>
      </c>
      <c r="C1578" t="b">
        <v>1</v>
      </c>
      <c r="D1578" s="3">
        <v>1580</v>
      </c>
      <c r="E1578" s="3">
        <v>1590</v>
      </c>
      <c r="F1578" t="s">
        <v>6228</v>
      </c>
      <c r="G1578" t="s">
        <v>7</v>
      </c>
      <c r="H1578" s="3">
        <v>25.126300000000001</v>
      </c>
      <c r="I1578" t="s">
        <v>7586</v>
      </c>
      <c r="J1578" t="s">
        <v>13249</v>
      </c>
      <c r="L1578" t="s">
        <v>8669</v>
      </c>
      <c r="M1578" t="str">
        <f>"https://www.artic.edu/iiif/2/"&amp;Table9[[#This Row],[Image ID]]&amp;"/full/843,/0/default.jpg"</f>
        <v>https://www.artic.edu/iiif/2/a1775398-4fc3-0e36-d0dd-dd0587ef4918/full/843,/0/default.jpg</v>
      </c>
      <c r="N1578" s="3">
        <v>0.85</v>
      </c>
      <c r="O1578" s="3">
        <v>0.17499999999999999</v>
      </c>
      <c r="P1578" s="3">
        <v>0.67500000000000004</v>
      </c>
      <c r="Q1578" s="3">
        <v>0.72491961717605502</v>
      </c>
    </row>
    <row r="1579" spans="1:17" x14ac:dyDescent="0.45">
      <c r="A1579" s="3">
        <v>117527</v>
      </c>
      <c r="B1579" t="b">
        <v>0</v>
      </c>
      <c r="C1579" t="b">
        <v>1</v>
      </c>
      <c r="D1579" s="3">
        <v>1709</v>
      </c>
      <c r="E1579" s="3">
        <v>1769</v>
      </c>
      <c r="F1579" t="s">
        <v>2349</v>
      </c>
      <c r="G1579" t="s">
        <v>2350</v>
      </c>
      <c r="H1579" s="3">
        <v>29.8826</v>
      </c>
      <c r="I1579" t="s">
        <v>2351</v>
      </c>
      <c r="J1579" t="s">
        <v>13259</v>
      </c>
      <c r="L1579" t="s">
        <v>2352</v>
      </c>
      <c r="M1579" t="str">
        <f>"https://www.artic.edu/iiif/2/"&amp;Table9[[#This Row],[Image ID]]&amp;"/full/843,/0/default.jpg"</f>
        <v>https://www.artic.edu/iiif/2/a2581f3d-f700-5a6a-ac35-6cd7ad32ae23/full/843,/0/default.jpg</v>
      </c>
      <c r="N1579" s="3">
        <v>0.77500000000000002</v>
      </c>
      <c r="O1579" s="3">
        <v>0.1</v>
      </c>
      <c r="P1579" s="3">
        <v>0.67500000000000004</v>
      </c>
      <c r="Q1579" s="3">
        <v>0.85965359210967995</v>
      </c>
    </row>
    <row r="1580" spans="1:17" x14ac:dyDescent="0.45">
      <c r="A1580" s="3">
        <v>19336</v>
      </c>
      <c r="B1580" t="b">
        <v>0</v>
      </c>
      <c r="C1580" t="b">
        <v>1</v>
      </c>
      <c r="D1580" s="3">
        <v>1619</v>
      </c>
      <c r="E1580" s="3">
        <v>1620</v>
      </c>
      <c r="F1580" t="s">
        <v>716</v>
      </c>
      <c r="G1580" t="s">
        <v>7</v>
      </c>
      <c r="H1580" s="3">
        <v>21.3186</v>
      </c>
      <c r="I1580" t="s">
        <v>5236</v>
      </c>
      <c r="J1580" t="s">
        <v>13296</v>
      </c>
      <c r="L1580" t="s">
        <v>5237</v>
      </c>
      <c r="M1580" t="str">
        <f>"https://www.artic.edu/iiif/2/"&amp;Table9[[#This Row],[Image ID]]&amp;"/full/843,/0/default.jpg"</f>
        <v>https://www.artic.edu/iiif/2/a49c5ada-f461-d7d1-0f1b-468ac577a872/full/843,/0/default.jpg</v>
      </c>
      <c r="N1580" s="3">
        <v>0.75</v>
      </c>
      <c r="O1580" s="3">
        <v>7.4999999999999997E-2</v>
      </c>
      <c r="P1580" s="3">
        <v>0.67500000000000004</v>
      </c>
      <c r="Q1580" s="3">
        <v>0.63326692581176702</v>
      </c>
    </row>
    <row r="1581" spans="1:17" x14ac:dyDescent="0.45">
      <c r="A1581" s="3">
        <v>25740</v>
      </c>
      <c r="B1581" t="b">
        <v>0</v>
      </c>
      <c r="C1581" t="b">
        <v>1</v>
      </c>
      <c r="D1581" s="3">
        <v>1490</v>
      </c>
      <c r="E1581" s="3">
        <v>1495</v>
      </c>
      <c r="F1581" t="s">
        <v>6565</v>
      </c>
      <c r="G1581" t="s">
        <v>4257</v>
      </c>
      <c r="H1581" s="3">
        <v>27.935099999999998</v>
      </c>
      <c r="I1581" t="s">
        <v>6566</v>
      </c>
      <c r="J1581" t="s">
        <v>13323</v>
      </c>
      <c r="L1581" t="s">
        <v>6567</v>
      </c>
      <c r="M1581" t="str">
        <f>"https://www.artic.edu/iiif/2/"&amp;Table9[[#This Row],[Image ID]]&amp;"/full/843,/0/default.jpg"</f>
        <v>https://www.artic.edu/iiif/2/a6c18204-e035-5fd0-408e-46b27d1ee6c5/full/843,/0/default.jpg</v>
      </c>
      <c r="N1581" s="3">
        <v>0.75</v>
      </c>
      <c r="O1581" s="3">
        <v>7.4999999999999997E-2</v>
      </c>
      <c r="P1581" s="3">
        <v>0.67500000000000004</v>
      </c>
      <c r="Q1581" s="3">
        <v>0.73151391744613603</v>
      </c>
    </row>
    <row r="1582" spans="1:17" x14ac:dyDescent="0.45">
      <c r="A1582" s="3">
        <v>97892</v>
      </c>
      <c r="B1582" t="b">
        <v>0</v>
      </c>
      <c r="C1582" t="b">
        <v>1</v>
      </c>
      <c r="D1582" s="3">
        <v>1900</v>
      </c>
      <c r="E1582" s="3">
        <v>1900</v>
      </c>
      <c r="F1582" t="s">
        <v>10870</v>
      </c>
      <c r="G1582" t="s">
        <v>7</v>
      </c>
      <c r="H1582" s="3">
        <v>6.4467999999999996</v>
      </c>
      <c r="I1582" t="s">
        <v>192</v>
      </c>
      <c r="J1582" t="s">
        <v>11293</v>
      </c>
      <c r="L1582" t="s">
        <v>10871</v>
      </c>
      <c r="M1582" t="str">
        <f>"https://www.artic.edu/iiif/2/"&amp;Table9[[#This Row],[Image ID]]&amp;"/full/843,/0/default.jpg"</f>
        <v>https://www.artic.edu/iiif/2/a77ba670-02a8-b48b-303c-9aad5b5755c1/full/843,/0/default.jpg</v>
      </c>
      <c r="N1582" s="3">
        <v>0.75</v>
      </c>
      <c r="O1582" s="3">
        <v>7.4999999999999997E-2</v>
      </c>
      <c r="P1582" s="3">
        <v>0.67500000000000004</v>
      </c>
      <c r="Q1582" s="3">
        <v>0.672529697418212</v>
      </c>
    </row>
    <row r="1583" spans="1:17" x14ac:dyDescent="0.45">
      <c r="A1583" s="3">
        <v>3551</v>
      </c>
      <c r="B1583" t="b">
        <v>0</v>
      </c>
      <c r="C1583" t="b">
        <v>1</v>
      </c>
      <c r="D1583" s="3">
        <v>1872</v>
      </c>
      <c r="E1583" s="3">
        <v>1873</v>
      </c>
      <c r="F1583" t="s">
        <v>7196</v>
      </c>
      <c r="G1583" t="s">
        <v>7</v>
      </c>
      <c r="H1583" s="3">
        <v>13.8626</v>
      </c>
      <c r="I1583" t="s">
        <v>527</v>
      </c>
      <c r="J1583" t="s">
        <v>13542</v>
      </c>
      <c r="K1583" s="5" t="s">
        <v>45</v>
      </c>
      <c r="L1583" t="s">
        <v>7197</v>
      </c>
      <c r="M1583" t="str">
        <f>"https://www.artic.edu/iiif/2/"&amp;Table9[[#This Row],[Image ID]]&amp;"/full/843,/0/default.jpg"</f>
        <v>https://www.artic.edu/iiif/2/b7637e1b-47d7-123c-fe43-46981a93550e/full/843,/0/default.jpg</v>
      </c>
      <c r="N1583" s="3">
        <v>0.8</v>
      </c>
      <c r="O1583" s="3">
        <v>0.125</v>
      </c>
      <c r="P1583" s="3">
        <v>0.67500000000000004</v>
      </c>
      <c r="Q1583" s="3">
        <v>0.701529741287231</v>
      </c>
    </row>
    <row r="1584" spans="1:17" x14ac:dyDescent="0.45">
      <c r="A1584" s="3">
        <v>159071</v>
      </c>
      <c r="B1584" t="b">
        <v>0</v>
      </c>
      <c r="C1584" t="b">
        <v>1</v>
      </c>
      <c r="D1584" s="3">
        <v>1891</v>
      </c>
      <c r="E1584" s="3">
        <v>1893</v>
      </c>
      <c r="F1584" t="s">
        <v>4185</v>
      </c>
      <c r="G1584" t="s">
        <v>4186</v>
      </c>
      <c r="H1584" s="3">
        <v>44.265599999999999</v>
      </c>
      <c r="I1584" t="s">
        <v>872</v>
      </c>
      <c r="J1584" t="s">
        <v>13590</v>
      </c>
      <c r="L1584" t="s">
        <v>4187</v>
      </c>
      <c r="M1584" t="str">
        <f>"https://www.artic.edu/iiif/2/"&amp;Table9[[#This Row],[Image ID]]&amp;"/full/843,/0/default.jpg"</f>
        <v>https://www.artic.edu/iiif/2/bb687947-c51e-a038-cb52-bc29a1c188f2/full/843,/0/default.jpg</v>
      </c>
      <c r="N1584" s="3">
        <v>0.75</v>
      </c>
      <c r="O1584" s="3">
        <v>7.4999999999999997E-2</v>
      </c>
      <c r="P1584" s="3">
        <v>0.67500000000000004</v>
      </c>
      <c r="Q1584" s="3">
        <v>0.66258227825164795</v>
      </c>
    </row>
    <row r="1585" spans="1:17" x14ac:dyDescent="0.45">
      <c r="A1585" s="3">
        <v>84549</v>
      </c>
      <c r="B1585" t="b">
        <v>0</v>
      </c>
      <c r="C1585" t="b">
        <v>1</v>
      </c>
      <c r="D1585" s="3">
        <v>1795</v>
      </c>
      <c r="E1585" s="3">
        <v>1805</v>
      </c>
      <c r="F1585" t="s">
        <v>10292</v>
      </c>
      <c r="G1585" t="s">
        <v>7</v>
      </c>
      <c r="H1585" s="3">
        <v>27.384499999999999</v>
      </c>
      <c r="I1585" t="s">
        <v>10293</v>
      </c>
      <c r="J1585" t="s">
        <v>13594</v>
      </c>
      <c r="L1585" t="s">
        <v>10294</v>
      </c>
      <c r="M1585" t="str">
        <f>"https://www.artic.edu/iiif/2/"&amp;Table9[[#This Row],[Image ID]]&amp;"/full/843,/0/default.jpg"</f>
        <v>https://www.artic.edu/iiif/2/bbd1f8a4-2a16-a7cb-7adc-7e6c30c82a66/full/843,/0/default.jpg</v>
      </c>
      <c r="N1585" s="3">
        <v>0.79100000000000004</v>
      </c>
      <c r="O1585" s="3">
        <v>0.11600000000000001</v>
      </c>
      <c r="P1585" s="3">
        <v>0.67500000000000004</v>
      </c>
      <c r="Q1585" s="3">
        <v>0.68797820806503296</v>
      </c>
    </row>
    <row r="1586" spans="1:17" x14ac:dyDescent="0.45">
      <c r="A1586" s="3">
        <v>110752</v>
      </c>
      <c r="B1586" t="b">
        <v>0</v>
      </c>
      <c r="C1586" t="b">
        <v>1</v>
      </c>
      <c r="D1586" s="3">
        <v>1830</v>
      </c>
      <c r="E1586" s="3">
        <v>1840</v>
      </c>
      <c r="F1586" t="s">
        <v>924</v>
      </c>
      <c r="G1586" t="s">
        <v>7</v>
      </c>
      <c r="H1586" s="3">
        <v>32.858800000000002</v>
      </c>
      <c r="I1586" t="s">
        <v>925</v>
      </c>
      <c r="J1586" t="s">
        <v>13596</v>
      </c>
      <c r="L1586" t="s">
        <v>926</v>
      </c>
      <c r="M1586" t="str">
        <f>"https://www.artic.edu/iiif/2/"&amp;Table9[[#This Row],[Image ID]]&amp;"/full/843,/0/default.jpg"</f>
        <v>https://www.artic.edu/iiif/2/bbeaec43-6e1b-5c12-b0ea-9706784506be/full/843,/0/default.jpg</v>
      </c>
      <c r="N1586" s="3">
        <v>0.75</v>
      </c>
      <c r="O1586" s="3">
        <v>7.4999999999999997E-2</v>
      </c>
      <c r="P1586" s="3">
        <v>0.67500000000000004</v>
      </c>
      <c r="Q1586" s="3">
        <v>0.59485733509063698</v>
      </c>
    </row>
    <row r="1587" spans="1:17" ht="85.5" x14ac:dyDescent="0.45">
      <c r="A1587" s="3">
        <v>22862</v>
      </c>
      <c r="B1587" t="b">
        <v>0</v>
      </c>
      <c r="C1587" t="b">
        <v>1</v>
      </c>
      <c r="D1587" s="3">
        <v>1520</v>
      </c>
      <c r="E1587" s="3">
        <v>1525</v>
      </c>
      <c r="F1587" t="s">
        <v>5996</v>
      </c>
      <c r="G1587" t="s">
        <v>75</v>
      </c>
      <c r="H1587" s="3">
        <v>25.6313</v>
      </c>
      <c r="I1587" t="s">
        <v>5997</v>
      </c>
      <c r="J1587" s="1" t="s">
        <v>13647</v>
      </c>
      <c r="L1587" t="s">
        <v>5998</v>
      </c>
      <c r="M1587" t="str">
        <f>"https://www.artic.edu/iiif/2/"&amp;Table9[[#This Row],[Image ID]]&amp;"/full/843,/0/default.jpg"</f>
        <v>https://www.artic.edu/iiif/2/bff0be75-0833-2ee1-993a-5934993e08fb/full/843,/0/default.jpg</v>
      </c>
      <c r="N1587" s="3">
        <v>0.77500000000000002</v>
      </c>
      <c r="O1587" s="3">
        <v>0.1</v>
      </c>
      <c r="P1587" s="3">
        <v>0.67500000000000004</v>
      </c>
      <c r="Q1587" s="3">
        <v>0.85775226354598999</v>
      </c>
    </row>
    <row r="1588" spans="1:17" x14ac:dyDescent="0.45">
      <c r="A1588" s="3">
        <v>90024</v>
      </c>
      <c r="B1588" t="b">
        <v>0</v>
      </c>
      <c r="C1588" t="b">
        <v>1</v>
      </c>
      <c r="D1588" s="3">
        <v>1758</v>
      </c>
      <c r="E1588" s="3">
        <v>1764</v>
      </c>
      <c r="F1588" t="s">
        <v>10493</v>
      </c>
      <c r="G1588" t="s">
        <v>7</v>
      </c>
      <c r="H1588" s="3">
        <v>14.7905</v>
      </c>
      <c r="I1588" t="s">
        <v>709</v>
      </c>
      <c r="J1588" t="s">
        <v>13830</v>
      </c>
      <c r="L1588" t="s">
        <v>10494</v>
      </c>
      <c r="M1588" t="str">
        <f>"https://www.artic.edu/iiif/2/"&amp;Table9[[#This Row],[Image ID]]&amp;"/full/843,/0/default.jpg"</f>
        <v>https://www.artic.edu/iiif/2/cef08eac-d4dc-b09c-b6d6-7f10517687a4/full/843,/0/default.jpg</v>
      </c>
      <c r="N1588" s="3">
        <v>0.75</v>
      </c>
      <c r="O1588" s="3">
        <v>7.4999999999999997E-2</v>
      </c>
      <c r="P1588" s="3">
        <v>0.67500000000000004</v>
      </c>
      <c r="Q1588" s="3">
        <v>0.72843569517135598</v>
      </c>
    </row>
    <row r="1589" spans="1:17" x14ac:dyDescent="0.45">
      <c r="A1589" s="3">
        <v>30361</v>
      </c>
      <c r="B1589" t="b">
        <v>0</v>
      </c>
      <c r="C1589" t="b">
        <v>1</v>
      </c>
      <c r="D1589" s="3">
        <v>1863</v>
      </c>
      <c r="E1589" s="3">
        <v>1864</v>
      </c>
      <c r="F1589" t="s">
        <v>6939</v>
      </c>
      <c r="G1589" t="s">
        <v>7</v>
      </c>
      <c r="H1589" s="3">
        <v>20.438199999999998</v>
      </c>
      <c r="I1589" t="s">
        <v>1168</v>
      </c>
      <c r="J1589" t="s">
        <v>13859</v>
      </c>
      <c r="L1589" t="s">
        <v>6940</v>
      </c>
      <c r="M1589" t="str">
        <f>"https://www.artic.edu/iiif/2/"&amp;Table9[[#This Row],[Image ID]]&amp;"/full/843,/0/default.jpg"</f>
        <v>https://www.artic.edu/iiif/2/d1549113-7586-2193-de9f-80c1ce58ed64/full/843,/0/default.jpg</v>
      </c>
      <c r="N1589" s="3">
        <v>0.8</v>
      </c>
      <c r="O1589" s="3">
        <v>0.125</v>
      </c>
      <c r="P1589" s="3">
        <v>0.67500000000000004</v>
      </c>
      <c r="Q1589" s="3">
        <v>0.58509373664855902</v>
      </c>
    </row>
    <row r="1590" spans="1:17" x14ac:dyDescent="0.45">
      <c r="A1590" s="3">
        <v>75980</v>
      </c>
      <c r="B1590" t="b">
        <v>0</v>
      </c>
      <c r="C1590" t="b">
        <v>1</v>
      </c>
      <c r="D1590" s="3">
        <v>1901</v>
      </c>
      <c r="E1590" s="3">
        <v>1901</v>
      </c>
      <c r="F1590" t="s">
        <v>9766</v>
      </c>
      <c r="G1590" t="s">
        <v>7</v>
      </c>
      <c r="H1590" s="3">
        <v>16.631599999999999</v>
      </c>
      <c r="I1590" t="s">
        <v>458</v>
      </c>
      <c r="J1590" t="s">
        <v>13919</v>
      </c>
      <c r="L1590" t="s">
        <v>9767</v>
      </c>
      <c r="M1590" t="str">
        <f>"https://www.artic.edu/iiif/2/"&amp;Table9[[#This Row],[Image ID]]&amp;"/full/843,/0/default.jpg"</f>
        <v>https://www.artic.edu/iiif/2/d6075ccc-174f-8015-7dcd-d3c90cf794a6/full/843,/0/default.jpg</v>
      </c>
      <c r="N1590" s="3">
        <v>0.8</v>
      </c>
      <c r="O1590" s="3">
        <v>0.125</v>
      </c>
      <c r="P1590" s="3">
        <v>0.67500000000000004</v>
      </c>
      <c r="Q1590" s="3">
        <v>0.81031614542007402</v>
      </c>
    </row>
    <row r="1591" spans="1:17" x14ac:dyDescent="0.45">
      <c r="A1591" s="3">
        <v>39510</v>
      </c>
      <c r="B1591" t="b">
        <v>0</v>
      </c>
      <c r="C1591" t="b">
        <v>1</v>
      </c>
      <c r="D1591" s="3">
        <v>1865</v>
      </c>
      <c r="E1591" s="3">
        <v>1880</v>
      </c>
      <c r="F1591" t="s">
        <v>7576</v>
      </c>
      <c r="G1591" t="s">
        <v>7</v>
      </c>
      <c r="H1591" s="3">
        <v>38.193199999999997</v>
      </c>
      <c r="I1591" t="s">
        <v>7577</v>
      </c>
      <c r="J1591" t="s">
        <v>13947</v>
      </c>
      <c r="L1591" t="s">
        <v>7578</v>
      </c>
      <c r="M1591" t="str">
        <f>"https://www.artic.edu/iiif/2/"&amp;Table9[[#This Row],[Image ID]]&amp;"/full/843,/0/default.jpg"</f>
        <v>https://www.artic.edu/iiif/2/d790fdf8-7b1f-c24a-ce2b-ca0f3d5ed2f3/full/843,/0/default.jpg</v>
      </c>
      <c r="N1591" s="3">
        <v>0.77500000000000002</v>
      </c>
      <c r="O1591" s="3">
        <v>0.1</v>
      </c>
      <c r="P1591" s="3">
        <v>0.67500000000000004</v>
      </c>
      <c r="Q1591" s="3">
        <v>0.58827388286590498</v>
      </c>
    </row>
    <row r="1592" spans="1:17" x14ac:dyDescent="0.45">
      <c r="A1592" s="3">
        <v>51595</v>
      </c>
      <c r="B1592" t="b">
        <v>0</v>
      </c>
      <c r="C1592" t="b">
        <v>1</v>
      </c>
      <c r="D1592" s="3">
        <v>1188</v>
      </c>
      <c r="E1592" s="3">
        <v>1200</v>
      </c>
      <c r="F1592" t="s">
        <v>8154</v>
      </c>
      <c r="G1592" t="s">
        <v>8155</v>
      </c>
      <c r="H1592" s="3">
        <v>37.114100000000001</v>
      </c>
      <c r="I1592" t="s">
        <v>8156</v>
      </c>
      <c r="J1592" t="s">
        <v>13992</v>
      </c>
      <c r="K1592" s="5" t="s">
        <v>278</v>
      </c>
      <c r="L1592" t="s">
        <v>8157</v>
      </c>
      <c r="M1592" t="str">
        <f>"https://www.artic.edu/iiif/2/"&amp;Table9[[#This Row],[Image ID]]&amp;"/full/843,/0/default.jpg"</f>
        <v>https://www.artic.edu/iiif/2/db1bd28c-9e96-b641-886f-196d44a92bbc/full/843,/0/default.jpg</v>
      </c>
      <c r="N1592" s="3">
        <v>0.77500000000000002</v>
      </c>
      <c r="O1592" s="3">
        <v>0.1</v>
      </c>
      <c r="P1592" s="3">
        <v>0.67500000000000004</v>
      </c>
      <c r="Q1592" s="3">
        <v>0.82429713010787897</v>
      </c>
    </row>
    <row r="1593" spans="1:17" x14ac:dyDescent="0.45">
      <c r="A1593" s="3">
        <v>16151</v>
      </c>
      <c r="B1593" t="b">
        <v>0</v>
      </c>
      <c r="C1593" t="b">
        <v>1</v>
      </c>
      <c r="D1593" s="3">
        <v>1500</v>
      </c>
      <c r="E1593" s="3">
        <v>1510</v>
      </c>
      <c r="F1593" t="s">
        <v>955</v>
      </c>
      <c r="G1593" t="s">
        <v>4266</v>
      </c>
      <c r="H1593" s="3">
        <v>23.035299999999999</v>
      </c>
      <c r="I1593" t="s">
        <v>4267</v>
      </c>
      <c r="J1593" t="s">
        <v>13996</v>
      </c>
      <c r="L1593" t="s">
        <v>4268</v>
      </c>
      <c r="M1593" t="str">
        <f>"https://www.artic.edu/iiif/2/"&amp;Table9[[#This Row],[Image ID]]&amp;"/full/843,/0/default.jpg"</f>
        <v>https://www.artic.edu/iiif/2/db37b494-6b09-18ce-a618-0b16352f33a2/full/843,/0/default.jpg</v>
      </c>
      <c r="N1593" s="3">
        <v>0.8</v>
      </c>
      <c r="O1593" s="3">
        <v>0.125</v>
      </c>
      <c r="P1593" s="3">
        <v>0.67500000000000004</v>
      </c>
      <c r="Q1593" s="3">
        <v>0.69579631090164096</v>
      </c>
    </row>
    <row r="1594" spans="1:17" ht="85.5" x14ac:dyDescent="0.45">
      <c r="A1594" s="3">
        <v>16329</v>
      </c>
      <c r="B1594" t="b">
        <v>0</v>
      </c>
      <c r="C1594" t="b">
        <v>1</v>
      </c>
      <c r="D1594" s="3">
        <v>1510</v>
      </c>
      <c r="E1594" s="3">
        <v>1530</v>
      </c>
      <c r="F1594" t="s">
        <v>4365</v>
      </c>
      <c r="G1594" t="s">
        <v>75</v>
      </c>
      <c r="H1594" s="3">
        <v>74.453299999999999</v>
      </c>
      <c r="I1594" t="s">
        <v>4366</v>
      </c>
      <c r="J1594" s="1" t="s">
        <v>14081</v>
      </c>
      <c r="L1594" t="s">
        <v>4367</v>
      </c>
      <c r="M1594" t="str">
        <f>"https://www.artic.edu/iiif/2/"&amp;Table9[[#This Row],[Image ID]]&amp;"/full/843,/0/default.jpg"</f>
        <v>https://www.artic.edu/iiif/2/e1148911-bcb0-ab06-34d5-0d9be27b7577/full/843,/0/default.jpg</v>
      </c>
      <c r="N1594" s="3">
        <v>0.77500000000000002</v>
      </c>
      <c r="O1594" s="3">
        <v>0.1</v>
      </c>
      <c r="P1594" s="3">
        <v>0.67500000000000004</v>
      </c>
      <c r="Q1594" s="3">
        <v>0.76999747753143299</v>
      </c>
    </row>
    <row r="1595" spans="1:17" x14ac:dyDescent="0.45">
      <c r="A1595" s="3">
        <v>48542</v>
      </c>
      <c r="B1595" t="b">
        <v>0</v>
      </c>
      <c r="C1595" t="b">
        <v>1</v>
      </c>
      <c r="D1595" s="3">
        <v>1835</v>
      </c>
      <c r="E1595" s="3">
        <v>1835</v>
      </c>
      <c r="F1595" t="s">
        <v>8003</v>
      </c>
      <c r="G1595" t="s">
        <v>642</v>
      </c>
      <c r="H1595" s="3">
        <v>19.9693</v>
      </c>
      <c r="I1595" t="s">
        <v>5963</v>
      </c>
      <c r="J1595" t="s">
        <v>14220</v>
      </c>
      <c r="L1595" t="s">
        <v>8004</v>
      </c>
      <c r="M1595" t="str">
        <f>"https://www.artic.edu/iiif/2/"&amp;Table9[[#This Row],[Image ID]]&amp;"/full/843,/0/default.jpg"</f>
        <v>https://www.artic.edu/iiif/2/e9bc80e2-186e-0144-d434-0429dddc2afd/full/843,/0/default.jpg</v>
      </c>
      <c r="N1595" s="3">
        <v>0.875</v>
      </c>
      <c r="O1595" s="3">
        <v>0.2</v>
      </c>
      <c r="P1595" s="3">
        <v>0.67500000000000004</v>
      </c>
      <c r="Q1595" s="3">
        <v>0.49650236964225702</v>
      </c>
    </row>
    <row r="1596" spans="1:17" x14ac:dyDescent="0.45">
      <c r="A1596" s="3">
        <v>5288</v>
      </c>
      <c r="B1596" t="b">
        <v>0</v>
      </c>
      <c r="C1596" t="b">
        <v>1</v>
      </c>
      <c r="D1596" s="3">
        <v>1741</v>
      </c>
      <c r="E1596" s="3">
        <v>1745</v>
      </c>
      <c r="F1596" t="s">
        <v>8198</v>
      </c>
      <c r="G1596" t="s">
        <v>7</v>
      </c>
      <c r="H1596" s="3">
        <v>30.494599999999998</v>
      </c>
      <c r="I1596" t="s">
        <v>8199</v>
      </c>
      <c r="J1596" t="s">
        <v>14287</v>
      </c>
      <c r="L1596" t="s">
        <v>8200</v>
      </c>
      <c r="M1596" t="str">
        <f>"https://www.artic.edu/iiif/2/"&amp;Table9[[#This Row],[Image ID]]&amp;"/full/843,/0/default.jpg"</f>
        <v>https://www.artic.edu/iiif/2/edf097b5-d326-afec-6bbd-2915e145364c/full/843,/0/default.jpg</v>
      </c>
      <c r="N1596" s="3">
        <v>0.77500000000000002</v>
      </c>
      <c r="O1596" s="3">
        <v>0.1</v>
      </c>
      <c r="P1596" s="3">
        <v>0.67500000000000004</v>
      </c>
      <c r="Q1596" s="3">
        <v>0.70406144857406605</v>
      </c>
    </row>
    <row r="1597" spans="1:17" x14ac:dyDescent="0.45">
      <c r="A1597" s="3">
        <v>8104</v>
      </c>
      <c r="B1597" t="b">
        <v>0</v>
      </c>
      <c r="C1597" t="b">
        <v>1</v>
      </c>
      <c r="D1597" s="3">
        <v>1625</v>
      </c>
      <c r="E1597" s="3">
        <v>1635</v>
      </c>
      <c r="F1597" t="s">
        <v>14660</v>
      </c>
      <c r="G1597" t="s">
        <v>7</v>
      </c>
      <c r="H1597" s="3">
        <v>26.0578</v>
      </c>
      <c r="I1597" t="s">
        <v>3830</v>
      </c>
      <c r="J1597" t="s">
        <v>14317</v>
      </c>
      <c r="L1597" t="s">
        <v>10088</v>
      </c>
      <c r="M1597" t="str">
        <f>"https://www.artic.edu/iiif/2/"&amp;Table9[[#This Row],[Image ID]]&amp;"/full/843,/0/default.jpg"</f>
        <v>https://www.artic.edu/iiif/2/f0447c50-f4c9-ecb2-2695-22669e1469cd/full/843,/0/default.jpg</v>
      </c>
      <c r="N1597" s="3">
        <v>0.75</v>
      </c>
      <c r="O1597" s="3">
        <v>7.4999999999999997E-2</v>
      </c>
      <c r="P1597" s="3">
        <v>0.67500000000000004</v>
      </c>
      <c r="Q1597" s="3">
        <v>0.86236035823821999</v>
      </c>
    </row>
    <row r="1598" spans="1:17" x14ac:dyDescent="0.45">
      <c r="A1598" s="3">
        <v>156072</v>
      </c>
      <c r="B1598" t="b">
        <v>0</v>
      </c>
      <c r="C1598" t="b">
        <v>1</v>
      </c>
      <c r="D1598" s="3">
        <v>1803</v>
      </c>
      <c r="E1598" s="3">
        <v>1808</v>
      </c>
      <c r="F1598" t="s">
        <v>4052</v>
      </c>
      <c r="G1598" t="s">
        <v>7</v>
      </c>
      <c r="H1598" s="3">
        <v>47.580199999999998</v>
      </c>
      <c r="I1598" t="s">
        <v>482</v>
      </c>
      <c r="J1598" t="s">
        <v>14418</v>
      </c>
      <c r="L1598" t="s">
        <v>4053</v>
      </c>
      <c r="M1598" t="str">
        <f>"https://www.artic.edu/iiif/2/"&amp;Table9[[#This Row],[Image ID]]&amp;"/full/843,/0/default.jpg"</f>
        <v>https://www.artic.edu/iiif/2/f73f1bb1-a961-ca90-9984-f783b5a5a005/full/843,/0/default.jpg</v>
      </c>
      <c r="N1598" s="3">
        <v>0.75</v>
      </c>
      <c r="O1598" s="3">
        <v>7.4999999999999997E-2</v>
      </c>
      <c r="P1598" s="3">
        <v>0.67500000000000004</v>
      </c>
      <c r="Q1598" s="3">
        <v>0.81843936443328802</v>
      </c>
    </row>
    <row r="1599" spans="1:17" x14ac:dyDescent="0.45">
      <c r="A1599" s="3">
        <v>115499</v>
      </c>
      <c r="B1599" t="b">
        <v>0</v>
      </c>
      <c r="C1599" t="b">
        <v>1</v>
      </c>
      <c r="D1599" s="3">
        <v>1719</v>
      </c>
      <c r="E1599" s="3">
        <v>1769</v>
      </c>
      <c r="F1599" t="s">
        <v>1966</v>
      </c>
      <c r="G1599" t="s">
        <v>1952</v>
      </c>
      <c r="H1599" s="3">
        <v>32.961799999999997</v>
      </c>
      <c r="I1599" t="s">
        <v>1922</v>
      </c>
      <c r="J1599" t="s">
        <v>14447</v>
      </c>
      <c r="L1599" t="s">
        <v>1967</v>
      </c>
      <c r="M1599" t="str">
        <f>"https://www.artic.edu/iiif/2/"&amp;Table9[[#This Row],[Image ID]]&amp;"/full/843,/0/default.jpg"</f>
        <v>https://www.artic.edu/iiif/2/f9bc32eb-bf4a-397c-5e29-2175da09a276/full/843,/0/default.jpg</v>
      </c>
      <c r="N1599" s="3">
        <v>0.75</v>
      </c>
      <c r="O1599" s="3">
        <v>7.4999999999999997E-2</v>
      </c>
      <c r="P1599" s="3">
        <v>0.67500000000000004</v>
      </c>
      <c r="Q1599" s="3">
        <v>0.82581830024719205</v>
      </c>
    </row>
    <row r="1600" spans="1:17" x14ac:dyDescent="0.45">
      <c r="A1600" s="3">
        <v>53173</v>
      </c>
      <c r="B1600" t="b">
        <v>0</v>
      </c>
      <c r="C1600" t="b">
        <v>1</v>
      </c>
      <c r="D1600" s="3">
        <v>1870</v>
      </c>
      <c r="E1600" s="3">
        <v>1880</v>
      </c>
      <c r="F1600" t="s">
        <v>8242</v>
      </c>
      <c r="G1600" t="s">
        <v>8243</v>
      </c>
      <c r="H1600" s="3">
        <v>12.579700000000001</v>
      </c>
      <c r="I1600" t="s">
        <v>8244</v>
      </c>
      <c r="J1600" t="s">
        <v>14475</v>
      </c>
      <c r="L1600" t="s">
        <v>8245</v>
      </c>
      <c r="M1600" t="str">
        <f>"https://www.artic.edu/iiif/2/"&amp;Table9[[#This Row],[Image ID]]&amp;"/full/843,/0/default.jpg"</f>
        <v>https://www.artic.edu/iiif/2/fba36313-17e3-5670-f90d-5782cd7735b1/full/843,/0/default.jpg</v>
      </c>
      <c r="N1600" s="3">
        <v>0.8</v>
      </c>
      <c r="O1600" s="3">
        <v>0.125</v>
      </c>
      <c r="P1600" s="3">
        <v>0.67500000000000004</v>
      </c>
      <c r="Q1600" s="3">
        <v>0.51692759990692105</v>
      </c>
    </row>
    <row r="1601" spans="1:17" x14ac:dyDescent="0.45">
      <c r="A1601" s="3">
        <v>9614</v>
      </c>
      <c r="B1601" t="b">
        <v>0</v>
      </c>
      <c r="C1601" t="b">
        <v>0</v>
      </c>
      <c r="D1601" s="3">
        <v>1930</v>
      </c>
      <c r="E1601" s="3">
        <v>1930</v>
      </c>
      <c r="F1601" t="s">
        <v>9832</v>
      </c>
      <c r="G1601" t="s">
        <v>7</v>
      </c>
      <c r="H1601" s="3">
        <v>29.541</v>
      </c>
      <c r="I1601" t="s">
        <v>2825</v>
      </c>
      <c r="J1601" t="s">
        <v>11016</v>
      </c>
      <c r="K1601" s="5" t="s">
        <v>2</v>
      </c>
      <c r="L1601" t="s">
        <v>10787</v>
      </c>
      <c r="M1601" t="str">
        <f>"https://www.artic.edu/iiif/2/"&amp;Table9[[#This Row],[Image ID]]&amp;"/full/843,/0/default.jpg"</f>
        <v>https://www.artic.edu/iiif/2/0330a6dd-774e-eff1-0073-2be5f85b81d0/full/843,/0/default.jpg</v>
      </c>
      <c r="N1601" s="3">
        <v>0.7</v>
      </c>
      <c r="O1601" s="3">
        <v>2.5000000000000001E-2</v>
      </c>
      <c r="P1601" s="3">
        <v>0.67499999999999993</v>
      </c>
      <c r="Q1601" s="3">
        <v>0.62631720304489102</v>
      </c>
    </row>
    <row r="1602" spans="1:17" x14ac:dyDescent="0.45">
      <c r="A1602" s="3">
        <v>22319</v>
      </c>
      <c r="B1602" t="b">
        <v>0</v>
      </c>
      <c r="C1602" t="b">
        <v>0</v>
      </c>
      <c r="D1602" s="3">
        <v>1934</v>
      </c>
      <c r="E1602" s="3">
        <v>1934</v>
      </c>
      <c r="F1602" t="s">
        <v>5853</v>
      </c>
      <c r="G1602" t="s">
        <v>5854</v>
      </c>
      <c r="H1602" s="3">
        <v>51.2226</v>
      </c>
      <c r="I1602" t="s">
        <v>3675</v>
      </c>
      <c r="J1602" t="s">
        <v>11254</v>
      </c>
      <c r="L1602" t="s">
        <v>5855</v>
      </c>
      <c r="M1602" t="str">
        <f>"https://www.artic.edu/iiif/2/"&amp;Table9[[#This Row],[Image ID]]&amp;"/full/843,/0/default.jpg"</f>
        <v>https://www.artic.edu/iiif/2/149dcab2-5cad-be1f-e317-b154b220cf91/full/843,/0/default.jpg</v>
      </c>
      <c r="N1602" s="3">
        <v>0.72499999999999998</v>
      </c>
      <c r="O1602" s="3">
        <v>0.05</v>
      </c>
      <c r="P1602" s="3">
        <v>0.67499999999999993</v>
      </c>
      <c r="Q1602" s="3">
        <v>0.64628219604492099</v>
      </c>
    </row>
    <row r="1603" spans="1:17" x14ac:dyDescent="0.45">
      <c r="A1603" s="3">
        <v>115949</v>
      </c>
      <c r="B1603" t="b">
        <v>0</v>
      </c>
      <c r="C1603" t="b">
        <v>0</v>
      </c>
      <c r="D1603" s="3">
        <v>1950</v>
      </c>
      <c r="E1603" s="3">
        <v>1965</v>
      </c>
      <c r="F1603" t="s">
        <v>2216</v>
      </c>
      <c r="G1603" t="s">
        <v>2217</v>
      </c>
      <c r="H1603" s="3">
        <v>44.0471</v>
      </c>
      <c r="I1603" t="s">
        <v>1281</v>
      </c>
      <c r="J1603" t="s">
        <v>11414</v>
      </c>
      <c r="L1603" t="s">
        <v>2218</v>
      </c>
      <c r="M1603" t="str">
        <f>"https://www.artic.edu/iiif/2/"&amp;Table9[[#This Row],[Image ID]]&amp;"/full/843,/0/default.jpg"</f>
        <v>https://www.artic.edu/iiif/2/1f748509-8913-6284-369c-bdb0c9eadab9/full/843,/0/default.jpg</v>
      </c>
      <c r="N1603" s="3">
        <v>0.7</v>
      </c>
      <c r="O1603" s="3">
        <v>2.5000000000000001E-2</v>
      </c>
      <c r="P1603" s="3">
        <v>0.67499999999999993</v>
      </c>
      <c r="Q1603" s="3">
        <v>0.84681099653243996</v>
      </c>
    </row>
    <row r="1604" spans="1:17" x14ac:dyDescent="0.45">
      <c r="A1604" s="3">
        <v>58326</v>
      </c>
      <c r="B1604" t="b">
        <v>0</v>
      </c>
      <c r="C1604" t="b">
        <v>0</v>
      </c>
      <c r="D1604" s="3">
        <v>1964</v>
      </c>
      <c r="E1604" s="3">
        <v>1964</v>
      </c>
      <c r="F1604" t="s">
        <v>8509</v>
      </c>
      <c r="G1604" t="s">
        <v>8510</v>
      </c>
      <c r="H1604" s="3">
        <v>38.637</v>
      </c>
      <c r="I1604" t="s">
        <v>599</v>
      </c>
      <c r="J1604" t="s">
        <v>11422</v>
      </c>
      <c r="L1604" t="s">
        <v>8511</v>
      </c>
      <c r="M1604" t="str">
        <f>"https://www.artic.edu/iiif/2/"&amp;Table9[[#This Row],[Image ID]]&amp;"/full/843,/0/default.jpg"</f>
        <v>https://www.artic.edu/iiif/2/1fcc06bd-66ee-5b81-0664-e2eb6b8f92b8/full/843,/0/default.jpg</v>
      </c>
      <c r="N1604" s="3">
        <v>0.7</v>
      </c>
      <c r="O1604" s="3">
        <v>2.5000000000000001E-2</v>
      </c>
      <c r="P1604" s="3">
        <v>0.67499999999999993</v>
      </c>
      <c r="Q1604" s="3">
        <v>0.80817377567291204</v>
      </c>
    </row>
    <row r="1605" spans="1:17" x14ac:dyDescent="0.45">
      <c r="A1605" s="3">
        <v>184926</v>
      </c>
      <c r="B1605" t="b">
        <v>0</v>
      </c>
      <c r="C1605" t="b">
        <v>0</v>
      </c>
      <c r="D1605" s="3">
        <v>2003</v>
      </c>
      <c r="E1605" s="3">
        <v>2003</v>
      </c>
      <c r="F1605" t="s">
        <v>4910</v>
      </c>
      <c r="G1605" t="s">
        <v>4823</v>
      </c>
      <c r="H1605" s="3">
        <v>8.0434999999999999</v>
      </c>
      <c r="I1605" t="s">
        <v>293</v>
      </c>
      <c r="J1605" t="s">
        <v>10977</v>
      </c>
      <c r="K1605" s="5" t="s">
        <v>15</v>
      </c>
      <c r="L1605" t="s">
        <v>4911</v>
      </c>
      <c r="M1605" t="str">
        <f>"https://www.artic.edu/iiif/2/"&amp;Table9[[#This Row],[Image ID]]&amp;"/full/843,/0/default.jpg"</f>
        <v>https://www.artic.edu/iiif/2/2f5735da-df4c-f8c2-009b-6768bb32ee8f/full/843,/0/default.jpg</v>
      </c>
      <c r="N1605" s="3">
        <v>0.7</v>
      </c>
      <c r="O1605" s="3">
        <v>2.5000000000000001E-2</v>
      </c>
      <c r="P1605" s="3">
        <v>0.67499999999999993</v>
      </c>
      <c r="Q1605" s="3">
        <v>0.90552157163619995</v>
      </c>
    </row>
    <row r="1606" spans="1:17" x14ac:dyDescent="0.45">
      <c r="A1606" s="3">
        <v>184895</v>
      </c>
      <c r="B1606" t="b">
        <v>0</v>
      </c>
      <c r="C1606" t="b">
        <v>0</v>
      </c>
      <c r="D1606" s="3">
        <v>2003</v>
      </c>
      <c r="E1606" s="3">
        <v>2003</v>
      </c>
      <c r="F1606" t="s">
        <v>4884</v>
      </c>
      <c r="G1606" t="s">
        <v>4823</v>
      </c>
      <c r="H1606" s="3">
        <v>10.401999999999999</v>
      </c>
      <c r="I1606" t="s">
        <v>293</v>
      </c>
      <c r="J1606" t="s">
        <v>10977</v>
      </c>
      <c r="K1606" s="5" t="s">
        <v>15</v>
      </c>
      <c r="L1606" t="s">
        <v>4885</v>
      </c>
      <c r="M1606" t="str">
        <f>"https://www.artic.edu/iiif/2/"&amp;Table9[[#This Row],[Image ID]]&amp;"/full/843,/0/default.jpg"</f>
        <v>https://www.artic.edu/iiif/2/3442a7f1-b4fe-394c-0841-356bda0dc7e0/full/843,/0/default.jpg</v>
      </c>
      <c r="N1606" s="3">
        <v>0.72499999999999998</v>
      </c>
      <c r="O1606" s="3">
        <v>0.05</v>
      </c>
      <c r="P1606" s="3">
        <v>0.67499999999999993</v>
      </c>
      <c r="Q1606" s="3">
        <v>0.81284058094024603</v>
      </c>
    </row>
    <row r="1607" spans="1:17" x14ac:dyDescent="0.45">
      <c r="A1607" s="3">
        <v>184731</v>
      </c>
      <c r="B1607" t="b">
        <v>0</v>
      </c>
      <c r="C1607" t="b">
        <v>0</v>
      </c>
      <c r="D1607" s="3">
        <v>2003</v>
      </c>
      <c r="E1607" s="3">
        <v>2003</v>
      </c>
      <c r="F1607" t="s">
        <v>4839</v>
      </c>
      <c r="G1607" t="s">
        <v>4823</v>
      </c>
      <c r="H1607" s="3">
        <v>8.6220999999999997</v>
      </c>
      <c r="I1607" t="s">
        <v>293</v>
      </c>
      <c r="J1607" t="s">
        <v>10977</v>
      </c>
      <c r="K1607" s="5" t="s">
        <v>15</v>
      </c>
      <c r="L1607" t="s">
        <v>4840</v>
      </c>
      <c r="M1607" t="str">
        <f>"https://www.artic.edu/iiif/2/"&amp;Table9[[#This Row],[Image ID]]&amp;"/full/843,/0/default.jpg"</f>
        <v>https://www.artic.edu/iiif/2/3de9d79d-ff2a-d7cc-bc86-5f22afe93cee/full/843,/0/default.jpg</v>
      </c>
      <c r="N1607" s="3">
        <v>0.72499999999999998</v>
      </c>
      <c r="O1607" s="3">
        <v>0.05</v>
      </c>
      <c r="P1607" s="3">
        <v>0.67499999999999993</v>
      </c>
      <c r="Q1607" s="3">
        <v>0.84878891706466597</v>
      </c>
    </row>
    <row r="1608" spans="1:17" x14ac:dyDescent="0.45">
      <c r="A1608" s="3">
        <v>55619</v>
      </c>
      <c r="B1608" t="b">
        <v>0</v>
      </c>
      <c r="C1608" t="b">
        <v>0</v>
      </c>
      <c r="D1608" s="3">
        <v>1919</v>
      </c>
      <c r="E1608" s="3">
        <v>1965</v>
      </c>
      <c r="F1608" t="s">
        <v>8352</v>
      </c>
      <c r="G1608" t="s">
        <v>642</v>
      </c>
      <c r="H1608" s="3">
        <v>34.680399999999999</v>
      </c>
      <c r="I1608" t="s">
        <v>1404</v>
      </c>
      <c r="J1608" t="s">
        <v>11959</v>
      </c>
      <c r="L1608" t="s">
        <v>8353</v>
      </c>
      <c r="M1608" t="str">
        <f>"https://www.artic.edu/iiif/2/"&amp;Table9[[#This Row],[Image ID]]&amp;"/full/843,/0/default.jpg"</f>
        <v>https://www.artic.edu/iiif/2/42a938aa-f99d-f097-f16c-2b735728b7e2/full/843,/0/default.jpg</v>
      </c>
      <c r="N1608" s="3">
        <v>0.82499999999999996</v>
      </c>
      <c r="O1608" s="3">
        <v>0.15</v>
      </c>
      <c r="P1608" s="3">
        <v>0.67499999999999993</v>
      </c>
      <c r="Q1608" s="3">
        <v>0.65338486433029097</v>
      </c>
    </row>
    <row r="1609" spans="1:17" x14ac:dyDescent="0.45">
      <c r="A1609" s="3">
        <v>113672</v>
      </c>
      <c r="B1609" t="b">
        <v>0</v>
      </c>
      <c r="C1609" t="b">
        <v>0</v>
      </c>
      <c r="D1609" s="3">
        <v>1907</v>
      </c>
      <c r="E1609" s="3">
        <v>1963</v>
      </c>
      <c r="F1609" t="s">
        <v>1474</v>
      </c>
      <c r="G1609" t="s">
        <v>1475</v>
      </c>
      <c r="H1609" s="3">
        <v>25.488600000000002</v>
      </c>
      <c r="I1609" t="s">
        <v>14639</v>
      </c>
      <c r="J1609" t="s">
        <v>11986</v>
      </c>
      <c r="L1609" t="s">
        <v>1476</v>
      </c>
      <c r="M1609" t="str">
        <f>"https://www.artic.edu/iiif/2/"&amp;Table9[[#This Row],[Image ID]]&amp;"/full/843,/0/default.jpg"</f>
        <v>https://www.artic.edu/iiif/2/445cbd76-a322-b3a0-0f21-ab89af6d018c/full/843,/0/default.jpg</v>
      </c>
      <c r="N1609" s="3">
        <v>0.72499999999999998</v>
      </c>
      <c r="O1609" s="3">
        <v>0.05</v>
      </c>
      <c r="P1609" s="3">
        <v>0.67499999999999993</v>
      </c>
      <c r="Q1609" s="3">
        <v>0.78584223985671997</v>
      </c>
    </row>
    <row r="1610" spans="1:17" x14ac:dyDescent="0.45">
      <c r="A1610" s="3">
        <v>82045</v>
      </c>
      <c r="B1610" t="b">
        <v>0</v>
      </c>
      <c r="C1610" t="b">
        <v>0</v>
      </c>
      <c r="D1610" s="3">
        <v>1872</v>
      </c>
      <c r="E1610" s="3">
        <v>1913</v>
      </c>
      <c r="F1610" t="s">
        <v>10162</v>
      </c>
      <c r="G1610" t="s">
        <v>10163</v>
      </c>
      <c r="H1610" s="3">
        <v>29.191800000000001</v>
      </c>
      <c r="I1610" t="s">
        <v>592</v>
      </c>
      <c r="J1610" t="s">
        <v>12046</v>
      </c>
      <c r="L1610" t="s">
        <v>10164</v>
      </c>
      <c r="M1610" t="str">
        <f>"https://www.artic.edu/iiif/2/"&amp;Table9[[#This Row],[Image ID]]&amp;"/full/843,/0/default.jpg"</f>
        <v>https://www.artic.edu/iiif/2/4915ab1d-a57d-0a07-b818-fc69846894f7/full/843,/0/default.jpg</v>
      </c>
      <c r="N1610" s="3">
        <v>0.72499999999999998</v>
      </c>
      <c r="O1610" s="3">
        <v>0.05</v>
      </c>
      <c r="P1610" s="3">
        <v>0.67499999999999993</v>
      </c>
      <c r="Q1610" s="3">
        <v>0.83859413862228305</v>
      </c>
    </row>
    <row r="1611" spans="1:17" x14ac:dyDescent="0.45">
      <c r="A1611" s="3">
        <v>72185</v>
      </c>
      <c r="B1611" t="b">
        <v>0</v>
      </c>
      <c r="C1611" t="b">
        <v>0</v>
      </c>
      <c r="D1611" s="3">
        <v>1885</v>
      </c>
      <c r="E1611" s="3">
        <v>1893</v>
      </c>
      <c r="F1611" t="s">
        <v>9539</v>
      </c>
      <c r="G1611" t="s">
        <v>7</v>
      </c>
      <c r="H1611" s="3">
        <v>25.895</v>
      </c>
      <c r="I1611" t="s">
        <v>14637</v>
      </c>
      <c r="J1611" t="s">
        <v>12134</v>
      </c>
      <c r="L1611" t="s">
        <v>9540</v>
      </c>
      <c r="M1611" t="str">
        <f>"https://www.artic.edu/iiif/2/"&amp;Table9[[#This Row],[Image ID]]&amp;"/full/843,/0/default.jpg"</f>
        <v>https://www.artic.edu/iiif/2/4fde5186-dbf9-b794-d6e3-e9c2399e0681/full/843,/0/default.jpg</v>
      </c>
      <c r="N1611" s="3">
        <v>0.72499999999999998</v>
      </c>
      <c r="O1611" s="3">
        <v>0.05</v>
      </c>
      <c r="P1611" s="3">
        <v>0.67499999999999993</v>
      </c>
      <c r="Q1611" s="3">
        <v>0.85645329952239901</v>
      </c>
    </row>
    <row r="1612" spans="1:17" x14ac:dyDescent="0.45">
      <c r="A1612" s="3">
        <v>53632</v>
      </c>
      <c r="B1612" t="b">
        <v>0</v>
      </c>
      <c r="C1612" t="b">
        <v>0</v>
      </c>
      <c r="D1612" s="3">
        <v>1965</v>
      </c>
      <c r="E1612" s="3">
        <v>1965</v>
      </c>
      <c r="F1612" t="s">
        <v>8282</v>
      </c>
      <c r="G1612" t="s">
        <v>8283</v>
      </c>
      <c r="H1612" s="3">
        <v>39.028599999999997</v>
      </c>
      <c r="I1612" t="s">
        <v>2707</v>
      </c>
      <c r="J1612" t="s">
        <v>12165</v>
      </c>
      <c r="L1612" t="s">
        <v>8284</v>
      </c>
      <c r="M1612" t="str">
        <f>"https://www.artic.edu/iiif/2/"&amp;Table9[[#This Row],[Image ID]]&amp;"/full/843,/0/default.jpg"</f>
        <v>https://www.artic.edu/iiif/2/51a5ba71-25fd-4da8-127f-8c75a81f0f5b/full/843,/0/default.jpg</v>
      </c>
      <c r="N1612" s="3">
        <v>0.7</v>
      </c>
      <c r="O1612" s="3">
        <v>2.5000000000000001E-2</v>
      </c>
      <c r="P1612" s="3">
        <v>0.67499999999999993</v>
      </c>
      <c r="Q1612" s="3">
        <v>0.69237267971038796</v>
      </c>
    </row>
    <row r="1613" spans="1:17" x14ac:dyDescent="0.45">
      <c r="A1613" s="3">
        <v>31763</v>
      </c>
      <c r="B1613" t="b">
        <v>0</v>
      </c>
      <c r="C1613" t="b">
        <v>0</v>
      </c>
      <c r="D1613" s="3">
        <v>1909</v>
      </c>
      <c r="E1613" s="3">
        <v>1909</v>
      </c>
      <c r="F1613" t="s">
        <v>7017</v>
      </c>
      <c r="G1613" t="s">
        <v>7018</v>
      </c>
      <c r="H1613" s="3">
        <v>27.438500000000001</v>
      </c>
      <c r="I1613" t="s">
        <v>2194</v>
      </c>
      <c r="J1613" t="s">
        <v>12184</v>
      </c>
      <c r="L1613" t="s">
        <v>7019</v>
      </c>
      <c r="M1613" t="str">
        <f>"https://www.artic.edu/iiif/2/"&amp;Table9[[#This Row],[Image ID]]&amp;"/full/843,/0/default.jpg"</f>
        <v>https://www.artic.edu/iiif/2/5327435b-c61c-3a9e-c16f-20d8cc937db5/full/843,/0/default.jpg</v>
      </c>
      <c r="N1613" s="3">
        <v>0.72499999999999998</v>
      </c>
      <c r="O1613" s="3">
        <v>0.05</v>
      </c>
      <c r="P1613" s="3">
        <v>0.67499999999999993</v>
      </c>
      <c r="Q1613" s="3">
        <v>0.76649743318557695</v>
      </c>
    </row>
    <row r="1614" spans="1:17" x14ac:dyDescent="0.45">
      <c r="A1614" s="3">
        <v>208201</v>
      </c>
      <c r="B1614" t="b">
        <v>0</v>
      </c>
      <c r="C1614" t="b">
        <v>0</v>
      </c>
      <c r="D1614" s="3">
        <v>2011</v>
      </c>
      <c r="E1614" s="3">
        <v>2011</v>
      </c>
      <c r="F1614" t="s">
        <v>11</v>
      </c>
      <c r="G1614" t="s">
        <v>5518</v>
      </c>
      <c r="H1614" s="3">
        <v>4.6886999999999999</v>
      </c>
      <c r="I1614" t="s">
        <v>5519</v>
      </c>
      <c r="J1614" t="s">
        <v>12194</v>
      </c>
      <c r="K1614" s="5" t="s">
        <v>15</v>
      </c>
      <c r="L1614" t="s">
        <v>5520</v>
      </c>
      <c r="M1614" t="str">
        <f>"https://www.artic.edu/iiif/2/"&amp;Table9[[#This Row],[Image ID]]&amp;"/full/843,/0/default.jpg"</f>
        <v>https://www.artic.edu/iiif/2/53b7ca27-1f96-754d-c12c-ea55956cc7be/full/843,/0/default.jpg</v>
      </c>
      <c r="N1614" s="3">
        <v>0.7</v>
      </c>
      <c r="O1614" s="3">
        <v>2.5000000000000001E-2</v>
      </c>
      <c r="P1614" s="3">
        <v>0.67499999999999993</v>
      </c>
      <c r="Q1614" s="3">
        <v>0.87771737575530995</v>
      </c>
    </row>
    <row r="1615" spans="1:17" x14ac:dyDescent="0.45">
      <c r="A1615" s="3">
        <v>185763</v>
      </c>
      <c r="B1615" t="b">
        <v>0</v>
      </c>
      <c r="C1615" t="b">
        <v>0</v>
      </c>
      <c r="D1615" s="3">
        <v>1925</v>
      </c>
      <c r="E1615" s="3">
        <v>1925</v>
      </c>
      <c r="F1615" t="s">
        <v>5004</v>
      </c>
      <c r="G1615" t="s">
        <v>5005</v>
      </c>
      <c r="H1615" s="3">
        <v>46.514000000000003</v>
      </c>
      <c r="I1615" t="s">
        <v>40</v>
      </c>
      <c r="J1615" t="s">
        <v>12236</v>
      </c>
      <c r="L1615" t="s">
        <v>5006</v>
      </c>
      <c r="M1615" t="str">
        <f>"https://www.artic.edu/iiif/2/"&amp;Table9[[#This Row],[Image ID]]&amp;"/full/843,/0/default.jpg"</f>
        <v>https://www.artic.edu/iiif/2/564405dc-d2a1-4c2c-45e1-29e4bdc6752d/full/843,/0/default.jpg</v>
      </c>
      <c r="N1615" s="3">
        <v>0.72499999999999998</v>
      </c>
      <c r="O1615" s="3">
        <v>0.05</v>
      </c>
      <c r="P1615" s="3">
        <v>0.67499999999999993</v>
      </c>
      <c r="Q1615" s="3">
        <v>0.89209979772567705</v>
      </c>
    </row>
    <row r="1616" spans="1:17" x14ac:dyDescent="0.45">
      <c r="A1616" s="3">
        <v>146986</v>
      </c>
      <c r="B1616" t="b">
        <v>0</v>
      </c>
      <c r="C1616" t="b">
        <v>0</v>
      </c>
      <c r="D1616" s="3">
        <v>1944</v>
      </c>
      <c r="E1616" s="3">
        <v>1944</v>
      </c>
      <c r="F1616" t="s">
        <v>3544</v>
      </c>
      <c r="G1616" t="s">
        <v>7</v>
      </c>
      <c r="H1616" s="3">
        <v>48.845199999999998</v>
      </c>
      <c r="I1616" t="s">
        <v>612</v>
      </c>
      <c r="J1616" t="s">
        <v>12245</v>
      </c>
      <c r="L1616" t="s">
        <v>3545</v>
      </c>
      <c r="M1616" t="str">
        <f>"https://www.artic.edu/iiif/2/"&amp;Table9[[#This Row],[Image ID]]&amp;"/full/843,/0/default.jpg"</f>
        <v>https://www.artic.edu/iiif/2/569bedab-41e2-2165-b0dd-d85f2064e0f7/full/843,/0/default.jpg</v>
      </c>
      <c r="N1616" s="3">
        <v>0.7</v>
      </c>
      <c r="O1616" s="3">
        <v>2.5000000000000001E-2</v>
      </c>
      <c r="P1616" s="3">
        <v>0.67499999999999993</v>
      </c>
      <c r="Q1616" s="3">
        <v>0.81615304946899403</v>
      </c>
    </row>
    <row r="1617" spans="1:17" x14ac:dyDescent="0.45">
      <c r="A1617" s="3">
        <v>50533</v>
      </c>
      <c r="B1617" t="b">
        <v>0</v>
      </c>
      <c r="C1617" t="b">
        <v>0</v>
      </c>
      <c r="D1617" s="3">
        <v>1943</v>
      </c>
      <c r="E1617" s="3">
        <v>1943</v>
      </c>
      <c r="F1617" t="s">
        <v>8113</v>
      </c>
      <c r="G1617" t="s">
        <v>8114</v>
      </c>
      <c r="H1617" s="3">
        <v>27.2819</v>
      </c>
      <c r="I1617" t="s">
        <v>8115</v>
      </c>
      <c r="J1617" t="s">
        <v>12304</v>
      </c>
      <c r="L1617" t="s">
        <v>8116</v>
      </c>
      <c r="M1617" t="str">
        <f>"https://www.artic.edu/iiif/2/"&amp;Table9[[#This Row],[Image ID]]&amp;"/full/843,/0/default.jpg"</f>
        <v>https://www.artic.edu/iiif/2/5ae59acc-9e98-654e-f9b8-f77052b527aa/full/843,/0/default.jpg</v>
      </c>
      <c r="N1617" s="3">
        <v>0.72499999999999998</v>
      </c>
      <c r="O1617" s="3">
        <v>0.05</v>
      </c>
      <c r="P1617" s="3">
        <v>0.67499999999999993</v>
      </c>
      <c r="Q1617" s="3">
        <v>0.85610210895538297</v>
      </c>
    </row>
    <row r="1618" spans="1:17" x14ac:dyDescent="0.45">
      <c r="A1618" s="3">
        <v>184891</v>
      </c>
      <c r="B1618" t="b">
        <v>0</v>
      </c>
      <c r="C1618" t="b">
        <v>0</v>
      </c>
      <c r="D1618" s="3">
        <v>2003</v>
      </c>
      <c r="E1618" s="3">
        <v>2003</v>
      </c>
      <c r="F1618" t="s">
        <v>4876</v>
      </c>
      <c r="G1618" t="s">
        <v>4823</v>
      </c>
      <c r="H1618" s="3">
        <v>9.2285000000000004</v>
      </c>
      <c r="I1618" t="s">
        <v>293</v>
      </c>
      <c r="J1618" t="s">
        <v>10977</v>
      </c>
      <c r="K1618" s="5" t="s">
        <v>15</v>
      </c>
      <c r="L1618" t="s">
        <v>4877</v>
      </c>
      <c r="M1618" t="str">
        <f>"https://www.artic.edu/iiif/2/"&amp;Table9[[#This Row],[Image ID]]&amp;"/full/843,/0/default.jpg"</f>
        <v>https://www.artic.edu/iiif/2/5e95590a-9c6c-156c-064b-249ee4d49cb0/full/843,/0/default.jpg</v>
      </c>
      <c r="N1618" s="3">
        <v>0.72499999999999998</v>
      </c>
      <c r="O1618" s="3">
        <v>0.05</v>
      </c>
      <c r="P1618" s="3">
        <v>0.67499999999999993</v>
      </c>
      <c r="Q1618" s="3">
        <v>0.79903531074523904</v>
      </c>
    </row>
    <row r="1619" spans="1:17" x14ac:dyDescent="0.45">
      <c r="A1619" s="3">
        <v>28881</v>
      </c>
      <c r="B1619" t="b">
        <v>0</v>
      </c>
      <c r="C1619" t="b">
        <v>0</v>
      </c>
      <c r="D1619" s="3">
        <v>1911</v>
      </c>
      <c r="E1619" s="3">
        <v>1911</v>
      </c>
      <c r="F1619" t="s">
        <v>6840</v>
      </c>
      <c r="G1619" t="s">
        <v>75</v>
      </c>
      <c r="H1619" s="3">
        <v>45.741700000000002</v>
      </c>
      <c r="I1619" t="s">
        <v>5027</v>
      </c>
      <c r="J1619" t="s">
        <v>12403</v>
      </c>
      <c r="K1619" s="5" t="s">
        <v>45</v>
      </c>
      <c r="L1619" t="s">
        <v>6841</v>
      </c>
      <c r="M1619" t="str">
        <f>"https://www.artic.edu/iiif/2/"&amp;Table9[[#This Row],[Image ID]]&amp;"/full/843,/0/default.jpg"</f>
        <v>https://www.artic.edu/iiif/2/62156c9a-2bb6-b533-7cc2-d116c1531e9a/full/843,/0/default.jpg</v>
      </c>
      <c r="N1619" s="3">
        <v>0.72499999999999998</v>
      </c>
      <c r="O1619" s="3">
        <v>0.05</v>
      </c>
      <c r="P1619" s="3">
        <v>0.67499999999999993</v>
      </c>
      <c r="Q1619" s="3">
        <v>0.82551139593124301</v>
      </c>
    </row>
    <row r="1620" spans="1:17" x14ac:dyDescent="0.45">
      <c r="A1620" s="3">
        <v>18579</v>
      </c>
      <c r="B1620" t="b">
        <v>0</v>
      </c>
      <c r="C1620" t="b">
        <v>0</v>
      </c>
      <c r="D1620" s="3">
        <v>1933</v>
      </c>
      <c r="E1620" s="3">
        <v>1933</v>
      </c>
      <c r="F1620" t="s">
        <v>2783</v>
      </c>
      <c r="G1620" t="s">
        <v>5029</v>
      </c>
      <c r="H1620" s="3">
        <v>41.979300000000002</v>
      </c>
      <c r="I1620" t="s">
        <v>2647</v>
      </c>
      <c r="J1620" t="s">
        <v>12550</v>
      </c>
      <c r="L1620" t="s">
        <v>5030</v>
      </c>
      <c r="M1620" t="str">
        <f>"https://www.artic.edu/iiif/2/"&amp;Table9[[#This Row],[Image ID]]&amp;"/full/843,/0/default.jpg"</f>
        <v>https://www.artic.edu/iiif/2/6c046e7f-614b-0060-2e7b-e12779ae48b6/full/843,/0/default.jpg</v>
      </c>
      <c r="N1620" s="3">
        <v>0.72499999999999998</v>
      </c>
      <c r="O1620" s="3">
        <v>0.05</v>
      </c>
      <c r="P1620" s="3">
        <v>0.67499999999999993</v>
      </c>
      <c r="Q1620" s="3">
        <v>0.71536159515380804</v>
      </c>
    </row>
    <row r="1621" spans="1:17" x14ac:dyDescent="0.45">
      <c r="A1621" s="3">
        <v>129145</v>
      </c>
      <c r="B1621" t="b">
        <v>0</v>
      </c>
      <c r="C1621" t="b">
        <v>0</v>
      </c>
      <c r="D1621" s="3">
        <v>1944</v>
      </c>
      <c r="E1621" s="3">
        <v>1944</v>
      </c>
      <c r="F1621" t="s">
        <v>11</v>
      </c>
      <c r="G1621" t="s">
        <v>2857</v>
      </c>
      <c r="H1621" s="3">
        <v>50.574399999999997</v>
      </c>
      <c r="I1621" t="s">
        <v>14549</v>
      </c>
      <c r="J1621" t="s">
        <v>11294</v>
      </c>
      <c r="L1621" t="s">
        <v>2867</v>
      </c>
      <c r="M1621" t="str">
        <f>"https://www.artic.edu/iiif/2/"&amp;Table9[[#This Row],[Image ID]]&amp;"/full/843,/0/default.jpg"</f>
        <v>https://www.artic.edu/iiif/2/767db750-2abc-0cb4-57ff-46cd55a434b7/full/843,/0/default.jpg</v>
      </c>
      <c r="N1621" s="3">
        <v>0.72499999999999998</v>
      </c>
      <c r="O1621" s="3">
        <v>0.05</v>
      </c>
      <c r="P1621" s="3">
        <v>0.67499999999999993</v>
      </c>
      <c r="Q1621" s="3">
        <v>0.74381697177886896</v>
      </c>
    </row>
    <row r="1622" spans="1:17" x14ac:dyDescent="0.45">
      <c r="A1622" s="3">
        <v>83913</v>
      </c>
      <c r="B1622" t="b">
        <v>0</v>
      </c>
      <c r="C1622" t="b">
        <v>0</v>
      </c>
      <c r="D1622" s="3">
        <v>1955</v>
      </c>
      <c r="E1622" s="3">
        <v>1955</v>
      </c>
      <c r="F1622" t="s">
        <v>10240</v>
      </c>
      <c r="G1622" t="s">
        <v>75</v>
      </c>
      <c r="H1622" s="3">
        <v>0</v>
      </c>
      <c r="I1622" t="s">
        <v>765</v>
      </c>
      <c r="J1622" t="s">
        <v>12705</v>
      </c>
      <c r="L1622" t="s">
        <v>10241</v>
      </c>
      <c r="M1622" t="str">
        <f>"https://www.artic.edu/iiif/2/"&amp;Table9[[#This Row],[Image ID]]&amp;"/full/843,/0/default.jpg"</f>
        <v>https://www.artic.edu/iiif/2/774ee859-50d5-c409-ae4d-91cca87785b8/full/843,/0/default.jpg</v>
      </c>
      <c r="N1622" s="3">
        <v>0.72499999999999998</v>
      </c>
      <c r="O1622" s="3">
        <v>0.05</v>
      </c>
      <c r="P1622" s="3">
        <v>0.67499999999999993</v>
      </c>
      <c r="Q1622" s="3">
        <v>0.63478809595107999</v>
      </c>
    </row>
    <row r="1623" spans="1:17" x14ac:dyDescent="0.45">
      <c r="A1623" s="3">
        <v>159631</v>
      </c>
      <c r="B1623" t="b">
        <v>0</v>
      </c>
      <c r="C1623" t="b">
        <v>0</v>
      </c>
      <c r="D1623" s="3">
        <v>1917</v>
      </c>
      <c r="E1623" s="3">
        <v>1917</v>
      </c>
      <c r="F1623" t="s">
        <v>4204</v>
      </c>
      <c r="G1623" t="s">
        <v>4205</v>
      </c>
      <c r="H1623" s="3">
        <v>22.275500000000001</v>
      </c>
      <c r="I1623" t="s">
        <v>133</v>
      </c>
      <c r="J1623" t="s">
        <v>12706</v>
      </c>
      <c r="K1623" s="5" t="s">
        <v>134</v>
      </c>
      <c r="L1623" t="s">
        <v>4206</v>
      </c>
      <c r="M1623" t="str">
        <f>"https://www.artic.edu/iiif/2/"&amp;Table9[[#This Row],[Image ID]]&amp;"/full/843,/0/default.jpg"</f>
        <v>https://www.artic.edu/iiif/2/77965c62-3bf9-349e-7441-e4eebcb69db8/full/843,/0/default.jpg</v>
      </c>
      <c r="N1623" s="3">
        <v>0.72499999999999998</v>
      </c>
      <c r="O1623" s="3">
        <v>0.05</v>
      </c>
      <c r="P1623" s="3">
        <v>0.67499999999999993</v>
      </c>
      <c r="Q1623" s="3">
        <v>0.86598795652389504</v>
      </c>
    </row>
    <row r="1624" spans="1:17" x14ac:dyDescent="0.45">
      <c r="A1624" s="3">
        <v>14727</v>
      </c>
      <c r="B1624" t="b">
        <v>0</v>
      </c>
      <c r="C1624" t="b">
        <v>0</v>
      </c>
      <c r="D1624" s="3">
        <v>1911</v>
      </c>
      <c r="E1624" s="3">
        <v>1926</v>
      </c>
      <c r="F1624" t="s">
        <v>3596</v>
      </c>
      <c r="G1624" t="s">
        <v>3597</v>
      </c>
      <c r="H1624" s="3">
        <v>24.690899999999999</v>
      </c>
      <c r="I1624" t="s">
        <v>3598</v>
      </c>
      <c r="J1624" t="s">
        <v>12783</v>
      </c>
      <c r="L1624" t="s">
        <v>3599</v>
      </c>
      <c r="M1624" t="str">
        <f>"https://www.artic.edu/iiif/2/"&amp;Table9[[#This Row],[Image ID]]&amp;"/full/843,/0/default.jpg"</f>
        <v>https://www.artic.edu/iiif/2/7db38689-4d7d-c21a-6a62-f32bb6105156/full/843,/0/default.jpg</v>
      </c>
      <c r="N1624" s="3">
        <v>0.72499999999999998</v>
      </c>
      <c r="O1624" s="3">
        <v>0.05</v>
      </c>
      <c r="P1624" s="3">
        <v>0.67499999999999993</v>
      </c>
      <c r="Q1624" s="3">
        <v>0.68579626083374001</v>
      </c>
    </row>
    <row r="1625" spans="1:17" x14ac:dyDescent="0.45">
      <c r="A1625" s="3">
        <v>68705</v>
      </c>
      <c r="B1625" t="b">
        <v>0</v>
      </c>
      <c r="C1625" t="b">
        <v>0</v>
      </c>
      <c r="D1625" s="3">
        <v>1912</v>
      </c>
      <c r="E1625" s="3">
        <v>1912</v>
      </c>
      <c r="F1625" t="s">
        <v>9364</v>
      </c>
      <c r="G1625" t="s">
        <v>7</v>
      </c>
      <c r="H1625" s="3">
        <v>16.5687</v>
      </c>
      <c r="I1625" t="s">
        <v>3468</v>
      </c>
      <c r="J1625" t="s">
        <v>12842</v>
      </c>
      <c r="K1625" s="5" t="s">
        <v>9</v>
      </c>
      <c r="L1625" t="s">
        <v>9365</v>
      </c>
      <c r="M1625" t="str">
        <f>"https://www.artic.edu/iiif/2/"&amp;Table9[[#This Row],[Image ID]]&amp;"/full/843,/0/default.jpg"</f>
        <v>https://www.artic.edu/iiif/2/81948a1a-a415-1073-9051-685e011f8d9e/full/843,/0/default.jpg</v>
      </c>
      <c r="N1625" s="3">
        <v>0.72499999999999998</v>
      </c>
      <c r="O1625" s="3">
        <v>0.05</v>
      </c>
      <c r="P1625" s="3">
        <v>0.67499999999999993</v>
      </c>
      <c r="Q1625" s="3">
        <v>0.67415994405746404</v>
      </c>
    </row>
    <row r="1626" spans="1:17" x14ac:dyDescent="0.45">
      <c r="A1626" s="3">
        <v>111281</v>
      </c>
      <c r="B1626" t="b">
        <v>0</v>
      </c>
      <c r="C1626" t="b">
        <v>0</v>
      </c>
      <c r="F1626" t="s">
        <v>1051</v>
      </c>
      <c r="G1626" t="s">
        <v>1052</v>
      </c>
      <c r="H1626" s="3">
        <v>27.189900000000002</v>
      </c>
      <c r="I1626" t="s">
        <v>1053</v>
      </c>
      <c r="J1626" t="s">
        <v>1055</v>
      </c>
      <c r="L1626" t="s">
        <v>1054</v>
      </c>
      <c r="M1626" t="str">
        <f>"https://www.artic.edu/iiif/2/"&amp;Table9[[#This Row],[Image ID]]&amp;"/full/843,/0/default.jpg"</f>
        <v>https://www.artic.edu/iiif/2/859934c0-4b8f-7a9e-0b33-8e2485c26ddb/full/843,/0/default.jpg</v>
      </c>
      <c r="N1626" s="3">
        <v>0.7</v>
      </c>
      <c r="O1626" s="3">
        <v>2.5000000000000001E-2</v>
      </c>
      <c r="P1626" s="3">
        <v>0.67499999999999993</v>
      </c>
      <c r="Q1626" s="3">
        <v>0.79156583547592096</v>
      </c>
    </row>
    <row r="1627" spans="1:17" x14ac:dyDescent="0.45">
      <c r="A1627" s="3">
        <v>200681</v>
      </c>
      <c r="B1627" t="b">
        <v>0</v>
      </c>
      <c r="C1627" t="b">
        <v>0</v>
      </c>
      <c r="D1627" s="3">
        <v>1910</v>
      </c>
      <c r="E1627" s="3">
        <v>1920</v>
      </c>
      <c r="F1627" t="s">
        <v>1397</v>
      </c>
      <c r="G1627" t="s">
        <v>2611</v>
      </c>
      <c r="H1627" s="3">
        <v>36.332099999999997</v>
      </c>
      <c r="I1627" t="s">
        <v>5327</v>
      </c>
      <c r="J1627" t="s">
        <v>12908</v>
      </c>
      <c r="L1627" t="s">
        <v>5328</v>
      </c>
      <c r="M1627" t="str">
        <f>"https://www.artic.edu/iiif/2/"&amp;Table9[[#This Row],[Image ID]]&amp;"/full/843,/0/default.jpg"</f>
        <v>https://www.artic.edu/iiif/2/863f16ab-0f51-4b43-127e-f4e95887307d/full/843,/0/default.jpg</v>
      </c>
      <c r="N1627" s="3">
        <v>0.72499999999999998</v>
      </c>
      <c r="O1627" s="3">
        <v>0.05</v>
      </c>
      <c r="P1627" s="3">
        <v>0.67499999999999993</v>
      </c>
      <c r="Q1627" s="3">
        <v>0.68451088666915805</v>
      </c>
    </row>
    <row r="1628" spans="1:17" x14ac:dyDescent="0.45">
      <c r="A1628" s="3">
        <v>209925</v>
      </c>
      <c r="B1628" t="b">
        <v>0</v>
      </c>
      <c r="C1628" t="b">
        <v>0</v>
      </c>
      <c r="D1628" s="3">
        <v>1968</v>
      </c>
      <c r="E1628" s="3">
        <v>1968</v>
      </c>
      <c r="F1628" t="s">
        <v>5544</v>
      </c>
      <c r="G1628" t="s">
        <v>5545</v>
      </c>
      <c r="H1628" s="3">
        <v>56.181399999999996</v>
      </c>
      <c r="I1628" t="s">
        <v>5546</v>
      </c>
      <c r="J1628" t="s">
        <v>12943</v>
      </c>
      <c r="L1628" t="s">
        <v>5547</v>
      </c>
      <c r="M1628" t="str">
        <f>"https://www.artic.edu/iiif/2/"&amp;Table9[[#This Row],[Image ID]]&amp;"/full/843,/0/default.jpg"</f>
        <v>https://www.artic.edu/iiif/2/8a0b8ff3-f249-2623-e471-4e45b273f78e/full/843,/0/default.jpg</v>
      </c>
      <c r="N1628" s="3">
        <v>0.72499999999999998</v>
      </c>
      <c r="O1628" s="3">
        <v>0.05</v>
      </c>
      <c r="P1628" s="3">
        <v>0.67499999999999993</v>
      </c>
      <c r="Q1628" s="3">
        <v>0.66507303714752197</v>
      </c>
    </row>
    <row r="1629" spans="1:17" x14ac:dyDescent="0.45">
      <c r="A1629" s="3">
        <v>184852</v>
      </c>
      <c r="B1629" t="b">
        <v>0</v>
      </c>
      <c r="C1629" t="b">
        <v>0</v>
      </c>
      <c r="D1629" s="3">
        <v>2003</v>
      </c>
      <c r="E1629" s="3">
        <v>2003</v>
      </c>
      <c r="F1629" t="s">
        <v>4853</v>
      </c>
      <c r="G1629" t="s">
        <v>4823</v>
      </c>
      <c r="H1629" s="3">
        <v>6.8390000000000004</v>
      </c>
      <c r="I1629" t="s">
        <v>293</v>
      </c>
      <c r="J1629" t="s">
        <v>10977</v>
      </c>
      <c r="K1629" s="5" t="s">
        <v>15</v>
      </c>
      <c r="L1629" t="s">
        <v>4854</v>
      </c>
      <c r="M1629" t="str">
        <f>"https://www.artic.edu/iiif/2/"&amp;Table9[[#This Row],[Image ID]]&amp;"/full/843,/0/default.jpg"</f>
        <v>https://www.artic.edu/iiif/2/8dd7fa3b-9f65-fe77-e793-3d2fb2e6436c/full/843,/0/default.jpg</v>
      </c>
      <c r="N1629" s="3">
        <v>0.7</v>
      </c>
      <c r="O1629" s="3">
        <v>2.5000000000000001E-2</v>
      </c>
      <c r="P1629" s="3">
        <v>0.67499999999999993</v>
      </c>
      <c r="Q1629" s="3">
        <v>0.87697273492813099</v>
      </c>
    </row>
    <row r="1630" spans="1:17" x14ac:dyDescent="0.45">
      <c r="A1630" s="3">
        <v>94016</v>
      </c>
      <c r="B1630" t="b">
        <v>0</v>
      </c>
      <c r="C1630" t="b">
        <v>0</v>
      </c>
      <c r="D1630" s="3">
        <v>1960</v>
      </c>
      <c r="E1630" s="3">
        <v>1960</v>
      </c>
      <c r="F1630" t="s">
        <v>10682</v>
      </c>
      <c r="G1630" t="s">
        <v>10683</v>
      </c>
      <c r="H1630" s="3">
        <v>42.874600000000001</v>
      </c>
      <c r="I1630" t="s">
        <v>378</v>
      </c>
      <c r="J1630" t="s">
        <v>13032</v>
      </c>
      <c r="L1630" t="s">
        <v>10684</v>
      </c>
      <c r="M1630" t="str">
        <f>"https://www.artic.edu/iiif/2/"&amp;Table9[[#This Row],[Image ID]]&amp;"/full/843,/0/default.jpg"</f>
        <v>https://www.artic.edu/iiif/2/909c1097-69cc-489b-e3ad-24bc1addd347/full/843,/0/default.jpg</v>
      </c>
      <c r="N1630" s="3">
        <v>0.72499999999999998</v>
      </c>
      <c r="O1630" s="3">
        <v>0.05</v>
      </c>
      <c r="P1630" s="3">
        <v>0.67499999999999993</v>
      </c>
      <c r="Q1630" s="3">
        <v>0.64561069011688199</v>
      </c>
    </row>
    <row r="1631" spans="1:17" x14ac:dyDescent="0.45">
      <c r="A1631" s="3">
        <v>51797</v>
      </c>
      <c r="B1631" t="b">
        <v>0</v>
      </c>
      <c r="C1631" t="b">
        <v>0</v>
      </c>
      <c r="D1631" s="3">
        <v>1961</v>
      </c>
      <c r="E1631" s="3">
        <v>1961</v>
      </c>
      <c r="F1631" t="s">
        <v>8174</v>
      </c>
      <c r="G1631" t="s">
        <v>2625</v>
      </c>
      <c r="H1631" s="3">
        <v>43.560200000000002</v>
      </c>
      <c r="I1631" t="s">
        <v>3503</v>
      </c>
      <c r="J1631" t="s">
        <v>13049</v>
      </c>
      <c r="L1631" t="s">
        <v>8175</v>
      </c>
      <c r="M1631" t="str">
        <f>"https://www.artic.edu/iiif/2/"&amp;Table9[[#This Row],[Image ID]]&amp;"/full/843,/0/default.jpg"</f>
        <v>https://www.artic.edu/iiif/2/921038c5-e638-c607-07ed-3b0ebcc4cf90/full/843,/0/default.jpg</v>
      </c>
      <c r="N1631" s="3">
        <v>0.7</v>
      </c>
      <c r="O1631" s="3">
        <v>2.5000000000000001E-2</v>
      </c>
      <c r="P1631" s="3">
        <v>0.67499999999999993</v>
      </c>
      <c r="Q1631" s="3">
        <v>0.64045804738998402</v>
      </c>
    </row>
    <row r="1632" spans="1:17" x14ac:dyDescent="0.45">
      <c r="A1632" s="3">
        <v>236503</v>
      </c>
      <c r="B1632" t="b">
        <v>0</v>
      </c>
      <c r="C1632" t="b">
        <v>0</v>
      </c>
      <c r="D1632" s="3">
        <v>1966</v>
      </c>
      <c r="E1632" s="3">
        <v>1966</v>
      </c>
      <c r="F1632" t="s">
        <v>11</v>
      </c>
      <c r="G1632" t="s">
        <v>6273</v>
      </c>
      <c r="H1632" s="3">
        <v>99.923599999999993</v>
      </c>
      <c r="I1632" t="s">
        <v>4121</v>
      </c>
      <c r="J1632" t="s">
        <v>12487</v>
      </c>
      <c r="L1632" t="s">
        <v>6274</v>
      </c>
      <c r="M1632" t="str">
        <f>"https://www.artic.edu/iiif/2/"&amp;Table9[[#This Row],[Image ID]]&amp;"/full/843,/0/default.jpg"</f>
        <v>https://www.artic.edu/iiif/2/98b54959-1820-a972-5a08-b1330ea7a61a/full/843,/0/default.jpg</v>
      </c>
      <c r="N1632" s="3">
        <v>0.72499999999999998</v>
      </c>
      <c r="O1632" s="3">
        <v>0.05</v>
      </c>
      <c r="P1632" s="3">
        <v>0.67499999999999993</v>
      </c>
      <c r="Q1632" s="3">
        <v>0.88941687345504705</v>
      </c>
    </row>
    <row r="1633" spans="1:17" x14ac:dyDescent="0.45">
      <c r="A1633" s="3">
        <v>15269</v>
      </c>
      <c r="B1633" t="b">
        <v>0</v>
      </c>
      <c r="C1633" t="b">
        <v>0</v>
      </c>
      <c r="D1633" s="3">
        <v>1500</v>
      </c>
      <c r="E1633" s="3">
        <v>1525</v>
      </c>
      <c r="F1633" t="s">
        <v>2706</v>
      </c>
      <c r="G1633" t="s">
        <v>75</v>
      </c>
      <c r="H1633" s="3">
        <v>0</v>
      </c>
      <c r="J1633" t="s">
        <v>13225</v>
      </c>
      <c r="L1633" t="s">
        <v>3899</v>
      </c>
      <c r="M1633" t="str">
        <f>"https://www.artic.edu/iiif/2/"&amp;Table9[[#This Row],[Image ID]]&amp;"/full/843,/0/default.jpg"</f>
        <v>https://www.artic.edu/iiif/2/9f8996d3-a928-c916-7802-93bf4da74f69/full/843,/0/default.jpg</v>
      </c>
      <c r="N1633" s="3">
        <v>0.7</v>
      </c>
      <c r="O1633" s="3">
        <v>2.5000000000000001E-2</v>
      </c>
      <c r="P1633" s="3">
        <v>0.67499999999999993</v>
      </c>
      <c r="Q1633" s="3">
        <v>0.78425574302673295</v>
      </c>
    </row>
    <row r="1634" spans="1:17" x14ac:dyDescent="0.45">
      <c r="A1634" s="3">
        <v>225747</v>
      </c>
      <c r="B1634" t="b">
        <v>0</v>
      </c>
      <c r="C1634" t="b">
        <v>0</v>
      </c>
      <c r="D1634" s="3">
        <v>1959</v>
      </c>
      <c r="E1634" s="3">
        <v>1959</v>
      </c>
      <c r="F1634" t="s">
        <v>5954</v>
      </c>
      <c r="G1634" t="s">
        <v>5917</v>
      </c>
      <c r="H1634" s="3">
        <v>42.892600000000002</v>
      </c>
      <c r="I1634" t="s">
        <v>5918</v>
      </c>
      <c r="J1634" t="s">
        <v>11203</v>
      </c>
      <c r="L1634" t="s">
        <v>5955</v>
      </c>
      <c r="M1634" t="str">
        <f>"https://www.artic.edu/iiif/2/"&amp;Table9[[#This Row],[Image ID]]&amp;"/full/843,/0/default.jpg"</f>
        <v>https://www.artic.edu/iiif/2/ae1a2735-b284-3393-6da9-bf82f3cf72fb/full/843,/0/default.jpg</v>
      </c>
      <c r="N1634" s="3">
        <v>0.82499999999999996</v>
      </c>
      <c r="O1634" s="3">
        <v>0.15</v>
      </c>
      <c r="P1634" s="3">
        <v>0.67499999999999993</v>
      </c>
      <c r="Q1634" s="3">
        <v>0.83522558212280196</v>
      </c>
    </row>
    <row r="1635" spans="1:17" x14ac:dyDescent="0.45">
      <c r="A1635" s="3">
        <v>71573</v>
      </c>
      <c r="B1635" t="b">
        <v>0</v>
      </c>
      <c r="C1635" t="b">
        <v>0</v>
      </c>
      <c r="D1635" s="3">
        <v>1915</v>
      </c>
      <c r="E1635" s="3">
        <v>1915</v>
      </c>
      <c r="F1635" t="s">
        <v>9517</v>
      </c>
      <c r="G1635" t="s">
        <v>7</v>
      </c>
      <c r="H1635" s="3">
        <v>34.094099999999997</v>
      </c>
      <c r="I1635" t="s">
        <v>9518</v>
      </c>
      <c r="J1635" t="s">
        <v>13436</v>
      </c>
      <c r="K1635" s="5" t="s">
        <v>9</v>
      </c>
      <c r="L1635" t="s">
        <v>9519</v>
      </c>
      <c r="M1635" t="str">
        <f>"https://www.artic.edu/iiif/2/"&amp;Table9[[#This Row],[Image ID]]&amp;"/full/843,/0/default.jpg"</f>
        <v>https://www.artic.edu/iiif/2/af39af38-895d-a374-5ebd-b9089196bf31/full/843,/0/default.jpg</v>
      </c>
      <c r="N1635" s="3">
        <v>0.72499999999999998</v>
      </c>
      <c r="O1635" s="3">
        <v>0.05</v>
      </c>
      <c r="P1635" s="3">
        <v>0.67499999999999993</v>
      </c>
      <c r="Q1635" s="3">
        <v>0.83882123231887795</v>
      </c>
    </row>
    <row r="1636" spans="1:17" x14ac:dyDescent="0.45">
      <c r="A1636" s="3">
        <v>124750</v>
      </c>
      <c r="B1636" t="b">
        <v>0</v>
      </c>
      <c r="C1636" t="b">
        <v>0</v>
      </c>
      <c r="D1636" s="3">
        <v>1976</v>
      </c>
      <c r="E1636" s="3">
        <v>1976</v>
      </c>
      <c r="F1636" t="s">
        <v>2738</v>
      </c>
      <c r="G1636" t="s">
        <v>2072</v>
      </c>
      <c r="H1636" s="3">
        <v>53.180199999999999</v>
      </c>
      <c r="I1636" t="s">
        <v>2739</v>
      </c>
      <c r="J1636" t="s">
        <v>13450</v>
      </c>
      <c r="L1636" t="s">
        <v>2740</v>
      </c>
      <c r="M1636" t="str">
        <f>"https://www.artic.edu/iiif/2/"&amp;Table9[[#This Row],[Image ID]]&amp;"/full/843,/0/default.jpg"</f>
        <v>https://www.artic.edu/iiif/2/afe7dafb-90d2-a532-294b-a75d4d5831de/full/843,/0/default.jpg</v>
      </c>
      <c r="N1636" s="3">
        <v>0.72499999999999998</v>
      </c>
      <c r="O1636" s="3">
        <v>0.05</v>
      </c>
      <c r="P1636" s="3">
        <v>0.67499999999999993</v>
      </c>
      <c r="Q1636" s="3">
        <v>0.77857029438018799</v>
      </c>
    </row>
    <row r="1637" spans="1:17" x14ac:dyDescent="0.45">
      <c r="A1637" s="3">
        <v>181308</v>
      </c>
      <c r="B1637" t="b">
        <v>0</v>
      </c>
      <c r="C1637" t="b">
        <v>0</v>
      </c>
      <c r="D1637" s="3">
        <v>2003</v>
      </c>
      <c r="E1637" s="3">
        <v>2003</v>
      </c>
      <c r="F1637" t="s">
        <v>4715</v>
      </c>
      <c r="G1637" t="s">
        <v>4716</v>
      </c>
      <c r="H1637" s="3">
        <v>21.583100000000002</v>
      </c>
      <c r="I1637" t="s">
        <v>4148</v>
      </c>
      <c r="J1637" t="s">
        <v>13549</v>
      </c>
      <c r="K1637" s="5" t="s">
        <v>15</v>
      </c>
      <c r="L1637" t="s">
        <v>4717</v>
      </c>
      <c r="M1637" t="str">
        <f>"https://www.artic.edu/iiif/2/"&amp;Table9[[#This Row],[Image ID]]&amp;"/full/843,/0/default.jpg"</f>
        <v>https://www.artic.edu/iiif/2/b7f78d7c-c99a-0ade-d619-fbbf3db7f190/full/843,/0/default.jpg</v>
      </c>
      <c r="N1637" s="3">
        <v>0.72499999999999998</v>
      </c>
      <c r="O1637" s="3">
        <v>0.05</v>
      </c>
      <c r="P1637" s="3">
        <v>0.67499999999999993</v>
      </c>
      <c r="Q1637" s="3">
        <v>0.84347772598266602</v>
      </c>
    </row>
    <row r="1638" spans="1:17" x14ac:dyDescent="0.45">
      <c r="A1638" s="3">
        <v>87533</v>
      </c>
      <c r="B1638" t="b">
        <v>0</v>
      </c>
      <c r="C1638" t="b">
        <v>0</v>
      </c>
      <c r="D1638" s="3">
        <v>1872</v>
      </c>
      <c r="E1638" s="3">
        <v>1919</v>
      </c>
      <c r="F1638" t="s">
        <v>5057</v>
      </c>
      <c r="G1638" t="s">
        <v>10391</v>
      </c>
      <c r="H1638" s="3">
        <v>27.3797</v>
      </c>
      <c r="I1638" t="s">
        <v>558</v>
      </c>
      <c r="J1638" t="s">
        <v>13554</v>
      </c>
      <c r="L1638" t="s">
        <v>10392</v>
      </c>
      <c r="M1638" t="str">
        <f>"https://www.artic.edu/iiif/2/"&amp;Table9[[#This Row],[Image ID]]&amp;"/full/843,/0/default.jpg"</f>
        <v>https://www.artic.edu/iiif/2/b8f0d60c-3ac3-5328-9531-c37e2ecb1479/full/843,/0/default.jpg</v>
      </c>
      <c r="N1638" s="3">
        <v>0.7</v>
      </c>
      <c r="O1638" s="3">
        <v>2.5000000000000001E-2</v>
      </c>
      <c r="P1638" s="3">
        <v>0.67499999999999993</v>
      </c>
      <c r="Q1638" s="3">
        <v>0.65262752771377497</v>
      </c>
    </row>
    <row r="1639" spans="1:17" x14ac:dyDescent="0.45">
      <c r="A1639" s="3">
        <v>74821</v>
      </c>
      <c r="B1639" t="b">
        <v>0</v>
      </c>
      <c r="C1639" t="b">
        <v>0</v>
      </c>
      <c r="D1639" s="3">
        <v>1950</v>
      </c>
      <c r="E1639" s="3">
        <v>1950</v>
      </c>
      <c r="F1639" t="s">
        <v>9705</v>
      </c>
      <c r="G1639" t="s">
        <v>2787</v>
      </c>
      <c r="H1639" s="3">
        <v>22.136500000000002</v>
      </c>
      <c r="I1639" t="s">
        <v>9706</v>
      </c>
      <c r="J1639" t="s">
        <v>6323</v>
      </c>
      <c r="K1639" s="5" t="s">
        <v>45</v>
      </c>
      <c r="L1639" t="s">
        <v>9707</v>
      </c>
      <c r="M1639" t="str">
        <f>"https://www.artic.edu/iiif/2/"&amp;Table9[[#This Row],[Image ID]]&amp;"/full/843,/0/default.jpg"</f>
        <v>https://www.artic.edu/iiif/2/b8fe5b42-fd02-51a7-8b36-7ac83de092ca/full/843,/0/default.jpg</v>
      </c>
      <c r="N1639" s="3">
        <v>0.72499999999999998</v>
      </c>
      <c r="O1639" s="3">
        <v>0.05</v>
      </c>
      <c r="P1639" s="3">
        <v>0.67499999999999993</v>
      </c>
      <c r="Q1639" s="3">
        <v>0.66945749521255404</v>
      </c>
    </row>
    <row r="1640" spans="1:17" x14ac:dyDescent="0.45">
      <c r="A1640" s="3">
        <v>83347</v>
      </c>
      <c r="B1640" t="b">
        <v>0</v>
      </c>
      <c r="C1640" t="b">
        <v>0</v>
      </c>
      <c r="D1640" s="3">
        <v>1902</v>
      </c>
      <c r="E1640" s="3">
        <v>1902</v>
      </c>
      <c r="F1640" t="s">
        <v>10217</v>
      </c>
      <c r="G1640" t="s">
        <v>2820</v>
      </c>
      <c r="H1640" s="3">
        <v>10.3277</v>
      </c>
      <c r="I1640" t="s">
        <v>2821</v>
      </c>
      <c r="J1640" t="s">
        <v>13633</v>
      </c>
      <c r="L1640" t="s">
        <v>10218</v>
      </c>
      <c r="M1640" t="str">
        <f>"https://www.artic.edu/iiif/2/"&amp;Table9[[#This Row],[Image ID]]&amp;"/full/843,/0/default.jpg"</f>
        <v>https://www.artic.edu/iiif/2/be98f0f7-bd63-0905-87e6-e73a440ddac6/full/843,/0/default.jpg</v>
      </c>
      <c r="N1640" s="3">
        <v>0.7</v>
      </c>
      <c r="O1640" s="3">
        <v>2.5000000000000001E-2</v>
      </c>
      <c r="P1640" s="3">
        <v>0.67499999999999993</v>
      </c>
      <c r="Q1640" s="3">
        <v>0.73852050304412797</v>
      </c>
    </row>
    <row r="1641" spans="1:17" x14ac:dyDescent="0.45">
      <c r="A1641" s="3">
        <v>184008</v>
      </c>
      <c r="B1641" t="b">
        <v>0</v>
      </c>
      <c r="C1641" t="b">
        <v>0</v>
      </c>
      <c r="D1641" s="3">
        <v>2003</v>
      </c>
      <c r="E1641" s="3">
        <v>2003</v>
      </c>
      <c r="F1641" t="s">
        <v>4793</v>
      </c>
      <c r="G1641" t="s">
        <v>4794</v>
      </c>
      <c r="H1641" s="3">
        <v>4.6947000000000001</v>
      </c>
      <c r="I1641" t="s">
        <v>4791</v>
      </c>
      <c r="J1641" t="s">
        <v>11422</v>
      </c>
      <c r="K1641" s="5" t="s">
        <v>15</v>
      </c>
      <c r="L1641" t="s">
        <v>4795</v>
      </c>
      <c r="M1641" t="str">
        <f>"https://www.artic.edu/iiif/2/"&amp;Table9[[#This Row],[Image ID]]&amp;"/full/843,/0/default.jpg"</f>
        <v>https://www.artic.edu/iiif/2/cb2716ee-3015-a351-93c8-bc05a2c468c1/full/843,/0/default.jpg</v>
      </c>
      <c r="N1641" s="3">
        <v>0.72499999999999998</v>
      </c>
      <c r="O1641" s="3">
        <v>0.05</v>
      </c>
      <c r="P1641" s="3">
        <v>0.67499999999999993</v>
      </c>
      <c r="Q1641" s="3">
        <v>0.63685983419418302</v>
      </c>
    </row>
    <row r="1642" spans="1:17" x14ac:dyDescent="0.45">
      <c r="A1642" s="3">
        <v>32594</v>
      </c>
      <c r="B1642" t="b">
        <v>0</v>
      </c>
      <c r="C1642" t="b">
        <v>0</v>
      </c>
      <c r="D1642" s="3">
        <v>1964</v>
      </c>
      <c r="E1642" s="3">
        <v>1964</v>
      </c>
      <c r="F1642" t="s">
        <v>6289</v>
      </c>
      <c r="G1642" t="s">
        <v>7</v>
      </c>
      <c r="H1642" s="3">
        <v>18.8871</v>
      </c>
      <c r="I1642" t="s">
        <v>60</v>
      </c>
      <c r="J1642" t="s">
        <v>13806</v>
      </c>
      <c r="L1642" t="s">
        <v>7055</v>
      </c>
      <c r="M1642" t="str">
        <f>"https://www.artic.edu/iiif/2/"&amp;Table9[[#This Row],[Image ID]]&amp;"/full/843,/0/default.jpg"</f>
        <v>https://www.artic.edu/iiif/2/cc69dbe2-86ab-27cb-9b1b-4a067ebdd4e9/full/843,/0/default.jpg</v>
      </c>
      <c r="N1642" s="3">
        <v>0.72499999999999998</v>
      </c>
      <c r="O1642" s="3">
        <v>0.05</v>
      </c>
      <c r="P1642" s="3">
        <v>0.67499999999999993</v>
      </c>
      <c r="Q1642" s="3">
        <v>0.72522348165511996</v>
      </c>
    </row>
    <row r="1643" spans="1:17" x14ac:dyDescent="0.45">
      <c r="A1643" s="3">
        <v>149996</v>
      </c>
      <c r="B1643" t="b">
        <v>0</v>
      </c>
      <c r="C1643" t="b">
        <v>0</v>
      </c>
      <c r="D1643" s="3">
        <v>1983</v>
      </c>
      <c r="E1643" s="3">
        <v>1983</v>
      </c>
      <c r="F1643" t="s">
        <v>2596</v>
      </c>
      <c r="G1643" t="s">
        <v>3449</v>
      </c>
      <c r="H1643" s="3">
        <v>17.820799999999998</v>
      </c>
      <c r="I1643" t="s">
        <v>3776</v>
      </c>
      <c r="J1643" t="s">
        <v>13923</v>
      </c>
      <c r="L1643" t="s">
        <v>3777</v>
      </c>
      <c r="M1643" t="str">
        <f>"https://www.artic.edu/iiif/2/"&amp;Table9[[#This Row],[Image ID]]&amp;"/full/843,/0/default.jpg"</f>
        <v>https://www.artic.edu/iiif/2/d6570551-71a7-1fab-1d7c-8b24f61087b5/full/843,/0/default.jpg</v>
      </c>
      <c r="N1643" s="3">
        <v>0.7</v>
      </c>
      <c r="O1643" s="3">
        <v>2.5000000000000001E-2</v>
      </c>
      <c r="P1643" s="3">
        <v>0.67499999999999993</v>
      </c>
      <c r="Q1643" s="3">
        <v>0.49938634037971402</v>
      </c>
    </row>
    <row r="1644" spans="1:17" x14ac:dyDescent="0.45">
      <c r="A1644" s="3">
        <v>44866</v>
      </c>
      <c r="B1644" t="b">
        <v>0</v>
      </c>
      <c r="C1644" t="b">
        <v>0</v>
      </c>
      <c r="D1644" s="3">
        <v>1936</v>
      </c>
      <c r="E1644" s="3">
        <v>1939</v>
      </c>
      <c r="F1644" t="s">
        <v>7809</v>
      </c>
      <c r="G1644" t="s">
        <v>7810</v>
      </c>
      <c r="H1644" s="3">
        <v>27.9269</v>
      </c>
      <c r="I1644" t="s">
        <v>2279</v>
      </c>
      <c r="J1644" t="s">
        <v>14038</v>
      </c>
      <c r="L1644" t="s">
        <v>7811</v>
      </c>
      <c r="M1644" t="str">
        <f>"https://www.artic.edu/iiif/2/"&amp;Table9[[#This Row],[Image ID]]&amp;"/full/843,/0/default.jpg"</f>
        <v>https://www.artic.edu/iiif/2/de3b3f7d-d205-d8d9-c8ee-3b4b36eab635/full/843,/0/default.jpg</v>
      </c>
      <c r="N1644" s="3">
        <v>0.72499999999999998</v>
      </c>
      <c r="O1644" s="3">
        <v>0.05</v>
      </c>
      <c r="P1644" s="3">
        <v>0.67499999999999993</v>
      </c>
      <c r="Q1644" s="3">
        <v>0.74687218666076605</v>
      </c>
    </row>
    <row r="1645" spans="1:17" x14ac:dyDescent="0.45">
      <c r="A1645" s="3">
        <v>63630</v>
      </c>
      <c r="B1645" t="b">
        <v>0</v>
      </c>
      <c r="C1645" t="b">
        <v>0</v>
      </c>
      <c r="D1645" s="3">
        <v>1942</v>
      </c>
      <c r="E1645" s="3">
        <v>1942</v>
      </c>
      <c r="F1645" t="s">
        <v>8935</v>
      </c>
      <c r="G1645" t="s">
        <v>8936</v>
      </c>
      <c r="H1645" s="3">
        <v>39.799999999999997</v>
      </c>
      <c r="I1645" t="s">
        <v>4769</v>
      </c>
      <c r="J1645" t="s">
        <v>14060</v>
      </c>
      <c r="L1645" t="s">
        <v>8937</v>
      </c>
      <c r="M1645" t="str">
        <f>"https://www.artic.edu/iiif/2/"&amp;Table9[[#This Row],[Image ID]]&amp;"/full/843,/0/default.jpg"</f>
        <v>https://www.artic.edu/iiif/2/dffed9fe-527f-ce41-f0c6-a4247a267dcc/full/843,/0/default.jpg</v>
      </c>
      <c r="N1645" s="3">
        <v>0.7</v>
      </c>
      <c r="O1645" s="3">
        <v>2.5000000000000001E-2</v>
      </c>
      <c r="P1645" s="3">
        <v>0.67499999999999993</v>
      </c>
      <c r="Q1645" s="3">
        <v>0.79424351453781095</v>
      </c>
    </row>
    <row r="1646" spans="1:17" x14ac:dyDescent="0.45">
      <c r="A1646" s="3">
        <v>16689</v>
      </c>
      <c r="B1646" t="b">
        <v>0</v>
      </c>
      <c r="C1646" t="b">
        <v>0</v>
      </c>
      <c r="D1646" s="3">
        <v>1910</v>
      </c>
      <c r="E1646" s="3">
        <v>1910</v>
      </c>
      <c r="F1646" t="s">
        <v>4533</v>
      </c>
      <c r="G1646" t="s">
        <v>7</v>
      </c>
      <c r="H1646" s="3">
        <v>37.599800000000002</v>
      </c>
      <c r="I1646" t="s">
        <v>1277</v>
      </c>
      <c r="J1646" t="s">
        <v>14103</v>
      </c>
      <c r="L1646" t="s">
        <v>4534</v>
      </c>
      <c r="M1646" t="str">
        <f>"https://www.artic.edu/iiif/2/"&amp;Table9[[#This Row],[Image ID]]&amp;"/full/843,/0/default.jpg"</f>
        <v>https://www.artic.edu/iiif/2/e215278f-d100-aa7e-04a8-691b981d2a39/full/843,/0/default.jpg</v>
      </c>
      <c r="N1646" s="3">
        <v>0.7</v>
      </c>
      <c r="O1646" s="3">
        <v>2.5000000000000001E-2</v>
      </c>
      <c r="P1646" s="3">
        <v>0.67499999999999993</v>
      </c>
      <c r="Q1646" s="3">
        <v>0.69070750474929798</v>
      </c>
    </row>
    <row r="1647" spans="1:17" x14ac:dyDescent="0.45">
      <c r="A1647" s="3">
        <v>234003</v>
      </c>
      <c r="B1647" t="b">
        <v>0</v>
      </c>
      <c r="C1647" t="b">
        <v>0</v>
      </c>
      <c r="D1647" s="3">
        <v>1973</v>
      </c>
      <c r="E1647" s="3">
        <v>1973</v>
      </c>
      <c r="F1647" t="s">
        <v>6188</v>
      </c>
      <c r="G1647" t="s">
        <v>6189</v>
      </c>
      <c r="H1647" s="3">
        <v>7.5784000000000002</v>
      </c>
      <c r="I1647" t="s">
        <v>6190</v>
      </c>
      <c r="J1647" t="s">
        <v>14108</v>
      </c>
      <c r="L1647" t="s">
        <v>6191</v>
      </c>
      <c r="M1647" t="str">
        <f>"https://www.artic.edu/iiif/2/"&amp;Table9[[#This Row],[Image ID]]&amp;"/full/843,/0/default.jpg"</f>
        <v>https://www.artic.edu/iiif/2/e263a6e3-ff14-8957-4861-b44353b8366f/full/843,/0/default.jpg</v>
      </c>
      <c r="N1647" s="3">
        <v>0.72499999999999998</v>
      </c>
      <c r="O1647" s="3">
        <v>0.05</v>
      </c>
      <c r="P1647" s="3">
        <v>0.67499999999999993</v>
      </c>
      <c r="Q1647" s="3">
        <v>0.86764591932296697</v>
      </c>
    </row>
    <row r="1648" spans="1:17" x14ac:dyDescent="0.45">
      <c r="A1648" s="3">
        <v>61129</v>
      </c>
      <c r="B1648" t="b">
        <v>0</v>
      </c>
      <c r="C1648" t="b">
        <v>0</v>
      </c>
      <c r="D1648" s="3">
        <v>1880</v>
      </c>
      <c r="E1648" s="3">
        <v>1915</v>
      </c>
      <c r="F1648" t="s">
        <v>8772</v>
      </c>
      <c r="G1648" t="s">
        <v>7</v>
      </c>
      <c r="H1648" s="3">
        <v>37.880099999999999</v>
      </c>
      <c r="J1648" t="s">
        <v>14132</v>
      </c>
      <c r="L1648" t="s">
        <v>8773</v>
      </c>
      <c r="M1648" t="str">
        <f>"https://www.artic.edu/iiif/2/"&amp;Table9[[#This Row],[Image ID]]&amp;"/full/843,/0/default.jpg"</f>
        <v>https://www.artic.edu/iiif/2/e3dd6549-4e60-1c64-3304-5d112cbe27eb/full/843,/0/default.jpg</v>
      </c>
      <c r="N1648" s="3">
        <v>0.7</v>
      </c>
      <c r="O1648" s="3">
        <v>2.5000000000000001E-2</v>
      </c>
      <c r="P1648" s="3">
        <v>0.67499999999999993</v>
      </c>
      <c r="Q1648" s="3">
        <v>0.48226001858711198</v>
      </c>
    </row>
    <row r="1649" spans="1:17" x14ac:dyDescent="0.45">
      <c r="A1649" s="3">
        <v>47999</v>
      </c>
      <c r="B1649" t="b">
        <v>0</v>
      </c>
      <c r="C1649" t="b">
        <v>0</v>
      </c>
      <c r="D1649" s="3">
        <v>1937</v>
      </c>
      <c r="E1649" s="3">
        <v>1943</v>
      </c>
      <c r="F1649" t="s">
        <v>7990</v>
      </c>
      <c r="G1649" t="s">
        <v>2241</v>
      </c>
      <c r="H1649" s="3">
        <v>15.260400000000001</v>
      </c>
      <c r="I1649" t="s">
        <v>5451</v>
      </c>
      <c r="J1649" t="s">
        <v>14143</v>
      </c>
      <c r="L1649" t="s">
        <v>7991</v>
      </c>
      <c r="M1649" t="str">
        <f>"https://www.artic.edu/iiif/2/"&amp;Table9[[#This Row],[Image ID]]&amp;"/full/843,/0/default.jpg"</f>
        <v>https://www.artic.edu/iiif/2/e49bc7c4-573b-ead6-46be-407ccfdd26bd/full/843,/0/default.jpg</v>
      </c>
      <c r="N1649" s="3">
        <v>0.72499999999999998</v>
      </c>
      <c r="O1649" s="3">
        <v>0.05</v>
      </c>
      <c r="P1649" s="3">
        <v>0.67499999999999993</v>
      </c>
      <c r="Q1649" s="3">
        <v>0.46132904291152899</v>
      </c>
    </row>
    <row r="1650" spans="1:17" x14ac:dyDescent="0.45">
      <c r="A1650" s="3">
        <v>182389</v>
      </c>
      <c r="B1650" t="b">
        <v>0</v>
      </c>
      <c r="C1650" t="b">
        <v>0</v>
      </c>
      <c r="D1650" s="3">
        <v>1898</v>
      </c>
      <c r="E1650" s="3">
        <v>1898</v>
      </c>
      <c r="F1650" t="s">
        <v>4760</v>
      </c>
      <c r="G1650" t="s">
        <v>7</v>
      </c>
      <c r="H1650" s="3">
        <v>28.5687</v>
      </c>
      <c r="I1650" t="s">
        <v>4746</v>
      </c>
      <c r="J1650" t="s">
        <v>11268</v>
      </c>
      <c r="L1650" t="s">
        <v>4761</v>
      </c>
      <c r="M1650" t="str">
        <f>"https://www.artic.edu/iiif/2/"&amp;Table9[[#This Row],[Image ID]]&amp;"/full/843,/0/default.jpg"</f>
        <v>https://www.artic.edu/iiif/2/e4cf3c2b-283e-d946-dad6-0d39d7559003/full/843,/0/default.jpg</v>
      </c>
      <c r="N1650" s="3">
        <v>0.72499999999999998</v>
      </c>
      <c r="O1650" s="3">
        <v>0.05</v>
      </c>
      <c r="P1650" s="3">
        <v>0.67499999999999993</v>
      </c>
      <c r="Q1650" s="3">
        <v>0.82931357622146595</v>
      </c>
    </row>
    <row r="1651" spans="1:17" x14ac:dyDescent="0.45">
      <c r="A1651" s="3">
        <v>94027</v>
      </c>
      <c r="B1651" t="b">
        <v>0</v>
      </c>
      <c r="C1651" t="b">
        <v>0</v>
      </c>
      <c r="D1651" s="3">
        <v>1960</v>
      </c>
      <c r="E1651" s="3">
        <v>1960</v>
      </c>
      <c r="F1651" t="s">
        <v>10694</v>
      </c>
      <c r="G1651" t="s">
        <v>10695</v>
      </c>
      <c r="H1651" s="3">
        <v>41.432099999999998</v>
      </c>
      <c r="I1651" t="s">
        <v>378</v>
      </c>
      <c r="J1651" t="s">
        <v>14160</v>
      </c>
      <c r="L1651" t="s">
        <v>10696</v>
      </c>
      <c r="M1651" t="str">
        <f>"https://www.artic.edu/iiif/2/"&amp;Table9[[#This Row],[Image ID]]&amp;"/full/843,/0/default.jpg"</f>
        <v>https://www.artic.edu/iiif/2/e574c432-72be-3c35-64db-921cb9311459/full/843,/0/default.jpg</v>
      </c>
      <c r="N1651" s="3">
        <v>0.72499999999999998</v>
      </c>
      <c r="O1651" s="3">
        <v>0.05</v>
      </c>
      <c r="P1651" s="3">
        <v>0.67499999999999993</v>
      </c>
      <c r="Q1651" s="3">
        <v>0.77027851343154896</v>
      </c>
    </row>
    <row r="1652" spans="1:17" x14ac:dyDescent="0.45">
      <c r="A1652" s="3">
        <v>65940</v>
      </c>
      <c r="B1652" t="b">
        <v>0</v>
      </c>
      <c r="C1652" t="b">
        <v>0</v>
      </c>
      <c r="D1652" s="3">
        <v>1923</v>
      </c>
      <c r="E1652" s="3">
        <v>1923</v>
      </c>
      <c r="F1652" t="s">
        <v>9106</v>
      </c>
      <c r="G1652" t="s">
        <v>7</v>
      </c>
      <c r="H1652" s="3">
        <v>35.930599999999998</v>
      </c>
      <c r="I1652" t="s">
        <v>1019</v>
      </c>
      <c r="J1652" t="s">
        <v>14163</v>
      </c>
      <c r="K1652" s="5" t="s">
        <v>45</v>
      </c>
      <c r="L1652" t="s">
        <v>9107</v>
      </c>
      <c r="M1652" t="str">
        <f>"https://www.artic.edu/iiif/2/"&amp;Table9[[#This Row],[Image ID]]&amp;"/full/843,/0/default.jpg"</f>
        <v>https://www.artic.edu/iiif/2/e5ee149b-36ed-49c1-cad0-04ae6535090d/full/843,/0/default.jpg</v>
      </c>
      <c r="N1652" s="3">
        <v>0.72499999999999998</v>
      </c>
      <c r="O1652" s="3">
        <v>0.05</v>
      </c>
      <c r="P1652" s="3">
        <v>0.67499999999999993</v>
      </c>
      <c r="Q1652" s="3">
        <v>0.79692113399505604</v>
      </c>
    </row>
    <row r="1653" spans="1:17" x14ac:dyDescent="0.45">
      <c r="A1653" s="3">
        <v>116105</v>
      </c>
      <c r="B1653" t="b">
        <v>0</v>
      </c>
      <c r="C1653" t="b">
        <v>0</v>
      </c>
      <c r="D1653" s="3">
        <v>1960</v>
      </c>
      <c r="E1653" s="3">
        <v>1960</v>
      </c>
      <c r="F1653" t="s">
        <v>567</v>
      </c>
      <c r="G1653" t="s">
        <v>2237</v>
      </c>
      <c r="H1653" s="3">
        <v>46.950200000000002</v>
      </c>
      <c r="I1653" t="s">
        <v>2238</v>
      </c>
      <c r="J1653" t="s">
        <v>14270</v>
      </c>
      <c r="L1653" t="s">
        <v>2239</v>
      </c>
      <c r="M1653" t="str">
        <f>"https://www.artic.edu/iiif/2/"&amp;Table9[[#This Row],[Image ID]]&amp;"/full/843,/0/default.jpg"</f>
        <v>https://www.artic.edu/iiif/2/ed61d166-ad81-9dce-c9c4-410b96f1dc1a/full/843,/0/default.jpg</v>
      </c>
      <c r="N1653" s="3">
        <v>0.7</v>
      </c>
      <c r="O1653" s="3">
        <v>2.5000000000000001E-2</v>
      </c>
      <c r="P1653" s="3">
        <v>0.67499999999999993</v>
      </c>
      <c r="Q1653" s="3">
        <v>0.78985798358917203</v>
      </c>
    </row>
    <row r="1654" spans="1:17" x14ac:dyDescent="0.45">
      <c r="A1654" s="3">
        <v>104269</v>
      </c>
      <c r="B1654" t="b">
        <v>0</v>
      </c>
      <c r="C1654" t="b">
        <v>0</v>
      </c>
      <c r="D1654" s="3">
        <v>1982</v>
      </c>
      <c r="E1654" s="3">
        <v>1982</v>
      </c>
      <c r="F1654" t="s">
        <v>399</v>
      </c>
      <c r="G1654" t="s">
        <v>400</v>
      </c>
      <c r="H1654" s="3">
        <v>14.203799999999999</v>
      </c>
      <c r="I1654" t="s">
        <v>378</v>
      </c>
      <c r="J1654" t="s">
        <v>12099</v>
      </c>
      <c r="K1654" s="5" t="s">
        <v>45</v>
      </c>
      <c r="L1654" t="s">
        <v>401</v>
      </c>
      <c r="M1654" t="str">
        <f>"https://www.artic.edu/iiif/2/"&amp;Table9[[#This Row],[Image ID]]&amp;"/full/843,/0/default.jpg"</f>
        <v>https://www.artic.edu/iiif/2/f585cf0c-8161-45e2-2367-fe79e8f8dd4d/full/843,/0/default.jpg</v>
      </c>
      <c r="N1654" s="3">
        <v>0.82499999999999996</v>
      </c>
      <c r="O1654" s="3">
        <v>0.15</v>
      </c>
      <c r="P1654" s="3">
        <v>0.67499999999999993</v>
      </c>
      <c r="Q1654" s="3">
        <v>0.92532652616500799</v>
      </c>
    </row>
    <row r="1655" spans="1:17" x14ac:dyDescent="0.45">
      <c r="A1655" s="3">
        <v>151894</v>
      </c>
      <c r="B1655" t="b">
        <v>0</v>
      </c>
      <c r="C1655" t="b">
        <v>1</v>
      </c>
      <c r="D1655" s="3">
        <v>1300</v>
      </c>
      <c r="E1655" s="3">
        <v>1500</v>
      </c>
      <c r="F1655" t="s">
        <v>3860</v>
      </c>
      <c r="G1655" t="s">
        <v>3852</v>
      </c>
      <c r="H1655" s="3">
        <v>42.621299999999998</v>
      </c>
      <c r="J1655" t="s">
        <v>11019</v>
      </c>
      <c r="L1655" t="s">
        <v>3861</v>
      </c>
      <c r="M1655" t="str">
        <f>"https://www.artic.edu/iiif/2/"&amp;Table9[[#This Row],[Image ID]]&amp;"/full/843,/0/default.jpg"</f>
        <v>https://www.artic.edu/iiif/2/0348cf1f-b1b2-395a-d682-2b89497610c5/full/843,/0/default.jpg</v>
      </c>
      <c r="N1655" s="3">
        <v>0.7</v>
      </c>
      <c r="O1655" s="3">
        <v>2.5000000000000001E-2</v>
      </c>
      <c r="P1655" s="3">
        <v>0.67499999999999993</v>
      </c>
      <c r="Q1655" s="3">
        <v>0.85176521539688099</v>
      </c>
    </row>
    <row r="1656" spans="1:17" x14ac:dyDescent="0.45">
      <c r="A1656" s="3">
        <v>144970</v>
      </c>
      <c r="B1656" t="b">
        <v>0</v>
      </c>
      <c r="C1656" t="b">
        <v>1</v>
      </c>
      <c r="D1656" s="3">
        <v>1401</v>
      </c>
      <c r="E1656" s="3">
        <v>1500</v>
      </c>
      <c r="F1656" t="s">
        <v>3335</v>
      </c>
      <c r="G1656" t="s">
        <v>306</v>
      </c>
      <c r="H1656" s="3">
        <v>35.896500000000003</v>
      </c>
      <c r="J1656" t="s">
        <v>11068</v>
      </c>
      <c r="K1656" s="5" t="s">
        <v>5</v>
      </c>
      <c r="L1656" t="s">
        <v>3336</v>
      </c>
      <c r="M1656" t="str">
        <f>"https://www.artic.edu/iiif/2/"&amp;Table9[[#This Row],[Image ID]]&amp;"/full/843,/0/default.jpg"</f>
        <v>https://www.artic.edu/iiif/2/06ee7e1e-5a42-96cd-fb0e-4991b73db1d1/full/843,/0/default.jpg</v>
      </c>
      <c r="N1656" s="3">
        <v>0.72499999999999998</v>
      </c>
      <c r="O1656" s="3">
        <v>0.05</v>
      </c>
      <c r="P1656" s="3">
        <v>0.67499999999999993</v>
      </c>
      <c r="Q1656" s="3">
        <v>0.720051109790802</v>
      </c>
    </row>
    <row r="1657" spans="1:17" x14ac:dyDescent="0.45">
      <c r="A1657" s="3">
        <v>27819</v>
      </c>
      <c r="B1657" t="b">
        <v>0</v>
      </c>
      <c r="C1657" t="b">
        <v>1</v>
      </c>
      <c r="D1657" s="3">
        <v>1860</v>
      </c>
      <c r="E1657" s="3">
        <v>1860</v>
      </c>
      <c r="F1657" t="s">
        <v>6741</v>
      </c>
      <c r="G1657" t="s">
        <v>7</v>
      </c>
      <c r="H1657" s="3">
        <v>0</v>
      </c>
      <c r="I1657" t="s">
        <v>14555</v>
      </c>
      <c r="J1657" t="s">
        <v>11083</v>
      </c>
      <c r="L1657" t="s">
        <v>6742</v>
      </c>
      <c r="M1657" t="str">
        <f>"https://www.artic.edu/iiif/2/"&amp;Table9[[#This Row],[Image ID]]&amp;"/full/843,/0/default.jpg"</f>
        <v>https://www.artic.edu/iiif/2/07fb7c7a-7645-00c1-5b45-26467724f194/full/843,/0/default.jpg</v>
      </c>
      <c r="N1657" s="3">
        <v>0.72499999999999998</v>
      </c>
      <c r="O1657" s="3">
        <v>0.05</v>
      </c>
      <c r="P1657" s="3">
        <v>0.67499999999999993</v>
      </c>
      <c r="Q1657" s="3">
        <v>0.74872988462448098</v>
      </c>
    </row>
    <row r="1658" spans="1:17" x14ac:dyDescent="0.45">
      <c r="A1658" s="3">
        <v>66537</v>
      </c>
      <c r="B1658" t="b">
        <v>0</v>
      </c>
      <c r="C1658" t="b">
        <v>1</v>
      </c>
      <c r="D1658" s="3">
        <v>1885</v>
      </c>
      <c r="E1658" s="3">
        <v>1885</v>
      </c>
      <c r="F1658" t="s">
        <v>9298</v>
      </c>
      <c r="G1658" t="s">
        <v>9299</v>
      </c>
      <c r="H1658" s="3">
        <v>24.209800000000001</v>
      </c>
      <c r="I1658" t="s">
        <v>1527</v>
      </c>
      <c r="J1658" t="s">
        <v>11221</v>
      </c>
      <c r="L1658" t="s">
        <v>9300</v>
      </c>
      <c r="M1658" t="str">
        <f>"https://www.artic.edu/iiif/2/"&amp;Table9[[#This Row],[Image ID]]&amp;"/full/843,/0/default.jpg"</f>
        <v>https://www.artic.edu/iiif/2/1267dad1-948a-36ba-fbdc-6a68ba0e0c03/full/843,/0/default.jpg</v>
      </c>
      <c r="N1658" s="3">
        <v>0.7</v>
      </c>
      <c r="O1658" s="3">
        <v>2.5000000000000001E-2</v>
      </c>
      <c r="P1658" s="3">
        <v>0.67499999999999993</v>
      </c>
      <c r="Q1658" s="3">
        <v>0.74428337812423695</v>
      </c>
    </row>
    <row r="1659" spans="1:17" x14ac:dyDescent="0.45">
      <c r="A1659" s="3">
        <v>96621</v>
      </c>
      <c r="B1659" t="b">
        <v>0</v>
      </c>
      <c r="C1659" t="b">
        <v>1</v>
      </c>
      <c r="D1659" s="3">
        <v>1814</v>
      </c>
      <c r="E1659" s="3">
        <v>1814</v>
      </c>
      <c r="F1659" t="s">
        <v>10800</v>
      </c>
      <c r="G1659" t="s">
        <v>7</v>
      </c>
      <c r="H1659" s="3">
        <v>26.2744</v>
      </c>
      <c r="I1659" t="s">
        <v>9568</v>
      </c>
      <c r="J1659" t="s">
        <v>11312</v>
      </c>
      <c r="L1659" t="s">
        <v>10801</v>
      </c>
      <c r="M1659" t="str">
        <f>"https://www.artic.edu/iiif/2/"&amp;Table9[[#This Row],[Image ID]]&amp;"/full/843,/0/default.jpg"</f>
        <v>https://www.artic.edu/iiif/2/18bf4909-8fb1-1971-4256-9945d712a279/full/843,/0/default.jpg</v>
      </c>
      <c r="N1659" s="3">
        <v>0.95</v>
      </c>
      <c r="O1659" s="3">
        <v>0.27500000000000002</v>
      </c>
      <c r="P1659" s="3">
        <v>0.67499999999999993</v>
      </c>
      <c r="Q1659" s="3">
        <v>0.75472837686538696</v>
      </c>
    </row>
    <row r="1660" spans="1:17" x14ac:dyDescent="0.45">
      <c r="A1660" s="3">
        <v>16434</v>
      </c>
      <c r="B1660" t="b">
        <v>0</v>
      </c>
      <c r="C1660" t="b">
        <v>1</v>
      </c>
      <c r="D1660" s="3">
        <v>1730</v>
      </c>
      <c r="E1660" s="3">
        <v>1735</v>
      </c>
      <c r="F1660" t="s">
        <v>4426</v>
      </c>
      <c r="G1660" t="s">
        <v>7</v>
      </c>
      <c r="H1660" s="3">
        <v>38.529899999999998</v>
      </c>
      <c r="I1660" t="s">
        <v>1042</v>
      </c>
      <c r="J1660" t="s">
        <v>11332</v>
      </c>
      <c r="L1660" t="s">
        <v>4427</v>
      </c>
      <c r="M1660" t="str">
        <f>"https://www.artic.edu/iiif/2/"&amp;Table9[[#This Row],[Image ID]]&amp;"/full/843,/0/default.jpg"</f>
        <v>https://www.artic.edu/iiif/2/19f0e672-2924-b42b-70af-d28ff46f23cc/full/843,/0/default.jpg</v>
      </c>
      <c r="N1660" s="3">
        <v>0.7</v>
      </c>
      <c r="O1660" s="3">
        <v>2.5000000000000001E-2</v>
      </c>
      <c r="P1660" s="3">
        <v>0.67499999999999993</v>
      </c>
      <c r="Q1660" s="3">
        <v>0.70952063798904397</v>
      </c>
    </row>
    <row r="1661" spans="1:17" x14ac:dyDescent="0.45">
      <c r="A1661" s="3">
        <v>103391</v>
      </c>
      <c r="B1661" t="b">
        <v>0</v>
      </c>
      <c r="C1661" t="b">
        <v>1</v>
      </c>
      <c r="D1661" s="3">
        <v>1870</v>
      </c>
      <c r="E1661" s="3">
        <v>1886</v>
      </c>
      <c r="F1661" t="s">
        <v>308</v>
      </c>
      <c r="G1661" t="s">
        <v>75</v>
      </c>
      <c r="H1661" s="3">
        <v>25.796900000000001</v>
      </c>
      <c r="I1661" t="s">
        <v>309</v>
      </c>
      <c r="J1661" t="s">
        <v>11334</v>
      </c>
      <c r="L1661" t="s">
        <v>310</v>
      </c>
      <c r="M1661" t="str">
        <f>"https://www.artic.edu/iiif/2/"&amp;Table9[[#This Row],[Image ID]]&amp;"/full/843,/0/default.jpg"</f>
        <v>https://www.artic.edu/iiif/2/1a0b480a-7bb3-587a-2461-4cbd3ed2508d/full/843,/0/default.jpg</v>
      </c>
      <c r="N1661" s="3">
        <v>0.7</v>
      </c>
      <c r="O1661" s="3">
        <v>2.5000000000000001E-2</v>
      </c>
      <c r="P1661" s="3">
        <v>0.67499999999999993</v>
      </c>
      <c r="Q1661" s="3">
        <v>0.61790394783019997</v>
      </c>
    </row>
    <row r="1662" spans="1:17" x14ac:dyDescent="0.45">
      <c r="A1662" s="3">
        <v>115228</v>
      </c>
      <c r="B1662" t="b">
        <v>0</v>
      </c>
      <c r="C1662" t="b">
        <v>1</v>
      </c>
      <c r="D1662" s="3">
        <v>1835</v>
      </c>
      <c r="E1662" s="3">
        <v>1882</v>
      </c>
      <c r="F1662" t="s">
        <v>1895</v>
      </c>
      <c r="G1662" t="s">
        <v>1896</v>
      </c>
      <c r="H1662" s="3">
        <v>35.969499999999996</v>
      </c>
      <c r="I1662" t="s">
        <v>1555</v>
      </c>
      <c r="J1662" t="s">
        <v>11400</v>
      </c>
      <c r="L1662" t="s">
        <v>1897</v>
      </c>
      <c r="M1662" t="str">
        <f>"https://www.artic.edu/iiif/2/"&amp;Table9[[#This Row],[Image ID]]&amp;"/full/843,/0/default.jpg"</f>
        <v>https://www.artic.edu/iiif/2/1e7d9562-4ad2-1963-df36-65a2f6db8f21/full/843,/0/default.jpg</v>
      </c>
      <c r="N1662" s="3">
        <v>0.82499999999999996</v>
      </c>
      <c r="O1662" s="3">
        <v>0.15</v>
      </c>
      <c r="P1662" s="3">
        <v>0.67499999999999993</v>
      </c>
      <c r="Q1662" s="3">
        <v>0.45121026039123502</v>
      </c>
    </row>
    <row r="1663" spans="1:17" x14ac:dyDescent="0.45">
      <c r="A1663" s="3">
        <v>59002</v>
      </c>
      <c r="B1663" t="b">
        <v>0</v>
      </c>
      <c r="C1663" t="b">
        <v>1</v>
      </c>
      <c r="D1663" s="3">
        <v>1865</v>
      </c>
      <c r="E1663" s="3">
        <v>1865</v>
      </c>
      <c r="F1663" t="s">
        <v>8546</v>
      </c>
      <c r="G1663" t="s">
        <v>7</v>
      </c>
      <c r="H1663" s="3">
        <v>20.4678</v>
      </c>
      <c r="I1663" t="s">
        <v>1274</v>
      </c>
      <c r="J1663" t="s">
        <v>11509</v>
      </c>
      <c r="L1663" t="s">
        <v>8547</v>
      </c>
      <c r="M1663" t="str">
        <f>"https://www.artic.edu/iiif/2/"&amp;Table9[[#This Row],[Image ID]]&amp;"/full/843,/0/default.jpg"</f>
        <v>https://www.artic.edu/iiif/2/25cae01d-82c7-7060-0070-643727437126/full/843,/0/default.jpg</v>
      </c>
      <c r="N1663" s="3">
        <v>0.72499999999999998</v>
      </c>
      <c r="O1663" s="3">
        <v>0.05</v>
      </c>
      <c r="P1663" s="3">
        <v>0.67499999999999993</v>
      </c>
      <c r="Q1663" s="3">
        <v>0.46037131547927801</v>
      </c>
    </row>
    <row r="1664" spans="1:17" x14ac:dyDescent="0.45">
      <c r="A1664" s="3">
        <v>185775</v>
      </c>
      <c r="B1664" t="b">
        <v>0</v>
      </c>
      <c r="C1664" t="b">
        <v>1</v>
      </c>
      <c r="D1664" s="3">
        <v>1826</v>
      </c>
      <c r="E1664" s="3">
        <v>1826</v>
      </c>
      <c r="F1664" t="s">
        <v>5016</v>
      </c>
      <c r="G1664" t="s">
        <v>5017</v>
      </c>
      <c r="H1664" s="3">
        <v>50.1233</v>
      </c>
      <c r="I1664" t="s">
        <v>1280</v>
      </c>
      <c r="J1664" t="s">
        <v>11519</v>
      </c>
      <c r="L1664" t="s">
        <v>5018</v>
      </c>
      <c r="M1664" t="str">
        <f>"https://www.artic.edu/iiif/2/"&amp;Table9[[#This Row],[Image ID]]&amp;"/full/843,/0/default.jpg"</f>
        <v>https://www.artic.edu/iiif/2/26421d10-27fc-e656-613d-12f4f2a20381/full/843,/0/default.jpg</v>
      </c>
      <c r="N1664" s="3">
        <v>0.72499999999999998</v>
      </c>
      <c r="O1664" s="3">
        <v>0.05</v>
      </c>
      <c r="P1664" s="3">
        <v>0.67499999999999993</v>
      </c>
      <c r="Q1664" s="3">
        <v>0.67190343141555697</v>
      </c>
    </row>
    <row r="1665" spans="1:17" x14ac:dyDescent="0.45">
      <c r="A1665" s="3">
        <v>21672</v>
      </c>
      <c r="B1665" t="b">
        <v>0</v>
      </c>
      <c r="C1665" t="b">
        <v>1</v>
      </c>
      <c r="D1665" s="3">
        <v>1532</v>
      </c>
      <c r="E1665" s="3">
        <v>1532</v>
      </c>
      <c r="F1665" t="s">
        <v>5655</v>
      </c>
      <c r="G1665" t="s">
        <v>75</v>
      </c>
      <c r="H1665" s="3">
        <v>33.5565</v>
      </c>
      <c r="I1665" t="s">
        <v>5656</v>
      </c>
      <c r="J1665" t="s">
        <v>11530</v>
      </c>
      <c r="L1665" t="s">
        <v>5657</v>
      </c>
      <c r="M1665" t="str">
        <f>"https://www.artic.edu/iiif/2/"&amp;Table9[[#This Row],[Image ID]]&amp;"/full/843,/0/default.jpg"</f>
        <v>https://www.artic.edu/iiif/2/26ac1e6d-e547-0d9d-707b-7cec76babb60/full/843,/0/default.jpg</v>
      </c>
      <c r="N1665" s="3">
        <v>0.82499999999999996</v>
      </c>
      <c r="O1665" s="3">
        <v>0.15</v>
      </c>
      <c r="P1665" s="3">
        <v>0.67499999999999993</v>
      </c>
      <c r="Q1665" s="3">
        <v>0.87167620658874501</v>
      </c>
    </row>
    <row r="1666" spans="1:17" x14ac:dyDescent="0.45">
      <c r="A1666" s="3">
        <v>39496</v>
      </c>
      <c r="B1666" t="b">
        <v>0</v>
      </c>
      <c r="C1666" t="b">
        <v>1</v>
      </c>
      <c r="D1666" s="3">
        <v>1869</v>
      </c>
      <c r="E1666" s="3">
        <v>1879</v>
      </c>
      <c r="F1666" t="s">
        <v>7574</v>
      </c>
      <c r="G1666" t="s">
        <v>75</v>
      </c>
      <c r="H1666" s="3">
        <v>26.2681</v>
      </c>
      <c r="I1666" t="s">
        <v>4512</v>
      </c>
      <c r="J1666" t="s">
        <v>11616</v>
      </c>
      <c r="L1666" t="s">
        <v>7575</v>
      </c>
      <c r="M1666" t="str">
        <f>"https://www.artic.edu/iiif/2/"&amp;Table9[[#This Row],[Image ID]]&amp;"/full/843,/0/default.jpg"</f>
        <v>https://www.artic.edu/iiif/2/2ba51712-835e-c17c-5f48-240bc76561a0/full/843,/0/default.jpg</v>
      </c>
      <c r="N1666" s="3">
        <v>0.72499999999999998</v>
      </c>
      <c r="O1666" s="3">
        <v>0.05</v>
      </c>
      <c r="P1666" s="3">
        <v>0.67499999999999993</v>
      </c>
      <c r="Q1666" s="3">
        <v>0.74813902378082198</v>
      </c>
    </row>
    <row r="1667" spans="1:17" x14ac:dyDescent="0.45">
      <c r="A1667" s="3">
        <v>115214</v>
      </c>
      <c r="B1667" t="b">
        <v>0</v>
      </c>
      <c r="C1667" t="b">
        <v>1</v>
      </c>
      <c r="D1667" s="3">
        <v>1841</v>
      </c>
      <c r="E1667" s="3">
        <v>1841</v>
      </c>
      <c r="F1667" t="s">
        <v>1870</v>
      </c>
      <c r="G1667" t="s">
        <v>1837</v>
      </c>
      <c r="H1667" s="3">
        <v>18.223199999999999</v>
      </c>
      <c r="I1667" t="s">
        <v>1555</v>
      </c>
      <c r="J1667" t="s">
        <v>11043</v>
      </c>
      <c r="L1667" t="s">
        <v>1871</v>
      </c>
      <c r="M1667" t="str">
        <f>"https://www.artic.edu/iiif/2/"&amp;Table9[[#This Row],[Image ID]]&amp;"/full/843,/0/default.jpg"</f>
        <v>https://www.artic.edu/iiif/2/2df76cb8-a92d-7abb-1f51-745b65b3bf21/full/843,/0/default.jpg</v>
      </c>
      <c r="N1667" s="3">
        <v>0.82499999999999996</v>
      </c>
      <c r="O1667" s="3">
        <v>0.15</v>
      </c>
      <c r="P1667" s="3">
        <v>0.67499999999999993</v>
      </c>
      <c r="Q1667" s="3">
        <v>0.55419874191284102</v>
      </c>
    </row>
    <row r="1668" spans="1:17" x14ac:dyDescent="0.45">
      <c r="A1668" s="3">
        <v>59843</v>
      </c>
      <c r="B1668" t="b">
        <v>0</v>
      </c>
      <c r="C1668" t="b">
        <v>1</v>
      </c>
      <c r="D1668" s="3">
        <v>1375</v>
      </c>
      <c r="E1668" s="3">
        <v>1400</v>
      </c>
      <c r="F1668" t="s">
        <v>8598</v>
      </c>
      <c r="G1668" t="s">
        <v>103</v>
      </c>
      <c r="H1668" s="3">
        <v>77.507199999999997</v>
      </c>
      <c r="I1668" t="s">
        <v>8599</v>
      </c>
      <c r="J1668" t="s">
        <v>11731</v>
      </c>
      <c r="L1668" t="s">
        <v>8600</v>
      </c>
      <c r="M1668" t="str">
        <f>"https://www.artic.edu/iiif/2/"&amp;Table9[[#This Row],[Image ID]]&amp;"/full/843,/0/default.jpg"</f>
        <v>https://www.artic.edu/iiif/2/33fb43be-8efc-4d35-a6fe-e92c890338bc/full/843,/0/default.jpg</v>
      </c>
      <c r="N1668" s="3">
        <v>0.7</v>
      </c>
      <c r="O1668" s="3">
        <v>2.5000000000000001E-2</v>
      </c>
      <c r="P1668" s="3">
        <v>0.67499999999999993</v>
      </c>
      <c r="Q1668" s="3">
        <v>0.81505751609802202</v>
      </c>
    </row>
    <row r="1669" spans="1:17" x14ac:dyDescent="0.45">
      <c r="A1669" s="3">
        <v>34457</v>
      </c>
      <c r="B1669" t="b">
        <v>0</v>
      </c>
      <c r="C1669" t="b">
        <v>1</v>
      </c>
      <c r="D1669" s="3">
        <v>1795</v>
      </c>
      <c r="E1669" s="3">
        <v>1851</v>
      </c>
      <c r="F1669" t="s">
        <v>7121</v>
      </c>
      <c r="G1669" t="s">
        <v>7122</v>
      </c>
      <c r="H1669" s="3">
        <v>18.670100000000001</v>
      </c>
      <c r="I1669" t="s">
        <v>7123</v>
      </c>
      <c r="J1669" t="s">
        <v>11887</v>
      </c>
      <c r="L1669" t="s">
        <v>7124</v>
      </c>
      <c r="M1669" t="str">
        <f>"https://www.artic.edu/iiif/2/"&amp;Table9[[#This Row],[Image ID]]&amp;"/full/843,/0/default.jpg"</f>
        <v>https://www.artic.edu/iiif/2/3dee6d12-d0d1-89e1-f2c2-bdc5af529d8a/full/843,/0/default.jpg</v>
      </c>
      <c r="N1669" s="3">
        <v>0.82499999999999996</v>
      </c>
      <c r="O1669" s="3">
        <v>0.15</v>
      </c>
      <c r="P1669" s="3">
        <v>0.67499999999999993</v>
      </c>
      <c r="Q1669" s="3">
        <v>0.86384671926498402</v>
      </c>
    </row>
    <row r="1670" spans="1:17" x14ac:dyDescent="0.45">
      <c r="A1670" s="3">
        <v>39103</v>
      </c>
      <c r="B1670" t="b">
        <v>0</v>
      </c>
      <c r="C1670" t="b">
        <v>1</v>
      </c>
      <c r="D1670" s="3">
        <v>1815</v>
      </c>
      <c r="E1670" s="3">
        <v>1880</v>
      </c>
      <c r="F1670" t="s">
        <v>7442</v>
      </c>
      <c r="G1670" t="s">
        <v>7443</v>
      </c>
      <c r="H1670" s="3">
        <v>25.190799999999999</v>
      </c>
      <c r="I1670" t="s">
        <v>7440</v>
      </c>
      <c r="J1670" t="s">
        <v>12033</v>
      </c>
      <c r="L1670" t="s">
        <v>7444</v>
      </c>
      <c r="M1670" t="str">
        <f>"https://www.artic.edu/iiif/2/"&amp;Table9[[#This Row],[Image ID]]&amp;"/full/843,/0/default.jpg"</f>
        <v>https://www.artic.edu/iiif/2/48379aa5-a23a-941e-39ce-a170ffc4f3a9/full/843,/0/default.jpg</v>
      </c>
      <c r="N1670" s="3">
        <v>0.72499999999999998</v>
      </c>
      <c r="O1670" s="3">
        <v>0.05</v>
      </c>
      <c r="P1670" s="3">
        <v>0.67499999999999993</v>
      </c>
      <c r="Q1670" s="3">
        <v>0.80480182170867898</v>
      </c>
    </row>
    <row r="1671" spans="1:17" x14ac:dyDescent="0.45">
      <c r="A1671" s="3">
        <v>38899</v>
      </c>
      <c r="B1671" t="b">
        <v>0</v>
      </c>
      <c r="C1671" t="b">
        <v>1</v>
      </c>
      <c r="D1671" s="3">
        <v>1815</v>
      </c>
      <c r="E1671" s="3">
        <v>1816</v>
      </c>
      <c r="F1671" t="s">
        <v>7312</v>
      </c>
      <c r="G1671" t="s">
        <v>7313</v>
      </c>
      <c r="H1671" s="3">
        <v>26.202400000000001</v>
      </c>
      <c r="I1671" t="s">
        <v>7307</v>
      </c>
      <c r="J1671" t="s">
        <v>12106</v>
      </c>
      <c r="L1671" t="s">
        <v>7314</v>
      </c>
      <c r="M1671" t="str">
        <f>"https://www.artic.edu/iiif/2/"&amp;Table9[[#This Row],[Image ID]]&amp;"/full/843,/0/default.jpg"</f>
        <v>https://www.artic.edu/iiif/2/4db3352c-491c-b70b-6ef6-2f8888eee987/full/843,/0/default.jpg</v>
      </c>
      <c r="N1671" s="3">
        <v>0.7</v>
      </c>
      <c r="O1671" s="3">
        <v>2.5000000000000001E-2</v>
      </c>
      <c r="P1671" s="3">
        <v>0.67499999999999993</v>
      </c>
      <c r="Q1671" s="3">
        <v>0.598036289215087</v>
      </c>
    </row>
    <row r="1672" spans="1:17" x14ac:dyDescent="0.45">
      <c r="A1672" s="3">
        <v>20692</v>
      </c>
      <c r="B1672" t="b">
        <v>0</v>
      </c>
      <c r="C1672" t="b">
        <v>1</v>
      </c>
      <c r="D1672" s="3">
        <v>1801</v>
      </c>
      <c r="E1672" s="3">
        <v>1811</v>
      </c>
      <c r="F1672" t="s">
        <v>5494</v>
      </c>
      <c r="G1672" t="s">
        <v>75</v>
      </c>
      <c r="H1672" s="3">
        <v>24.866499999999998</v>
      </c>
      <c r="I1672" t="s">
        <v>14559</v>
      </c>
      <c r="J1672" t="s">
        <v>12216</v>
      </c>
      <c r="L1672" t="s">
        <v>5495</v>
      </c>
      <c r="M1672" t="str">
        <f>"https://www.artic.edu/iiif/2/"&amp;Table9[[#This Row],[Image ID]]&amp;"/full/843,/0/default.jpg"</f>
        <v>https://www.artic.edu/iiif/2/54c19e3b-83f0-df0c-b85b-e410152cd8a0/full/843,/0/default.jpg</v>
      </c>
      <c r="N1672" s="3">
        <v>0.72499999999999998</v>
      </c>
      <c r="O1672" s="3">
        <v>0.05</v>
      </c>
      <c r="P1672" s="3">
        <v>0.67499999999999993</v>
      </c>
      <c r="Q1672" s="3">
        <v>0.84040641784667902</v>
      </c>
    </row>
    <row r="1673" spans="1:17" ht="85.5" x14ac:dyDescent="0.45">
      <c r="A1673" s="3">
        <v>109323</v>
      </c>
      <c r="B1673" t="b">
        <v>0</v>
      </c>
      <c r="C1673" t="b">
        <v>1</v>
      </c>
      <c r="D1673" s="3">
        <v>1560</v>
      </c>
      <c r="E1673" s="3">
        <v>1565</v>
      </c>
      <c r="F1673" t="s">
        <v>770</v>
      </c>
      <c r="G1673" t="s">
        <v>7</v>
      </c>
      <c r="H1673" s="3">
        <v>22.682400000000001</v>
      </c>
      <c r="I1673" t="s">
        <v>742</v>
      </c>
      <c r="J1673" s="1" t="s">
        <v>12330</v>
      </c>
      <c r="L1673" t="s">
        <v>771</v>
      </c>
      <c r="M1673" t="str">
        <f>"https://www.artic.edu/iiif/2/"&amp;Table9[[#This Row],[Image ID]]&amp;"/full/843,/0/default.jpg"</f>
        <v>https://www.artic.edu/iiif/2/5c9cfee1-4287-1494-dcf6-4a967c734a44/full/843,/0/default.jpg</v>
      </c>
      <c r="N1673" s="3">
        <v>0.82499999999999996</v>
      </c>
      <c r="O1673" s="3">
        <v>0.15</v>
      </c>
      <c r="P1673" s="3">
        <v>0.67499999999999993</v>
      </c>
      <c r="Q1673" s="3">
        <v>0.76839035749435403</v>
      </c>
    </row>
    <row r="1674" spans="1:17" x14ac:dyDescent="0.45">
      <c r="A1674" s="3">
        <v>115482</v>
      </c>
      <c r="B1674" t="b">
        <v>0</v>
      </c>
      <c r="C1674" t="b">
        <v>1</v>
      </c>
      <c r="D1674" s="3">
        <v>1719</v>
      </c>
      <c r="E1674" s="3">
        <v>1769</v>
      </c>
      <c r="F1674" t="s">
        <v>1920</v>
      </c>
      <c r="G1674" t="s">
        <v>1921</v>
      </c>
      <c r="H1674" s="3">
        <v>50.125300000000003</v>
      </c>
      <c r="I1674" t="s">
        <v>1922</v>
      </c>
      <c r="J1674" t="s">
        <v>12465</v>
      </c>
      <c r="L1674" t="s">
        <v>1923</v>
      </c>
      <c r="M1674" t="str">
        <f>"https://www.artic.edu/iiif/2/"&amp;Table9[[#This Row],[Image ID]]&amp;"/full/843,/0/default.jpg"</f>
        <v>https://www.artic.edu/iiif/2/65d8449d-cd62-9814-c3f2-a879bc1cc930/full/843,/0/default.jpg</v>
      </c>
      <c r="N1674" s="3">
        <v>0.72499999999999998</v>
      </c>
      <c r="O1674" s="3">
        <v>0.05</v>
      </c>
      <c r="P1674" s="3">
        <v>0.67499999999999993</v>
      </c>
      <c r="Q1674" s="3">
        <v>0.72503304481506303</v>
      </c>
    </row>
    <row r="1675" spans="1:17" x14ac:dyDescent="0.45">
      <c r="A1675" s="3">
        <v>21682</v>
      </c>
      <c r="B1675" t="b">
        <v>0</v>
      </c>
      <c r="C1675" t="b">
        <v>1</v>
      </c>
      <c r="D1675" s="3">
        <v>1625</v>
      </c>
      <c r="E1675" s="3">
        <v>1625</v>
      </c>
      <c r="F1675" t="s">
        <v>1397</v>
      </c>
      <c r="G1675" t="s">
        <v>75</v>
      </c>
      <c r="H1675" s="3">
        <v>21.628900000000002</v>
      </c>
      <c r="I1675" t="s">
        <v>5662</v>
      </c>
      <c r="J1675" t="s">
        <v>12954</v>
      </c>
      <c r="L1675" t="s">
        <v>5663</v>
      </c>
      <c r="M1675" t="str">
        <f>"https://www.artic.edu/iiif/2/"&amp;Table9[[#This Row],[Image ID]]&amp;"/full/843,/0/default.jpg"</f>
        <v>https://www.artic.edu/iiif/2/8ad05eb4-13ce-0421-4cb2-05046bfbde4d/full/843,/0/default.jpg</v>
      </c>
      <c r="N1675" s="3">
        <v>0.72499999999999998</v>
      </c>
      <c r="O1675" s="3">
        <v>0.05</v>
      </c>
      <c r="P1675" s="3">
        <v>0.67499999999999993</v>
      </c>
      <c r="Q1675" s="3">
        <v>0.630446076393127</v>
      </c>
    </row>
    <row r="1676" spans="1:17" x14ac:dyDescent="0.45">
      <c r="A1676" s="3">
        <v>22475</v>
      </c>
      <c r="B1676" t="b">
        <v>0</v>
      </c>
      <c r="C1676" t="b">
        <v>1</v>
      </c>
      <c r="D1676" s="3">
        <v>1790</v>
      </c>
      <c r="E1676" s="3">
        <v>1800</v>
      </c>
      <c r="F1676" t="s">
        <v>5887</v>
      </c>
      <c r="G1676" t="s">
        <v>7</v>
      </c>
      <c r="H1676" s="3">
        <v>29.832699999999999</v>
      </c>
      <c r="I1676" t="s">
        <v>5888</v>
      </c>
      <c r="J1676" t="s">
        <v>12958</v>
      </c>
      <c r="L1676" t="s">
        <v>5889</v>
      </c>
      <c r="M1676" t="str">
        <f>"https://www.artic.edu/iiif/2/"&amp;Table9[[#This Row],[Image ID]]&amp;"/full/843,/0/default.jpg"</f>
        <v>https://www.artic.edu/iiif/2/8b35cbd2-6947-81e4-47db-d9ee0808be41/full/843,/0/default.jpg</v>
      </c>
      <c r="N1676" s="3">
        <v>0.82499999999999996</v>
      </c>
      <c r="O1676" s="3">
        <v>0.15</v>
      </c>
      <c r="P1676" s="3">
        <v>0.67499999999999993</v>
      </c>
      <c r="Q1676" s="3">
        <v>0.76715791225433305</v>
      </c>
    </row>
    <row r="1677" spans="1:17" x14ac:dyDescent="0.45">
      <c r="A1677" s="3">
        <v>97887</v>
      </c>
      <c r="B1677" t="b">
        <v>0</v>
      </c>
      <c r="C1677" t="b">
        <v>1</v>
      </c>
      <c r="D1677" s="3">
        <v>1900</v>
      </c>
      <c r="E1677" s="3">
        <v>1900</v>
      </c>
      <c r="F1677" t="s">
        <v>10860</v>
      </c>
      <c r="G1677" t="s">
        <v>7</v>
      </c>
      <c r="H1677" s="3">
        <v>4.9843999999999999</v>
      </c>
      <c r="I1677" t="s">
        <v>192</v>
      </c>
      <c r="J1677" t="s">
        <v>11293</v>
      </c>
      <c r="L1677" t="s">
        <v>10861</v>
      </c>
      <c r="M1677" t="str">
        <f>"https://www.artic.edu/iiif/2/"&amp;Table9[[#This Row],[Image ID]]&amp;"/full/843,/0/default.jpg"</f>
        <v>https://www.artic.edu/iiif/2/aa787458-32e5-b9cf-09dc-cc48ab8403b6/full/843,/0/default.jpg</v>
      </c>
      <c r="N1677" s="3">
        <v>0.72499999999999998</v>
      </c>
      <c r="O1677" s="3">
        <v>0.05</v>
      </c>
      <c r="P1677" s="3">
        <v>0.67499999999999993</v>
      </c>
      <c r="Q1677" s="3">
        <v>0.81193083524703902</v>
      </c>
    </row>
    <row r="1678" spans="1:17" x14ac:dyDescent="0.45">
      <c r="A1678" s="3">
        <v>39184</v>
      </c>
      <c r="B1678" t="b">
        <v>0</v>
      </c>
      <c r="C1678" t="b">
        <v>1</v>
      </c>
      <c r="D1678" s="3">
        <v>1835</v>
      </c>
      <c r="E1678" s="3">
        <v>1882</v>
      </c>
      <c r="F1678" t="s">
        <v>7490</v>
      </c>
      <c r="G1678" t="s">
        <v>7491</v>
      </c>
      <c r="H1678" s="3">
        <v>25.6524</v>
      </c>
      <c r="I1678" t="s">
        <v>5317</v>
      </c>
      <c r="J1678" t="s">
        <v>13435</v>
      </c>
      <c r="L1678" t="s">
        <v>7492</v>
      </c>
      <c r="M1678" t="str">
        <f>"https://www.artic.edu/iiif/2/"&amp;Table9[[#This Row],[Image ID]]&amp;"/full/843,/0/default.jpg"</f>
        <v>https://www.artic.edu/iiif/2/af1fab5d-3bd4-744b-718e-37362d0e685a/full/843,/0/default.jpg</v>
      </c>
      <c r="N1678" s="3">
        <v>0.82499999999999996</v>
      </c>
      <c r="O1678" s="3">
        <v>0.15</v>
      </c>
      <c r="P1678" s="3">
        <v>0.67499999999999993</v>
      </c>
      <c r="Q1678" s="3">
        <v>0.79606020450591997</v>
      </c>
    </row>
    <row r="1679" spans="1:17" x14ac:dyDescent="0.45">
      <c r="A1679" s="3">
        <v>114336</v>
      </c>
      <c r="B1679" t="b">
        <v>0</v>
      </c>
      <c r="C1679" t="b">
        <v>1</v>
      </c>
      <c r="D1679" s="3">
        <v>1800</v>
      </c>
      <c r="E1679" s="3">
        <v>1899</v>
      </c>
      <c r="F1679" t="s">
        <v>1640</v>
      </c>
      <c r="G1679" t="s">
        <v>1641</v>
      </c>
      <c r="H1679" s="3">
        <v>44.183999999999997</v>
      </c>
      <c r="I1679" t="s">
        <v>16</v>
      </c>
      <c r="J1679" t="s">
        <v>13483</v>
      </c>
      <c r="L1679" t="s">
        <v>1642</v>
      </c>
      <c r="M1679" t="str">
        <f>"https://www.artic.edu/iiif/2/"&amp;Table9[[#This Row],[Image ID]]&amp;"/full/843,/0/default.jpg"</f>
        <v>https://www.artic.edu/iiif/2/b27208b7-1581-7a07-b76d-43a429b66cda/full/843,/0/default.jpg</v>
      </c>
      <c r="N1679" s="3">
        <v>0.82499999999999996</v>
      </c>
      <c r="O1679" s="3">
        <v>0.15</v>
      </c>
      <c r="P1679" s="3">
        <v>0.67499999999999993</v>
      </c>
      <c r="Q1679" s="3">
        <v>0.45899444818496699</v>
      </c>
    </row>
    <row r="1680" spans="1:17" x14ac:dyDescent="0.45">
      <c r="A1680" s="3">
        <v>16313</v>
      </c>
      <c r="B1680" t="b">
        <v>0</v>
      </c>
      <c r="C1680" t="b">
        <v>1</v>
      </c>
      <c r="D1680" s="3">
        <v>1490</v>
      </c>
      <c r="E1680" s="3">
        <v>1500</v>
      </c>
      <c r="F1680" t="s">
        <v>4355</v>
      </c>
      <c r="G1680" t="s">
        <v>75</v>
      </c>
      <c r="H1680" s="3">
        <v>52.176299999999998</v>
      </c>
      <c r="I1680" t="s">
        <v>1007</v>
      </c>
      <c r="J1680" t="s">
        <v>13746</v>
      </c>
      <c r="L1680" t="s">
        <v>4356</v>
      </c>
      <c r="M1680" t="str">
        <f>"https://www.artic.edu/iiif/2/"&amp;Table9[[#This Row],[Image ID]]&amp;"/full/843,/0/default.jpg"</f>
        <v>https://www.artic.edu/iiif/2/c7bdf016-c678-e0f0-13d0-eb8196d5159f/full/843,/0/default.jpg</v>
      </c>
      <c r="N1680" s="3">
        <v>0.72499999999999998</v>
      </c>
      <c r="O1680" s="3">
        <v>0.05</v>
      </c>
      <c r="P1680" s="3">
        <v>0.67499999999999993</v>
      </c>
      <c r="Q1680" s="3">
        <v>0.69564682245254505</v>
      </c>
    </row>
    <row r="1681" spans="1:17" x14ac:dyDescent="0.45">
      <c r="A1681" s="3">
        <v>16183</v>
      </c>
      <c r="B1681" t="b">
        <v>0</v>
      </c>
      <c r="C1681" t="b">
        <v>1</v>
      </c>
      <c r="D1681" s="3">
        <v>1476</v>
      </c>
      <c r="E1681" s="3">
        <v>1476</v>
      </c>
      <c r="F1681" t="s">
        <v>4296</v>
      </c>
      <c r="G1681" t="s">
        <v>103</v>
      </c>
      <c r="H1681" s="3">
        <v>50.244199999999999</v>
      </c>
      <c r="I1681" t="s">
        <v>4294</v>
      </c>
      <c r="J1681" t="s">
        <v>13751</v>
      </c>
      <c r="L1681" t="s">
        <v>4297</v>
      </c>
      <c r="M1681" t="str">
        <f>"https://www.artic.edu/iiif/2/"&amp;Table9[[#This Row],[Image ID]]&amp;"/full/843,/0/default.jpg"</f>
        <v>https://www.artic.edu/iiif/2/c8111709-059f-0a65-cc42-a7bee4cfd79e/full/843,/0/default.jpg</v>
      </c>
      <c r="N1681" s="3">
        <v>0.7</v>
      </c>
      <c r="O1681" s="3">
        <v>2.5000000000000001E-2</v>
      </c>
      <c r="P1681" s="3">
        <v>0.67499999999999993</v>
      </c>
      <c r="Q1681" s="3">
        <v>0.73341941833496005</v>
      </c>
    </row>
    <row r="1682" spans="1:17" x14ac:dyDescent="0.45">
      <c r="A1682" s="3">
        <v>35259</v>
      </c>
      <c r="B1682" t="b">
        <v>0</v>
      </c>
      <c r="C1682" t="b">
        <v>1</v>
      </c>
      <c r="D1682" s="3">
        <v>1855</v>
      </c>
      <c r="E1682" s="3">
        <v>1865</v>
      </c>
      <c r="F1682" t="s">
        <v>7172</v>
      </c>
      <c r="G1682" t="s">
        <v>7</v>
      </c>
      <c r="H1682" s="3">
        <v>0</v>
      </c>
      <c r="I1682" t="s">
        <v>7173</v>
      </c>
      <c r="J1682" t="s">
        <v>13976</v>
      </c>
      <c r="L1682" t="s">
        <v>7174</v>
      </c>
      <c r="M1682" t="str">
        <f>"https://www.artic.edu/iiif/2/"&amp;Table9[[#This Row],[Image ID]]&amp;"/full/843,/0/default.jpg"</f>
        <v>https://www.artic.edu/iiif/2/d9cf4060-4c56-5e66-3f18-fde22e19b924/full/843,/0/default.jpg</v>
      </c>
      <c r="N1682" s="3">
        <v>0.7</v>
      </c>
      <c r="O1682" s="3">
        <v>2.5000000000000001E-2</v>
      </c>
      <c r="P1682" s="3">
        <v>0.67499999999999993</v>
      </c>
      <c r="Q1682" s="3">
        <v>0.55496275424957198</v>
      </c>
    </row>
    <row r="1683" spans="1:17" x14ac:dyDescent="0.45">
      <c r="A1683" s="3">
        <v>117537</v>
      </c>
      <c r="B1683" t="b">
        <v>0</v>
      </c>
      <c r="C1683" t="b">
        <v>1</v>
      </c>
      <c r="D1683" s="3">
        <v>1770</v>
      </c>
      <c r="E1683" s="3">
        <v>1824</v>
      </c>
      <c r="F1683" t="s">
        <v>904</v>
      </c>
      <c r="G1683" t="s">
        <v>2356</v>
      </c>
      <c r="H1683" s="3">
        <v>37.084299999999999</v>
      </c>
      <c r="I1683" t="s">
        <v>733</v>
      </c>
      <c r="J1683" t="s">
        <v>13990</v>
      </c>
      <c r="L1683" t="s">
        <v>2357</v>
      </c>
      <c r="M1683" t="str">
        <f>"https://www.artic.edu/iiif/2/"&amp;Table9[[#This Row],[Image ID]]&amp;"/full/843,/0/default.jpg"</f>
        <v>https://www.artic.edu/iiif/2/db0720b9-deb4-621a-2aac-088e07512a5b/full/843,/0/default.jpg</v>
      </c>
      <c r="N1683" s="3">
        <v>0.7</v>
      </c>
      <c r="O1683" s="3">
        <v>2.5000000000000001E-2</v>
      </c>
      <c r="P1683" s="3">
        <v>0.67499999999999993</v>
      </c>
      <c r="Q1683" s="3">
        <v>0.77782803773880005</v>
      </c>
    </row>
    <row r="1684" spans="1:17" x14ac:dyDescent="0.45">
      <c r="A1684" s="3">
        <v>115507</v>
      </c>
      <c r="B1684" t="b">
        <v>0</v>
      </c>
      <c r="C1684" t="b">
        <v>1</v>
      </c>
      <c r="D1684" s="3">
        <v>1719</v>
      </c>
      <c r="E1684" s="3">
        <v>1769</v>
      </c>
      <c r="F1684" t="s">
        <v>1984</v>
      </c>
      <c r="G1684" t="s">
        <v>1985</v>
      </c>
      <c r="H1684" s="3">
        <v>26.200199999999999</v>
      </c>
      <c r="I1684" t="s">
        <v>1922</v>
      </c>
      <c r="J1684" t="s">
        <v>14057</v>
      </c>
      <c r="L1684" t="s">
        <v>1986</v>
      </c>
      <c r="M1684" t="str">
        <f>"https://www.artic.edu/iiif/2/"&amp;Table9[[#This Row],[Image ID]]&amp;"/full/843,/0/default.jpg"</f>
        <v>https://www.artic.edu/iiif/2/dfcb4598-996e-2205-f7a5-6c5186a05e35/full/843,/0/default.jpg</v>
      </c>
      <c r="N1684" s="3">
        <v>0.72499999999999998</v>
      </c>
      <c r="O1684" s="3">
        <v>0.05</v>
      </c>
      <c r="P1684" s="3">
        <v>0.67499999999999993</v>
      </c>
      <c r="Q1684" s="3">
        <v>0.81058108806610096</v>
      </c>
    </row>
    <row r="1685" spans="1:17" x14ac:dyDescent="0.45">
      <c r="A1685" s="3">
        <v>27027</v>
      </c>
      <c r="B1685" t="b">
        <v>0</v>
      </c>
      <c r="C1685" t="b">
        <v>1</v>
      </c>
      <c r="D1685" s="3">
        <v>1864</v>
      </c>
      <c r="E1685" s="3">
        <v>1874</v>
      </c>
      <c r="F1685" t="s">
        <v>6695</v>
      </c>
      <c r="G1685" t="s">
        <v>7</v>
      </c>
      <c r="H1685" s="3">
        <v>26.005600000000001</v>
      </c>
      <c r="I1685" t="s">
        <v>3971</v>
      </c>
      <c r="J1685" t="s">
        <v>14077</v>
      </c>
      <c r="L1685" t="s">
        <v>6696</v>
      </c>
      <c r="M1685" t="str">
        <f>"https://www.artic.edu/iiif/2/"&amp;Table9[[#This Row],[Image ID]]&amp;"/full/843,/0/default.jpg"</f>
        <v>https://www.artic.edu/iiif/2/e0f47937-a1ee-76b4-6505-35a33119a634/full/843,/0/default.jpg</v>
      </c>
      <c r="N1685" s="3">
        <v>0.72499999999999998</v>
      </c>
      <c r="O1685" s="3">
        <v>0.05</v>
      </c>
      <c r="P1685" s="3">
        <v>0.67499999999999993</v>
      </c>
      <c r="Q1685" s="3">
        <v>0.55280870199203402</v>
      </c>
    </row>
    <row r="1686" spans="1:17" x14ac:dyDescent="0.45">
      <c r="A1686" s="3">
        <v>65011</v>
      </c>
      <c r="B1686" t="b">
        <v>0</v>
      </c>
      <c r="C1686" t="b">
        <v>1</v>
      </c>
      <c r="D1686" s="3">
        <v>1872</v>
      </c>
      <c r="E1686" s="3">
        <v>1878</v>
      </c>
      <c r="F1686" t="s">
        <v>9021</v>
      </c>
      <c r="G1686" t="s">
        <v>7</v>
      </c>
      <c r="H1686" s="3">
        <v>25.349499999999999</v>
      </c>
      <c r="I1686" t="s">
        <v>2438</v>
      </c>
      <c r="J1686" t="s">
        <v>14242</v>
      </c>
      <c r="L1686" t="s">
        <v>9022</v>
      </c>
      <c r="M1686" t="str">
        <f>"https://www.artic.edu/iiif/2/"&amp;Table9[[#This Row],[Image ID]]&amp;"/full/843,/0/default.jpg"</f>
        <v>https://www.artic.edu/iiif/2/eb55340f-ed2a-c068-e1fb-b51b60d9bbda/full/843,/0/default.jpg</v>
      </c>
      <c r="N1686" s="3">
        <v>0.7</v>
      </c>
      <c r="O1686" s="3">
        <v>2.5000000000000001E-2</v>
      </c>
      <c r="P1686" s="3">
        <v>0.67499999999999993</v>
      </c>
      <c r="Q1686" s="3">
        <v>0.57104283571243197</v>
      </c>
    </row>
    <row r="1687" spans="1:17" x14ac:dyDescent="0.45">
      <c r="A1687" s="3">
        <v>81515</v>
      </c>
      <c r="B1687" t="b">
        <v>0</v>
      </c>
      <c r="C1687" t="b">
        <v>1</v>
      </c>
      <c r="D1687" s="3">
        <v>1868</v>
      </c>
      <c r="E1687" s="3">
        <v>1872</v>
      </c>
      <c r="F1687" t="s">
        <v>10108</v>
      </c>
      <c r="G1687" t="s">
        <v>75</v>
      </c>
      <c r="H1687" s="3">
        <v>30.819700000000001</v>
      </c>
      <c r="I1687" t="s">
        <v>14668</v>
      </c>
      <c r="J1687" t="s">
        <v>14354</v>
      </c>
      <c r="L1687" t="s">
        <v>10109</v>
      </c>
      <c r="M1687" t="str">
        <f>"https://www.artic.edu/iiif/2/"&amp;Table9[[#This Row],[Image ID]]&amp;"/full/843,/0/default.jpg"</f>
        <v>https://www.artic.edu/iiif/2/f2bc893e-3b1a-62c9-0862-035f19cf405a/full/843,/0/default.jpg</v>
      </c>
      <c r="N1687" s="3">
        <v>0.72499999999999998</v>
      </c>
      <c r="O1687" s="3">
        <v>0.05</v>
      </c>
      <c r="P1687" s="3">
        <v>0.67499999999999993</v>
      </c>
      <c r="Q1687" s="3">
        <v>0.74420398473739602</v>
      </c>
    </row>
    <row r="1688" spans="1:17" ht="409.5" x14ac:dyDescent="0.45">
      <c r="A1688" s="3">
        <v>111444</v>
      </c>
      <c r="B1688" t="b">
        <v>0</v>
      </c>
      <c r="C1688" t="b">
        <v>1</v>
      </c>
      <c r="D1688" s="3">
        <v>1400</v>
      </c>
      <c r="E1688" s="3">
        <v>1500</v>
      </c>
      <c r="F1688" t="s">
        <v>1106</v>
      </c>
      <c r="G1688" t="s">
        <v>103</v>
      </c>
      <c r="I1688" t="s">
        <v>1107</v>
      </c>
      <c r="J1688" s="1" t="s">
        <v>14405</v>
      </c>
      <c r="L1688" t="s">
        <v>1108</v>
      </c>
      <c r="M1688" t="str">
        <f>"https://www.artic.edu/iiif/2/"&amp;Table9[[#This Row],[Image ID]]&amp;"/full/843,/0/default.jpg"</f>
        <v>https://www.artic.edu/iiif/2/f67ea925-dddf-0bf5-50af-fa9557b849ef/full/843,/0/default.jpg</v>
      </c>
      <c r="N1688" s="3">
        <v>0.7</v>
      </c>
      <c r="O1688" s="3">
        <v>2.5000000000000001E-2</v>
      </c>
      <c r="P1688" s="3">
        <v>0.67499999999999993</v>
      </c>
      <c r="Q1688" s="3">
        <v>0.81154304742813099</v>
      </c>
    </row>
    <row r="1689" spans="1:17" x14ac:dyDescent="0.45">
      <c r="A1689" s="3">
        <v>45282</v>
      </c>
      <c r="B1689" t="b">
        <v>0</v>
      </c>
      <c r="C1689" t="b">
        <v>0</v>
      </c>
      <c r="D1689" s="3">
        <v>1952</v>
      </c>
      <c r="E1689" s="3">
        <v>1952</v>
      </c>
      <c r="F1689" t="s">
        <v>7842</v>
      </c>
      <c r="G1689" t="s">
        <v>7841</v>
      </c>
      <c r="H1689" s="3">
        <v>15.950799999999999</v>
      </c>
      <c r="I1689" t="s">
        <v>7840</v>
      </c>
      <c r="J1689" t="s">
        <v>12376</v>
      </c>
      <c r="L1689" t="s">
        <v>7843</v>
      </c>
      <c r="M1689" t="str">
        <f>"https://www.artic.edu/iiif/2/"&amp;Table9[[#This Row],[Image ID]]&amp;"/full/843,/0/default.jpg"</f>
        <v>https://www.artic.edu/iiif/2/5fe5252f-c668-45bb-7069-54ac9a546014/full/843,/0/default.jpg</v>
      </c>
      <c r="N1689" s="3">
        <v>0.90700000000000003</v>
      </c>
      <c r="O1689" s="3">
        <v>0.23300000000000001</v>
      </c>
      <c r="P1689" s="3">
        <v>0.67400000000000004</v>
      </c>
      <c r="Q1689" s="3">
        <v>0.55769658088684004</v>
      </c>
    </row>
    <row r="1690" spans="1:17" x14ac:dyDescent="0.45">
      <c r="A1690" s="3">
        <v>258588</v>
      </c>
      <c r="B1690" t="b">
        <v>0</v>
      </c>
      <c r="C1690" t="b">
        <v>0</v>
      </c>
      <c r="D1690" s="3">
        <v>1964</v>
      </c>
      <c r="E1690" s="3">
        <v>1964</v>
      </c>
      <c r="F1690" t="s">
        <v>11</v>
      </c>
      <c r="G1690" t="s">
        <v>6643</v>
      </c>
      <c r="H1690" s="3">
        <v>6.7111999999999998</v>
      </c>
      <c r="I1690" t="s">
        <v>6324</v>
      </c>
      <c r="J1690" t="s">
        <v>6646</v>
      </c>
      <c r="K1690" s="5" t="s">
        <v>6644</v>
      </c>
      <c r="L1690" t="s">
        <v>6645</v>
      </c>
      <c r="M1690" t="str">
        <f>"https://www.artic.edu/iiif/2/"&amp;Table9[[#This Row],[Image ID]]&amp;"/full/843,/0/default.jpg"</f>
        <v>https://www.artic.edu/iiif/2/c0336616-0e02-20f7-ff4d-e86fd9578de6/full/843,/0/default.jpg</v>
      </c>
      <c r="N1690" s="3">
        <v>0.76700000000000002</v>
      </c>
      <c r="O1690" s="3">
        <v>9.2999999999999999E-2</v>
      </c>
      <c r="P1690" s="3">
        <v>0.67400000000000004</v>
      </c>
      <c r="Q1690" s="3">
        <v>0.73068839311599698</v>
      </c>
    </row>
    <row r="1691" spans="1:17" x14ac:dyDescent="0.45">
      <c r="A1691" s="3">
        <v>84248</v>
      </c>
      <c r="B1691" t="b">
        <v>0</v>
      </c>
      <c r="C1691" t="b">
        <v>0</v>
      </c>
      <c r="D1691" s="3">
        <v>1945</v>
      </c>
      <c r="E1691" s="3">
        <v>1945</v>
      </c>
      <c r="F1691" t="s">
        <v>10281</v>
      </c>
      <c r="G1691" t="s">
        <v>7</v>
      </c>
      <c r="H1691" s="3">
        <v>45.610599999999998</v>
      </c>
      <c r="I1691" t="s">
        <v>1461</v>
      </c>
      <c r="J1691" t="s">
        <v>13853</v>
      </c>
      <c r="L1691" t="s">
        <v>10282</v>
      </c>
      <c r="M1691" t="str">
        <f>"https://www.artic.edu/iiif/2/"&amp;Table9[[#This Row],[Image ID]]&amp;"/full/843,/0/default.jpg"</f>
        <v>https://www.artic.edu/iiif/2/d0caaaab-50cd-f335-3b64-5f5135ca7cb9/full/843,/0/default.jpg</v>
      </c>
      <c r="N1691" s="3">
        <v>0.67400000000000004</v>
      </c>
      <c r="O1691" s="3">
        <v>0</v>
      </c>
      <c r="P1691" s="3">
        <v>0.67400000000000004</v>
      </c>
      <c r="Q1691" s="3">
        <v>0.600558280944824</v>
      </c>
    </row>
    <row r="1692" spans="1:17" x14ac:dyDescent="0.45">
      <c r="A1692" s="3">
        <v>152760</v>
      </c>
      <c r="B1692" t="b">
        <v>0</v>
      </c>
      <c r="C1692" t="b">
        <v>0</v>
      </c>
      <c r="D1692" s="3">
        <v>1989</v>
      </c>
      <c r="E1692" s="3">
        <v>1999</v>
      </c>
      <c r="F1692" t="s">
        <v>3914</v>
      </c>
      <c r="G1692" t="s">
        <v>3915</v>
      </c>
      <c r="H1692" s="3">
        <v>67.856399999999994</v>
      </c>
      <c r="I1692" t="s">
        <v>62</v>
      </c>
      <c r="J1692" t="s">
        <v>12521</v>
      </c>
      <c r="L1692" t="s">
        <v>3926</v>
      </c>
      <c r="M1692" t="str">
        <f>"https://www.artic.edu/iiif/2/"&amp;Table9[[#This Row],[Image ID]]&amp;"/full/843,/0/default.jpg"</f>
        <v>https://www.artic.edu/iiif/2/6a429252-c5c6-f60e-18e4-ac47614d2198/full/843,/0/default.jpg</v>
      </c>
      <c r="N1692" s="3">
        <v>0.81399999999999995</v>
      </c>
      <c r="O1692" s="3">
        <v>0.14000000000000001</v>
      </c>
      <c r="P1692" s="3">
        <v>0.67399999999999993</v>
      </c>
      <c r="Q1692" s="3">
        <v>0.92526388168334905</v>
      </c>
    </row>
    <row r="1693" spans="1:17" x14ac:dyDescent="0.45">
      <c r="A1693" s="3">
        <v>14710</v>
      </c>
      <c r="B1693" t="b">
        <v>0</v>
      </c>
      <c r="C1693" t="b">
        <v>1</v>
      </c>
      <c r="D1693" s="3">
        <v>1301</v>
      </c>
      <c r="E1693" s="3">
        <v>1400</v>
      </c>
      <c r="F1693" t="s">
        <v>3586</v>
      </c>
      <c r="G1693" t="s">
        <v>584</v>
      </c>
      <c r="H1693" s="3">
        <v>55.795400000000001</v>
      </c>
      <c r="J1693" t="s">
        <v>13391</v>
      </c>
      <c r="K1693" s="5" t="s">
        <v>278</v>
      </c>
      <c r="L1693" t="s">
        <v>3587</v>
      </c>
      <c r="M1693" t="str">
        <f>"https://www.artic.edu/iiif/2/"&amp;Table9[[#This Row],[Image ID]]&amp;"/full/843,/0/default.jpg"</f>
        <v>https://www.artic.edu/iiif/2/abb59b00-7381-c26f-f862-ad783839fe95/full/843,/0/default.jpg</v>
      </c>
      <c r="N1693" s="3">
        <v>0.74399999999999999</v>
      </c>
      <c r="O1693" s="3">
        <v>7.0000000000000007E-2</v>
      </c>
      <c r="P1693" s="3">
        <v>0.67399999999999993</v>
      </c>
      <c r="Q1693" s="3">
        <v>0.84070420265197698</v>
      </c>
    </row>
    <row r="1694" spans="1:17" x14ac:dyDescent="0.45">
      <c r="A1694" s="3">
        <v>113068</v>
      </c>
      <c r="B1694" t="b">
        <v>0</v>
      </c>
      <c r="C1694" t="b">
        <v>1</v>
      </c>
      <c r="D1694" s="3">
        <v>1879</v>
      </c>
      <c r="E1694" s="3">
        <v>1891</v>
      </c>
      <c r="F1694" t="s">
        <v>1342</v>
      </c>
      <c r="G1694" t="s">
        <v>1343</v>
      </c>
      <c r="H1694" s="3">
        <v>24.783000000000001</v>
      </c>
      <c r="I1694" t="s">
        <v>1168</v>
      </c>
      <c r="J1694" t="s">
        <v>14523</v>
      </c>
      <c r="L1694" t="s">
        <v>1344</v>
      </c>
      <c r="M1694" t="str">
        <f>"https://www.artic.edu/iiif/2/"&amp;Table9[[#This Row],[Image ID]]&amp;"/full/843,/0/default.jpg"</f>
        <v>https://www.artic.edu/iiif/2/fecfd001-4764-0f08-8379-7672a750f7fe/full/843,/0/default.jpg</v>
      </c>
      <c r="N1694" s="3">
        <v>0.81399999999999995</v>
      </c>
      <c r="O1694" s="3">
        <v>0.14000000000000001</v>
      </c>
      <c r="P1694" s="3">
        <v>0.67399999999999993</v>
      </c>
      <c r="Q1694" s="3">
        <v>0.45331823825836098</v>
      </c>
    </row>
    <row r="1695" spans="1:17" x14ac:dyDescent="0.45">
      <c r="A1695" s="3">
        <v>24674</v>
      </c>
      <c r="B1695" t="b">
        <v>0</v>
      </c>
      <c r="C1695" t="b">
        <v>1</v>
      </c>
      <c r="D1695" s="3">
        <v>1655</v>
      </c>
      <c r="E1695" s="3">
        <v>1665</v>
      </c>
      <c r="F1695" t="s">
        <v>6419</v>
      </c>
      <c r="G1695" t="s">
        <v>7</v>
      </c>
      <c r="H1695" s="3">
        <v>31.952999999999999</v>
      </c>
      <c r="I1695" t="s">
        <v>6420</v>
      </c>
      <c r="J1695" t="s">
        <v>13724</v>
      </c>
      <c r="L1695" t="s">
        <v>6421</v>
      </c>
      <c r="M1695" t="str">
        <f>"https://www.artic.edu/iiif/2/"&amp;Table9[[#This Row],[Image ID]]&amp;"/full/843,/0/default.jpg"</f>
        <v>https://www.artic.edu/iiif/2/c68a078e-b4c1-7ea8-d37a-a30c7c28f94e/full/843,/0/default.jpg</v>
      </c>
      <c r="N1695" s="3">
        <v>0.73799999999999999</v>
      </c>
      <c r="O1695" s="3">
        <v>7.0000000000000007E-2</v>
      </c>
      <c r="P1695" s="3">
        <v>0.66799999999999993</v>
      </c>
      <c r="Q1695" s="3">
        <v>0.62719386816024703</v>
      </c>
    </row>
    <row r="1696" spans="1:17" x14ac:dyDescent="0.45">
      <c r="A1696" s="3">
        <v>15260</v>
      </c>
      <c r="B1696" t="b">
        <v>0</v>
      </c>
      <c r="C1696" t="b">
        <v>1</v>
      </c>
      <c r="D1696" s="3">
        <v>1605</v>
      </c>
      <c r="E1696" s="3">
        <v>1610</v>
      </c>
      <c r="F1696" t="s">
        <v>3896</v>
      </c>
      <c r="G1696" t="s">
        <v>75</v>
      </c>
      <c r="H1696" s="3">
        <v>4.9356</v>
      </c>
      <c r="I1696" t="s">
        <v>3897</v>
      </c>
      <c r="J1696" t="s">
        <v>14146</v>
      </c>
      <c r="L1696" t="s">
        <v>3898</v>
      </c>
      <c r="M1696" t="str">
        <f>"https://www.artic.edu/iiif/2/"&amp;Table9[[#This Row],[Image ID]]&amp;"/full/843,/0/default.jpg"</f>
        <v>https://www.artic.edu/iiif/2/e4b6a24a-e65b-b8e2-b41c-93dae28d86c3/full/843,/0/default.jpg</v>
      </c>
      <c r="N1696" s="3">
        <v>0.73799999999999999</v>
      </c>
      <c r="O1696" s="3">
        <v>7.0000000000000007E-2</v>
      </c>
      <c r="P1696" s="3">
        <v>0.66799999999999993</v>
      </c>
      <c r="Q1696" s="3">
        <v>0.61352962255477905</v>
      </c>
    </row>
    <row r="1697" spans="1:17" x14ac:dyDescent="0.45">
      <c r="A1697" s="3">
        <v>57167</v>
      </c>
      <c r="B1697" t="b">
        <v>0</v>
      </c>
      <c r="C1697" t="b">
        <v>0</v>
      </c>
      <c r="D1697" s="3">
        <v>1945</v>
      </c>
      <c r="E1697" s="3">
        <v>1966</v>
      </c>
      <c r="F1697" t="s">
        <v>8476</v>
      </c>
      <c r="G1697" t="s">
        <v>4774</v>
      </c>
      <c r="H1697" s="3">
        <v>22.088100000000001</v>
      </c>
      <c r="I1697" t="s">
        <v>8477</v>
      </c>
      <c r="J1697" t="s">
        <v>11030</v>
      </c>
      <c r="L1697" t="s">
        <v>8478</v>
      </c>
      <c r="M1697" t="str">
        <f>"https://www.artic.edu/iiif/2/"&amp;Table9[[#This Row],[Image ID]]&amp;"/full/843,/0/default.jpg"</f>
        <v>https://www.artic.edu/iiif/2/03e4aa53-7b4e-4354-5cde-dc60722f2057/full/843,/0/default.jpg</v>
      </c>
      <c r="N1697" s="3">
        <v>0.73799999999999999</v>
      </c>
      <c r="O1697" s="3">
        <v>7.0999999999999994E-2</v>
      </c>
      <c r="P1697" s="3">
        <v>0.66700000000000004</v>
      </c>
      <c r="Q1697" s="3">
        <v>0.73453134298324496</v>
      </c>
    </row>
    <row r="1698" spans="1:17" x14ac:dyDescent="0.45">
      <c r="A1698" s="3">
        <v>3541</v>
      </c>
      <c r="B1698" t="b">
        <v>0</v>
      </c>
      <c r="C1698" t="b">
        <v>0</v>
      </c>
      <c r="D1698" s="3">
        <v>1906</v>
      </c>
      <c r="E1698" s="3">
        <v>1906</v>
      </c>
      <c r="F1698" t="s">
        <v>7183</v>
      </c>
      <c r="G1698" t="s">
        <v>7</v>
      </c>
      <c r="H1698" s="3">
        <v>32.113500000000002</v>
      </c>
      <c r="I1698" t="s">
        <v>440</v>
      </c>
      <c r="J1698" t="s">
        <v>11225</v>
      </c>
      <c r="K1698" s="5" t="s">
        <v>9</v>
      </c>
      <c r="L1698" t="s">
        <v>7184</v>
      </c>
      <c r="M1698" t="str">
        <f>"https://www.artic.edu/iiif/2/"&amp;Table9[[#This Row],[Image ID]]&amp;"/full/843,/0/default.jpg"</f>
        <v>https://www.artic.edu/iiif/2/128c88c2-26a6-3ce4-830b-8578eb878cd9/full/843,/0/default.jpg</v>
      </c>
      <c r="N1698" s="3">
        <v>0.76200000000000001</v>
      </c>
      <c r="O1698" s="3">
        <v>9.5000000000000001E-2</v>
      </c>
      <c r="P1698" s="3">
        <v>0.66700000000000004</v>
      </c>
      <c r="Q1698" s="3">
        <v>0.86194169521331698</v>
      </c>
    </row>
    <row r="1699" spans="1:17" x14ac:dyDescent="0.45">
      <c r="A1699" s="3">
        <v>29156</v>
      </c>
      <c r="B1699" t="b">
        <v>0</v>
      </c>
      <c r="C1699" t="b">
        <v>0</v>
      </c>
      <c r="D1699" s="3">
        <v>1960</v>
      </c>
      <c r="E1699" s="3">
        <v>1968</v>
      </c>
      <c r="F1699" t="s">
        <v>6885</v>
      </c>
      <c r="G1699" t="s">
        <v>608</v>
      </c>
      <c r="H1699" s="3">
        <v>70.959800000000001</v>
      </c>
      <c r="I1699" t="s">
        <v>2287</v>
      </c>
      <c r="J1699" t="s">
        <v>11320</v>
      </c>
      <c r="L1699" t="s">
        <v>6886</v>
      </c>
      <c r="M1699" t="str">
        <f>"https://www.artic.edu/iiif/2/"&amp;Table9[[#This Row],[Image ID]]&amp;"/full/843,/0/default.jpg"</f>
        <v>https://www.artic.edu/iiif/2/197e4d0c-4f34-3193-c609-4b442be816e5/full/843,/0/default.jpg</v>
      </c>
      <c r="N1699" s="3">
        <v>0.73799999999999999</v>
      </c>
      <c r="O1699" s="3">
        <v>7.0999999999999994E-2</v>
      </c>
      <c r="P1699" s="3">
        <v>0.66700000000000004</v>
      </c>
      <c r="Q1699" s="3">
        <v>0.81671077013015703</v>
      </c>
    </row>
    <row r="1700" spans="1:17" x14ac:dyDescent="0.45">
      <c r="A1700" s="3">
        <v>102581</v>
      </c>
      <c r="B1700" t="b">
        <v>0</v>
      </c>
      <c r="C1700" t="b">
        <v>0</v>
      </c>
      <c r="D1700" s="3">
        <v>1952</v>
      </c>
      <c r="E1700" s="3">
        <v>1952</v>
      </c>
      <c r="F1700" t="s">
        <v>268</v>
      </c>
      <c r="G1700" t="s">
        <v>7</v>
      </c>
      <c r="H1700" s="3">
        <v>7.9444999999999997</v>
      </c>
      <c r="I1700" t="s">
        <v>269</v>
      </c>
      <c r="J1700" t="s">
        <v>12210</v>
      </c>
      <c r="L1700" t="s">
        <v>270</v>
      </c>
      <c r="M1700" t="str">
        <f>"https://www.artic.edu/iiif/2/"&amp;Table9[[#This Row],[Image ID]]&amp;"/full/843,/0/default.jpg"</f>
        <v>https://www.artic.edu/iiif/2/54a90528-63ed-1591-e3eb-2113109fc747/full/843,/0/default.jpg</v>
      </c>
      <c r="N1700" s="3">
        <v>0.78600000000000003</v>
      </c>
      <c r="O1700" s="3">
        <v>0.11899999999999999</v>
      </c>
      <c r="P1700" s="3">
        <v>0.66700000000000004</v>
      </c>
      <c r="Q1700" s="3">
        <v>0.72918522357940596</v>
      </c>
    </row>
    <row r="1701" spans="1:17" x14ac:dyDescent="0.45">
      <c r="A1701" s="3">
        <v>184939</v>
      </c>
      <c r="B1701" t="b">
        <v>0</v>
      </c>
      <c r="C1701" t="b">
        <v>0</v>
      </c>
      <c r="D1701" s="3">
        <v>2003</v>
      </c>
      <c r="E1701" s="3">
        <v>2003</v>
      </c>
      <c r="F1701" t="s">
        <v>4926</v>
      </c>
      <c r="G1701" t="s">
        <v>4823</v>
      </c>
      <c r="H1701" s="3">
        <v>8.5222999999999995</v>
      </c>
      <c r="I1701" t="s">
        <v>293</v>
      </c>
      <c r="J1701" t="s">
        <v>10977</v>
      </c>
      <c r="K1701" s="5" t="s">
        <v>15</v>
      </c>
      <c r="L1701" t="s">
        <v>4927</v>
      </c>
      <c r="M1701" t="str">
        <f>"https://www.artic.edu/iiif/2/"&amp;Table9[[#This Row],[Image ID]]&amp;"/full/843,/0/default.jpg"</f>
        <v>https://www.artic.edu/iiif/2/a6f52fa2-ece5-1af2-d0ee-22008f60fa5e/full/843,/0/default.jpg</v>
      </c>
      <c r="N1701" s="3">
        <v>0.78600000000000003</v>
      </c>
      <c r="O1701" s="3">
        <v>0.11899999999999999</v>
      </c>
      <c r="P1701" s="3">
        <v>0.66700000000000004</v>
      </c>
      <c r="Q1701" s="3">
        <v>0.79834371805190996</v>
      </c>
    </row>
    <row r="1702" spans="1:17" x14ac:dyDescent="0.45">
      <c r="A1702" s="3">
        <v>86953</v>
      </c>
      <c r="B1702" t="b">
        <v>0</v>
      </c>
      <c r="C1702" t="b">
        <v>0</v>
      </c>
      <c r="D1702" s="3">
        <v>1937</v>
      </c>
      <c r="E1702" s="3">
        <v>1937</v>
      </c>
      <c r="F1702" t="s">
        <v>1653</v>
      </c>
      <c r="G1702" t="s">
        <v>5975</v>
      </c>
      <c r="H1702" s="3">
        <v>14.6753</v>
      </c>
      <c r="I1702" t="s">
        <v>2946</v>
      </c>
      <c r="J1702" t="s">
        <v>11735</v>
      </c>
      <c r="K1702" s="5" t="s">
        <v>45</v>
      </c>
      <c r="L1702" t="s">
        <v>10356</v>
      </c>
      <c r="M1702" t="str">
        <f>"https://www.artic.edu/iiif/2/"&amp;Table9[[#This Row],[Image ID]]&amp;"/full/843,/0/default.jpg"</f>
        <v>https://www.artic.edu/iiif/2/e78894c9-ee7a-d4b2-6d7f-1493432cb726/full/843,/0/default.jpg</v>
      </c>
      <c r="N1702" s="3">
        <v>0.76200000000000001</v>
      </c>
      <c r="O1702" s="3">
        <v>9.5000000000000001E-2</v>
      </c>
      <c r="P1702" s="3">
        <v>0.66700000000000004</v>
      </c>
      <c r="Q1702" s="3">
        <v>0.53975683450698797</v>
      </c>
    </row>
    <row r="1703" spans="1:17" x14ac:dyDescent="0.45">
      <c r="A1703" s="3">
        <v>251573</v>
      </c>
      <c r="B1703" t="b">
        <v>0</v>
      </c>
      <c r="C1703" t="b">
        <v>0</v>
      </c>
      <c r="D1703" s="3">
        <v>2006</v>
      </c>
      <c r="E1703" s="3">
        <v>2010</v>
      </c>
      <c r="F1703" t="s">
        <v>6499</v>
      </c>
      <c r="G1703" t="s">
        <v>249</v>
      </c>
      <c r="H1703" s="3">
        <v>12.0006</v>
      </c>
      <c r="I1703" t="s">
        <v>6285</v>
      </c>
      <c r="J1703" t="s">
        <v>14240</v>
      </c>
      <c r="L1703" t="s">
        <v>6500</v>
      </c>
      <c r="M1703" t="str">
        <f>"https://www.artic.edu/iiif/2/"&amp;Table9[[#This Row],[Image ID]]&amp;"/full/843,/0/default.jpg"</f>
        <v>https://www.artic.edu/iiif/2/eb3e3e8b-2099-c68a-4b05-42f2d75c4841/full/843,/0/default.jpg</v>
      </c>
      <c r="N1703" s="3">
        <v>0.73799999999999999</v>
      </c>
      <c r="O1703" s="3">
        <v>7.0999999999999994E-2</v>
      </c>
      <c r="P1703" s="3">
        <v>0.66700000000000004</v>
      </c>
      <c r="Q1703" s="3">
        <v>0.63620728254318204</v>
      </c>
    </row>
    <row r="1704" spans="1:17" x14ac:dyDescent="0.45">
      <c r="A1704" s="3">
        <v>60571</v>
      </c>
      <c r="B1704" t="b">
        <v>0</v>
      </c>
      <c r="C1704" t="b">
        <v>0</v>
      </c>
      <c r="D1704" s="3">
        <v>1876</v>
      </c>
      <c r="E1704" s="3">
        <v>1945</v>
      </c>
      <c r="F1704" t="s">
        <v>8726</v>
      </c>
      <c r="G1704" t="s">
        <v>8727</v>
      </c>
      <c r="H1704" s="3">
        <v>35.360399999999998</v>
      </c>
      <c r="I1704" t="s">
        <v>8728</v>
      </c>
      <c r="J1704" t="s">
        <v>14438</v>
      </c>
      <c r="L1704" t="s">
        <v>8729</v>
      </c>
      <c r="M1704" t="str">
        <f>"https://www.artic.edu/iiif/2/"&amp;Table9[[#This Row],[Image ID]]&amp;"/full/843,/0/default.jpg"</f>
        <v>https://www.artic.edu/iiif/2/f8fd865b-ef78-a338-64a9-9d1344bdf905/full/843,/0/default.jpg</v>
      </c>
      <c r="N1704" s="3">
        <v>0.81</v>
      </c>
      <c r="O1704" s="3">
        <v>0.14299999999999999</v>
      </c>
      <c r="P1704" s="3">
        <v>0.66700000000000004</v>
      </c>
      <c r="Q1704" s="3">
        <v>0.67760330438613803</v>
      </c>
    </row>
    <row r="1705" spans="1:17" x14ac:dyDescent="0.45">
      <c r="A1705" s="3">
        <v>57048</v>
      </c>
      <c r="B1705" t="b">
        <v>0</v>
      </c>
      <c r="C1705" t="b">
        <v>1</v>
      </c>
      <c r="D1705" s="3">
        <v>1787</v>
      </c>
      <c r="E1705" s="3">
        <v>1788</v>
      </c>
      <c r="F1705" t="s">
        <v>8466</v>
      </c>
      <c r="G1705" t="s">
        <v>7</v>
      </c>
      <c r="H1705" s="3">
        <v>31.233000000000001</v>
      </c>
      <c r="I1705" t="s">
        <v>820</v>
      </c>
      <c r="J1705" t="s">
        <v>10986</v>
      </c>
      <c r="L1705" t="s">
        <v>8467</v>
      </c>
      <c r="M1705" t="str">
        <f>"https://www.artic.edu/iiif/2/"&amp;Table9[[#This Row],[Image ID]]&amp;"/full/843,/0/default.jpg"</f>
        <v>https://www.artic.edu/iiif/2/00fdacbb-872a-1091-3272-39967374ec07/full/843,/0/default.jpg</v>
      </c>
      <c r="N1705" s="3">
        <v>0.73799999999999999</v>
      </c>
      <c r="O1705" s="3">
        <v>7.0999999999999994E-2</v>
      </c>
      <c r="P1705" s="3">
        <v>0.66700000000000004</v>
      </c>
      <c r="Q1705" s="3">
        <v>0.62814855575561501</v>
      </c>
    </row>
    <row r="1706" spans="1:17" x14ac:dyDescent="0.45">
      <c r="A1706" s="3">
        <v>121403</v>
      </c>
      <c r="B1706" t="b">
        <v>0</v>
      </c>
      <c r="C1706" t="b">
        <v>1</v>
      </c>
      <c r="D1706" s="3">
        <v>1898</v>
      </c>
      <c r="E1706" s="3">
        <v>1898</v>
      </c>
      <c r="F1706" t="s">
        <v>2678</v>
      </c>
      <c r="G1706" t="s">
        <v>7</v>
      </c>
      <c r="H1706" s="3">
        <v>29.1418</v>
      </c>
      <c r="I1706" t="s">
        <v>558</v>
      </c>
      <c r="J1706" t="s">
        <v>11382</v>
      </c>
      <c r="L1706" t="s">
        <v>2679</v>
      </c>
      <c r="M1706" t="str">
        <f>"https://www.artic.edu/iiif/2/"&amp;Table9[[#This Row],[Image ID]]&amp;"/full/843,/0/default.jpg"</f>
        <v>https://www.artic.edu/iiif/2/1d820e91-2d4c-90ff-d9b3-6bb7bb329242/full/843,/0/default.jpg</v>
      </c>
      <c r="N1706" s="3">
        <v>0.76200000000000001</v>
      </c>
      <c r="O1706" s="3">
        <v>9.5000000000000001E-2</v>
      </c>
      <c r="P1706" s="3">
        <v>0.66700000000000004</v>
      </c>
      <c r="Q1706" s="3">
        <v>0.75458973646163896</v>
      </c>
    </row>
    <row r="1707" spans="1:17" x14ac:dyDescent="0.45">
      <c r="A1707" s="3">
        <v>80903</v>
      </c>
      <c r="B1707" t="b">
        <v>0</v>
      </c>
      <c r="C1707" t="b">
        <v>1</v>
      </c>
      <c r="D1707" s="3">
        <v>1325</v>
      </c>
      <c r="E1707" s="3">
        <v>1350</v>
      </c>
      <c r="F1707" t="s">
        <v>10056</v>
      </c>
      <c r="G1707" t="s">
        <v>10057</v>
      </c>
      <c r="H1707" s="3">
        <v>32.188299999999998</v>
      </c>
      <c r="J1707" t="s">
        <v>11892</v>
      </c>
      <c r="K1707" s="5" t="s">
        <v>278</v>
      </c>
      <c r="L1707" t="s">
        <v>10058</v>
      </c>
      <c r="M1707" t="str">
        <f>"https://www.artic.edu/iiif/2/"&amp;Table9[[#This Row],[Image ID]]&amp;"/full/843,/0/default.jpg"</f>
        <v>https://www.artic.edu/iiif/2/3e2768f3-0d41-c57f-e424-0cbab81e4e35/full/843,/0/default.jpg</v>
      </c>
      <c r="N1707" s="3">
        <v>0.81</v>
      </c>
      <c r="O1707" s="3">
        <v>0.14299999999999999</v>
      </c>
      <c r="P1707" s="3">
        <v>0.66700000000000004</v>
      </c>
      <c r="Q1707" s="3">
        <v>0.74768865108489901</v>
      </c>
    </row>
    <row r="1708" spans="1:17" x14ac:dyDescent="0.45">
      <c r="A1708" s="3">
        <v>66022</v>
      </c>
      <c r="B1708" t="b">
        <v>0</v>
      </c>
      <c r="C1708" t="b">
        <v>1</v>
      </c>
      <c r="D1708" s="3">
        <v>1650</v>
      </c>
      <c r="E1708" s="3">
        <v>1675</v>
      </c>
      <c r="F1708" t="s">
        <v>297</v>
      </c>
      <c r="G1708" t="s">
        <v>7</v>
      </c>
      <c r="H1708" s="3">
        <v>23.642299999999999</v>
      </c>
      <c r="I1708" t="s">
        <v>9167</v>
      </c>
      <c r="J1708" t="s">
        <v>12012</v>
      </c>
      <c r="L1708" t="s">
        <v>9168</v>
      </c>
      <c r="M1708" t="str">
        <f>"https://www.artic.edu/iiif/2/"&amp;Table9[[#This Row],[Image ID]]&amp;"/full/843,/0/default.jpg"</f>
        <v>https://www.artic.edu/iiif/2/46765075-304f-8dac-6b72-9a6262239a19/full/843,/0/default.jpg</v>
      </c>
      <c r="N1708" s="3">
        <v>0.78600000000000003</v>
      </c>
      <c r="O1708" s="3">
        <v>0.11899999999999999</v>
      </c>
      <c r="P1708" s="3">
        <v>0.66700000000000004</v>
      </c>
      <c r="Q1708" s="3">
        <v>0.82223689556121804</v>
      </c>
    </row>
    <row r="1709" spans="1:17" x14ac:dyDescent="0.45">
      <c r="A1709" s="3">
        <v>105945</v>
      </c>
      <c r="B1709" t="b">
        <v>0</v>
      </c>
      <c r="C1709" t="b">
        <v>1</v>
      </c>
      <c r="D1709" s="3">
        <v>1627</v>
      </c>
      <c r="E1709" s="3">
        <v>1627</v>
      </c>
      <c r="F1709" t="s">
        <v>567</v>
      </c>
      <c r="G1709" t="s">
        <v>7</v>
      </c>
      <c r="H1709" s="3">
        <v>14.6496</v>
      </c>
      <c r="I1709" t="s">
        <v>568</v>
      </c>
      <c r="J1709" t="s">
        <v>570</v>
      </c>
      <c r="L1709" t="s">
        <v>569</v>
      </c>
      <c r="M1709" t="str">
        <f>"https://www.artic.edu/iiif/2/"&amp;Table9[[#This Row],[Image ID]]&amp;"/full/843,/0/default.jpg"</f>
        <v>https://www.artic.edu/iiif/2/730ab90f-45c3-ca32-77d0-a43858cdbbab/full/843,/0/default.jpg</v>
      </c>
      <c r="N1709" s="3">
        <v>0.90500000000000003</v>
      </c>
      <c r="O1709" s="3">
        <v>0.23799999999999999</v>
      </c>
      <c r="P1709" s="3">
        <v>0.66700000000000004</v>
      </c>
      <c r="Q1709" s="3">
        <v>0.81659132242202703</v>
      </c>
    </row>
    <row r="1710" spans="1:17" x14ac:dyDescent="0.45">
      <c r="A1710" s="3">
        <v>51541</v>
      </c>
      <c r="B1710" t="b">
        <v>0</v>
      </c>
      <c r="C1710" t="b">
        <v>1</v>
      </c>
      <c r="D1710" s="3">
        <v>1808</v>
      </c>
      <c r="E1710" s="3">
        <v>1812</v>
      </c>
      <c r="F1710" t="s">
        <v>6819</v>
      </c>
      <c r="G1710" t="s">
        <v>7</v>
      </c>
      <c r="H1710" s="3">
        <v>17.714500000000001</v>
      </c>
      <c r="I1710" t="s">
        <v>14568</v>
      </c>
      <c r="J1710" t="s">
        <v>13339</v>
      </c>
      <c r="L1710" t="s">
        <v>8148</v>
      </c>
      <c r="M1710" t="str">
        <f>"https://www.artic.edu/iiif/2/"&amp;Table9[[#This Row],[Image ID]]&amp;"/full/843,/0/default.jpg"</f>
        <v>https://www.artic.edu/iiif/2/a7aabc96-a81c-fa64-177c-5a80ef01e848/full/843,/0/default.jpg</v>
      </c>
      <c r="N1710" s="3">
        <v>0.78600000000000003</v>
      </c>
      <c r="O1710" s="3">
        <v>0.11899999999999999</v>
      </c>
      <c r="P1710" s="3">
        <v>0.66700000000000004</v>
      </c>
      <c r="Q1710" s="3">
        <v>0.77204644680023105</v>
      </c>
    </row>
    <row r="1711" spans="1:17" x14ac:dyDescent="0.45">
      <c r="A1711" s="3">
        <v>16417</v>
      </c>
      <c r="B1711" t="b">
        <v>0</v>
      </c>
      <c r="C1711" t="b">
        <v>1</v>
      </c>
      <c r="D1711" s="3">
        <v>1635</v>
      </c>
      <c r="E1711" s="3">
        <v>1640</v>
      </c>
      <c r="F1711" t="s">
        <v>4419</v>
      </c>
      <c r="G1711" t="s">
        <v>75</v>
      </c>
      <c r="H1711" s="3">
        <v>13.338200000000001</v>
      </c>
      <c r="I1711" t="s">
        <v>1192</v>
      </c>
      <c r="J1711" t="s">
        <v>13382</v>
      </c>
      <c r="L1711" t="s">
        <v>4420</v>
      </c>
      <c r="M1711" t="str">
        <f>"https://www.artic.edu/iiif/2/"&amp;Table9[[#This Row],[Image ID]]&amp;"/full/843,/0/default.jpg"</f>
        <v>https://www.artic.edu/iiif/2/aabaac7c-d41a-f31d-7411-77f5f3fea322/full/843,/0/default.jpg</v>
      </c>
      <c r="N1711" s="3">
        <v>0.81</v>
      </c>
      <c r="O1711" s="3">
        <v>0.14299999999999999</v>
      </c>
      <c r="P1711" s="3">
        <v>0.66700000000000004</v>
      </c>
      <c r="Q1711" s="3">
        <v>0.637664794921875</v>
      </c>
    </row>
    <row r="1712" spans="1:17" x14ac:dyDescent="0.45">
      <c r="A1712" s="3">
        <v>79584</v>
      </c>
      <c r="B1712" t="b">
        <v>0</v>
      </c>
      <c r="C1712" t="b">
        <v>1</v>
      </c>
      <c r="D1712" s="3">
        <v>1750</v>
      </c>
      <c r="E1712" s="3">
        <v>1800</v>
      </c>
      <c r="F1712" t="s">
        <v>14704</v>
      </c>
      <c r="G1712" t="s">
        <v>7</v>
      </c>
      <c r="H1712" s="3">
        <v>0</v>
      </c>
      <c r="J1712" t="s">
        <v>13566</v>
      </c>
      <c r="L1712" t="s">
        <v>9897</v>
      </c>
      <c r="M1712" t="str">
        <f>"https://www.artic.edu/iiif/2/"&amp;Table9[[#This Row],[Image ID]]&amp;"/full/843,/0/default.jpg"</f>
        <v>https://www.artic.edu/iiif/2/ba078c9c-8532-73db-ffbd-bd2bd79eb032/full/843,/0/default.jpg</v>
      </c>
      <c r="N1712" s="3">
        <v>0.66700000000000004</v>
      </c>
      <c r="O1712" s="3">
        <v>0</v>
      </c>
      <c r="P1712" s="3">
        <v>0.66700000000000004</v>
      </c>
      <c r="Q1712" s="3">
        <v>0.58158367872238104</v>
      </c>
    </row>
    <row r="1713" spans="1:17" x14ac:dyDescent="0.45">
      <c r="A1713" s="3">
        <v>75409</v>
      </c>
      <c r="B1713" t="b">
        <v>0</v>
      </c>
      <c r="C1713" t="b">
        <v>1</v>
      </c>
      <c r="D1713" s="3">
        <v>1763</v>
      </c>
      <c r="E1713" s="3">
        <v>1763</v>
      </c>
      <c r="F1713" t="s">
        <v>297</v>
      </c>
      <c r="G1713" t="s">
        <v>7</v>
      </c>
      <c r="H1713" s="3">
        <v>34.256799999999998</v>
      </c>
      <c r="I1713" t="s">
        <v>5665</v>
      </c>
      <c r="J1713" t="s">
        <v>11370</v>
      </c>
      <c r="L1713" t="s">
        <v>9741</v>
      </c>
      <c r="M1713" t="str">
        <f>"https://www.artic.edu/iiif/2/"&amp;Table9[[#This Row],[Image ID]]&amp;"/full/843,/0/default.jpg"</f>
        <v>https://www.artic.edu/iiif/2/bdf1ac6e-8bbe-00ca-661d-9cf54c5e2235/full/843,/0/default.jpg</v>
      </c>
      <c r="N1713" s="3">
        <v>0.76200000000000001</v>
      </c>
      <c r="O1713" s="3">
        <v>9.5000000000000001E-2</v>
      </c>
      <c r="P1713" s="3">
        <v>0.66700000000000004</v>
      </c>
      <c r="Q1713" s="3">
        <v>0.72126376628875699</v>
      </c>
    </row>
    <row r="1714" spans="1:17" x14ac:dyDescent="0.45">
      <c r="A1714" s="3">
        <v>19252</v>
      </c>
      <c r="B1714" t="b">
        <v>0</v>
      </c>
      <c r="C1714" t="b">
        <v>1</v>
      </c>
      <c r="D1714" s="3">
        <v>1827</v>
      </c>
      <c r="E1714" s="3">
        <v>1827</v>
      </c>
      <c r="F1714" t="s">
        <v>5211</v>
      </c>
      <c r="G1714" t="s">
        <v>5212</v>
      </c>
      <c r="H1714" s="3">
        <v>27.246400000000001</v>
      </c>
      <c r="I1714" t="s">
        <v>1266</v>
      </c>
      <c r="J1714" t="s">
        <v>13677</v>
      </c>
      <c r="L1714" t="s">
        <v>5213</v>
      </c>
      <c r="M1714" t="str">
        <f>"https://www.artic.edu/iiif/2/"&amp;Table9[[#This Row],[Image ID]]&amp;"/full/843,/0/default.jpg"</f>
        <v>https://www.artic.edu/iiif/2/c215ce17-baad-c022-7d33-85a2b49218dd/full/843,/0/default.jpg</v>
      </c>
      <c r="N1714" s="3">
        <v>0.88100000000000001</v>
      </c>
      <c r="O1714" s="3">
        <v>0.214</v>
      </c>
      <c r="P1714" s="3">
        <v>0.66700000000000004</v>
      </c>
      <c r="Q1714" s="3">
        <v>0.72346210479736295</v>
      </c>
    </row>
    <row r="1715" spans="1:17" x14ac:dyDescent="0.45">
      <c r="A1715" s="3">
        <v>75393</v>
      </c>
      <c r="B1715" t="b">
        <v>0</v>
      </c>
      <c r="C1715" t="b">
        <v>1</v>
      </c>
      <c r="D1715" s="3">
        <v>1761</v>
      </c>
      <c r="E1715" s="3">
        <v>1761</v>
      </c>
      <c r="F1715" t="s">
        <v>9739</v>
      </c>
      <c r="G1715" t="s">
        <v>7</v>
      </c>
      <c r="H1715" s="3">
        <v>24.486899999999999</v>
      </c>
      <c r="I1715" t="s">
        <v>5665</v>
      </c>
      <c r="J1715" t="s">
        <v>13759</v>
      </c>
      <c r="L1715" t="s">
        <v>9740</v>
      </c>
      <c r="M1715" t="str">
        <f>"https://www.artic.edu/iiif/2/"&amp;Table9[[#This Row],[Image ID]]&amp;"/full/843,/0/default.jpg"</f>
        <v>https://www.artic.edu/iiif/2/c892ec2a-9f7c-c8dd-bb35-0dd4135ba88a/full/843,/0/default.jpg</v>
      </c>
      <c r="N1715" s="3">
        <v>0.78600000000000003</v>
      </c>
      <c r="O1715" s="3">
        <v>0.11899999999999999</v>
      </c>
      <c r="P1715" s="3">
        <v>0.66700000000000004</v>
      </c>
      <c r="Q1715" s="3">
        <v>0.70681786537170399</v>
      </c>
    </row>
    <row r="1716" spans="1:17" x14ac:dyDescent="0.45">
      <c r="A1716" s="3">
        <v>47159</v>
      </c>
      <c r="B1716" t="b">
        <v>0</v>
      </c>
      <c r="C1716" t="b">
        <v>1</v>
      </c>
      <c r="D1716" s="3">
        <v>1650</v>
      </c>
      <c r="E1716" s="3">
        <v>1650</v>
      </c>
      <c r="F1716" t="s">
        <v>7921</v>
      </c>
      <c r="G1716" t="s">
        <v>75</v>
      </c>
      <c r="H1716" s="3">
        <v>66.622399999999999</v>
      </c>
      <c r="I1716" t="s">
        <v>7922</v>
      </c>
      <c r="J1716" t="s">
        <v>13849</v>
      </c>
      <c r="L1716" t="s">
        <v>7923</v>
      </c>
      <c r="M1716" t="str">
        <f>"https://www.artic.edu/iiif/2/"&amp;Table9[[#This Row],[Image ID]]&amp;"/full/843,/0/default.jpg"</f>
        <v>https://www.artic.edu/iiif/2/d065e4c4-6aef-3d16-b3ac-63883282e8f0/full/843,/0/default.jpg</v>
      </c>
      <c r="N1716" s="3">
        <v>0.73799999999999999</v>
      </c>
      <c r="O1716" s="3">
        <v>7.0999999999999994E-2</v>
      </c>
      <c r="P1716" s="3">
        <v>0.66700000000000004</v>
      </c>
      <c r="Q1716" s="3">
        <v>0.93299120664596502</v>
      </c>
    </row>
    <row r="1717" spans="1:17" x14ac:dyDescent="0.45">
      <c r="A1717" s="3">
        <v>87637</v>
      </c>
      <c r="B1717" t="b">
        <v>0</v>
      </c>
      <c r="C1717" t="b">
        <v>1</v>
      </c>
      <c r="D1717" s="3">
        <v>1785</v>
      </c>
      <c r="E1717" s="3">
        <v>1795</v>
      </c>
      <c r="F1717" t="s">
        <v>10397</v>
      </c>
      <c r="G1717" t="s">
        <v>7</v>
      </c>
      <c r="H1717" s="3">
        <v>15.186199999999999</v>
      </c>
      <c r="J1717" t="s">
        <v>13939</v>
      </c>
      <c r="L1717" t="s">
        <v>10398</v>
      </c>
      <c r="M1717" t="str">
        <f>"https://www.artic.edu/iiif/2/"&amp;Table9[[#This Row],[Image ID]]&amp;"/full/843,/0/default.jpg"</f>
        <v>https://www.artic.edu/iiif/2/d706c6bf-968d-8fe1-200d-21963291e8fc/full/843,/0/default.jpg</v>
      </c>
      <c r="N1717" s="3">
        <v>0.76200000000000001</v>
      </c>
      <c r="O1717" s="3">
        <v>9.5000000000000001E-2</v>
      </c>
      <c r="P1717" s="3">
        <v>0.66700000000000004</v>
      </c>
      <c r="Q1717" s="3">
        <v>0.78874164819717396</v>
      </c>
    </row>
    <row r="1718" spans="1:17" x14ac:dyDescent="0.45">
      <c r="A1718" s="3">
        <v>115204</v>
      </c>
      <c r="B1718" t="b">
        <v>0</v>
      </c>
      <c r="C1718" t="b">
        <v>1</v>
      </c>
      <c r="D1718" s="3">
        <v>1849</v>
      </c>
      <c r="E1718" s="3">
        <v>1849</v>
      </c>
      <c r="F1718" t="s">
        <v>1853</v>
      </c>
      <c r="G1718" t="s">
        <v>164</v>
      </c>
      <c r="H1718" s="3">
        <v>20.476299999999998</v>
      </c>
      <c r="I1718" t="s">
        <v>1555</v>
      </c>
      <c r="J1718" t="s">
        <v>13957</v>
      </c>
      <c r="L1718" t="s">
        <v>1854</v>
      </c>
      <c r="M1718" t="str">
        <f>"https://www.artic.edu/iiif/2/"&amp;Table9[[#This Row],[Image ID]]&amp;"/full/843,/0/default.jpg"</f>
        <v>https://www.artic.edu/iiif/2/d860e6b6-33db-276c-3a55-0c128826f91c/full/843,/0/default.jpg</v>
      </c>
      <c r="N1718" s="3">
        <v>0.76200000000000001</v>
      </c>
      <c r="O1718" s="3">
        <v>9.5000000000000001E-2</v>
      </c>
      <c r="P1718" s="3">
        <v>0.66700000000000004</v>
      </c>
      <c r="Q1718" s="3">
        <v>0.76262164115905695</v>
      </c>
    </row>
    <row r="1719" spans="1:17" x14ac:dyDescent="0.45">
      <c r="A1719" s="3">
        <v>25757</v>
      </c>
      <c r="B1719" t="b">
        <v>0</v>
      </c>
      <c r="C1719" t="b">
        <v>0</v>
      </c>
      <c r="D1719" s="3">
        <v>1450</v>
      </c>
      <c r="E1719" s="3">
        <v>1517</v>
      </c>
      <c r="F1719" t="s">
        <v>6577</v>
      </c>
      <c r="G1719" t="s">
        <v>6578</v>
      </c>
      <c r="H1719" s="3">
        <v>0</v>
      </c>
      <c r="I1719" t="s">
        <v>6579</v>
      </c>
      <c r="J1719" t="s">
        <v>11679</v>
      </c>
      <c r="L1719" t="s">
        <v>6580</v>
      </c>
      <c r="M1719" t="str">
        <f>"https://www.artic.edu/iiif/2/"&amp;Table9[[#This Row],[Image ID]]&amp;"/full/843,/0/default.jpg"</f>
        <v>https://www.artic.edu/iiif/2/30402fa5-7626-1294-25ad-b2d8d560e58d/full/843,/0/default.jpg</v>
      </c>
      <c r="N1719" s="3">
        <v>0.83299999999999996</v>
      </c>
      <c r="O1719" s="3">
        <v>0.16700000000000001</v>
      </c>
      <c r="P1719" s="3">
        <v>0.66599999999999993</v>
      </c>
      <c r="Q1719" s="3">
        <v>0.72446179389953602</v>
      </c>
    </row>
    <row r="1720" spans="1:17" x14ac:dyDescent="0.45">
      <c r="A1720" s="3">
        <v>201806</v>
      </c>
      <c r="B1720" t="b">
        <v>0</v>
      </c>
      <c r="C1720" t="b">
        <v>0</v>
      </c>
      <c r="D1720" s="3">
        <v>1911</v>
      </c>
      <c r="E1720" s="3">
        <v>1912</v>
      </c>
      <c r="F1720" t="s">
        <v>5336</v>
      </c>
      <c r="G1720" t="s">
        <v>7</v>
      </c>
      <c r="H1720" s="3">
        <v>77.787499999999994</v>
      </c>
      <c r="I1720" t="s">
        <v>5337</v>
      </c>
      <c r="J1720" t="s">
        <v>11933</v>
      </c>
      <c r="K1720" s="5" t="s">
        <v>45</v>
      </c>
      <c r="L1720" t="s">
        <v>5338</v>
      </c>
      <c r="M1720" t="str">
        <f>"https://www.artic.edu/iiif/2/"&amp;Table9[[#This Row],[Image ID]]&amp;"/full/843,/0/default.jpg"</f>
        <v>https://www.artic.edu/iiif/2/411dd5f9-8633-9dab-d64c-a038c0aa92b5/full/843,/0/default.jpg</v>
      </c>
      <c r="N1720" s="3">
        <v>0.71399999999999997</v>
      </c>
      <c r="O1720" s="3">
        <v>4.8000000000000001E-2</v>
      </c>
      <c r="P1720" s="3">
        <v>0.66599999999999993</v>
      </c>
      <c r="Q1720" s="3">
        <v>0.77405285835266102</v>
      </c>
    </row>
    <row r="1721" spans="1:17" x14ac:dyDescent="0.45">
      <c r="A1721" s="3">
        <v>129146</v>
      </c>
      <c r="B1721" t="b">
        <v>0</v>
      </c>
      <c r="C1721" t="b">
        <v>0</v>
      </c>
      <c r="D1721" s="3">
        <v>1944</v>
      </c>
      <c r="E1721" s="3">
        <v>1944</v>
      </c>
      <c r="F1721" t="s">
        <v>2868</v>
      </c>
      <c r="G1721" t="s">
        <v>2857</v>
      </c>
      <c r="H1721" s="3">
        <v>39.344200000000001</v>
      </c>
      <c r="I1721" t="s">
        <v>14549</v>
      </c>
      <c r="J1721" t="s">
        <v>11294</v>
      </c>
      <c r="L1721" t="s">
        <v>2869</v>
      </c>
      <c r="M1721" t="str">
        <f>"https://www.artic.edu/iiif/2/"&amp;Table9[[#This Row],[Image ID]]&amp;"/full/843,/0/default.jpg"</f>
        <v>https://www.artic.edu/iiif/2/d93ec200-f63e-a677-1ba5-b4806b5c2447/full/843,/0/default.jpg</v>
      </c>
      <c r="N1721" s="3">
        <v>0.71399999999999997</v>
      </c>
      <c r="O1721" s="3">
        <v>4.8000000000000001E-2</v>
      </c>
      <c r="P1721" s="3">
        <v>0.66599999999999993</v>
      </c>
      <c r="Q1721" s="3">
        <v>0.83184641599655096</v>
      </c>
    </row>
    <row r="1722" spans="1:17" x14ac:dyDescent="0.45">
      <c r="A1722" s="3">
        <v>44084</v>
      </c>
      <c r="B1722" t="b">
        <v>0</v>
      </c>
      <c r="C1722" t="b">
        <v>0</v>
      </c>
      <c r="D1722" s="3">
        <v>1941</v>
      </c>
      <c r="E1722" s="3">
        <v>1941</v>
      </c>
      <c r="F1722" t="s">
        <v>7771</v>
      </c>
      <c r="G1722" t="s">
        <v>7</v>
      </c>
      <c r="H1722" s="3">
        <v>30.382400000000001</v>
      </c>
      <c r="I1722" t="s">
        <v>1032</v>
      </c>
      <c r="J1722" t="s">
        <v>14014</v>
      </c>
      <c r="K1722" s="5" t="s">
        <v>134</v>
      </c>
      <c r="L1722" t="s">
        <v>7772</v>
      </c>
      <c r="M1722" t="str">
        <f>"https://www.artic.edu/iiif/2/"&amp;Table9[[#This Row],[Image ID]]&amp;"/full/843,/0/default.jpg"</f>
        <v>https://www.artic.edu/iiif/2/dc9af737-9245-f432-8507-88b20daa4a4a/full/843,/0/default.jpg</v>
      </c>
      <c r="N1722" s="3">
        <v>0.71399999999999997</v>
      </c>
      <c r="O1722" s="3">
        <v>4.8000000000000001E-2</v>
      </c>
      <c r="P1722" s="3">
        <v>0.66599999999999993</v>
      </c>
      <c r="Q1722" s="3">
        <v>0.78864848613739003</v>
      </c>
    </row>
    <row r="1723" spans="1:17" x14ac:dyDescent="0.45">
      <c r="A1723" s="3">
        <v>34055</v>
      </c>
      <c r="B1723" t="b">
        <v>0</v>
      </c>
      <c r="C1723" t="b">
        <v>0</v>
      </c>
      <c r="D1723" s="3">
        <v>1911</v>
      </c>
      <c r="E1723" s="3">
        <v>1911</v>
      </c>
      <c r="F1723" t="s">
        <v>7093</v>
      </c>
      <c r="G1723" t="s">
        <v>7</v>
      </c>
      <c r="H1723" s="3">
        <v>19.662700000000001</v>
      </c>
      <c r="I1723" t="s">
        <v>7094</v>
      </c>
      <c r="J1723" t="s">
        <v>11729</v>
      </c>
      <c r="L1723" t="s">
        <v>7095</v>
      </c>
      <c r="M1723" t="str">
        <f>"https://www.artic.edu/iiif/2/"&amp;Table9[[#This Row],[Image ID]]&amp;"/full/843,/0/default.jpg"</f>
        <v>https://www.artic.edu/iiif/2/eed81daf-23af-bc1d-7c71-a3c08192a30f/full/843,/0/default.jpg</v>
      </c>
      <c r="N1723" s="3">
        <v>0.71399999999999997</v>
      </c>
      <c r="O1723" s="3">
        <v>4.8000000000000001E-2</v>
      </c>
      <c r="P1723" s="3">
        <v>0.66599999999999993</v>
      </c>
      <c r="Q1723" s="3">
        <v>0.44872716069221402</v>
      </c>
    </row>
    <row r="1724" spans="1:17" x14ac:dyDescent="0.45">
      <c r="A1724" s="3">
        <v>53231</v>
      </c>
      <c r="B1724" t="b">
        <v>0</v>
      </c>
      <c r="C1724" t="b">
        <v>1</v>
      </c>
      <c r="D1724" s="3">
        <v>1889</v>
      </c>
      <c r="E1724" s="3">
        <v>1889</v>
      </c>
      <c r="F1724" t="s">
        <v>3499</v>
      </c>
      <c r="G1724" t="s">
        <v>642</v>
      </c>
      <c r="H1724" s="3">
        <v>35.686999999999998</v>
      </c>
      <c r="I1724" t="s">
        <v>510</v>
      </c>
      <c r="J1724" t="s">
        <v>13446</v>
      </c>
      <c r="L1724" t="s">
        <v>8251</v>
      </c>
      <c r="M1724" t="str">
        <f>"https://www.artic.edu/iiif/2/"&amp;Table9[[#This Row],[Image ID]]&amp;"/full/843,/0/default.jpg"</f>
        <v>https://www.artic.edu/iiif/2/c6f933da-b9af-0c38-340c-0e2bc737ad1e/full/843,/0/default.jpg</v>
      </c>
      <c r="N1724" s="3">
        <v>0.71399999999999997</v>
      </c>
      <c r="O1724" s="3">
        <v>4.8000000000000001E-2</v>
      </c>
      <c r="P1724" s="3">
        <v>0.66599999999999993</v>
      </c>
      <c r="Q1724" s="3">
        <v>0.76211613416671697</v>
      </c>
    </row>
    <row r="1725" spans="1:17" x14ac:dyDescent="0.45">
      <c r="A1725" s="3">
        <v>64491</v>
      </c>
      <c r="B1725" t="b">
        <v>0</v>
      </c>
      <c r="C1725" t="b">
        <v>0</v>
      </c>
      <c r="D1725" s="3">
        <v>1910</v>
      </c>
      <c r="E1725" s="3">
        <v>1910</v>
      </c>
      <c r="F1725" t="s">
        <v>8995</v>
      </c>
      <c r="G1725" t="s">
        <v>7</v>
      </c>
      <c r="H1725" s="3">
        <v>23.9815</v>
      </c>
      <c r="I1725" t="s">
        <v>1277</v>
      </c>
      <c r="J1725" t="s">
        <v>12231</v>
      </c>
      <c r="L1725" t="s">
        <v>8996</v>
      </c>
      <c r="M1725" t="str">
        <f>"https://www.artic.edu/iiif/2/"&amp;Table9[[#This Row],[Image ID]]&amp;"/full/843,/0/default.jpg"</f>
        <v>https://www.artic.edu/iiif/2/55ceb009-39ab-e7ea-ee6d-671dd3c3a69b/full/843,/0/default.jpg</v>
      </c>
      <c r="N1725" s="3">
        <v>0.82899999999999996</v>
      </c>
      <c r="O1725" s="3">
        <v>0.16700000000000001</v>
      </c>
      <c r="P1725" s="3">
        <v>0.66199999999999992</v>
      </c>
      <c r="Q1725" s="3">
        <v>0.82874071598052901</v>
      </c>
    </row>
    <row r="1726" spans="1:17" x14ac:dyDescent="0.45">
      <c r="A1726" s="3">
        <v>181521</v>
      </c>
      <c r="B1726" t="b">
        <v>0</v>
      </c>
      <c r="C1726" t="b">
        <v>1</v>
      </c>
      <c r="D1726" s="3">
        <v>1845</v>
      </c>
      <c r="E1726" s="3">
        <v>1845</v>
      </c>
      <c r="F1726" t="s">
        <v>4726</v>
      </c>
      <c r="G1726" t="s">
        <v>4727</v>
      </c>
      <c r="H1726" s="3">
        <v>39.580599999999997</v>
      </c>
      <c r="I1726" t="s">
        <v>936</v>
      </c>
      <c r="J1726" t="s">
        <v>11485</v>
      </c>
      <c r="L1726" t="s">
        <v>4728</v>
      </c>
      <c r="M1726" t="str">
        <f>"https://www.artic.edu/iiif/2/"&amp;Table9[[#This Row],[Image ID]]&amp;"/full/843,/0/default.jpg"</f>
        <v>https://www.artic.edu/iiif/2/23daf4e7-edad-2ff0-1341-e2516754c3be/full/843,/0/default.jpg</v>
      </c>
      <c r="N1726" s="3">
        <v>0.82899999999999996</v>
      </c>
      <c r="O1726" s="3">
        <v>0.16700000000000001</v>
      </c>
      <c r="P1726" s="3">
        <v>0.66199999999999992</v>
      </c>
      <c r="Q1726" s="3">
        <v>0.440578013658523</v>
      </c>
    </row>
    <row r="1727" spans="1:17" x14ac:dyDescent="0.45">
      <c r="A1727" s="3">
        <v>200675</v>
      </c>
      <c r="B1727" t="b">
        <v>0</v>
      </c>
      <c r="C1727" t="b">
        <v>0</v>
      </c>
      <c r="D1727" s="3">
        <v>2005</v>
      </c>
      <c r="E1727" s="3">
        <v>2005</v>
      </c>
      <c r="F1727" t="s">
        <v>1305</v>
      </c>
      <c r="G1727" t="s">
        <v>5325</v>
      </c>
      <c r="H1727" s="3">
        <v>99.403800000000004</v>
      </c>
      <c r="I1727" t="s">
        <v>5186</v>
      </c>
      <c r="J1727" t="s">
        <v>13666</v>
      </c>
      <c r="K1727" s="5" t="s">
        <v>15</v>
      </c>
      <c r="L1727" t="s">
        <v>5326</v>
      </c>
      <c r="M1727" t="str">
        <f>"https://www.artic.edu/iiif/2/"&amp;Table9[[#This Row],[Image ID]]&amp;"/full/843,/0/default.jpg"</f>
        <v>https://www.artic.edu/iiif/2/c115f671-4540-56a5-7ece-42ef001b977c/full/843,/0/default.jpg</v>
      </c>
      <c r="N1727" s="3">
        <v>0.75600000000000001</v>
      </c>
      <c r="O1727" s="3">
        <v>9.5000000000000001E-2</v>
      </c>
      <c r="P1727" s="3">
        <v>0.66100000000000003</v>
      </c>
      <c r="Q1727" s="3">
        <v>0.89051455259323098</v>
      </c>
    </row>
    <row r="1728" spans="1:17" x14ac:dyDescent="0.45">
      <c r="A1728" s="3">
        <v>47993</v>
      </c>
      <c r="B1728" t="b">
        <v>0</v>
      </c>
      <c r="C1728" t="b">
        <v>0</v>
      </c>
      <c r="D1728" s="3">
        <v>1943</v>
      </c>
      <c r="E1728" s="3">
        <v>1943</v>
      </c>
      <c r="F1728" t="s">
        <v>7982</v>
      </c>
      <c r="G1728" t="s">
        <v>7983</v>
      </c>
      <c r="H1728" s="3">
        <v>17.297000000000001</v>
      </c>
      <c r="I1728" t="s">
        <v>7984</v>
      </c>
      <c r="J1728" t="s">
        <v>11489</v>
      </c>
      <c r="L1728" t="s">
        <v>7985</v>
      </c>
      <c r="M1728" t="str">
        <f>"https://www.artic.edu/iiif/2/"&amp;Table9[[#This Row],[Image ID]]&amp;"/full/843,/0/default.jpg"</f>
        <v>https://www.artic.edu/iiif/2/245235e5-a974-3076-a44f-8b55cfce5469/full/843,/0/default.jpg</v>
      </c>
      <c r="N1728" s="3">
        <v>0.73199999999999998</v>
      </c>
      <c r="O1728" s="3">
        <v>7.2999999999999995E-2</v>
      </c>
      <c r="P1728" s="3">
        <v>0.65900000000000003</v>
      </c>
      <c r="Q1728" s="3">
        <v>0.63852661848068204</v>
      </c>
    </row>
    <row r="1729" spans="1:17" x14ac:dyDescent="0.45">
      <c r="A1729" s="3">
        <v>9006</v>
      </c>
      <c r="B1729" t="b">
        <v>0</v>
      </c>
      <c r="C1729" t="b">
        <v>0</v>
      </c>
      <c r="D1729" s="3">
        <v>1912</v>
      </c>
      <c r="E1729" s="3">
        <v>1912</v>
      </c>
      <c r="F1729" t="s">
        <v>10497</v>
      </c>
      <c r="G1729" t="s">
        <v>7</v>
      </c>
      <c r="H1729" s="3">
        <v>50.651299999999999</v>
      </c>
      <c r="I1729" t="s">
        <v>14560</v>
      </c>
      <c r="J1729" t="s">
        <v>11926</v>
      </c>
      <c r="L1729" t="s">
        <v>10498</v>
      </c>
      <c r="M1729" t="str">
        <f>"https://www.artic.edu/iiif/2/"&amp;Table9[[#This Row],[Image ID]]&amp;"/full/843,/0/default.jpg"</f>
        <v>https://www.artic.edu/iiif/2/408284b1-2d5d-7d09-d5fc-bad160b63425/full/843,/0/default.jpg</v>
      </c>
      <c r="N1729" s="3">
        <v>0.68300000000000005</v>
      </c>
      <c r="O1729" s="3">
        <v>2.4E-2</v>
      </c>
      <c r="P1729" s="3">
        <v>0.65900000000000003</v>
      </c>
      <c r="Q1729" s="3">
        <v>0.590379297733306</v>
      </c>
    </row>
    <row r="1730" spans="1:17" x14ac:dyDescent="0.45">
      <c r="A1730" s="3">
        <v>93804</v>
      </c>
      <c r="B1730" t="b">
        <v>0</v>
      </c>
      <c r="C1730" t="b">
        <v>0</v>
      </c>
      <c r="D1730" s="3">
        <v>1927</v>
      </c>
      <c r="E1730" s="3">
        <v>1927</v>
      </c>
      <c r="F1730" t="s">
        <v>10630</v>
      </c>
      <c r="G1730" t="s">
        <v>7</v>
      </c>
      <c r="H1730" s="3">
        <v>13.851800000000001</v>
      </c>
      <c r="I1730" t="s">
        <v>378</v>
      </c>
      <c r="J1730" t="s">
        <v>12208</v>
      </c>
      <c r="K1730" s="5" t="s">
        <v>45</v>
      </c>
      <c r="L1730" t="s">
        <v>10631</v>
      </c>
      <c r="M1730" t="str">
        <f>"https://www.artic.edu/iiif/2/"&amp;Table9[[#This Row],[Image ID]]&amp;"/full/843,/0/default.jpg"</f>
        <v>https://www.artic.edu/iiif/2/548cb50e-905e-ec08-642a-e174d0ac52e6/full/843,/0/default.jpg</v>
      </c>
      <c r="N1730" s="3">
        <v>0.73199999999999998</v>
      </c>
      <c r="O1730" s="3">
        <v>7.2999999999999995E-2</v>
      </c>
      <c r="P1730" s="3">
        <v>0.65900000000000003</v>
      </c>
      <c r="Q1730" s="3">
        <v>0.74193137884140004</v>
      </c>
    </row>
    <row r="1731" spans="1:17" x14ac:dyDescent="0.45">
      <c r="A1731" s="3">
        <v>240975</v>
      </c>
      <c r="B1731" t="b">
        <v>0</v>
      </c>
      <c r="C1731" t="b">
        <v>0</v>
      </c>
      <c r="D1731" s="3">
        <v>1913</v>
      </c>
      <c r="E1731" s="3">
        <v>1913</v>
      </c>
      <c r="F1731" t="s">
        <v>6366</v>
      </c>
      <c r="G1731" t="s">
        <v>7</v>
      </c>
      <c r="H1731" s="3">
        <v>17.874199999999998</v>
      </c>
      <c r="I1731" t="s">
        <v>934</v>
      </c>
      <c r="J1731" t="s">
        <v>12263</v>
      </c>
      <c r="L1731" t="s">
        <v>6367</v>
      </c>
      <c r="M1731" t="str">
        <f>"https://www.artic.edu/iiif/2/"&amp;Table9[[#This Row],[Image ID]]&amp;"/full/843,/0/default.jpg"</f>
        <v>https://www.artic.edu/iiif/2/57babddc-d879-16e5-5fb6-ea83ff05f21a/full/843,/0/default.jpg</v>
      </c>
      <c r="N1731" s="3">
        <v>0.73199999999999998</v>
      </c>
      <c r="O1731" s="3">
        <v>7.2999999999999995E-2</v>
      </c>
      <c r="P1731" s="3">
        <v>0.65900000000000003</v>
      </c>
      <c r="Q1731" s="3">
        <v>0.57676869630813599</v>
      </c>
    </row>
    <row r="1732" spans="1:17" x14ac:dyDescent="0.45">
      <c r="A1732" s="3">
        <v>13732</v>
      </c>
      <c r="B1732" t="b">
        <v>0</v>
      </c>
      <c r="C1732" t="b">
        <v>0</v>
      </c>
      <c r="D1732" s="3">
        <v>1914</v>
      </c>
      <c r="E1732" s="3">
        <v>1914</v>
      </c>
      <c r="F1732" t="s">
        <v>3192</v>
      </c>
      <c r="G1732" t="s">
        <v>7</v>
      </c>
      <c r="H1732" s="3">
        <v>24.595600000000001</v>
      </c>
      <c r="I1732" t="s">
        <v>3193</v>
      </c>
      <c r="J1732" t="s">
        <v>12526</v>
      </c>
      <c r="K1732" s="5" t="s">
        <v>9</v>
      </c>
      <c r="L1732" t="s">
        <v>3194</v>
      </c>
      <c r="M1732" t="str">
        <f>"https://www.artic.edu/iiif/2/"&amp;Table9[[#This Row],[Image ID]]&amp;"/full/843,/0/default.jpg"</f>
        <v>https://www.artic.edu/iiif/2/6a7d96dd-68bf-e997-b3c8-b8f7aa371818/full/843,/0/default.jpg</v>
      </c>
      <c r="N1732" s="3">
        <v>0.73199999999999998</v>
      </c>
      <c r="O1732" s="3">
        <v>7.2999999999999995E-2</v>
      </c>
      <c r="P1732" s="3">
        <v>0.65900000000000003</v>
      </c>
      <c r="Q1732" s="3">
        <v>0.64244633913040095</v>
      </c>
    </row>
    <row r="1733" spans="1:17" x14ac:dyDescent="0.45">
      <c r="A1733" s="3">
        <v>24003</v>
      </c>
      <c r="B1733" t="b">
        <v>0</v>
      </c>
      <c r="C1733" t="b">
        <v>0</v>
      </c>
      <c r="D1733" s="3">
        <v>1964</v>
      </c>
      <c r="E1733" s="3">
        <v>1964</v>
      </c>
      <c r="F1733" t="s">
        <v>6359</v>
      </c>
      <c r="G1733" t="s">
        <v>6110</v>
      </c>
      <c r="H1733" s="3">
        <v>0</v>
      </c>
      <c r="I1733" t="s">
        <v>2274</v>
      </c>
      <c r="J1733" t="s">
        <v>13229</v>
      </c>
      <c r="L1733" t="s">
        <v>6360</v>
      </c>
      <c r="M1733" t="str">
        <f>"https://www.artic.edu/iiif/2/"&amp;Table9[[#This Row],[Image ID]]&amp;"/full/843,/0/default.jpg"</f>
        <v>https://www.artic.edu/iiif/2/a007d555-b563-a1b6-ced7-8ff9a22c16c2/full/843,/0/default.jpg</v>
      </c>
      <c r="N1733" s="3">
        <v>0.68300000000000005</v>
      </c>
      <c r="O1733" s="3">
        <v>2.4E-2</v>
      </c>
      <c r="P1733" s="3">
        <v>0.65900000000000003</v>
      </c>
      <c r="Q1733" s="3">
        <v>0.82311487197875899</v>
      </c>
    </row>
    <row r="1734" spans="1:17" x14ac:dyDescent="0.45">
      <c r="A1734" s="3">
        <v>80827</v>
      </c>
      <c r="B1734" t="b">
        <v>0</v>
      </c>
      <c r="C1734" t="b">
        <v>0</v>
      </c>
      <c r="D1734" s="3">
        <v>1953</v>
      </c>
      <c r="E1734" s="3">
        <v>1954</v>
      </c>
      <c r="F1734" t="s">
        <v>10045</v>
      </c>
      <c r="G1734" t="s">
        <v>7</v>
      </c>
      <c r="H1734" s="3">
        <v>25.8188</v>
      </c>
      <c r="I1734" t="s">
        <v>1450</v>
      </c>
      <c r="J1734" t="s">
        <v>13278</v>
      </c>
      <c r="L1734" t="s">
        <v>10046</v>
      </c>
      <c r="M1734" t="str">
        <f>"https://www.artic.edu/iiif/2/"&amp;Table9[[#This Row],[Image ID]]&amp;"/full/843,/0/default.jpg"</f>
        <v>https://www.artic.edu/iiif/2/a3695fa5-85dc-68a0-a969-7e7470ff5afb/full/843,/0/default.jpg</v>
      </c>
      <c r="N1734" s="3">
        <v>0.73199999999999998</v>
      </c>
      <c r="O1734" s="3">
        <v>7.2999999999999995E-2</v>
      </c>
      <c r="P1734" s="3">
        <v>0.65900000000000003</v>
      </c>
      <c r="Q1734" s="3">
        <v>0.56411010026931696</v>
      </c>
    </row>
    <row r="1735" spans="1:17" x14ac:dyDescent="0.45">
      <c r="A1735" s="3">
        <v>102615</v>
      </c>
      <c r="B1735" t="b">
        <v>0</v>
      </c>
      <c r="C1735" t="b">
        <v>1</v>
      </c>
      <c r="D1735" s="3">
        <v>1460</v>
      </c>
      <c r="E1735" s="3">
        <v>1470</v>
      </c>
      <c r="F1735" t="s">
        <v>280</v>
      </c>
      <c r="G1735" t="s">
        <v>281</v>
      </c>
      <c r="H1735" s="3">
        <v>34.058399999999999</v>
      </c>
      <c r="J1735" t="s">
        <v>11078</v>
      </c>
      <c r="K1735" s="5" t="s">
        <v>278</v>
      </c>
      <c r="L1735" t="s">
        <v>282</v>
      </c>
      <c r="M1735" t="str">
        <f>"https://www.artic.edu/iiif/2/"&amp;Table9[[#This Row],[Image ID]]&amp;"/full/843,/0/default.jpg"</f>
        <v>https://www.artic.edu/iiif/2/07b07045-b279-2cd4-7637-f518c8ef078b/full/843,/0/default.jpg</v>
      </c>
      <c r="N1735" s="3">
        <v>0.73199999999999998</v>
      </c>
      <c r="O1735" s="3">
        <v>7.2999999999999995E-2</v>
      </c>
      <c r="P1735" s="3">
        <v>0.65900000000000003</v>
      </c>
      <c r="Q1735" s="3">
        <v>0.68998420238494795</v>
      </c>
    </row>
    <row r="1736" spans="1:17" x14ac:dyDescent="0.45">
      <c r="A1736" s="3">
        <v>159070</v>
      </c>
      <c r="B1736" t="b">
        <v>0</v>
      </c>
      <c r="C1736" t="b">
        <v>1</v>
      </c>
      <c r="D1736" s="3">
        <v>1900</v>
      </c>
      <c r="E1736" s="3">
        <v>1903</v>
      </c>
      <c r="F1736" t="s">
        <v>4182</v>
      </c>
      <c r="G1736" t="s">
        <v>4183</v>
      </c>
      <c r="H1736" s="3">
        <v>42.933900000000001</v>
      </c>
      <c r="I1736" t="s">
        <v>872</v>
      </c>
      <c r="J1736" t="s">
        <v>11338</v>
      </c>
      <c r="L1736" t="s">
        <v>4184</v>
      </c>
      <c r="M1736" t="str">
        <f>"https://www.artic.edu/iiif/2/"&amp;Table9[[#This Row],[Image ID]]&amp;"/full/843,/0/default.jpg"</f>
        <v>https://www.artic.edu/iiif/2/1a431e27-fff6-c922-83f1-b646bf1039bf/full/843,/0/default.jpg</v>
      </c>
      <c r="N1736" s="3">
        <v>0.68300000000000005</v>
      </c>
      <c r="O1736" s="3">
        <v>2.4E-2</v>
      </c>
      <c r="P1736" s="3">
        <v>0.65900000000000003</v>
      </c>
      <c r="Q1736" s="3">
        <v>0.68783664703369096</v>
      </c>
    </row>
    <row r="1737" spans="1:17" x14ac:dyDescent="0.45">
      <c r="A1737" s="3">
        <v>39178</v>
      </c>
      <c r="B1737" t="b">
        <v>0</v>
      </c>
      <c r="C1737" t="b">
        <v>1</v>
      </c>
      <c r="D1737" s="3">
        <v>1835</v>
      </c>
      <c r="E1737" s="3">
        <v>1845</v>
      </c>
      <c r="F1737" t="s">
        <v>7487</v>
      </c>
      <c r="G1737" t="s">
        <v>7488</v>
      </c>
      <c r="H1737" s="3">
        <v>27.509399999999999</v>
      </c>
      <c r="I1737" t="s">
        <v>1295</v>
      </c>
      <c r="J1737" t="s">
        <v>11350</v>
      </c>
      <c r="L1737" t="s">
        <v>7489</v>
      </c>
      <c r="M1737" t="str">
        <f>"https://www.artic.edu/iiif/2/"&amp;Table9[[#This Row],[Image ID]]&amp;"/full/843,/0/default.jpg"</f>
        <v>https://www.artic.edu/iiif/2/1b981821-69da-8086-0aab-c5366694d42f/full/843,/0/default.jpg</v>
      </c>
      <c r="N1737" s="3">
        <v>0.68300000000000005</v>
      </c>
      <c r="O1737" s="3">
        <v>2.4E-2</v>
      </c>
      <c r="P1737" s="3">
        <v>0.65900000000000003</v>
      </c>
      <c r="Q1737" s="3">
        <v>0.81193977594375599</v>
      </c>
    </row>
    <row r="1738" spans="1:17" x14ac:dyDescent="0.45">
      <c r="A1738" s="3">
        <v>11782</v>
      </c>
      <c r="B1738" t="b">
        <v>0</v>
      </c>
      <c r="C1738" t="b">
        <v>1</v>
      </c>
      <c r="D1738" s="3">
        <v>1290</v>
      </c>
      <c r="E1738" s="3">
        <v>1310</v>
      </c>
      <c r="F1738" t="s">
        <v>2447</v>
      </c>
      <c r="G1738" t="s">
        <v>2448</v>
      </c>
      <c r="H1738" s="3">
        <v>54.157800000000002</v>
      </c>
      <c r="I1738" t="s">
        <v>2449</v>
      </c>
      <c r="J1738" t="s">
        <v>11685</v>
      </c>
      <c r="K1738" s="5" t="s">
        <v>278</v>
      </c>
      <c r="L1738" t="s">
        <v>2450</v>
      </c>
      <c r="M1738" t="str">
        <f>"https://www.artic.edu/iiif/2/"&amp;Table9[[#This Row],[Image ID]]&amp;"/full/843,/0/default.jpg"</f>
        <v>https://www.artic.edu/iiif/2/308fb5b0-97a5-fe9d-1c25-783ba98b621b/full/843,/0/default.jpg</v>
      </c>
      <c r="N1738" s="3">
        <v>0.73199999999999998</v>
      </c>
      <c r="O1738" s="3">
        <v>7.2999999999999995E-2</v>
      </c>
      <c r="P1738" s="3">
        <v>0.65900000000000003</v>
      </c>
      <c r="Q1738" s="3">
        <v>0.760176301002502</v>
      </c>
    </row>
    <row r="1739" spans="1:17" x14ac:dyDescent="0.45">
      <c r="A1739" s="3">
        <v>13892</v>
      </c>
      <c r="B1739" t="b">
        <v>0</v>
      </c>
      <c r="C1739" t="b">
        <v>1</v>
      </c>
      <c r="D1739" s="3">
        <v>1700</v>
      </c>
      <c r="E1739" s="3">
        <v>1799</v>
      </c>
      <c r="F1739" t="s">
        <v>3234</v>
      </c>
      <c r="G1739" t="s">
        <v>3235</v>
      </c>
      <c r="H1739" s="3">
        <v>26.003</v>
      </c>
      <c r="I1739" t="s">
        <v>3236</v>
      </c>
      <c r="J1739" t="s">
        <v>12232</v>
      </c>
      <c r="L1739" t="s">
        <v>3237</v>
      </c>
      <c r="M1739" t="str">
        <f>"https://www.artic.edu/iiif/2/"&amp;Table9[[#This Row],[Image ID]]&amp;"/full/843,/0/default.jpg"</f>
        <v>https://www.artic.edu/iiif/2/55e3e5e7-e1d2-04bb-e1db-5287caf553d2/full/843,/0/default.jpg</v>
      </c>
      <c r="N1739" s="3">
        <v>0.80500000000000005</v>
      </c>
      <c r="O1739" s="3">
        <v>0.14599999999999999</v>
      </c>
      <c r="P1739" s="3">
        <v>0.65900000000000003</v>
      </c>
      <c r="Q1739" s="3">
        <v>0.55173206329345703</v>
      </c>
    </row>
    <row r="1740" spans="1:17" x14ac:dyDescent="0.45">
      <c r="A1740" s="3">
        <v>111648</v>
      </c>
      <c r="B1740" t="b">
        <v>0</v>
      </c>
      <c r="C1740" t="b">
        <v>1</v>
      </c>
      <c r="D1740" s="3">
        <v>1864</v>
      </c>
      <c r="E1740" s="3">
        <v>1864</v>
      </c>
      <c r="F1740" t="s">
        <v>1197</v>
      </c>
      <c r="G1740" t="s">
        <v>7</v>
      </c>
      <c r="H1740" s="3">
        <v>28.242799999999999</v>
      </c>
      <c r="I1740" t="s">
        <v>14668</v>
      </c>
      <c r="J1740" t="s">
        <v>12754</v>
      </c>
      <c r="L1740" t="s">
        <v>1198</v>
      </c>
      <c r="M1740" t="str">
        <f>"https://www.artic.edu/iiif/2/"&amp;Table9[[#This Row],[Image ID]]&amp;"/full/843,/0/default.jpg"</f>
        <v>https://www.artic.edu/iiif/2/7b0ea6ca-9424-050e-7e0e-3b67d2289480/full/843,/0/default.jpg</v>
      </c>
      <c r="N1740" s="3">
        <v>0.73199999999999998</v>
      </c>
      <c r="O1740" s="3">
        <v>7.2999999999999995E-2</v>
      </c>
      <c r="P1740" s="3">
        <v>0.65900000000000003</v>
      </c>
      <c r="Q1740" s="3">
        <v>0.66762095689773504</v>
      </c>
    </row>
    <row r="1741" spans="1:17" x14ac:dyDescent="0.45">
      <c r="A1741" s="3">
        <v>55056</v>
      </c>
      <c r="B1741" t="b">
        <v>0</v>
      </c>
      <c r="C1741" t="b">
        <v>1</v>
      </c>
      <c r="D1741" s="3">
        <v>1712</v>
      </c>
      <c r="E1741" s="3">
        <v>1722</v>
      </c>
      <c r="F1741" t="s">
        <v>8319</v>
      </c>
      <c r="G1741" t="s">
        <v>8320</v>
      </c>
      <c r="H1741" s="3">
        <v>34.198799999999999</v>
      </c>
      <c r="I1741" t="s">
        <v>16</v>
      </c>
      <c r="J1741" t="s">
        <v>13002</v>
      </c>
      <c r="L1741" t="s">
        <v>8321</v>
      </c>
      <c r="M1741" t="str">
        <f>"https://www.artic.edu/iiif/2/"&amp;Table9[[#This Row],[Image ID]]&amp;"/full/843,/0/default.jpg"</f>
        <v>https://www.artic.edu/iiif/2/8e1c4097-0e79-68f7-7a3d-93c2bff86d12/full/843,/0/default.jpg</v>
      </c>
      <c r="N1741" s="3">
        <v>0.68300000000000005</v>
      </c>
      <c r="O1741" s="3">
        <v>2.4E-2</v>
      </c>
      <c r="P1741" s="3">
        <v>0.65900000000000003</v>
      </c>
      <c r="Q1741" s="3">
        <v>0.78264945745468095</v>
      </c>
    </row>
    <row r="1742" spans="1:17" x14ac:dyDescent="0.45">
      <c r="A1742" s="3">
        <v>10509</v>
      </c>
      <c r="B1742" t="b">
        <v>0</v>
      </c>
      <c r="C1742" t="b">
        <v>1</v>
      </c>
      <c r="D1742" s="3">
        <v>1540</v>
      </c>
      <c r="E1742" s="3">
        <v>1550</v>
      </c>
      <c r="F1742" t="s">
        <v>478</v>
      </c>
      <c r="G1742" t="s">
        <v>7</v>
      </c>
      <c r="H1742" s="3">
        <v>31.393599999999999</v>
      </c>
      <c r="I1742" t="s">
        <v>479</v>
      </c>
      <c r="J1742" t="s">
        <v>13033</v>
      </c>
      <c r="L1742" t="s">
        <v>480</v>
      </c>
      <c r="M1742" t="str">
        <f>"https://www.artic.edu/iiif/2/"&amp;Table9[[#This Row],[Image ID]]&amp;"/full/843,/0/default.jpg"</f>
        <v>https://www.artic.edu/iiif/2/90a2969d-542a-e97f-09dd-fa1310d91acf/full/843,/0/default.jpg</v>
      </c>
      <c r="N1742" s="3">
        <v>0.80500000000000005</v>
      </c>
      <c r="O1742" s="3">
        <v>0.14599999999999999</v>
      </c>
      <c r="P1742" s="3">
        <v>0.65900000000000003</v>
      </c>
      <c r="Q1742" s="3">
        <v>0.69706171751022294</v>
      </c>
    </row>
    <row r="1743" spans="1:17" x14ac:dyDescent="0.45">
      <c r="A1743" s="3">
        <v>9255</v>
      </c>
      <c r="B1743" t="b">
        <v>0</v>
      </c>
      <c r="C1743" t="b">
        <v>1</v>
      </c>
      <c r="D1743" s="3">
        <v>1804</v>
      </c>
      <c r="E1743" s="3">
        <v>1808</v>
      </c>
      <c r="F1743" t="s">
        <v>5287</v>
      </c>
      <c r="G1743" t="s">
        <v>7</v>
      </c>
      <c r="H1743" s="3">
        <v>34.074300000000001</v>
      </c>
      <c r="I1743" t="s">
        <v>9920</v>
      </c>
      <c r="J1743" t="s">
        <v>13098</v>
      </c>
      <c r="L1743" t="s">
        <v>10565</v>
      </c>
      <c r="M1743" t="str">
        <f>"https://www.artic.edu/iiif/2/"&amp;Table9[[#This Row],[Image ID]]&amp;"/full/843,/0/default.jpg"</f>
        <v>https://www.artic.edu/iiif/2/963399d1-1ad6-e4ef-fa4b-1107fb0d1622/full/843,/0/default.jpg</v>
      </c>
      <c r="N1743" s="3">
        <v>0.85399999999999998</v>
      </c>
      <c r="O1743" s="3">
        <v>0.19500000000000001</v>
      </c>
      <c r="P1743" s="3">
        <v>0.65900000000000003</v>
      </c>
      <c r="Q1743" s="3">
        <v>0.82622474431991499</v>
      </c>
    </row>
    <row r="1744" spans="1:17" x14ac:dyDescent="0.45">
      <c r="A1744" s="3">
        <v>131407</v>
      </c>
      <c r="B1744" t="b">
        <v>0</v>
      </c>
      <c r="C1744" t="b">
        <v>1</v>
      </c>
      <c r="D1744" s="3">
        <v>1857</v>
      </c>
      <c r="E1744" s="3">
        <v>1857</v>
      </c>
      <c r="F1744" t="s">
        <v>2976</v>
      </c>
      <c r="G1744" t="s">
        <v>7</v>
      </c>
      <c r="H1744" s="3">
        <v>44.910699999999999</v>
      </c>
      <c r="I1744" t="s">
        <v>2977</v>
      </c>
      <c r="J1744" t="s">
        <v>11233</v>
      </c>
      <c r="L1744" t="s">
        <v>2978</v>
      </c>
      <c r="M1744" t="str">
        <f>"https://www.artic.edu/iiif/2/"&amp;Table9[[#This Row],[Image ID]]&amp;"/full/843,/0/default.jpg"</f>
        <v>https://www.artic.edu/iiif/2/a2f4085a-6715-212a-c5fa-aa88a4692df0/full/843,/0/default.jpg</v>
      </c>
      <c r="N1744" s="3">
        <v>0.80500000000000005</v>
      </c>
      <c r="O1744" s="3">
        <v>0.14599999999999999</v>
      </c>
      <c r="P1744" s="3">
        <v>0.65900000000000003</v>
      </c>
      <c r="Q1744" s="3">
        <v>0.65805172920226995</v>
      </c>
    </row>
    <row r="1745" spans="1:17" x14ac:dyDescent="0.45">
      <c r="A1745" s="3">
        <v>27281</v>
      </c>
      <c r="B1745" t="b">
        <v>0</v>
      </c>
      <c r="C1745" t="b">
        <v>1</v>
      </c>
      <c r="D1745" s="3">
        <v>1915</v>
      </c>
      <c r="E1745" s="3">
        <v>1915</v>
      </c>
      <c r="F1745" t="s">
        <v>6716</v>
      </c>
      <c r="G1745" t="s">
        <v>7</v>
      </c>
      <c r="H1745" s="3">
        <v>31.386600000000001</v>
      </c>
      <c r="I1745" t="s">
        <v>910</v>
      </c>
      <c r="J1745" t="s">
        <v>14503</v>
      </c>
      <c r="L1745" t="s">
        <v>6717</v>
      </c>
      <c r="M1745" t="str">
        <f>"https://www.artic.edu/iiif/2/"&amp;Table9[[#This Row],[Image ID]]&amp;"/full/843,/0/default.jpg"</f>
        <v>https://www.artic.edu/iiif/2/fdc1a755-ff86-487d-f16b-f03c40a30bee/full/843,/0/default.jpg</v>
      </c>
      <c r="N1745" s="3">
        <v>0.73199999999999998</v>
      </c>
      <c r="O1745" s="3">
        <v>7.2999999999999995E-2</v>
      </c>
      <c r="P1745" s="3">
        <v>0.65900000000000003</v>
      </c>
      <c r="Q1745" s="3">
        <v>0.78766518831252996</v>
      </c>
    </row>
    <row r="1746" spans="1:17" x14ac:dyDescent="0.45">
      <c r="A1746" s="3">
        <v>93828</v>
      </c>
      <c r="B1746" t="b">
        <v>0</v>
      </c>
      <c r="C1746" t="b">
        <v>0</v>
      </c>
      <c r="D1746" s="3">
        <v>1976</v>
      </c>
      <c r="E1746" s="3">
        <v>1976</v>
      </c>
      <c r="F1746" t="s">
        <v>10652</v>
      </c>
      <c r="G1746" t="s">
        <v>10653</v>
      </c>
      <c r="H1746" s="3">
        <v>11.314500000000001</v>
      </c>
      <c r="I1746" t="s">
        <v>54</v>
      </c>
      <c r="J1746" t="s">
        <v>11403</v>
      </c>
      <c r="L1746" t="s">
        <v>10654</v>
      </c>
      <c r="M1746" t="str">
        <f>"https://www.artic.edu/iiif/2/"&amp;Table9[[#This Row],[Image ID]]&amp;"/full/843,/0/default.jpg"</f>
        <v>https://www.artic.edu/iiif/2/1edbf62d-9b56-0435-125a-566d67206ce6/full/843,/0/default.jpg</v>
      </c>
      <c r="N1746" s="3">
        <v>0.75600000000000001</v>
      </c>
      <c r="O1746" s="3">
        <v>9.8000000000000004E-2</v>
      </c>
      <c r="P1746" s="3">
        <v>0.65800000000000003</v>
      </c>
      <c r="Q1746" s="3">
        <v>0.75991642475128096</v>
      </c>
    </row>
    <row r="1747" spans="1:17" x14ac:dyDescent="0.45">
      <c r="A1747" s="3">
        <v>207493</v>
      </c>
      <c r="B1747" t="b">
        <v>0</v>
      </c>
      <c r="C1747" t="b">
        <v>0</v>
      </c>
      <c r="D1747" s="3">
        <v>1964</v>
      </c>
      <c r="E1747" s="3">
        <v>1974</v>
      </c>
      <c r="F1747" t="s">
        <v>5511</v>
      </c>
      <c r="G1747" t="s">
        <v>5512</v>
      </c>
      <c r="H1747" s="3">
        <v>78.6661</v>
      </c>
      <c r="I1747" t="s">
        <v>857</v>
      </c>
      <c r="J1747" t="s">
        <v>12349</v>
      </c>
      <c r="L1747" t="s">
        <v>5513</v>
      </c>
      <c r="M1747" t="str">
        <f>"https://www.artic.edu/iiif/2/"&amp;Table9[[#This Row],[Image ID]]&amp;"/full/843,/0/default.jpg"</f>
        <v>https://www.artic.edu/iiif/2/5dc8a56d-fae6-9b85-645e-4e77b33e307b/full/843,/0/default.jpg</v>
      </c>
      <c r="N1747" s="3">
        <v>0.75600000000000001</v>
      </c>
      <c r="O1747" s="3">
        <v>9.8000000000000004E-2</v>
      </c>
      <c r="P1747" s="3">
        <v>0.65800000000000003</v>
      </c>
      <c r="Q1747" s="3">
        <v>0.89786690473556496</v>
      </c>
    </row>
    <row r="1748" spans="1:17" x14ac:dyDescent="0.45">
      <c r="A1748" s="3">
        <v>5394</v>
      </c>
      <c r="B1748" t="b">
        <v>0</v>
      </c>
      <c r="C1748" t="b">
        <v>0</v>
      </c>
      <c r="D1748" s="3">
        <v>1946</v>
      </c>
      <c r="E1748" s="3">
        <v>1946</v>
      </c>
      <c r="F1748" t="s">
        <v>11</v>
      </c>
      <c r="G1748" t="s">
        <v>4247</v>
      </c>
      <c r="H1748" s="3">
        <v>61.623399999999997</v>
      </c>
      <c r="I1748" t="s">
        <v>758</v>
      </c>
      <c r="J1748" t="s">
        <v>12522</v>
      </c>
      <c r="L1748" t="s">
        <v>8292</v>
      </c>
      <c r="M1748" t="str">
        <f>"https://www.artic.edu/iiif/2/"&amp;Table9[[#This Row],[Image ID]]&amp;"/full/843,/0/default.jpg"</f>
        <v>https://www.artic.edu/iiif/2/6a47cb9b-b219-7ba1-b57c-1aebf1d3d4ea/full/843,/0/default.jpg</v>
      </c>
      <c r="N1748" s="3">
        <v>0.78</v>
      </c>
      <c r="O1748" s="3">
        <v>0.122</v>
      </c>
      <c r="P1748" s="3">
        <v>0.65800000000000003</v>
      </c>
      <c r="Q1748" s="3">
        <v>0.88943928480148304</v>
      </c>
    </row>
    <row r="1749" spans="1:17" x14ac:dyDescent="0.45">
      <c r="A1749" s="3">
        <v>57211</v>
      </c>
      <c r="B1749" t="b">
        <v>0</v>
      </c>
      <c r="C1749" t="b">
        <v>0</v>
      </c>
      <c r="D1749" s="3">
        <v>1959</v>
      </c>
      <c r="E1749" s="3">
        <v>1959</v>
      </c>
      <c r="F1749" t="s">
        <v>3466</v>
      </c>
      <c r="G1749" t="s">
        <v>7</v>
      </c>
      <c r="H1749" s="3">
        <v>8.4212000000000007</v>
      </c>
      <c r="I1749" t="s">
        <v>62</v>
      </c>
      <c r="J1749" t="s">
        <v>12651</v>
      </c>
      <c r="L1749" t="s">
        <v>8482</v>
      </c>
      <c r="M1749" t="str">
        <f>"https://www.artic.edu/iiif/2/"&amp;Table9[[#This Row],[Image ID]]&amp;"/full/843,/0/default.jpg"</f>
        <v>https://www.artic.edu/iiif/2/73a313aa-e456-199d-3329-514f232c132c/full/843,/0/default.jpg</v>
      </c>
      <c r="N1749" s="3">
        <v>0.75600000000000001</v>
      </c>
      <c r="O1749" s="3">
        <v>9.8000000000000004E-2</v>
      </c>
      <c r="P1749" s="3">
        <v>0.65800000000000003</v>
      </c>
      <c r="Q1749" s="3">
        <v>0.86907488107681197</v>
      </c>
    </row>
    <row r="1750" spans="1:17" x14ac:dyDescent="0.45">
      <c r="A1750" s="3">
        <v>135520</v>
      </c>
      <c r="B1750" t="b">
        <v>0</v>
      </c>
      <c r="C1750" t="b">
        <v>0</v>
      </c>
      <c r="D1750" s="3">
        <v>1936</v>
      </c>
      <c r="E1750" s="3">
        <v>1936</v>
      </c>
      <c r="F1750" t="s">
        <v>11</v>
      </c>
      <c r="G1750" t="s">
        <v>3142</v>
      </c>
      <c r="H1750" s="3">
        <v>66.479200000000006</v>
      </c>
      <c r="I1750" t="s">
        <v>14639</v>
      </c>
      <c r="J1750" t="s">
        <v>12836</v>
      </c>
      <c r="L1750" t="s">
        <v>3143</v>
      </c>
      <c r="M1750" t="str">
        <f>"https://www.artic.edu/iiif/2/"&amp;Table9[[#This Row],[Image ID]]&amp;"/full/843,/0/default.jpg"</f>
        <v>https://www.artic.edu/iiif/2/81092fc9-b36e-b8c2-db93-f4ca6ccb2ff4/full/843,/0/default.jpg</v>
      </c>
      <c r="N1750" s="3">
        <v>0.78</v>
      </c>
      <c r="O1750" s="3">
        <v>0.122</v>
      </c>
      <c r="P1750" s="3">
        <v>0.65800000000000003</v>
      </c>
      <c r="Q1750" s="3">
        <v>0.81030964851379395</v>
      </c>
    </row>
    <row r="1751" spans="1:17" x14ac:dyDescent="0.45">
      <c r="A1751" s="3">
        <v>6552</v>
      </c>
      <c r="B1751" t="b">
        <v>0</v>
      </c>
      <c r="C1751" t="b">
        <v>0</v>
      </c>
      <c r="D1751" s="3">
        <v>1930</v>
      </c>
      <c r="E1751" s="3">
        <v>1930</v>
      </c>
      <c r="F1751" t="s">
        <v>9030</v>
      </c>
      <c r="G1751" t="s">
        <v>9031</v>
      </c>
      <c r="H1751" s="3">
        <v>20.875</v>
      </c>
      <c r="I1751" t="s">
        <v>2393</v>
      </c>
      <c r="J1751" t="s">
        <v>12868</v>
      </c>
      <c r="L1751" t="s">
        <v>9032</v>
      </c>
      <c r="M1751" t="str">
        <f>"https://www.artic.edu/iiif/2/"&amp;Table9[[#This Row],[Image ID]]&amp;"/full/843,/0/default.jpg"</f>
        <v>https://www.artic.edu/iiif/2/83676fa5-750e-e9c0-c1ae-5bad90c5677f/full/843,/0/default.jpg</v>
      </c>
      <c r="N1751" s="3">
        <v>0.75600000000000001</v>
      </c>
      <c r="O1751" s="3">
        <v>9.8000000000000004E-2</v>
      </c>
      <c r="P1751" s="3">
        <v>0.65800000000000003</v>
      </c>
      <c r="Q1751" s="3">
        <v>0.68443268537521296</v>
      </c>
    </row>
    <row r="1752" spans="1:17" x14ac:dyDescent="0.45">
      <c r="A1752" s="3">
        <v>22478</v>
      </c>
      <c r="B1752" t="b">
        <v>0</v>
      </c>
      <c r="C1752" t="b">
        <v>0</v>
      </c>
      <c r="D1752" s="3">
        <v>1500</v>
      </c>
      <c r="E1752" s="3">
        <v>1510</v>
      </c>
      <c r="F1752" t="s">
        <v>5890</v>
      </c>
      <c r="G1752" t="s">
        <v>5891</v>
      </c>
      <c r="H1752" s="3">
        <v>45.976799999999997</v>
      </c>
      <c r="I1752" t="s">
        <v>5892</v>
      </c>
      <c r="J1752" t="s">
        <v>13139</v>
      </c>
      <c r="L1752" t="s">
        <v>5893</v>
      </c>
      <c r="M1752" t="str">
        <f>"https://www.artic.edu/iiif/2/"&amp;Table9[[#This Row],[Image ID]]&amp;"/full/843,/0/default.jpg"</f>
        <v>https://www.artic.edu/iiif/2/994f0c8f-9f9f-0031-79bb-dc35431c977e/full/843,/0/default.jpg</v>
      </c>
      <c r="N1752" s="3">
        <v>0.78</v>
      </c>
      <c r="O1752" s="3">
        <v>0.122</v>
      </c>
      <c r="P1752" s="3">
        <v>0.65800000000000003</v>
      </c>
      <c r="Q1752" s="3">
        <v>0.82790416479110696</v>
      </c>
    </row>
    <row r="1753" spans="1:17" x14ac:dyDescent="0.45">
      <c r="A1753" s="3">
        <v>185761</v>
      </c>
      <c r="B1753" t="b">
        <v>0</v>
      </c>
      <c r="C1753" t="b">
        <v>0</v>
      </c>
      <c r="D1753" s="3">
        <v>1957</v>
      </c>
      <c r="E1753" s="3">
        <v>1957</v>
      </c>
      <c r="F1753" t="s">
        <v>5002</v>
      </c>
      <c r="G1753" t="s">
        <v>7</v>
      </c>
      <c r="H1753" s="3">
        <v>77.227000000000004</v>
      </c>
      <c r="I1753" t="s">
        <v>199</v>
      </c>
      <c r="J1753" t="s">
        <v>13264</v>
      </c>
      <c r="L1753" t="s">
        <v>5003</v>
      </c>
      <c r="M1753" t="str">
        <f>"https://www.artic.edu/iiif/2/"&amp;Table9[[#This Row],[Image ID]]&amp;"/full/843,/0/default.jpg"</f>
        <v>https://www.artic.edu/iiif/2/a28e4e8f-f072-092a-52f9-b165c97c7a0a/full/843,/0/default.jpg</v>
      </c>
      <c r="N1753" s="3">
        <v>0.78</v>
      </c>
      <c r="O1753" s="3">
        <v>0.122</v>
      </c>
      <c r="P1753" s="3">
        <v>0.65800000000000003</v>
      </c>
      <c r="Q1753" s="3">
        <v>0.89924192428588801</v>
      </c>
    </row>
    <row r="1754" spans="1:17" x14ac:dyDescent="0.45">
      <c r="A1754" s="3">
        <v>117254</v>
      </c>
      <c r="B1754" t="b">
        <v>0</v>
      </c>
      <c r="C1754" t="b">
        <v>0</v>
      </c>
      <c r="D1754" s="3">
        <v>1971</v>
      </c>
      <c r="E1754" s="3">
        <v>1971</v>
      </c>
      <c r="F1754" t="s">
        <v>2264</v>
      </c>
      <c r="G1754" t="s">
        <v>59</v>
      </c>
      <c r="H1754" s="3">
        <v>54.414099999999998</v>
      </c>
      <c r="I1754" t="s">
        <v>2265</v>
      </c>
      <c r="J1754" t="s">
        <v>13437</v>
      </c>
      <c r="K1754" s="5" t="s">
        <v>2266</v>
      </c>
      <c r="L1754" t="s">
        <v>2267</v>
      </c>
      <c r="M1754" t="str">
        <f>"https://www.artic.edu/iiif/2/"&amp;Table9[[#This Row],[Image ID]]&amp;"/full/843,/0/default.jpg"</f>
        <v>https://www.artic.edu/iiif/2/af49b13d-d0ab-29d6-3c97-4670f37e332c/full/843,/0/default.jpg</v>
      </c>
      <c r="N1754" s="3">
        <v>0.78</v>
      </c>
      <c r="O1754" s="3">
        <v>0.122</v>
      </c>
      <c r="P1754" s="3">
        <v>0.65800000000000003</v>
      </c>
      <c r="Q1754" s="3">
        <v>0.85167396068572998</v>
      </c>
    </row>
    <row r="1755" spans="1:17" x14ac:dyDescent="0.45">
      <c r="A1755" s="3">
        <v>62460</v>
      </c>
      <c r="B1755" t="b">
        <v>0</v>
      </c>
      <c r="C1755" t="b">
        <v>1</v>
      </c>
      <c r="D1755" s="3">
        <v>1655</v>
      </c>
      <c r="E1755" s="3">
        <v>1665</v>
      </c>
      <c r="F1755" t="s">
        <v>8201</v>
      </c>
      <c r="G1755" t="s">
        <v>7</v>
      </c>
      <c r="H1755" s="3">
        <v>34.826799999999999</v>
      </c>
      <c r="J1755" t="s">
        <v>11090</v>
      </c>
      <c r="L1755" t="s">
        <v>8913</v>
      </c>
      <c r="M1755" t="str">
        <f>"https://www.artic.edu/iiif/2/"&amp;Table9[[#This Row],[Image ID]]&amp;"/full/843,/0/default.jpg"</f>
        <v>https://www.artic.edu/iiif/2/086f1a92-1a07-1805-3321-d238009fcda0/full/843,/0/default.jpg</v>
      </c>
      <c r="N1755" s="3">
        <v>0.78</v>
      </c>
      <c r="O1755" s="3">
        <v>0.122</v>
      </c>
      <c r="P1755" s="3">
        <v>0.65800000000000003</v>
      </c>
      <c r="Q1755" s="3">
        <v>0.61047655344009399</v>
      </c>
    </row>
    <row r="1756" spans="1:17" x14ac:dyDescent="0.45">
      <c r="A1756" s="3">
        <v>160030</v>
      </c>
      <c r="B1756" t="b">
        <v>0</v>
      </c>
      <c r="C1756" t="b">
        <v>1</v>
      </c>
      <c r="D1756" s="3">
        <v>1601</v>
      </c>
      <c r="E1756" s="3">
        <v>1601</v>
      </c>
      <c r="F1756" t="s">
        <v>4233</v>
      </c>
      <c r="G1756" t="s">
        <v>7</v>
      </c>
      <c r="H1756" s="3">
        <v>22.772600000000001</v>
      </c>
      <c r="I1756" t="s">
        <v>726</v>
      </c>
      <c r="J1756" t="s">
        <v>11189</v>
      </c>
      <c r="L1756" t="s">
        <v>4234</v>
      </c>
      <c r="M1756" t="str">
        <f>"https://www.artic.edu/iiif/2/"&amp;Table9[[#This Row],[Image ID]]&amp;"/full/843,/0/default.jpg"</f>
        <v>https://www.artic.edu/iiif/2/107dd824-9ae2-b091-9787-5901d5e300da/full/843,/0/default.jpg</v>
      </c>
      <c r="N1756" s="3">
        <v>0.75600000000000001</v>
      </c>
      <c r="O1756" s="3">
        <v>9.8000000000000004E-2</v>
      </c>
      <c r="P1756" s="3">
        <v>0.65800000000000003</v>
      </c>
      <c r="Q1756" s="3">
        <v>0.75790292024612405</v>
      </c>
    </row>
    <row r="1757" spans="1:17" x14ac:dyDescent="0.45">
      <c r="A1757" s="3">
        <v>81303</v>
      </c>
      <c r="B1757" t="b">
        <v>0</v>
      </c>
      <c r="C1757" t="b">
        <v>1</v>
      </c>
      <c r="D1757" s="3">
        <v>1877</v>
      </c>
      <c r="E1757" s="3">
        <v>1877</v>
      </c>
      <c r="F1757" t="s">
        <v>10092</v>
      </c>
      <c r="G1757" t="s">
        <v>10093</v>
      </c>
      <c r="H1757" s="3">
        <v>8.4222999999999999</v>
      </c>
      <c r="I1757" t="s">
        <v>14553</v>
      </c>
      <c r="J1757" t="s">
        <v>11227</v>
      </c>
      <c r="L1757" t="s">
        <v>10094</v>
      </c>
      <c r="M1757" t="str">
        <f>"https://www.artic.edu/iiif/2/"&amp;Table9[[#This Row],[Image ID]]&amp;"/full/843,/0/default.jpg"</f>
        <v>https://www.artic.edu/iiif/2/12a5ffb6-a798-53cd-edba-1d33ec28ae9b/full/843,/0/default.jpg</v>
      </c>
      <c r="N1757" s="3">
        <v>0.75600000000000001</v>
      </c>
      <c r="O1757" s="3">
        <v>9.8000000000000004E-2</v>
      </c>
      <c r="P1757" s="3">
        <v>0.65800000000000003</v>
      </c>
      <c r="Q1757" s="3">
        <v>0.67638731002807595</v>
      </c>
    </row>
    <row r="1758" spans="1:17" x14ac:dyDescent="0.45">
      <c r="A1758" s="3">
        <v>14896</v>
      </c>
      <c r="B1758" t="b">
        <v>0</v>
      </c>
      <c r="C1758" t="b">
        <v>1</v>
      </c>
      <c r="D1758" s="3">
        <v>1500</v>
      </c>
      <c r="E1758" s="3">
        <v>1600</v>
      </c>
      <c r="F1758" t="s">
        <v>201</v>
      </c>
      <c r="G1758" t="s">
        <v>3734</v>
      </c>
      <c r="H1758" s="3">
        <v>15.3521</v>
      </c>
      <c r="I1758" t="s">
        <v>2444</v>
      </c>
      <c r="J1758" t="s">
        <v>11256</v>
      </c>
      <c r="L1758" t="s">
        <v>3735</v>
      </c>
      <c r="M1758" t="str">
        <f>"https://www.artic.edu/iiif/2/"&amp;Table9[[#This Row],[Image ID]]&amp;"/full/843,/0/default.jpg"</f>
        <v>https://www.artic.edu/iiif/2/14f54f04-6bf4-f75f-7a85-2317578071fc/full/843,/0/default.jpg</v>
      </c>
      <c r="N1758" s="3">
        <v>0.78</v>
      </c>
      <c r="O1758" s="3">
        <v>0.122</v>
      </c>
      <c r="P1758" s="3">
        <v>0.65800000000000003</v>
      </c>
      <c r="Q1758" s="3">
        <v>0.83029842376708896</v>
      </c>
    </row>
    <row r="1759" spans="1:17" x14ac:dyDescent="0.45">
      <c r="A1759" s="3">
        <v>16815</v>
      </c>
      <c r="B1759" t="b">
        <v>0</v>
      </c>
      <c r="C1759" t="b">
        <v>1</v>
      </c>
      <c r="D1759" s="3">
        <v>1883</v>
      </c>
      <c r="E1759" s="3">
        <v>1883</v>
      </c>
      <c r="F1759" t="s">
        <v>4595</v>
      </c>
      <c r="G1759" t="s">
        <v>4596</v>
      </c>
      <c r="H1759" s="3">
        <v>12.8047</v>
      </c>
      <c r="I1759" t="s">
        <v>1337</v>
      </c>
      <c r="J1759" t="s">
        <v>11412</v>
      </c>
      <c r="L1759" t="s">
        <v>4597</v>
      </c>
      <c r="M1759" t="str">
        <f>"https://www.artic.edu/iiif/2/"&amp;Table9[[#This Row],[Image ID]]&amp;"/full/843,/0/default.jpg"</f>
        <v>https://www.artic.edu/iiif/2/1f68e1a0-567a-e829-3e2f-ff9857942f9e/full/843,/0/default.jpg</v>
      </c>
      <c r="N1759" s="3">
        <v>0.78</v>
      </c>
      <c r="O1759" s="3">
        <v>0.122</v>
      </c>
      <c r="P1759" s="3">
        <v>0.65800000000000003</v>
      </c>
      <c r="Q1759" s="3">
        <v>0.41706141829490601</v>
      </c>
    </row>
    <row r="1760" spans="1:17" x14ac:dyDescent="0.45">
      <c r="A1760" s="3">
        <v>21774</v>
      </c>
      <c r="B1760" t="b">
        <v>0</v>
      </c>
      <c r="C1760" t="b">
        <v>1</v>
      </c>
      <c r="D1760" s="3">
        <v>1776</v>
      </c>
      <c r="E1760" s="3">
        <v>1827</v>
      </c>
      <c r="F1760" t="s">
        <v>5744</v>
      </c>
      <c r="G1760" t="s">
        <v>5745</v>
      </c>
      <c r="H1760" s="3">
        <v>23.0459</v>
      </c>
      <c r="I1760" t="s">
        <v>1266</v>
      </c>
      <c r="J1760" t="s">
        <v>11855</v>
      </c>
      <c r="L1760" t="s">
        <v>5746</v>
      </c>
      <c r="M1760" t="str">
        <f>"https://www.artic.edu/iiif/2/"&amp;Table9[[#This Row],[Image ID]]&amp;"/full/843,/0/default.jpg"</f>
        <v>https://www.artic.edu/iiif/2/3bdac064-fedf-b875-708a-4a7a0f895b0a/full/843,/0/default.jpg</v>
      </c>
      <c r="N1760" s="3">
        <v>0.75600000000000001</v>
      </c>
      <c r="O1760" s="3">
        <v>9.8000000000000004E-2</v>
      </c>
      <c r="P1760" s="3">
        <v>0.65800000000000003</v>
      </c>
      <c r="Q1760" s="3">
        <v>0.61829239130020097</v>
      </c>
    </row>
    <row r="1761" spans="1:17" x14ac:dyDescent="0.45">
      <c r="A1761" s="3">
        <v>115140</v>
      </c>
      <c r="B1761" t="b">
        <v>0</v>
      </c>
      <c r="C1761" t="b">
        <v>1</v>
      </c>
      <c r="D1761" s="3">
        <v>1852</v>
      </c>
      <c r="E1761" s="3">
        <v>1852</v>
      </c>
      <c r="F1761" t="s">
        <v>1798</v>
      </c>
      <c r="G1761" t="s">
        <v>164</v>
      </c>
      <c r="H1761" s="3">
        <v>16.441600000000001</v>
      </c>
      <c r="I1761" t="s">
        <v>1555</v>
      </c>
      <c r="J1761" t="s">
        <v>12574</v>
      </c>
      <c r="L1761" t="s">
        <v>1799</v>
      </c>
      <c r="M1761" t="str">
        <f>"https://www.artic.edu/iiif/2/"&amp;Table9[[#This Row],[Image ID]]&amp;"/full/843,/0/default.jpg"</f>
        <v>https://www.artic.edu/iiif/2/6e93091a-5eeb-251f-a511-027e22bf111c/full/843,/0/default.jpg</v>
      </c>
      <c r="N1761" s="3">
        <v>0.75600000000000001</v>
      </c>
      <c r="O1761" s="3">
        <v>9.8000000000000004E-2</v>
      </c>
      <c r="P1761" s="3">
        <v>0.65800000000000003</v>
      </c>
      <c r="Q1761" s="3">
        <v>0.82330828905105502</v>
      </c>
    </row>
    <row r="1762" spans="1:17" x14ac:dyDescent="0.45">
      <c r="A1762" s="3">
        <v>133136</v>
      </c>
      <c r="B1762" t="b">
        <v>0</v>
      </c>
      <c r="C1762" t="b">
        <v>1</v>
      </c>
      <c r="D1762" s="3">
        <v>1890</v>
      </c>
      <c r="E1762" s="3">
        <v>1892</v>
      </c>
      <c r="F1762" t="s">
        <v>3021</v>
      </c>
      <c r="G1762" t="s">
        <v>3022</v>
      </c>
      <c r="H1762" s="3">
        <v>25.912800000000001</v>
      </c>
      <c r="I1762" t="s">
        <v>14591</v>
      </c>
      <c r="J1762" t="s">
        <v>13169</v>
      </c>
      <c r="L1762" t="s">
        <v>3023</v>
      </c>
      <c r="M1762" t="str">
        <f>"https://www.artic.edu/iiif/2/"&amp;Table9[[#This Row],[Image ID]]&amp;"/full/843,/0/default.jpg"</f>
        <v>https://www.artic.edu/iiif/2/9b6abc40-f5ff-ae36-2753-e8467c9eafd1/full/843,/0/default.jpg</v>
      </c>
      <c r="N1762" s="3">
        <v>0.75600000000000001</v>
      </c>
      <c r="O1762" s="3">
        <v>9.8000000000000004E-2</v>
      </c>
      <c r="P1762" s="3">
        <v>0.65800000000000003</v>
      </c>
      <c r="Q1762" s="3">
        <v>0.78599947690963701</v>
      </c>
    </row>
    <row r="1763" spans="1:17" x14ac:dyDescent="0.45">
      <c r="A1763" s="3">
        <v>222002</v>
      </c>
      <c r="B1763" t="b">
        <v>0</v>
      </c>
      <c r="C1763" t="b">
        <v>1</v>
      </c>
      <c r="D1763" s="3">
        <v>1888</v>
      </c>
      <c r="E1763" s="3">
        <v>1888</v>
      </c>
      <c r="F1763" t="s">
        <v>14643</v>
      </c>
      <c r="G1763" t="s">
        <v>7</v>
      </c>
      <c r="H1763" s="3">
        <v>45.0441</v>
      </c>
      <c r="I1763" t="s">
        <v>5303</v>
      </c>
      <c r="J1763" t="s">
        <v>13331</v>
      </c>
      <c r="L1763" t="s">
        <v>5823</v>
      </c>
      <c r="M1763" t="str">
        <f>"https://www.artic.edu/iiif/2/"&amp;Table9[[#This Row],[Image ID]]&amp;"/full/843,/0/default.jpg"</f>
        <v>https://www.artic.edu/iiif/2/a7638f95-22e3-5fff-8605-49fd6d8aac79/full/843,/0/default.jpg</v>
      </c>
      <c r="N1763" s="3">
        <v>0.75600000000000001</v>
      </c>
      <c r="O1763" s="3">
        <v>9.8000000000000004E-2</v>
      </c>
      <c r="P1763" s="3">
        <v>0.65800000000000003</v>
      </c>
      <c r="Q1763" s="3">
        <v>0.84070885181427002</v>
      </c>
    </row>
    <row r="1764" spans="1:17" x14ac:dyDescent="0.45">
      <c r="A1764" s="3">
        <v>104107</v>
      </c>
      <c r="B1764" t="b">
        <v>0</v>
      </c>
      <c r="C1764" t="b">
        <v>1</v>
      </c>
      <c r="D1764" s="3">
        <v>1750</v>
      </c>
      <c r="E1764" s="3">
        <v>1765</v>
      </c>
      <c r="F1764" t="s">
        <v>354</v>
      </c>
      <c r="G1764" t="s">
        <v>7</v>
      </c>
      <c r="H1764" s="3">
        <v>0</v>
      </c>
      <c r="I1764" t="s">
        <v>355</v>
      </c>
      <c r="J1764" t="s">
        <v>12081</v>
      </c>
      <c r="L1764" t="s">
        <v>356</v>
      </c>
      <c r="M1764" t="str">
        <f>"https://www.artic.edu/iiif/2/"&amp;Table9[[#This Row],[Image ID]]&amp;"/full/843,/0/default.jpg"</f>
        <v>https://www.artic.edu/iiif/2/cc3626ba-c4cc-d7e7-e71b-00543fc9dbf3/full/843,/0/default.jpg</v>
      </c>
      <c r="N1764" s="3">
        <v>0.75600000000000001</v>
      </c>
      <c r="O1764" s="3">
        <v>9.8000000000000004E-2</v>
      </c>
      <c r="P1764" s="3">
        <v>0.65800000000000003</v>
      </c>
      <c r="Q1764" s="3">
        <v>0.76622092723846402</v>
      </c>
    </row>
    <row r="1765" spans="1:17" x14ac:dyDescent="0.45">
      <c r="A1765" s="3">
        <v>12891</v>
      </c>
      <c r="B1765" t="b">
        <v>0</v>
      </c>
      <c r="C1765" t="b">
        <v>1</v>
      </c>
      <c r="D1765" s="3">
        <v>1700</v>
      </c>
      <c r="E1765" s="3">
        <v>1710</v>
      </c>
      <c r="F1765" t="s">
        <v>2844</v>
      </c>
      <c r="G1765" t="s">
        <v>7</v>
      </c>
      <c r="H1765" s="3">
        <v>27.097999999999999</v>
      </c>
      <c r="I1765" t="s">
        <v>1316</v>
      </c>
      <c r="J1765" t="s">
        <v>13980</v>
      </c>
      <c r="L1765" t="s">
        <v>2845</v>
      </c>
      <c r="M1765" t="str">
        <f>"https://www.artic.edu/iiif/2/"&amp;Table9[[#This Row],[Image ID]]&amp;"/full/843,/0/default.jpg"</f>
        <v>https://www.artic.edu/iiif/2/da256af1-651b-72a4-2d0f-59cf461f29c7/full/843,/0/default.jpg</v>
      </c>
      <c r="N1765" s="3">
        <v>0.78</v>
      </c>
      <c r="O1765" s="3">
        <v>0.122</v>
      </c>
      <c r="P1765" s="3">
        <v>0.65800000000000003</v>
      </c>
      <c r="Q1765" s="3">
        <v>0.62509220838546697</v>
      </c>
    </row>
    <row r="1766" spans="1:17" x14ac:dyDescent="0.45">
      <c r="A1766" s="3">
        <v>6831</v>
      </c>
      <c r="B1766" t="b">
        <v>0</v>
      </c>
      <c r="C1766" t="b">
        <v>1</v>
      </c>
      <c r="D1766" s="3">
        <v>1622</v>
      </c>
      <c r="E1766" s="3">
        <v>1622</v>
      </c>
      <c r="F1766" t="s">
        <v>3877</v>
      </c>
      <c r="G1766" t="s">
        <v>7</v>
      </c>
      <c r="H1766" s="3">
        <v>19.759599999999999</v>
      </c>
      <c r="I1766" t="s">
        <v>14656</v>
      </c>
      <c r="J1766" t="s">
        <v>13981</v>
      </c>
      <c r="L1766" t="s">
        <v>9338</v>
      </c>
      <c r="M1766" t="str">
        <f>"https://www.artic.edu/iiif/2/"&amp;Table9[[#This Row],[Image ID]]&amp;"/full/843,/0/default.jpg"</f>
        <v>https://www.artic.edu/iiif/2/da3e9da7-09ed-412c-16b0-8ceedd38571f/full/843,/0/default.jpg</v>
      </c>
      <c r="N1766" s="3">
        <v>0.78</v>
      </c>
      <c r="O1766" s="3">
        <v>0.122</v>
      </c>
      <c r="P1766" s="3">
        <v>0.65800000000000003</v>
      </c>
      <c r="Q1766" s="3">
        <v>0.71956181526184004</v>
      </c>
    </row>
    <row r="1767" spans="1:17" x14ac:dyDescent="0.45">
      <c r="A1767" s="3">
        <v>118578</v>
      </c>
      <c r="B1767" t="b">
        <v>0</v>
      </c>
      <c r="C1767" t="b">
        <v>0</v>
      </c>
      <c r="D1767" s="3">
        <v>1957</v>
      </c>
      <c r="E1767" s="3">
        <v>1957</v>
      </c>
      <c r="F1767" t="s">
        <v>2504</v>
      </c>
      <c r="G1767" t="s">
        <v>2505</v>
      </c>
      <c r="H1767" s="3">
        <v>21.954699999999999</v>
      </c>
      <c r="I1767" t="s">
        <v>1036</v>
      </c>
      <c r="J1767" t="s">
        <v>11147</v>
      </c>
      <c r="L1767" t="s">
        <v>2506</v>
      </c>
      <c r="M1767" t="str">
        <f>"https://www.artic.edu/iiif/2/"&amp;Table9[[#This Row],[Image ID]]&amp;"/full/843,/0/default.jpg"</f>
        <v>https://www.artic.edu/iiif/2/0d2ba269-48fc-5416-7f81-9b36db07dda0/full/843,/0/default.jpg</v>
      </c>
      <c r="N1767" s="3">
        <v>0.70699999999999996</v>
      </c>
      <c r="O1767" s="3">
        <v>4.9000000000000002E-2</v>
      </c>
      <c r="P1767" s="3">
        <v>0.65799999999999992</v>
      </c>
      <c r="Q1767" s="3">
        <v>0.82838529348373402</v>
      </c>
    </row>
    <row r="1768" spans="1:17" x14ac:dyDescent="0.45">
      <c r="A1768" s="3">
        <v>53039</v>
      </c>
      <c r="B1768" t="b">
        <v>0</v>
      </c>
      <c r="C1768" t="b">
        <v>0</v>
      </c>
      <c r="D1768" s="3">
        <v>1978</v>
      </c>
      <c r="E1768" s="3">
        <v>1978</v>
      </c>
      <c r="F1768" t="s">
        <v>8224</v>
      </c>
      <c r="G1768" t="s">
        <v>3506</v>
      </c>
      <c r="H1768" s="3">
        <v>37.0458</v>
      </c>
      <c r="I1768" t="s">
        <v>172</v>
      </c>
      <c r="J1768" t="s">
        <v>11340</v>
      </c>
      <c r="L1768" t="s">
        <v>8225</v>
      </c>
      <c r="M1768" t="str">
        <f>"https://www.artic.edu/iiif/2/"&amp;Table9[[#This Row],[Image ID]]&amp;"/full/843,/0/default.jpg"</f>
        <v>https://www.artic.edu/iiif/2/1a878162-93e7-53f9-91e7-3d1b400c3e3e/full/843,/0/default.jpg</v>
      </c>
      <c r="N1768" s="3">
        <v>0.70699999999999996</v>
      </c>
      <c r="O1768" s="3">
        <v>4.9000000000000002E-2</v>
      </c>
      <c r="P1768" s="3">
        <v>0.65799999999999992</v>
      </c>
      <c r="Q1768" s="3">
        <v>0.73874610662460305</v>
      </c>
    </row>
    <row r="1769" spans="1:17" x14ac:dyDescent="0.45">
      <c r="A1769" s="3">
        <v>229363</v>
      </c>
      <c r="B1769" t="b">
        <v>0</v>
      </c>
      <c r="C1769" t="b">
        <v>0</v>
      </c>
      <c r="D1769" s="3">
        <v>1974</v>
      </c>
      <c r="E1769" s="3">
        <v>1974</v>
      </c>
      <c r="F1769" t="s">
        <v>6085</v>
      </c>
      <c r="G1769" t="s">
        <v>6086</v>
      </c>
      <c r="H1769" s="3">
        <v>68.366</v>
      </c>
      <c r="I1769" t="s">
        <v>2460</v>
      </c>
      <c r="J1769" t="s">
        <v>11494</v>
      </c>
      <c r="K1769" s="5" t="s">
        <v>149</v>
      </c>
      <c r="L1769" t="s">
        <v>6087</v>
      </c>
      <c r="M1769" t="str">
        <f>"https://www.artic.edu/iiif/2/"&amp;Table9[[#This Row],[Image ID]]&amp;"/full/843,/0/default.jpg"</f>
        <v>https://www.artic.edu/iiif/2/249173c2-0013-4624-211c-3e8fcf335048/full/843,/0/default.jpg</v>
      </c>
      <c r="N1769" s="3">
        <v>0.70699999999999996</v>
      </c>
      <c r="O1769" s="3">
        <v>4.9000000000000002E-2</v>
      </c>
      <c r="P1769" s="3">
        <v>0.65799999999999992</v>
      </c>
      <c r="Q1769" s="3">
        <v>0.75730890035629195</v>
      </c>
    </row>
    <row r="1770" spans="1:17" x14ac:dyDescent="0.45">
      <c r="A1770" s="3">
        <v>191563</v>
      </c>
      <c r="B1770" t="b">
        <v>0</v>
      </c>
      <c r="C1770" t="b">
        <v>0</v>
      </c>
      <c r="D1770" s="3">
        <v>1901</v>
      </c>
      <c r="E1770" s="3">
        <v>1901</v>
      </c>
      <c r="F1770" t="s">
        <v>5199</v>
      </c>
      <c r="G1770" t="s">
        <v>7</v>
      </c>
      <c r="H1770" s="3">
        <v>10.045500000000001</v>
      </c>
      <c r="I1770" t="s">
        <v>1079</v>
      </c>
      <c r="J1770" t="s">
        <v>11938</v>
      </c>
      <c r="L1770" t="s">
        <v>5200</v>
      </c>
      <c r="M1770" t="str">
        <f>"https://www.artic.edu/iiif/2/"&amp;Table9[[#This Row],[Image ID]]&amp;"/full/843,/0/default.jpg"</f>
        <v>https://www.artic.edu/iiif/2/41527b5e-8ac0-abd0-0a9b-afb6d4ab76bf/full/843,/0/default.jpg</v>
      </c>
      <c r="N1770" s="3">
        <v>0.70699999999999996</v>
      </c>
      <c r="O1770" s="3">
        <v>4.9000000000000002E-2</v>
      </c>
      <c r="P1770" s="3">
        <v>0.65799999999999992</v>
      </c>
      <c r="Q1770" s="3">
        <v>0.587629795074462</v>
      </c>
    </row>
    <row r="1771" spans="1:17" x14ac:dyDescent="0.45">
      <c r="A1771" s="3">
        <v>23658</v>
      </c>
      <c r="B1771" t="b">
        <v>0</v>
      </c>
      <c r="C1771" t="b">
        <v>0</v>
      </c>
      <c r="D1771" s="3">
        <v>1905</v>
      </c>
      <c r="E1771" s="3">
        <v>1945</v>
      </c>
      <c r="F1771" t="s">
        <v>6282</v>
      </c>
      <c r="G1771" t="s">
        <v>6283</v>
      </c>
      <c r="H1771" s="3">
        <v>27.626100000000001</v>
      </c>
      <c r="I1771" t="s">
        <v>1355</v>
      </c>
      <c r="J1771" t="s">
        <v>12043</v>
      </c>
      <c r="L1771" t="s">
        <v>6284</v>
      </c>
      <c r="M1771" t="str">
        <f>"https://www.artic.edu/iiif/2/"&amp;Table9[[#This Row],[Image ID]]&amp;"/full/843,/0/default.jpg"</f>
        <v>https://www.artic.edu/iiif/2/48e418e4-1480-5381-5a02-15b1a2103eaf/full/843,/0/default.jpg</v>
      </c>
      <c r="N1771" s="3">
        <v>0.82899999999999996</v>
      </c>
      <c r="O1771" s="3">
        <v>0.17100000000000001</v>
      </c>
      <c r="P1771" s="3">
        <v>0.65799999999999992</v>
      </c>
      <c r="Q1771" s="3">
        <v>0.92535829544067305</v>
      </c>
    </row>
    <row r="1772" spans="1:17" x14ac:dyDescent="0.45">
      <c r="A1772" s="3">
        <v>202536</v>
      </c>
      <c r="B1772" t="b">
        <v>0</v>
      </c>
      <c r="C1772" t="b">
        <v>0</v>
      </c>
      <c r="D1772" s="3">
        <v>1971</v>
      </c>
      <c r="E1772" s="3">
        <v>1977</v>
      </c>
      <c r="F1772" t="s">
        <v>5356</v>
      </c>
      <c r="G1772" t="s">
        <v>14597</v>
      </c>
      <c r="H1772" s="3">
        <v>14.6533</v>
      </c>
      <c r="I1772" t="s">
        <v>5170</v>
      </c>
      <c r="J1772" t="s">
        <v>12647</v>
      </c>
      <c r="L1772" t="s">
        <v>5357</v>
      </c>
      <c r="M1772" t="str">
        <f>"https://www.artic.edu/iiif/2/"&amp;Table9[[#This Row],[Image ID]]&amp;"/full/843,/0/default.jpg"</f>
        <v>https://www.artic.edu/iiif/2/7357bf1e-627f-c766-43f9-befd066df9ba/full/843,/0/default.jpg</v>
      </c>
      <c r="N1772" s="3">
        <v>0.70699999999999996</v>
      </c>
      <c r="O1772" s="3">
        <v>4.9000000000000002E-2</v>
      </c>
      <c r="P1772" s="3">
        <v>0.65799999999999992</v>
      </c>
      <c r="Q1772" s="3">
        <v>0.75331646203994695</v>
      </c>
    </row>
    <row r="1773" spans="1:17" x14ac:dyDescent="0.45">
      <c r="A1773" s="3">
        <v>66395</v>
      </c>
      <c r="B1773" t="b">
        <v>0</v>
      </c>
      <c r="C1773" t="b">
        <v>0</v>
      </c>
      <c r="D1773" s="3">
        <v>1956</v>
      </c>
      <c r="E1773" s="3">
        <v>1957</v>
      </c>
      <c r="F1773" t="s">
        <v>9254</v>
      </c>
      <c r="G1773" t="s">
        <v>9241</v>
      </c>
      <c r="H1773" s="3">
        <v>42.998800000000003</v>
      </c>
      <c r="I1773" t="s">
        <v>1091</v>
      </c>
      <c r="J1773" t="s">
        <v>14027</v>
      </c>
      <c r="L1773" t="s">
        <v>9255</v>
      </c>
      <c r="M1773" t="str">
        <f>"https://www.artic.edu/iiif/2/"&amp;Table9[[#This Row],[Image ID]]&amp;"/full/843,/0/default.jpg"</f>
        <v>https://www.artic.edu/iiif/2/e2d1abbe-9641-e32f-00c5-a2e4391d618a/full/843,/0/default.jpg</v>
      </c>
      <c r="N1773" s="3">
        <v>0.70699999999999996</v>
      </c>
      <c r="O1773" s="3">
        <v>4.9000000000000002E-2</v>
      </c>
      <c r="P1773" s="3">
        <v>0.65799999999999992</v>
      </c>
      <c r="Q1773" s="3">
        <v>0.87421864271163896</v>
      </c>
    </row>
    <row r="1774" spans="1:17" x14ac:dyDescent="0.45">
      <c r="A1774" s="3">
        <v>150064</v>
      </c>
      <c r="B1774" t="b">
        <v>0</v>
      </c>
      <c r="C1774" t="b">
        <v>0</v>
      </c>
      <c r="D1774" s="3">
        <v>1995</v>
      </c>
      <c r="E1774" s="3">
        <v>1995</v>
      </c>
      <c r="F1774" t="s">
        <v>11</v>
      </c>
      <c r="G1774" t="s">
        <v>3778</v>
      </c>
      <c r="H1774" s="3">
        <v>35.6389</v>
      </c>
      <c r="I1774" t="s">
        <v>3779</v>
      </c>
      <c r="J1774" t="s">
        <v>14275</v>
      </c>
      <c r="L1774" t="s">
        <v>3780</v>
      </c>
      <c r="M1774" t="str">
        <f>"https://www.artic.edu/iiif/2/"&amp;Table9[[#This Row],[Image ID]]&amp;"/full/843,/0/default.jpg"</f>
        <v>https://www.artic.edu/iiif/2/ed714580-7164-7573-88bb-2f59e070775d/full/843,/0/default.jpg</v>
      </c>
      <c r="N1774" s="3">
        <v>0.70699999999999996</v>
      </c>
      <c r="O1774" s="3">
        <v>4.9000000000000002E-2</v>
      </c>
      <c r="P1774" s="3">
        <v>0.65799999999999992</v>
      </c>
      <c r="Q1774" s="3">
        <v>0.86485922336578303</v>
      </c>
    </row>
    <row r="1775" spans="1:17" x14ac:dyDescent="0.45">
      <c r="A1775" s="3">
        <v>81032</v>
      </c>
      <c r="B1775" t="b">
        <v>0</v>
      </c>
      <c r="C1775" t="b">
        <v>0</v>
      </c>
      <c r="D1775" s="3">
        <v>1899</v>
      </c>
      <c r="E1775" s="3">
        <v>1921</v>
      </c>
      <c r="F1775" t="s">
        <v>10076</v>
      </c>
      <c r="G1775" t="s">
        <v>10077</v>
      </c>
      <c r="H1775" s="3">
        <v>47.279400000000003</v>
      </c>
      <c r="I1775" t="s">
        <v>9926</v>
      </c>
      <c r="J1775" t="s">
        <v>14480</v>
      </c>
      <c r="L1775" t="s">
        <v>10078</v>
      </c>
      <c r="M1775" t="str">
        <f>"https://www.artic.edu/iiif/2/"&amp;Table9[[#This Row],[Image ID]]&amp;"/full/843,/0/default.jpg"</f>
        <v>https://www.artic.edu/iiif/2/fc083f81-f98c-28ef-af14-2b4c0edef753/full/843,/0/default.jpg</v>
      </c>
      <c r="N1775" s="3">
        <v>0.70699999999999996</v>
      </c>
      <c r="O1775" s="3">
        <v>4.9000000000000002E-2</v>
      </c>
      <c r="P1775" s="3">
        <v>0.65799999999999992</v>
      </c>
      <c r="Q1775" s="3">
        <v>0.66503846645355202</v>
      </c>
    </row>
    <row r="1776" spans="1:17" x14ac:dyDescent="0.45">
      <c r="A1776" s="3">
        <v>97907</v>
      </c>
      <c r="B1776" t="b">
        <v>0</v>
      </c>
      <c r="C1776" t="b">
        <v>1</v>
      </c>
      <c r="D1776" s="3">
        <v>1890</v>
      </c>
      <c r="E1776" s="3">
        <v>1890</v>
      </c>
      <c r="F1776" t="s">
        <v>10895</v>
      </c>
      <c r="G1776" t="s">
        <v>7</v>
      </c>
      <c r="H1776" s="3">
        <v>34.834299999999999</v>
      </c>
      <c r="I1776" t="s">
        <v>192</v>
      </c>
      <c r="J1776" t="s">
        <v>10978</v>
      </c>
      <c r="L1776" t="s">
        <v>10896</v>
      </c>
      <c r="M1776" t="str">
        <f>"https://www.artic.edu/iiif/2/"&amp;Table9[[#This Row],[Image ID]]&amp;"/full/843,/0/default.jpg"</f>
        <v>https://www.artic.edu/iiif/2/005f82e8-fe78-0395-c03f-894a246fb922/full/843,/0/default.jpg</v>
      </c>
      <c r="N1776" s="3">
        <v>0.70699999999999996</v>
      </c>
      <c r="O1776" s="3">
        <v>4.9000000000000002E-2</v>
      </c>
      <c r="P1776" s="3">
        <v>0.65799999999999992</v>
      </c>
      <c r="Q1776" s="3">
        <v>0.70769232511520297</v>
      </c>
    </row>
    <row r="1777" spans="1:17" x14ac:dyDescent="0.45">
      <c r="A1777" s="3">
        <v>147478</v>
      </c>
      <c r="B1777" t="b">
        <v>0</v>
      </c>
      <c r="C1777" t="b">
        <v>1</v>
      </c>
      <c r="D1777" s="3">
        <v>1801</v>
      </c>
      <c r="E1777" s="3">
        <v>1900</v>
      </c>
      <c r="F1777" t="s">
        <v>3620</v>
      </c>
      <c r="G1777" t="s">
        <v>764</v>
      </c>
      <c r="H1777" s="3">
        <v>18.616499999999998</v>
      </c>
      <c r="I1777" t="s">
        <v>3621</v>
      </c>
      <c r="J1777" t="s">
        <v>11029</v>
      </c>
      <c r="L1777" t="s">
        <v>3622</v>
      </c>
      <c r="M1777" t="str">
        <f>"https://www.artic.edu/iiif/2/"&amp;Table9[[#This Row],[Image ID]]&amp;"/full/843,/0/default.jpg"</f>
        <v>https://www.artic.edu/iiif/2/03bfd0a4-ce6d-5b37-22d8-8e3de4004e0a/full/843,/0/default.jpg</v>
      </c>
      <c r="N1777" s="3">
        <v>0.70699999999999996</v>
      </c>
      <c r="O1777" s="3">
        <v>4.9000000000000002E-2</v>
      </c>
      <c r="P1777" s="3">
        <v>0.65799999999999992</v>
      </c>
      <c r="Q1777" s="3">
        <v>0.64770424365997303</v>
      </c>
    </row>
    <row r="1778" spans="1:17" x14ac:dyDescent="0.45">
      <c r="A1778" s="3">
        <v>9148</v>
      </c>
      <c r="B1778" t="b">
        <v>0</v>
      </c>
      <c r="C1778" t="b">
        <v>1</v>
      </c>
      <c r="D1778" s="3">
        <v>1885</v>
      </c>
      <c r="E1778" s="3">
        <v>1885</v>
      </c>
      <c r="F1778" t="s">
        <v>10562</v>
      </c>
      <c r="G1778" t="s">
        <v>10563</v>
      </c>
      <c r="H1778" s="3">
        <v>27.317399999999999</v>
      </c>
      <c r="I1778" t="s">
        <v>259</v>
      </c>
      <c r="J1778" t="s">
        <v>11964</v>
      </c>
      <c r="L1778" t="s">
        <v>10564</v>
      </c>
      <c r="M1778" t="str">
        <f>"https://www.artic.edu/iiif/2/"&amp;Table9[[#This Row],[Image ID]]&amp;"/full/843,/0/default.jpg"</f>
        <v>https://www.artic.edu/iiif/2/43249182-2ef0-8d18-3d32-0b9af3606ed3/full/843,/0/default.jpg</v>
      </c>
      <c r="N1778" s="3">
        <v>0.70699999999999996</v>
      </c>
      <c r="O1778" s="3">
        <v>4.9000000000000002E-2</v>
      </c>
      <c r="P1778" s="3">
        <v>0.65799999999999992</v>
      </c>
      <c r="Q1778" s="3">
        <v>0.68166404962539595</v>
      </c>
    </row>
    <row r="1779" spans="1:17" x14ac:dyDescent="0.45">
      <c r="A1779" s="3">
        <v>111295</v>
      </c>
      <c r="B1779" t="b">
        <v>0</v>
      </c>
      <c r="C1779" t="b">
        <v>1</v>
      </c>
      <c r="D1779" s="3">
        <v>1819</v>
      </c>
      <c r="E1779" s="3">
        <v>1819</v>
      </c>
      <c r="F1779" t="s">
        <v>1056</v>
      </c>
      <c r="G1779" t="s">
        <v>456</v>
      </c>
      <c r="H1779" s="3">
        <v>24.359000000000002</v>
      </c>
      <c r="I1779" t="s">
        <v>1057</v>
      </c>
      <c r="J1779" t="s">
        <v>12141</v>
      </c>
      <c r="L1779" t="s">
        <v>1058</v>
      </c>
      <c r="M1779" t="str">
        <f>"https://www.artic.edu/iiif/2/"&amp;Table9[[#This Row],[Image ID]]&amp;"/full/843,/0/default.jpg"</f>
        <v>https://www.artic.edu/iiif/2/50a9f07d-6b44-76e6-83b5-f36b82e5f91f/full/843,/0/default.jpg</v>
      </c>
      <c r="N1779" s="3">
        <v>0.70699999999999996</v>
      </c>
      <c r="O1779" s="3">
        <v>4.9000000000000002E-2</v>
      </c>
      <c r="P1779" s="3">
        <v>0.65799999999999992</v>
      </c>
      <c r="Q1779" s="3">
        <v>0.45770877599716098</v>
      </c>
    </row>
    <row r="1780" spans="1:17" x14ac:dyDescent="0.45">
      <c r="A1780" s="3">
        <v>5519</v>
      </c>
      <c r="B1780" t="b">
        <v>0</v>
      </c>
      <c r="C1780" t="b">
        <v>1</v>
      </c>
      <c r="D1780" s="3">
        <v>101</v>
      </c>
      <c r="E1780" s="3">
        <v>150</v>
      </c>
      <c r="F1780" t="s">
        <v>8328</v>
      </c>
      <c r="G1780" t="s">
        <v>8329</v>
      </c>
      <c r="H1780" s="3">
        <v>41.353499999999997</v>
      </c>
      <c r="I1780" t="s">
        <v>3</v>
      </c>
      <c r="J1780" t="s">
        <v>12567</v>
      </c>
      <c r="K1780" s="5" t="s">
        <v>275</v>
      </c>
      <c r="L1780" t="s">
        <v>8330</v>
      </c>
      <c r="M1780" t="str">
        <f>"https://www.artic.edu/iiif/2/"&amp;Table9[[#This Row],[Image ID]]&amp;"/full/843,/0/default.jpg"</f>
        <v>https://www.artic.edu/iiif/2/6db509c1-1283-e323-c451-d2fc48f1aa01/full/843,/0/default.jpg</v>
      </c>
      <c r="N1780" s="3">
        <v>0.70699999999999996</v>
      </c>
      <c r="O1780" s="3">
        <v>4.9000000000000002E-2</v>
      </c>
      <c r="P1780" s="3">
        <v>0.65799999999999992</v>
      </c>
      <c r="Q1780" s="3">
        <v>0.82046693563461304</v>
      </c>
    </row>
    <row r="1781" spans="1:17" x14ac:dyDescent="0.45">
      <c r="A1781" s="3">
        <v>39124</v>
      </c>
      <c r="B1781" t="b">
        <v>0</v>
      </c>
      <c r="C1781" t="b">
        <v>1</v>
      </c>
      <c r="D1781" s="3">
        <v>1832</v>
      </c>
      <c r="E1781" s="3">
        <v>1832</v>
      </c>
      <c r="F1781" t="s">
        <v>7457</v>
      </c>
      <c r="G1781" t="s">
        <v>7458</v>
      </c>
      <c r="H1781" s="3">
        <v>31.605899999999998</v>
      </c>
      <c r="I1781" t="s">
        <v>1751</v>
      </c>
      <c r="J1781" t="s">
        <v>12879</v>
      </c>
      <c r="L1781" t="s">
        <v>7459</v>
      </c>
      <c r="M1781" t="str">
        <f>"https://www.artic.edu/iiif/2/"&amp;Table9[[#This Row],[Image ID]]&amp;"/full/843,/0/default.jpg"</f>
        <v>https://www.artic.edu/iiif/2/842ae433-806c-64ca-055a-dd5393174cb7/full/843,/0/default.jpg</v>
      </c>
      <c r="N1781" s="3">
        <v>0.70699999999999996</v>
      </c>
      <c r="O1781" s="3">
        <v>4.9000000000000002E-2</v>
      </c>
      <c r="P1781" s="3">
        <v>0.65799999999999992</v>
      </c>
      <c r="Q1781" s="3">
        <v>0.65566229820251398</v>
      </c>
    </row>
    <row r="1782" spans="1:17" x14ac:dyDescent="0.45">
      <c r="A1782" s="3">
        <v>30368</v>
      </c>
      <c r="B1782" t="b">
        <v>0</v>
      </c>
      <c r="C1782" t="b">
        <v>1</v>
      </c>
      <c r="D1782" s="3">
        <v>1870</v>
      </c>
      <c r="E1782" s="3">
        <v>1968</v>
      </c>
      <c r="F1782" t="s">
        <v>6944</v>
      </c>
      <c r="G1782" t="s">
        <v>75</v>
      </c>
      <c r="H1782" s="3">
        <v>0</v>
      </c>
      <c r="I1782" t="s">
        <v>6945</v>
      </c>
      <c r="J1782" t="s">
        <v>13117</v>
      </c>
      <c r="L1782" t="s">
        <v>6946</v>
      </c>
      <c r="M1782" t="str">
        <f>"https://www.artic.edu/iiif/2/"&amp;Table9[[#This Row],[Image ID]]&amp;"/full/843,/0/default.jpg"</f>
        <v>https://www.artic.edu/iiif/2/97958731-7377-844e-0a17-1c9c3214800f/full/843,/0/default.jpg</v>
      </c>
      <c r="N1782" s="3">
        <v>0.70699999999999996</v>
      </c>
      <c r="O1782" s="3">
        <v>4.9000000000000002E-2</v>
      </c>
      <c r="P1782" s="3">
        <v>0.65799999999999992</v>
      </c>
      <c r="Q1782" s="3">
        <v>0.51291769742965698</v>
      </c>
    </row>
    <row r="1783" spans="1:17" x14ac:dyDescent="0.45">
      <c r="A1783" s="3">
        <v>209969</v>
      </c>
      <c r="B1783" t="b">
        <v>0</v>
      </c>
      <c r="C1783" t="b">
        <v>1</v>
      </c>
      <c r="D1783" s="3">
        <v>1619</v>
      </c>
      <c r="E1783" s="3">
        <v>1619</v>
      </c>
      <c r="F1783" t="s">
        <v>5553</v>
      </c>
      <c r="G1783" t="s">
        <v>7</v>
      </c>
      <c r="H1783" s="3">
        <v>18.909700000000001</v>
      </c>
      <c r="I1783" t="s">
        <v>5554</v>
      </c>
      <c r="J1783" t="s">
        <v>13911</v>
      </c>
      <c r="L1783" t="s">
        <v>5555</v>
      </c>
      <c r="M1783" t="str">
        <f>"https://www.artic.edu/iiif/2/"&amp;Table9[[#This Row],[Image ID]]&amp;"/full/843,/0/default.jpg"</f>
        <v>https://www.artic.edu/iiif/2/d586d528-72f0-69d4-cf6a-a48fbf2293e3/full/843,/0/default.jpg</v>
      </c>
      <c r="N1783" s="3">
        <v>0.82899999999999996</v>
      </c>
      <c r="O1783" s="3">
        <v>0.17100000000000001</v>
      </c>
      <c r="P1783" s="3">
        <v>0.65799999999999992</v>
      </c>
      <c r="Q1783" s="3">
        <v>0.47231382131576499</v>
      </c>
    </row>
    <row r="1784" spans="1:17" x14ac:dyDescent="0.45">
      <c r="A1784" s="3">
        <v>111736</v>
      </c>
      <c r="B1784" t="b">
        <v>0</v>
      </c>
      <c r="C1784" t="b">
        <v>1</v>
      </c>
      <c r="D1784" s="3">
        <v>1880</v>
      </c>
      <c r="E1784" s="3">
        <v>1880</v>
      </c>
      <c r="F1784" t="s">
        <v>1250</v>
      </c>
      <c r="G1784" t="s">
        <v>7</v>
      </c>
      <c r="H1784" s="3">
        <v>25.819199999999999</v>
      </c>
      <c r="I1784" t="s">
        <v>1251</v>
      </c>
      <c r="J1784" t="s">
        <v>14356</v>
      </c>
      <c r="L1784" t="s">
        <v>1252</v>
      </c>
      <c r="M1784" t="str">
        <f>"https://www.artic.edu/iiif/2/"&amp;Table9[[#This Row],[Image ID]]&amp;"/full/843,/0/default.jpg"</f>
        <v>https://www.artic.edu/iiif/2/f2cf5f64-7c25-7d20-42a2-bd371ee9f68b/full/843,/0/default.jpg</v>
      </c>
      <c r="N1784" s="3">
        <v>0.70699999999999996</v>
      </c>
      <c r="O1784" s="3">
        <v>4.9000000000000002E-2</v>
      </c>
      <c r="P1784" s="3">
        <v>0.65799999999999992</v>
      </c>
      <c r="Q1784" s="3">
        <v>0.655575931072235</v>
      </c>
    </row>
    <row r="1785" spans="1:17" x14ac:dyDescent="0.45">
      <c r="A1785" s="3">
        <v>3485</v>
      </c>
      <c r="B1785" t="b">
        <v>0</v>
      </c>
      <c r="C1785" t="b">
        <v>0</v>
      </c>
      <c r="D1785" s="3">
        <v>1883</v>
      </c>
      <c r="E1785" s="3">
        <v>1932</v>
      </c>
      <c r="F1785" t="s">
        <v>7130</v>
      </c>
      <c r="G1785" t="s">
        <v>7131</v>
      </c>
      <c r="H1785" s="3">
        <v>6.4851999999999999</v>
      </c>
      <c r="I1785" t="s">
        <v>7132</v>
      </c>
      <c r="J1785" t="s">
        <v>12371</v>
      </c>
      <c r="L1785" t="s">
        <v>7133</v>
      </c>
      <c r="M1785" t="str">
        <f>"https://www.artic.edu/iiif/2/"&amp;Table9[[#This Row],[Image ID]]&amp;"/full/843,/0/default.jpg"</f>
        <v>https://www.artic.edu/iiif/2/5f5209e6-2e4b-367a-67cb-cd85beb26c56/full/843,/0/default.jpg</v>
      </c>
      <c r="N1785" s="3">
        <v>0.79100000000000004</v>
      </c>
      <c r="O1785" s="3">
        <v>0.13600000000000001</v>
      </c>
      <c r="P1785" s="3">
        <v>0.65500000000000003</v>
      </c>
      <c r="Q1785" s="3">
        <v>0.72699505090713501</v>
      </c>
    </row>
    <row r="1786" spans="1:17" x14ac:dyDescent="0.45">
      <c r="A1786" s="3">
        <v>97894</v>
      </c>
      <c r="B1786" t="b">
        <v>0</v>
      </c>
      <c r="C1786" t="b">
        <v>1</v>
      </c>
      <c r="D1786" s="3">
        <v>1900</v>
      </c>
      <c r="E1786" s="3">
        <v>1900</v>
      </c>
      <c r="F1786" t="s">
        <v>10874</v>
      </c>
      <c r="G1786" t="s">
        <v>7</v>
      </c>
      <c r="H1786" s="3">
        <v>10.5722</v>
      </c>
      <c r="I1786" t="s">
        <v>192</v>
      </c>
      <c r="J1786" t="s">
        <v>11578</v>
      </c>
      <c r="L1786" t="s">
        <v>10875</v>
      </c>
      <c r="M1786" t="str">
        <f>"https://www.artic.edu/iiif/2/"&amp;Table9[[#This Row],[Image ID]]&amp;"/full/843,/0/default.jpg"</f>
        <v>https://www.artic.edu/iiif/2/29a102da-4838-432b-7373-a3c7f5679d75/full/843,/0/default.jpg</v>
      </c>
      <c r="N1786" s="3">
        <v>0.8</v>
      </c>
      <c r="O1786" s="3">
        <v>0.14599999999999999</v>
      </c>
      <c r="P1786" s="3">
        <v>0.65400000000000003</v>
      </c>
      <c r="Q1786" s="3">
        <v>0.69697082042694003</v>
      </c>
    </row>
    <row r="1787" spans="1:17" x14ac:dyDescent="0.45">
      <c r="A1787" s="3">
        <v>14713</v>
      </c>
      <c r="B1787" t="b">
        <v>0</v>
      </c>
      <c r="C1787" t="b">
        <v>1</v>
      </c>
      <c r="D1787" s="3">
        <v>1301</v>
      </c>
      <c r="E1787" s="3">
        <v>1400</v>
      </c>
      <c r="F1787" t="s">
        <v>3588</v>
      </c>
      <c r="G1787" t="s">
        <v>584</v>
      </c>
      <c r="H1787" s="3">
        <v>61.149799999999999</v>
      </c>
      <c r="J1787" t="s">
        <v>14055</v>
      </c>
      <c r="K1787" s="5" t="s">
        <v>278</v>
      </c>
      <c r="L1787" t="s">
        <v>3589</v>
      </c>
      <c r="M1787" t="str">
        <f>"https://www.artic.edu/iiif/2/"&amp;Table9[[#This Row],[Image ID]]&amp;"/full/843,/0/default.jpg"</f>
        <v>https://www.artic.edu/iiif/2/dfc3c20f-84f6-f915-85ca-af30a46638f1/full/843,/0/default.jpg</v>
      </c>
      <c r="N1787" s="3">
        <v>0.82499999999999996</v>
      </c>
      <c r="O1787" s="3">
        <v>0.17100000000000001</v>
      </c>
      <c r="P1787" s="3">
        <v>0.65399999999999991</v>
      </c>
      <c r="Q1787" s="3">
        <v>0.774103224277496</v>
      </c>
    </row>
    <row r="1788" spans="1:17" x14ac:dyDescent="0.45">
      <c r="A1788" s="3">
        <v>31123</v>
      </c>
      <c r="B1788" t="b">
        <v>0</v>
      </c>
      <c r="C1788" t="b">
        <v>0</v>
      </c>
      <c r="D1788" s="3">
        <v>1906</v>
      </c>
      <c r="E1788" s="3">
        <v>1939</v>
      </c>
      <c r="F1788" t="s">
        <v>6987</v>
      </c>
      <c r="G1788" t="s">
        <v>6988</v>
      </c>
      <c r="H1788" s="3">
        <v>33.371899999999997</v>
      </c>
      <c r="I1788" t="s">
        <v>3238</v>
      </c>
      <c r="J1788" t="s">
        <v>11077</v>
      </c>
      <c r="L1788" t="s">
        <v>6989</v>
      </c>
      <c r="M1788" t="str">
        <f>"https://www.artic.edu/iiif/2/"&amp;Table9[[#This Row],[Image ID]]&amp;"/full/843,/0/default.jpg"</f>
        <v>https://www.artic.edu/iiif/2/07a98d53-6ee3-f330-ae59-b1ef24aa35b4/full/843,/0/default.jpg</v>
      </c>
      <c r="N1788" s="3">
        <v>0.77500000000000002</v>
      </c>
      <c r="O1788" s="3">
        <v>0.122</v>
      </c>
      <c r="P1788" s="3">
        <v>0.65300000000000002</v>
      </c>
      <c r="Q1788" s="3">
        <v>0.81278914213180498</v>
      </c>
    </row>
    <row r="1789" spans="1:17" x14ac:dyDescent="0.45">
      <c r="A1789" s="3">
        <v>94007</v>
      </c>
      <c r="B1789" t="b">
        <v>0</v>
      </c>
      <c r="C1789" t="b">
        <v>0</v>
      </c>
      <c r="D1789" s="3">
        <v>1965</v>
      </c>
      <c r="E1789" s="3">
        <v>1966</v>
      </c>
      <c r="F1789" t="s">
        <v>10666</v>
      </c>
      <c r="G1789" t="s">
        <v>10667</v>
      </c>
      <c r="H1789" s="3">
        <v>5.7375999999999996</v>
      </c>
      <c r="I1789" t="s">
        <v>378</v>
      </c>
      <c r="J1789" t="s">
        <v>11132</v>
      </c>
      <c r="K1789" s="5" t="s">
        <v>45</v>
      </c>
      <c r="L1789" t="s">
        <v>10668</v>
      </c>
      <c r="M1789" t="str">
        <f>"https://www.artic.edu/iiif/2/"&amp;Table9[[#This Row],[Image ID]]&amp;"/full/843,/0/default.jpg"</f>
        <v>https://www.artic.edu/iiif/2/0b955a8d-302c-baec-55d8-6023513ae2e7/full/843,/0/default.jpg</v>
      </c>
      <c r="N1789" s="3">
        <v>0.77500000000000002</v>
      </c>
      <c r="O1789" s="3">
        <v>0.122</v>
      </c>
      <c r="P1789" s="3">
        <v>0.65300000000000002</v>
      </c>
      <c r="Q1789" s="3">
        <v>0.782928466796875</v>
      </c>
    </row>
    <row r="1790" spans="1:17" x14ac:dyDescent="0.45">
      <c r="A1790" s="3">
        <v>94042</v>
      </c>
      <c r="B1790" t="b">
        <v>0</v>
      </c>
      <c r="C1790" t="b">
        <v>0</v>
      </c>
      <c r="D1790" s="3">
        <v>1969</v>
      </c>
      <c r="E1790" s="3">
        <v>1969</v>
      </c>
      <c r="F1790" t="s">
        <v>10709</v>
      </c>
      <c r="G1790" t="s">
        <v>10692</v>
      </c>
      <c r="H1790" s="3">
        <v>96.907200000000003</v>
      </c>
      <c r="I1790" t="s">
        <v>378</v>
      </c>
      <c r="J1790" t="s">
        <v>11995</v>
      </c>
      <c r="L1790" t="s">
        <v>10710</v>
      </c>
      <c r="M1790" t="str">
        <f>"https://www.artic.edu/iiif/2/"&amp;Table9[[#This Row],[Image ID]]&amp;"/full/843,/0/default.jpg"</f>
        <v>https://www.artic.edu/iiif/2/a807e22e-0b94-3a19-8f1a-d36931597b0f/full/843,/0/default.jpg</v>
      </c>
      <c r="N1790" s="3">
        <v>0.77500000000000002</v>
      </c>
      <c r="O1790" s="3">
        <v>0.122</v>
      </c>
      <c r="P1790" s="3">
        <v>0.65300000000000002</v>
      </c>
      <c r="Q1790" s="3">
        <v>0.76465624570846502</v>
      </c>
    </row>
    <row r="1791" spans="1:17" x14ac:dyDescent="0.45">
      <c r="A1791" s="3">
        <v>135474</v>
      </c>
      <c r="B1791" t="b">
        <v>0</v>
      </c>
      <c r="C1791" t="b">
        <v>0</v>
      </c>
      <c r="D1791" s="3">
        <v>1979</v>
      </c>
      <c r="E1791" s="3">
        <v>1979</v>
      </c>
      <c r="F1791" t="s">
        <v>3119</v>
      </c>
      <c r="G1791" t="s">
        <v>3120</v>
      </c>
      <c r="H1791" s="3">
        <v>34.904899999999998</v>
      </c>
      <c r="I1791" t="s">
        <v>3121</v>
      </c>
      <c r="J1791" t="s">
        <v>14069</v>
      </c>
      <c r="L1791" t="s">
        <v>3122</v>
      </c>
      <c r="M1791" t="str">
        <f>"https://www.artic.edu/iiif/2/"&amp;Table9[[#This Row],[Image ID]]&amp;"/full/843,/0/default.jpg"</f>
        <v>https://www.artic.edu/iiif/2/e0861275-ddd2-29ad-5b1f-175fd0423cbc/full/843,/0/default.jpg</v>
      </c>
      <c r="N1791" s="3">
        <v>0.77500000000000002</v>
      </c>
      <c r="O1791" s="3">
        <v>0.122</v>
      </c>
      <c r="P1791" s="3">
        <v>0.65300000000000002</v>
      </c>
      <c r="Q1791" s="3">
        <v>0.84979474544525102</v>
      </c>
    </row>
    <row r="1792" spans="1:17" x14ac:dyDescent="0.45">
      <c r="A1792" s="3">
        <v>117476</v>
      </c>
      <c r="B1792" t="b">
        <v>0</v>
      </c>
      <c r="C1792" t="b">
        <v>1</v>
      </c>
      <c r="D1792" s="3">
        <v>1674</v>
      </c>
      <c r="E1792" s="3">
        <v>1674</v>
      </c>
      <c r="F1792" t="s">
        <v>2330</v>
      </c>
      <c r="G1792" t="s">
        <v>75</v>
      </c>
      <c r="H1792" s="3">
        <v>24.9955</v>
      </c>
      <c r="I1792" t="s">
        <v>432</v>
      </c>
      <c r="J1792" t="s">
        <v>12666</v>
      </c>
      <c r="L1792" t="s">
        <v>2331</v>
      </c>
      <c r="M1792" t="str">
        <f>"https://www.artic.edu/iiif/2/"&amp;Table9[[#This Row],[Image ID]]&amp;"/full/843,/0/default.jpg"</f>
        <v>https://www.artic.edu/iiif/2/747149cf-b1eb-4877-52cb-49ba2341a72b/full/843,/0/default.jpg</v>
      </c>
      <c r="N1792" s="3">
        <v>0.77500000000000002</v>
      </c>
      <c r="O1792" s="3">
        <v>0.122</v>
      </c>
      <c r="P1792" s="3">
        <v>0.65300000000000002</v>
      </c>
      <c r="Q1792" s="3">
        <v>0.67808902263641302</v>
      </c>
    </row>
    <row r="1793" spans="1:17" x14ac:dyDescent="0.45">
      <c r="A1793" s="3">
        <v>84243</v>
      </c>
      <c r="B1793" t="b">
        <v>0</v>
      </c>
      <c r="C1793" t="b">
        <v>0</v>
      </c>
      <c r="D1793" s="3">
        <v>1952</v>
      </c>
      <c r="E1793" s="3">
        <v>1952</v>
      </c>
      <c r="F1793" t="s">
        <v>10274</v>
      </c>
      <c r="G1793" t="s">
        <v>10275</v>
      </c>
      <c r="H1793" s="3">
        <v>25.428899999999999</v>
      </c>
      <c r="I1793" t="s">
        <v>10276</v>
      </c>
      <c r="J1793" t="s">
        <v>14047</v>
      </c>
      <c r="L1793" t="s">
        <v>10277</v>
      </c>
      <c r="M1793" t="str">
        <f>"https://www.artic.edu/iiif/2/"&amp;Table9[[#This Row],[Image ID]]&amp;"/full/843,/0/default.jpg"</f>
        <v>https://www.artic.edu/iiif/2/dea90198-56f3-0880-632b-2ce3333aac98/full/843,/0/default.jpg</v>
      </c>
      <c r="N1793" s="3">
        <v>0.75</v>
      </c>
      <c r="O1793" s="3">
        <v>9.8000000000000004E-2</v>
      </c>
      <c r="P1793" s="3">
        <v>0.65200000000000002</v>
      </c>
      <c r="Q1793" s="3">
        <v>0.82832098007202104</v>
      </c>
    </row>
    <row r="1794" spans="1:17" x14ac:dyDescent="0.45">
      <c r="A1794" s="3">
        <v>22194</v>
      </c>
      <c r="B1794" t="b">
        <v>0</v>
      </c>
      <c r="C1794" t="b">
        <v>1</v>
      </c>
      <c r="D1794" s="3">
        <v>1907</v>
      </c>
      <c r="E1794" s="3">
        <v>1907</v>
      </c>
      <c r="F1794" t="s">
        <v>5821</v>
      </c>
      <c r="G1794" t="s">
        <v>7</v>
      </c>
      <c r="H1794" s="3">
        <v>26.434200000000001</v>
      </c>
      <c r="I1794" t="s">
        <v>1464</v>
      </c>
      <c r="J1794" t="s">
        <v>11767</v>
      </c>
      <c r="L1794" t="s">
        <v>5822</v>
      </c>
      <c r="M1794" t="str">
        <f>"https://www.artic.edu/iiif/2/"&amp;Table9[[#This Row],[Image ID]]&amp;"/full/843,/0/default.jpg"</f>
        <v>https://www.artic.edu/iiif/2/36d829a6-b07a-d84b-5774-02763512d73f/full/843,/0/default.jpg</v>
      </c>
      <c r="N1794" s="3">
        <v>0.75</v>
      </c>
      <c r="O1794" s="3">
        <v>9.8000000000000004E-2</v>
      </c>
      <c r="P1794" s="3">
        <v>0.65200000000000002</v>
      </c>
      <c r="Q1794" s="3">
        <v>0.774300217628479</v>
      </c>
    </row>
    <row r="1795" spans="1:17" x14ac:dyDescent="0.45">
      <c r="A1795" s="3">
        <v>153797</v>
      </c>
      <c r="B1795" t="b">
        <v>0</v>
      </c>
      <c r="C1795" t="b">
        <v>1</v>
      </c>
      <c r="D1795" s="3">
        <v>1880</v>
      </c>
      <c r="E1795" s="3">
        <v>1880</v>
      </c>
      <c r="F1795" t="s">
        <v>3957</v>
      </c>
      <c r="G1795" t="s">
        <v>3958</v>
      </c>
      <c r="H1795" s="3">
        <v>25.177399999999999</v>
      </c>
      <c r="I1795" t="s">
        <v>872</v>
      </c>
      <c r="J1795" t="s">
        <v>13141</v>
      </c>
      <c r="K1795" s="5" t="s">
        <v>115</v>
      </c>
      <c r="L1795" t="s">
        <v>3959</v>
      </c>
      <c r="M1795" t="str">
        <f>"https://www.artic.edu/iiif/2/"&amp;Table9[[#This Row],[Image ID]]&amp;"/full/843,/0/default.jpg"</f>
        <v>https://www.artic.edu/iiif/2/9964135a-b3df-8af6-5af9-9e6eac7a041d/full/843,/0/default.jpg</v>
      </c>
      <c r="N1795" s="3">
        <v>0.75</v>
      </c>
      <c r="O1795" s="3">
        <v>9.8000000000000004E-2</v>
      </c>
      <c r="P1795" s="3">
        <v>0.65200000000000002</v>
      </c>
      <c r="Q1795" s="3">
        <v>0.83709377050399703</v>
      </c>
    </row>
    <row r="1796" spans="1:17" x14ac:dyDescent="0.45">
      <c r="A1796" s="3">
        <v>54790</v>
      </c>
      <c r="B1796" t="b">
        <v>0</v>
      </c>
      <c r="C1796" t="b">
        <v>0</v>
      </c>
      <c r="D1796" s="3">
        <v>1945</v>
      </c>
      <c r="E1796" s="3">
        <v>1945</v>
      </c>
      <c r="F1796" t="s">
        <v>8306</v>
      </c>
      <c r="G1796" t="s">
        <v>370</v>
      </c>
      <c r="H1796" s="3">
        <v>36.188800000000001</v>
      </c>
      <c r="I1796" t="s">
        <v>2284</v>
      </c>
      <c r="J1796" t="s">
        <v>11529</v>
      </c>
      <c r="L1796" t="s">
        <v>8307</v>
      </c>
      <c r="M1796" t="str">
        <f>"https://www.artic.edu/iiif/2/"&amp;Table9[[#This Row],[Image ID]]&amp;"/full/843,/0/default.jpg"</f>
        <v>https://www.artic.edu/iiif/2/26973d0e-f7b3-cefa-5a07-e31952655d00/full/843,/0/default.jpg</v>
      </c>
      <c r="N1796" s="3">
        <v>0.72099999999999997</v>
      </c>
      <c r="O1796" s="3">
        <v>7.0000000000000007E-2</v>
      </c>
      <c r="P1796" s="3">
        <v>0.65100000000000002</v>
      </c>
      <c r="Q1796" s="3">
        <v>0.71482241153716997</v>
      </c>
    </row>
    <row r="1797" spans="1:17" x14ac:dyDescent="0.45">
      <c r="A1797" s="3">
        <v>16426</v>
      </c>
      <c r="B1797" t="b">
        <v>0</v>
      </c>
      <c r="C1797" t="b">
        <v>0</v>
      </c>
      <c r="D1797" s="3">
        <v>1962</v>
      </c>
      <c r="E1797" s="3">
        <v>1962</v>
      </c>
      <c r="F1797" t="s">
        <v>11</v>
      </c>
      <c r="G1797" t="s">
        <v>4424</v>
      </c>
      <c r="H1797" s="3">
        <v>36.519399999999997</v>
      </c>
      <c r="I1797" t="s">
        <v>2342</v>
      </c>
      <c r="J1797" t="s">
        <v>13824</v>
      </c>
      <c r="L1797" t="s">
        <v>4425</v>
      </c>
      <c r="M1797" t="str">
        <f>"https://www.artic.edu/iiif/2/"&amp;Table9[[#This Row],[Image ID]]&amp;"/full/843,/0/default.jpg"</f>
        <v>https://www.artic.edu/iiif/2/ce47ec36-449c-8d15-8580-f58c695d6761/full/843,/0/default.jpg</v>
      </c>
      <c r="N1797" s="3">
        <v>0.79100000000000004</v>
      </c>
      <c r="O1797" s="3">
        <v>0.14000000000000001</v>
      </c>
      <c r="P1797" s="3">
        <v>0.65100000000000002</v>
      </c>
      <c r="Q1797" s="3">
        <v>0.76761996746063199</v>
      </c>
    </row>
    <row r="1798" spans="1:17" x14ac:dyDescent="0.45">
      <c r="A1798" s="3">
        <v>20390</v>
      </c>
      <c r="B1798" t="b">
        <v>0</v>
      </c>
      <c r="C1798" t="b">
        <v>0</v>
      </c>
      <c r="D1798" s="3">
        <v>1942</v>
      </c>
      <c r="E1798" s="3">
        <v>1942</v>
      </c>
      <c r="F1798" t="s">
        <v>5388</v>
      </c>
      <c r="G1798" t="s">
        <v>7</v>
      </c>
      <c r="H1798" s="3">
        <v>36.895299999999999</v>
      </c>
      <c r="I1798" t="s">
        <v>5389</v>
      </c>
      <c r="J1798" t="s">
        <v>14188</v>
      </c>
      <c r="K1798" s="5" t="s">
        <v>45</v>
      </c>
      <c r="L1798" t="s">
        <v>5390</v>
      </c>
      <c r="M1798" t="str">
        <f>"https://www.artic.edu/iiif/2/"&amp;Table9[[#This Row],[Image ID]]&amp;"/full/843,/0/default.jpg"</f>
        <v>https://www.artic.edu/iiif/2/e7f197b8-193e-456c-619e-c127a03e4a6c/full/843,/0/default.jpg</v>
      </c>
      <c r="N1798" s="3">
        <v>0.74399999999999999</v>
      </c>
      <c r="O1798" s="3">
        <v>9.2999999999999999E-2</v>
      </c>
      <c r="P1798" s="3">
        <v>0.65100000000000002</v>
      </c>
      <c r="Q1798" s="3">
        <v>0.71192318201064997</v>
      </c>
    </row>
    <row r="1799" spans="1:17" x14ac:dyDescent="0.45">
      <c r="A1799" s="3">
        <v>115124</v>
      </c>
      <c r="B1799" t="b">
        <v>0</v>
      </c>
      <c r="C1799" t="b">
        <v>1</v>
      </c>
      <c r="D1799" s="3">
        <v>1843</v>
      </c>
      <c r="E1799" s="3">
        <v>1843</v>
      </c>
      <c r="F1799" t="s">
        <v>1786</v>
      </c>
      <c r="G1799" t="s">
        <v>1651</v>
      </c>
      <c r="H1799" s="3">
        <v>39.643999999999998</v>
      </c>
      <c r="I1799" t="s">
        <v>1555</v>
      </c>
      <c r="J1799" t="s">
        <v>13235</v>
      </c>
      <c r="L1799" t="s">
        <v>1787</v>
      </c>
      <c r="M1799" t="str">
        <f>"https://www.artic.edu/iiif/2/"&amp;Table9[[#This Row],[Image ID]]&amp;"/full/843,/0/default.jpg"</f>
        <v>https://www.artic.edu/iiif/2/a06334c7-a131-1a25-7c0e-cf11e69a6ca9/full/843,/0/default.jpg</v>
      </c>
      <c r="N1799" s="3">
        <v>0.83699999999999997</v>
      </c>
      <c r="O1799" s="3">
        <v>0.186</v>
      </c>
      <c r="P1799" s="3">
        <v>0.65100000000000002</v>
      </c>
      <c r="Q1799" s="3">
        <v>0.50119638442993097</v>
      </c>
    </row>
    <row r="1800" spans="1:17" x14ac:dyDescent="0.45">
      <c r="A1800" s="3">
        <v>24681</v>
      </c>
      <c r="B1800" t="b">
        <v>0</v>
      </c>
      <c r="C1800" t="b">
        <v>1</v>
      </c>
      <c r="D1800" s="3">
        <v>1815</v>
      </c>
      <c r="E1800" s="3">
        <v>1828</v>
      </c>
      <c r="F1800" t="s">
        <v>6424</v>
      </c>
      <c r="G1800" t="s">
        <v>7</v>
      </c>
      <c r="H1800" s="3">
        <v>0</v>
      </c>
      <c r="I1800" t="s">
        <v>6425</v>
      </c>
      <c r="J1800" t="s">
        <v>13661</v>
      </c>
      <c r="L1800" t="s">
        <v>6426</v>
      </c>
      <c r="M1800" t="str">
        <f>"https://www.artic.edu/iiif/2/"&amp;Table9[[#This Row],[Image ID]]&amp;"/full/843,/0/default.jpg"</f>
        <v>https://www.artic.edu/iiif/2/c0df1fbb-aa55-f109-65ae-a1de5e3707a1/full/843,/0/default.jpg</v>
      </c>
      <c r="N1800" s="3">
        <v>0.74399999999999999</v>
      </c>
      <c r="O1800" s="3">
        <v>9.2999999999999999E-2</v>
      </c>
      <c r="P1800" s="3">
        <v>0.65100000000000002</v>
      </c>
      <c r="Q1800" s="3">
        <v>0.61674427986144997</v>
      </c>
    </row>
    <row r="1801" spans="1:17" x14ac:dyDescent="0.45">
      <c r="A1801" s="3">
        <v>9015</v>
      </c>
      <c r="B1801" t="b">
        <v>0</v>
      </c>
      <c r="C1801" t="b">
        <v>0</v>
      </c>
      <c r="D1801" s="3">
        <v>1913</v>
      </c>
      <c r="E1801" s="3">
        <v>1913</v>
      </c>
      <c r="F1801" t="s">
        <v>5563</v>
      </c>
      <c r="G1801" t="s">
        <v>7</v>
      </c>
      <c r="H1801" s="3">
        <v>0</v>
      </c>
      <c r="I1801" t="s">
        <v>2704</v>
      </c>
      <c r="J1801" t="s">
        <v>11031</v>
      </c>
      <c r="L1801" t="s">
        <v>10509</v>
      </c>
      <c r="M1801" t="str">
        <f>"https://www.artic.edu/iiif/2/"&amp;Table9[[#This Row],[Image ID]]&amp;"/full/843,/0/default.jpg"</f>
        <v>https://www.artic.edu/iiif/2/04236f48-4ad1-cf0e-692d-7e9009275de5/full/843,/0/default.jpg</v>
      </c>
      <c r="N1801" s="3">
        <v>0.7</v>
      </c>
      <c r="O1801" s="3">
        <v>4.9000000000000002E-2</v>
      </c>
      <c r="P1801" s="3">
        <v>0.65099999999999991</v>
      </c>
      <c r="Q1801" s="3">
        <v>0.83598566055297796</v>
      </c>
    </row>
    <row r="1802" spans="1:17" x14ac:dyDescent="0.45">
      <c r="A1802" s="3">
        <v>49708</v>
      </c>
      <c r="B1802" t="b">
        <v>0</v>
      </c>
      <c r="C1802" t="b">
        <v>0</v>
      </c>
      <c r="D1802" s="3">
        <v>1944</v>
      </c>
      <c r="E1802" s="3">
        <v>1944</v>
      </c>
      <c r="F1802" t="s">
        <v>8073</v>
      </c>
      <c r="G1802" t="s">
        <v>7</v>
      </c>
      <c r="H1802" s="3">
        <v>24.778099999999998</v>
      </c>
      <c r="I1802" t="s">
        <v>8074</v>
      </c>
      <c r="J1802" t="s">
        <v>12539</v>
      </c>
      <c r="K1802" s="5" t="s">
        <v>45</v>
      </c>
      <c r="L1802" t="s">
        <v>8075</v>
      </c>
      <c r="M1802" t="str">
        <f>"https://www.artic.edu/iiif/2/"&amp;Table9[[#This Row],[Image ID]]&amp;"/full/843,/0/default.jpg"</f>
        <v>https://www.artic.edu/iiif/2/6b5d02d1-d607-e0f0-19f9-9634c45bd855/full/843,/0/default.jpg</v>
      </c>
      <c r="N1802" s="3">
        <v>0.7</v>
      </c>
      <c r="O1802" s="3">
        <v>4.9000000000000002E-2</v>
      </c>
      <c r="P1802" s="3">
        <v>0.65099999999999991</v>
      </c>
      <c r="Q1802" s="3">
        <v>0.414740890264511</v>
      </c>
    </row>
    <row r="1803" spans="1:17" x14ac:dyDescent="0.45">
      <c r="A1803" s="3">
        <v>80246</v>
      </c>
      <c r="B1803" t="b">
        <v>0</v>
      </c>
      <c r="C1803" t="b">
        <v>0</v>
      </c>
      <c r="D1803" s="3">
        <v>1954</v>
      </c>
      <c r="E1803" s="3">
        <v>1954</v>
      </c>
      <c r="F1803" t="s">
        <v>718</v>
      </c>
      <c r="G1803" t="s">
        <v>9941</v>
      </c>
      <c r="H1803" s="3">
        <v>44.277799999999999</v>
      </c>
      <c r="I1803" t="s">
        <v>2389</v>
      </c>
      <c r="J1803" t="s">
        <v>13088</v>
      </c>
      <c r="L1803" t="s">
        <v>9942</v>
      </c>
      <c r="M1803" t="str">
        <f>"https://www.artic.edu/iiif/2/"&amp;Table9[[#This Row],[Image ID]]&amp;"/full/843,/0/default.jpg"</f>
        <v>https://www.artic.edu/iiif/2/957fcb09-5a19-8ed0-370c-e2c8109deea7/full/843,/0/default.jpg</v>
      </c>
      <c r="N1803" s="3">
        <v>0.7</v>
      </c>
      <c r="O1803" s="3">
        <v>4.9000000000000002E-2</v>
      </c>
      <c r="P1803" s="3">
        <v>0.65099999999999991</v>
      </c>
      <c r="Q1803" s="3">
        <v>0.86372005939483598</v>
      </c>
    </row>
    <row r="1804" spans="1:17" x14ac:dyDescent="0.45">
      <c r="A1804" s="3">
        <v>14691</v>
      </c>
      <c r="B1804" t="b">
        <v>0</v>
      </c>
      <c r="C1804" t="b">
        <v>1</v>
      </c>
      <c r="D1804" s="3">
        <v>1290</v>
      </c>
      <c r="E1804" s="3">
        <v>1310</v>
      </c>
      <c r="F1804" t="s">
        <v>3507</v>
      </c>
      <c r="G1804" t="s">
        <v>3508</v>
      </c>
      <c r="H1804" s="3">
        <v>30.0002</v>
      </c>
      <c r="I1804" t="s">
        <v>14570</v>
      </c>
      <c r="J1804" t="s">
        <v>11672</v>
      </c>
      <c r="K1804" s="5" t="s">
        <v>278</v>
      </c>
      <c r="L1804" t="s">
        <v>3509</v>
      </c>
      <c r="M1804" t="str">
        <f>"https://www.artic.edu/iiif/2/"&amp;Table9[[#This Row],[Image ID]]&amp;"/full/843,/0/default.jpg"</f>
        <v>https://www.artic.edu/iiif/2/2fc10d4a-d1e1-4f9a-ba60-aaf19aa27379/full/843,/0/default.jpg</v>
      </c>
      <c r="N1804" s="3">
        <v>0.7</v>
      </c>
      <c r="O1804" s="3">
        <v>4.9000000000000002E-2</v>
      </c>
      <c r="P1804" s="3">
        <v>0.65099999999999991</v>
      </c>
      <c r="Q1804" s="3">
        <v>0.70361429452896096</v>
      </c>
    </row>
    <row r="1805" spans="1:17" x14ac:dyDescent="0.45">
      <c r="A1805" s="3">
        <v>184090</v>
      </c>
      <c r="B1805" t="b">
        <v>0</v>
      </c>
      <c r="C1805" t="b">
        <v>0</v>
      </c>
      <c r="D1805" s="3">
        <v>2003</v>
      </c>
      <c r="E1805" s="3">
        <v>2003</v>
      </c>
      <c r="F1805" t="s">
        <v>4692</v>
      </c>
      <c r="G1805" t="s">
        <v>2241</v>
      </c>
      <c r="H1805" s="3">
        <v>7.6153000000000004</v>
      </c>
      <c r="I1805" t="s">
        <v>4791</v>
      </c>
      <c r="J1805" t="s">
        <v>10989</v>
      </c>
      <c r="K1805" s="5" t="s">
        <v>15</v>
      </c>
      <c r="L1805" t="s">
        <v>4799</v>
      </c>
      <c r="M1805" t="str">
        <f>"https://www.artic.edu/iiif/2/"&amp;Table9[[#This Row],[Image ID]]&amp;"/full/843,/0/default.jpg"</f>
        <v>https://www.artic.edu/iiif/2/01312511-d85b-72a6-6e77-7e6d893c5a36/full/843,/0/default.jpg</v>
      </c>
      <c r="N1805" s="3">
        <v>0.67500000000000004</v>
      </c>
      <c r="O1805" s="3">
        <v>2.5000000000000001E-2</v>
      </c>
      <c r="P1805" s="3">
        <v>0.65</v>
      </c>
      <c r="Q1805" s="3">
        <v>0.82527136802673295</v>
      </c>
    </row>
    <row r="1806" spans="1:17" x14ac:dyDescent="0.45">
      <c r="A1806" s="3">
        <v>117332</v>
      </c>
      <c r="B1806" t="b">
        <v>0</v>
      </c>
      <c r="C1806" t="b">
        <v>0</v>
      </c>
      <c r="D1806" s="3">
        <v>1970</v>
      </c>
      <c r="E1806" s="3">
        <v>1970</v>
      </c>
      <c r="F1806" t="s">
        <v>2296</v>
      </c>
      <c r="G1806" t="s">
        <v>2297</v>
      </c>
      <c r="H1806" s="3">
        <v>55.256700000000002</v>
      </c>
      <c r="I1806" t="s">
        <v>2294</v>
      </c>
      <c r="J1806" t="s">
        <v>11001</v>
      </c>
      <c r="L1806" t="s">
        <v>2298</v>
      </c>
      <c r="M1806" t="str">
        <f>"https://www.artic.edu/iiif/2/"&amp;Table9[[#This Row],[Image ID]]&amp;"/full/843,/0/default.jpg"</f>
        <v>https://www.artic.edu/iiif/2/0264f72f-ddcb-b5b4-e437-1622e7026e20/full/843,/0/default.jpg</v>
      </c>
      <c r="N1806" s="3">
        <v>0.67500000000000004</v>
      </c>
      <c r="O1806" s="3">
        <v>2.5000000000000001E-2</v>
      </c>
      <c r="P1806" s="3">
        <v>0.65</v>
      </c>
      <c r="Q1806" s="3">
        <v>0.82819521427154497</v>
      </c>
    </row>
    <row r="1807" spans="1:17" x14ac:dyDescent="0.45">
      <c r="A1807" s="3">
        <v>68380</v>
      </c>
      <c r="B1807" t="b">
        <v>0</v>
      </c>
      <c r="C1807" t="b">
        <v>0</v>
      </c>
      <c r="D1807" s="3">
        <v>1855</v>
      </c>
      <c r="E1807" s="3">
        <v>1910</v>
      </c>
      <c r="F1807" t="s">
        <v>9341</v>
      </c>
      <c r="G1807" t="s">
        <v>9342</v>
      </c>
      <c r="H1807" s="3">
        <v>38.736899999999999</v>
      </c>
      <c r="I1807" t="s">
        <v>3173</v>
      </c>
      <c r="J1807" t="s">
        <v>11056</v>
      </c>
      <c r="L1807" t="s">
        <v>9343</v>
      </c>
      <c r="M1807" t="str">
        <f>"https://www.artic.edu/iiif/2/"&amp;Table9[[#This Row],[Image ID]]&amp;"/full/843,/0/default.jpg"</f>
        <v>https://www.artic.edu/iiif/2/057591bc-d892-6dbc-f83f-1ae23e890caf/full/843,/0/default.jpg</v>
      </c>
      <c r="N1807" s="3">
        <v>0.72499999999999998</v>
      </c>
      <c r="O1807" s="3">
        <v>7.4999999999999997E-2</v>
      </c>
      <c r="P1807" s="3">
        <v>0.65</v>
      </c>
      <c r="Q1807" s="3">
        <v>0.69981104135513295</v>
      </c>
    </row>
    <row r="1808" spans="1:17" x14ac:dyDescent="0.45">
      <c r="A1808" s="3">
        <v>111619</v>
      </c>
      <c r="B1808" t="b">
        <v>0</v>
      </c>
      <c r="C1808" t="b">
        <v>0</v>
      </c>
      <c r="D1808" s="3">
        <v>1965</v>
      </c>
      <c r="E1808" s="3">
        <v>1965</v>
      </c>
      <c r="F1808" t="s">
        <v>1148</v>
      </c>
      <c r="G1808" t="s">
        <v>7</v>
      </c>
      <c r="H1808" s="3">
        <v>8.4819999999999993</v>
      </c>
      <c r="I1808" t="s">
        <v>838</v>
      </c>
      <c r="J1808" t="s">
        <v>11057</v>
      </c>
      <c r="L1808" t="s">
        <v>1149</v>
      </c>
      <c r="M1808" t="str">
        <f>"https://www.artic.edu/iiif/2/"&amp;Table9[[#This Row],[Image ID]]&amp;"/full/843,/0/default.jpg"</f>
        <v>https://www.artic.edu/iiif/2/05a7ef7c-c8cb-4a68-aaef-9f4a313f17a6/full/843,/0/default.jpg</v>
      </c>
      <c r="N1808" s="3">
        <v>0.75</v>
      </c>
      <c r="O1808" s="3">
        <v>0.1</v>
      </c>
      <c r="P1808" s="3">
        <v>0.65</v>
      </c>
      <c r="Q1808" s="3">
        <v>0.77600413560867298</v>
      </c>
    </row>
    <row r="1809" spans="1:17" x14ac:dyDescent="0.45">
      <c r="A1809" s="3">
        <v>220528</v>
      </c>
      <c r="B1809" t="b">
        <v>0</v>
      </c>
      <c r="C1809" t="b">
        <v>0</v>
      </c>
      <c r="D1809" s="3">
        <v>1970</v>
      </c>
      <c r="E1809" s="3">
        <v>1980</v>
      </c>
      <c r="F1809" t="s">
        <v>5787</v>
      </c>
      <c r="G1809" t="s">
        <v>5788</v>
      </c>
      <c r="H1809" s="3">
        <v>27.331600000000002</v>
      </c>
      <c r="I1809" t="s">
        <v>4768</v>
      </c>
      <c r="J1809" t="s">
        <v>11070</v>
      </c>
      <c r="L1809" t="s">
        <v>5789</v>
      </c>
      <c r="M1809" t="str">
        <f>"https://www.artic.edu/iiif/2/"&amp;Table9[[#This Row],[Image ID]]&amp;"/full/843,/0/default.jpg"</f>
        <v>https://www.artic.edu/iiif/2/070c9b44-4835-03c8-d24e-054cfce0c10d/full/843,/0/default.jpg</v>
      </c>
      <c r="N1809" s="3">
        <v>0.72499999999999998</v>
      </c>
      <c r="O1809" s="3">
        <v>7.4999999999999997E-2</v>
      </c>
      <c r="P1809" s="3">
        <v>0.65</v>
      </c>
      <c r="Q1809" s="3">
        <v>0.77450764179229703</v>
      </c>
    </row>
    <row r="1810" spans="1:17" x14ac:dyDescent="0.45">
      <c r="A1810" s="3">
        <v>133544</v>
      </c>
      <c r="B1810" t="b">
        <v>0</v>
      </c>
      <c r="C1810" t="b">
        <v>0</v>
      </c>
      <c r="D1810" s="3">
        <v>1925</v>
      </c>
      <c r="E1810" s="3">
        <v>1925</v>
      </c>
      <c r="F1810" t="s">
        <v>3057</v>
      </c>
      <c r="G1810" t="s">
        <v>3041</v>
      </c>
      <c r="H1810" s="3">
        <v>26.7607</v>
      </c>
      <c r="I1810" t="s">
        <v>3058</v>
      </c>
      <c r="J1810" t="s">
        <v>11105</v>
      </c>
      <c r="L1810" t="s">
        <v>3059</v>
      </c>
      <c r="M1810" t="str">
        <f>"https://www.artic.edu/iiif/2/"&amp;Table9[[#This Row],[Image ID]]&amp;"/full/843,/0/default.jpg"</f>
        <v>https://www.artic.edu/iiif/2/0938006f-becb-9265-d979-bf3c7eb24c8d/full/843,/0/default.jpg</v>
      </c>
      <c r="N1810" s="3">
        <v>0.75</v>
      </c>
      <c r="O1810" s="3">
        <v>0.1</v>
      </c>
      <c r="P1810" s="3">
        <v>0.65</v>
      </c>
      <c r="Q1810" s="3">
        <v>0.57835763692855802</v>
      </c>
    </row>
    <row r="1811" spans="1:17" x14ac:dyDescent="0.45">
      <c r="A1811" s="3">
        <v>155879</v>
      </c>
      <c r="B1811" t="b">
        <v>0</v>
      </c>
      <c r="C1811" t="b">
        <v>0</v>
      </c>
      <c r="D1811" s="3">
        <v>1978</v>
      </c>
      <c r="E1811" s="3">
        <v>1978</v>
      </c>
      <c r="F1811" t="s">
        <v>4041</v>
      </c>
      <c r="G1811" t="s">
        <v>4042</v>
      </c>
      <c r="H1811" s="3">
        <v>50.828099999999999</v>
      </c>
      <c r="I1811" t="s">
        <v>4043</v>
      </c>
      <c r="J1811" t="s">
        <v>11161</v>
      </c>
      <c r="L1811" t="s">
        <v>4044</v>
      </c>
      <c r="M1811" t="str">
        <f>"https://www.artic.edu/iiif/2/"&amp;Table9[[#This Row],[Image ID]]&amp;"/full/843,/0/default.jpg"</f>
        <v>https://www.artic.edu/iiif/2/0e5f723e-d0ab-96af-a987-39b32fc3e461/full/843,/0/default.jpg</v>
      </c>
      <c r="N1811" s="3">
        <v>0.75</v>
      </c>
      <c r="O1811" s="3">
        <v>0.1</v>
      </c>
      <c r="P1811" s="3">
        <v>0.65</v>
      </c>
      <c r="Q1811" s="3">
        <v>0.60591125488281194</v>
      </c>
    </row>
    <row r="1812" spans="1:17" x14ac:dyDescent="0.45">
      <c r="A1812" s="3">
        <v>107159</v>
      </c>
      <c r="B1812" t="b">
        <v>0</v>
      </c>
      <c r="C1812" t="b">
        <v>0</v>
      </c>
      <c r="D1812" s="3">
        <v>1968</v>
      </c>
      <c r="E1812" s="3">
        <v>1972</v>
      </c>
      <c r="F1812" t="s">
        <v>616</v>
      </c>
      <c r="G1812" t="s">
        <v>617</v>
      </c>
      <c r="H1812" s="3">
        <v>108.0386</v>
      </c>
      <c r="I1812" t="s">
        <v>612</v>
      </c>
      <c r="J1812" t="s">
        <v>11193</v>
      </c>
      <c r="L1812" t="s">
        <v>618</v>
      </c>
      <c r="M1812" t="str">
        <f>"https://www.artic.edu/iiif/2/"&amp;Table9[[#This Row],[Image ID]]&amp;"/full/843,/0/default.jpg"</f>
        <v>https://www.artic.edu/iiif/2/10d54275-5835-2586-0d1f-9b3eb75651e9/full/843,/0/default.jpg</v>
      </c>
      <c r="N1812" s="3">
        <v>0.77500000000000002</v>
      </c>
      <c r="O1812" s="3">
        <v>0.125</v>
      </c>
      <c r="P1812" s="3">
        <v>0.65</v>
      </c>
      <c r="Q1812" s="3">
        <v>0.83384424448013295</v>
      </c>
    </row>
    <row r="1813" spans="1:17" x14ac:dyDescent="0.45">
      <c r="A1813" s="3">
        <v>25383</v>
      </c>
      <c r="B1813" t="b">
        <v>0</v>
      </c>
      <c r="C1813" t="b">
        <v>0</v>
      </c>
      <c r="D1813" s="3">
        <v>1913</v>
      </c>
      <c r="E1813" s="3">
        <v>1913</v>
      </c>
      <c r="F1813" t="s">
        <v>6510</v>
      </c>
      <c r="G1813" t="s">
        <v>6511</v>
      </c>
      <c r="H1813" s="3">
        <v>16.269500000000001</v>
      </c>
      <c r="I1813" t="s">
        <v>6506</v>
      </c>
      <c r="J1813" t="s">
        <v>11224</v>
      </c>
      <c r="L1813" t="s">
        <v>6512</v>
      </c>
      <c r="M1813" t="str">
        <f>"https://www.artic.edu/iiif/2/"&amp;Table9[[#This Row],[Image ID]]&amp;"/full/843,/0/default.jpg"</f>
        <v>https://www.artic.edu/iiif/2/128c10f1-7327-eaf0-acd4-b49f265c201e/full/843,/0/default.jpg</v>
      </c>
      <c r="N1813" s="3">
        <v>0.72499999999999998</v>
      </c>
      <c r="O1813" s="3">
        <v>7.4999999999999997E-2</v>
      </c>
      <c r="P1813" s="3">
        <v>0.65</v>
      </c>
      <c r="Q1813" s="3">
        <v>0.75887781381607</v>
      </c>
    </row>
    <row r="1814" spans="1:17" x14ac:dyDescent="0.45">
      <c r="A1814" s="3">
        <v>59954</v>
      </c>
      <c r="B1814" t="b">
        <v>0</v>
      </c>
      <c r="C1814" t="b">
        <v>0</v>
      </c>
      <c r="D1814" s="3">
        <v>1929</v>
      </c>
      <c r="E1814" s="3">
        <v>1929</v>
      </c>
      <c r="F1814" t="s">
        <v>8654</v>
      </c>
      <c r="G1814" t="s">
        <v>8655</v>
      </c>
      <c r="H1814" s="3">
        <v>28.7225</v>
      </c>
      <c r="I1814" t="s">
        <v>748</v>
      </c>
      <c r="J1814" t="s">
        <v>11249</v>
      </c>
      <c r="L1814" t="s">
        <v>8656</v>
      </c>
      <c r="M1814" t="str">
        <f>"https://www.artic.edu/iiif/2/"&amp;Table9[[#This Row],[Image ID]]&amp;"/full/843,/0/default.jpg"</f>
        <v>https://www.artic.edu/iiif/2/1450ddf5-e8ad-f847-9204-a3a0e6c021df/full/843,/0/default.jpg</v>
      </c>
      <c r="N1814" s="3">
        <v>0.75</v>
      </c>
      <c r="O1814" s="3">
        <v>0.1</v>
      </c>
      <c r="P1814" s="3">
        <v>0.65</v>
      </c>
      <c r="Q1814" s="3">
        <v>0.61087256669998102</v>
      </c>
    </row>
    <row r="1815" spans="1:17" x14ac:dyDescent="0.45">
      <c r="A1815" s="3">
        <v>229392</v>
      </c>
      <c r="B1815" t="b">
        <v>0</v>
      </c>
      <c r="C1815" t="b">
        <v>0</v>
      </c>
      <c r="D1815" s="3">
        <v>1958</v>
      </c>
      <c r="E1815" s="3">
        <v>1958</v>
      </c>
      <c r="F1815" t="s">
        <v>5269</v>
      </c>
      <c r="G1815" t="s">
        <v>14709</v>
      </c>
      <c r="H1815" s="3">
        <v>82.004800000000003</v>
      </c>
      <c r="I1815" t="s">
        <v>6108</v>
      </c>
      <c r="J1815" t="s">
        <v>11263</v>
      </c>
      <c r="K1815" s="5" t="s">
        <v>5771</v>
      </c>
      <c r="L1815" t="s">
        <v>6109</v>
      </c>
      <c r="M1815" t="str">
        <f>"https://www.artic.edu/iiif/2/"&amp;Table9[[#This Row],[Image ID]]&amp;"/full/843,/0/default.jpg"</f>
        <v>https://www.artic.edu/iiif/2/1563224a-44d0-95eb-5803-c7bcb25b4828/full/843,/0/default.jpg</v>
      </c>
      <c r="N1815" s="3">
        <v>0.67500000000000004</v>
      </c>
      <c r="O1815" s="3">
        <v>2.5000000000000001E-2</v>
      </c>
      <c r="P1815" s="3">
        <v>0.65</v>
      </c>
      <c r="Q1815" s="3">
        <v>0.74988782405853205</v>
      </c>
    </row>
    <row r="1816" spans="1:17" x14ac:dyDescent="0.45">
      <c r="A1816" s="3">
        <v>70236</v>
      </c>
      <c r="B1816" t="b">
        <v>0</v>
      </c>
      <c r="C1816" t="b">
        <v>0</v>
      </c>
      <c r="D1816" s="3">
        <v>1967</v>
      </c>
      <c r="E1816" s="3">
        <v>1967</v>
      </c>
      <c r="F1816" t="s">
        <v>11</v>
      </c>
      <c r="G1816" t="s">
        <v>9452</v>
      </c>
      <c r="H1816" s="3">
        <v>40.407699999999998</v>
      </c>
      <c r="I1816" t="s">
        <v>2253</v>
      </c>
      <c r="J1816" t="s">
        <v>11439</v>
      </c>
      <c r="L1816" t="s">
        <v>9453</v>
      </c>
      <c r="M1816" t="str">
        <f>"https://www.artic.edu/iiif/2/"&amp;Table9[[#This Row],[Image ID]]&amp;"/full/843,/0/default.jpg"</f>
        <v>https://www.artic.edu/iiif/2/20cd44d7-f48b-2c82-3ba5-c99556f7367e/full/843,/0/default.jpg</v>
      </c>
      <c r="N1816" s="3">
        <v>0.65</v>
      </c>
      <c r="O1816" s="3">
        <v>0</v>
      </c>
      <c r="P1816" s="3">
        <v>0.65</v>
      </c>
      <c r="Q1816" s="3">
        <v>0.842454373836517</v>
      </c>
    </row>
    <row r="1817" spans="1:17" ht="42.75" x14ac:dyDescent="0.45">
      <c r="A1817" s="3">
        <v>113062</v>
      </c>
      <c r="B1817" t="b">
        <v>0</v>
      </c>
      <c r="C1817" t="b">
        <v>0</v>
      </c>
      <c r="D1817" s="3">
        <v>1858</v>
      </c>
      <c r="E1817" s="3">
        <v>1915</v>
      </c>
      <c r="F1817" t="s">
        <v>1331</v>
      </c>
      <c r="G1817" t="s">
        <v>1332</v>
      </c>
      <c r="H1817" s="3">
        <v>12.8558</v>
      </c>
      <c r="I1817" t="s">
        <v>1333</v>
      </c>
      <c r="J1817" s="1" t="s">
        <v>11445</v>
      </c>
      <c r="L1817" t="s">
        <v>1334</v>
      </c>
      <c r="M1817" t="str">
        <f>"https://www.artic.edu/iiif/2/"&amp;Table9[[#This Row],[Image ID]]&amp;"/full/843,/0/default.jpg"</f>
        <v>https://www.artic.edu/iiif/2/21345869-043c-9ef8-a878-5b9b879e1412/full/843,/0/default.jpg</v>
      </c>
      <c r="N1817" s="3">
        <v>0.72499999999999998</v>
      </c>
      <c r="O1817" s="3">
        <v>7.4999999999999997E-2</v>
      </c>
      <c r="P1817" s="3">
        <v>0.65</v>
      </c>
      <c r="Q1817" s="3">
        <v>0.56572484970092696</v>
      </c>
    </row>
    <row r="1818" spans="1:17" x14ac:dyDescent="0.45">
      <c r="A1818" s="3">
        <v>196398</v>
      </c>
      <c r="B1818" t="b">
        <v>0</v>
      </c>
      <c r="C1818" t="b">
        <v>0</v>
      </c>
      <c r="D1818" s="3">
        <v>1907</v>
      </c>
      <c r="E1818" s="3">
        <v>1907</v>
      </c>
      <c r="F1818" t="s">
        <v>5282</v>
      </c>
      <c r="G1818" t="s">
        <v>5283</v>
      </c>
      <c r="H1818" s="3">
        <v>28.196000000000002</v>
      </c>
      <c r="I1818" t="s">
        <v>3313</v>
      </c>
      <c r="J1818" t="s">
        <v>11487</v>
      </c>
      <c r="L1818" t="s">
        <v>5284</v>
      </c>
      <c r="M1818" t="str">
        <f>"https://www.artic.edu/iiif/2/"&amp;Table9[[#This Row],[Image ID]]&amp;"/full/843,/0/default.jpg"</f>
        <v>https://www.artic.edu/iiif/2/2423593f-db98-5b12-2327-c03bee223e97/full/843,/0/default.jpg</v>
      </c>
      <c r="N1818" s="3">
        <v>0.65</v>
      </c>
      <c r="O1818" s="3">
        <v>0</v>
      </c>
      <c r="P1818" s="3">
        <v>0.65</v>
      </c>
      <c r="Q1818" s="3">
        <v>0.83651018142700195</v>
      </c>
    </row>
    <row r="1819" spans="1:17" x14ac:dyDescent="0.45">
      <c r="A1819" s="3">
        <v>66352</v>
      </c>
      <c r="B1819" t="b">
        <v>0</v>
      </c>
      <c r="C1819" t="b">
        <v>0</v>
      </c>
      <c r="D1819" s="3">
        <v>1983</v>
      </c>
      <c r="E1819" s="3">
        <v>1983</v>
      </c>
      <c r="F1819" t="s">
        <v>9235</v>
      </c>
      <c r="G1819" t="s">
        <v>1769</v>
      </c>
      <c r="H1819" s="3">
        <v>38.703299999999999</v>
      </c>
      <c r="I1819" t="s">
        <v>2739</v>
      </c>
      <c r="J1819" t="s">
        <v>11678</v>
      </c>
      <c r="L1819" t="s">
        <v>9236</v>
      </c>
      <c r="M1819" t="str">
        <f>"https://www.artic.edu/iiif/2/"&amp;Table9[[#This Row],[Image ID]]&amp;"/full/843,/0/default.jpg"</f>
        <v>https://www.artic.edu/iiif/2/302df345-8db1-f03b-f150-d24b5d6283b9/full/843,/0/default.jpg</v>
      </c>
      <c r="N1819" s="3">
        <v>0.67500000000000004</v>
      </c>
      <c r="O1819" s="3">
        <v>2.5000000000000001E-2</v>
      </c>
      <c r="P1819" s="3">
        <v>0.65</v>
      </c>
      <c r="Q1819" s="3">
        <v>0.693856000900268</v>
      </c>
    </row>
    <row r="1820" spans="1:17" x14ac:dyDescent="0.45">
      <c r="A1820" s="3">
        <v>16709</v>
      </c>
      <c r="B1820" t="b">
        <v>0</v>
      </c>
      <c r="C1820" t="b">
        <v>0</v>
      </c>
      <c r="D1820" s="3">
        <v>1937</v>
      </c>
      <c r="E1820" s="3">
        <v>1937</v>
      </c>
      <c r="F1820" t="s">
        <v>4542</v>
      </c>
      <c r="G1820" t="s">
        <v>4543</v>
      </c>
      <c r="H1820" s="3">
        <v>31.501899999999999</v>
      </c>
      <c r="I1820" t="s">
        <v>14549</v>
      </c>
      <c r="J1820" t="s">
        <v>11776</v>
      </c>
      <c r="L1820" t="s">
        <v>4544</v>
      </c>
      <c r="M1820" t="str">
        <f>"https://www.artic.edu/iiif/2/"&amp;Table9[[#This Row],[Image ID]]&amp;"/full/843,/0/default.jpg"</f>
        <v>https://www.artic.edu/iiif/2/376522d0-b13e-36df-7e8c-03ad02eaec6a/full/843,/0/default.jpg</v>
      </c>
      <c r="N1820" s="3">
        <v>0.77500000000000002</v>
      </c>
      <c r="O1820" s="3">
        <v>0.125</v>
      </c>
      <c r="P1820" s="3">
        <v>0.65</v>
      </c>
      <c r="Q1820" s="3">
        <v>0.82605367898940996</v>
      </c>
    </row>
    <row r="1821" spans="1:17" x14ac:dyDescent="0.45">
      <c r="A1821" s="3">
        <v>45969</v>
      </c>
      <c r="B1821" t="b">
        <v>0</v>
      </c>
      <c r="C1821" t="b">
        <v>0</v>
      </c>
      <c r="D1821" s="3">
        <v>1879</v>
      </c>
      <c r="E1821" s="3">
        <v>1927</v>
      </c>
      <c r="F1821" t="s">
        <v>7877</v>
      </c>
      <c r="G1821" t="s">
        <v>7878</v>
      </c>
      <c r="H1821" s="3">
        <v>23.6462</v>
      </c>
      <c r="I1821" t="s">
        <v>7879</v>
      </c>
      <c r="J1821" t="s">
        <v>11866</v>
      </c>
      <c r="L1821" t="s">
        <v>7880</v>
      </c>
      <c r="M1821" t="str">
        <f>"https://www.artic.edu/iiif/2/"&amp;Table9[[#This Row],[Image ID]]&amp;"/full/843,/0/default.jpg"</f>
        <v>https://www.artic.edu/iiif/2/3c95ffea-e1df-bbe2-9ca9-38f7f64dfc4e/full/843,/0/default.jpg</v>
      </c>
      <c r="N1821" s="3">
        <v>0.67500000000000004</v>
      </c>
      <c r="O1821" s="3">
        <v>2.5000000000000001E-2</v>
      </c>
      <c r="P1821" s="3">
        <v>0.65</v>
      </c>
      <c r="Q1821" s="3">
        <v>0.80766087770462003</v>
      </c>
    </row>
    <row r="1822" spans="1:17" x14ac:dyDescent="0.45">
      <c r="A1822" s="3">
        <v>146969</v>
      </c>
      <c r="B1822" t="b">
        <v>0</v>
      </c>
      <c r="C1822" t="b">
        <v>0</v>
      </c>
      <c r="D1822" s="3">
        <v>1977</v>
      </c>
      <c r="E1822" s="3">
        <v>1977</v>
      </c>
      <c r="F1822" t="s">
        <v>3536</v>
      </c>
      <c r="G1822" t="s">
        <v>642</v>
      </c>
      <c r="H1822" s="3">
        <v>35.212600000000002</v>
      </c>
      <c r="I1822" t="s">
        <v>350</v>
      </c>
      <c r="J1822" t="s">
        <v>11882</v>
      </c>
      <c r="L1822" t="s">
        <v>3537</v>
      </c>
      <c r="M1822" t="str">
        <f>"https://www.artic.edu/iiif/2/"&amp;Table9[[#This Row],[Image ID]]&amp;"/full/843,/0/default.jpg"</f>
        <v>https://www.artic.edu/iiif/2/3dc40a60-be81-6dc4-7a40-2a4660118744/full/843,/0/default.jpg</v>
      </c>
      <c r="N1822" s="3">
        <v>0.8</v>
      </c>
      <c r="O1822" s="3">
        <v>0.15</v>
      </c>
      <c r="P1822" s="3">
        <v>0.65</v>
      </c>
      <c r="Q1822" s="3">
        <v>0.958082675933837</v>
      </c>
    </row>
    <row r="1823" spans="1:17" x14ac:dyDescent="0.45">
      <c r="A1823" s="3">
        <v>117325</v>
      </c>
      <c r="B1823" t="b">
        <v>0</v>
      </c>
      <c r="C1823" t="b">
        <v>0</v>
      </c>
      <c r="D1823" s="3">
        <v>1955</v>
      </c>
      <c r="E1823" s="3">
        <v>1960</v>
      </c>
      <c r="F1823" t="s">
        <v>11</v>
      </c>
      <c r="G1823" t="s">
        <v>2290</v>
      </c>
      <c r="H1823" s="3">
        <v>60.843400000000003</v>
      </c>
      <c r="I1823" t="s">
        <v>526</v>
      </c>
      <c r="J1823" t="s">
        <v>11974</v>
      </c>
      <c r="L1823" t="s">
        <v>2291</v>
      </c>
      <c r="M1823" t="str">
        <f>"https://www.artic.edu/iiif/2/"&amp;Table9[[#This Row],[Image ID]]&amp;"/full/843,/0/default.jpg"</f>
        <v>https://www.artic.edu/iiif/2/437d74f6-372e-bda3-d44f-2575434ac2b7/full/843,/0/default.jpg</v>
      </c>
      <c r="N1823" s="3">
        <v>0.77500000000000002</v>
      </c>
      <c r="O1823" s="3">
        <v>0.125</v>
      </c>
      <c r="P1823" s="3">
        <v>0.65</v>
      </c>
      <c r="Q1823" s="3">
        <v>0.71534401178359897</v>
      </c>
    </row>
    <row r="1824" spans="1:17" x14ac:dyDescent="0.45">
      <c r="A1824" s="3">
        <v>135514</v>
      </c>
      <c r="B1824" t="b">
        <v>0</v>
      </c>
      <c r="C1824" t="b">
        <v>0</v>
      </c>
      <c r="D1824" s="3">
        <v>1932</v>
      </c>
      <c r="E1824" s="3">
        <v>1932</v>
      </c>
      <c r="F1824" t="s">
        <v>3133</v>
      </c>
      <c r="G1824" t="s">
        <v>3134</v>
      </c>
      <c r="H1824" s="3">
        <v>52.080599999999997</v>
      </c>
      <c r="I1824" t="s">
        <v>40</v>
      </c>
      <c r="J1824" t="s">
        <v>11982</v>
      </c>
      <c r="L1824" t="s">
        <v>3135</v>
      </c>
      <c r="M1824" t="str">
        <f>"https://www.artic.edu/iiif/2/"&amp;Table9[[#This Row],[Image ID]]&amp;"/full/843,/0/default.jpg"</f>
        <v>https://www.artic.edu/iiif/2/44152676-35b2-d5db-99d4-1bdd05a7e5bb/full/843,/0/default.jpg</v>
      </c>
      <c r="N1824" s="3">
        <v>0.75</v>
      </c>
      <c r="O1824" s="3">
        <v>0.1</v>
      </c>
      <c r="P1824" s="3">
        <v>0.65</v>
      </c>
      <c r="Q1824" s="3">
        <v>0.81877303123474099</v>
      </c>
    </row>
    <row r="1825" spans="1:17" x14ac:dyDescent="0.45">
      <c r="A1825" s="3">
        <v>69327</v>
      </c>
      <c r="B1825" t="b">
        <v>0</v>
      </c>
      <c r="C1825" t="b">
        <v>0</v>
      </c>
      <c r="D1825" s="3">
        <v>1913</v>
      </c>
      <c r="E1825" s="3">
        <v>1913</v>
      </c>
      <c r="F1825" t="s">
        <v>9394</v>
      </c>
      <c r="G1825" t="s">
        <v>7</v>
      </c>
      <c r="H1825" s="3">
        <v>50.274000000000001</v>
      </c>
      <c r="I1825" t="s">
        <v>9395</v>
      </c>
      <c r="J1825" t="s">
        <v>12003</v>
      </c>
      <c r="L1825" t="s">
        <v>9396</v>
      </c>
      <c r="M1825" t="str">
        <f>"https://www.artic.edu/iiif/2/"&amp;Table9[[#This Row],[Image ID]]&amp;"/full/843,/0/default.jpg"</f>
        <v>https://www.artic.edu/iiif/2/45b53248-25e0-2751-030a-ac6b525a55c1/full/843,/0/default.jpg</v>
      </c>
      <c r="N1825" s="3">
        <v>0.72499999999999998</v>
      </c>
      <c r="O1825" s="3">
        <v>7.4999999999999997E-2</v>
      </c>
      <c r="P1825" s="3">
        <v>0.65</v>
      </c>
      <c r="Q1825" s="3">
        <v>0.73346894979476895</v>
      </c>
    </row>
    <row r="1826" spans="1:17" x14ac:dyDescent="0.45">
      <c r="A1826" s="3">
        <v>184733</v>
      </c>
      <c r="B1826" t="b">
        <v>0</v>
      </c>
      <c r="C1826" t="b">
        <v>0</v>
      </c>
      <c r="D1826" s="3">
        <v>2003</v>
      </c>
      <c r="E1826" s="3">
        <v>2003</v>
      </c>
      <c r="F1826" t="s">
        <v>4841</v>
      </c>
      <c r="G1826" t="s">
        <v>4823</v>
      </c>
      <c r="H1826" s="3">
        <v>10.074299999999999</v>
      </c>
      <c r="I1826" t="s">
        <v>293</v>
      </c>
      <c r="J1826" t="s">
        <v>10977</v>
      </c>
      <c r="K1826" s="5" t="s">
        <v>15</v>
      </c>
      <c r="L1826" t="s">
        <v>4842</v>
      </c>
      <c r="M1826" t="str">
        <f>"https://www.artic.edu/iiif/2/"&amp;Table9[[#This Row],[Image ID]]&amp;"/full/843,/0/default.jpg"</f>
        <v>https://www.artic.edu/iiif/2/4725f6f2-7376-d3f0-37f3-668bd47bf454/full/843,/0/default.jpg</v>
      </c>
      <c r="N1826" s="3">
        <v>0.65</v>
      </c>
      <c r="O1826" s="3">
        <v>0</v>
      </c>
      <c r="P1826" s="3">
        <v>0.65</v>
      </c>
      <c r="Q1826" s="3">
        <v>0.83364510536193803</v>
      </c>
    </row>
    <row r="1827" spans="1:17" x14ac:dyDescent="0.45">
      <c r="A1827" s="3">
        <v>65884</v>
      </c>
      <c r="B1827" t="b">
        <v>0</v>
      </c>
      <c r="C1827" t="b">
        <v>0</v>
      </c>
      <c r="D1827" s="3">
        <v>1929</v>
      </c>
      <c r="E1827" s="3">
        <v>1929</v>
      </c>
      <c r="F1827" t="s">
        <v>9081</v>
      </c>
      <c r="G1827" t="s">
        <v>9082</v>
      </c>
      <c r="H1827" s="3">
        <v>23.574300000000001</v>
      </c>
      <c r="I1827" t="s">
        <v>1430</v>
      </c>
      <c r="J1827" t="s">
        <v>12094</v>
      </c>
      <c r="K1827" s="5" t="s">
        <v>45</v>
      </c>
      <c r="L1827" t="s">
        <v>9083</v>
      </c>
      <c r="M1827" t="str">
        <f>"https://www.artic.edu/iiif/2/"&amp;Table9[[#This Row],[Image ID]]&amp;"/full/843,/0/default.jpg"</f>
        <v>https://www.artic.edu/iiif/2/4cffecd8-29fa-cb7d-ed97-98e18b366fbe/full/843,/0/default.jpg</v>
      </c>
      <c r="N1827" s="3">
        <v>0.65</v>
      </c>
      <c r="O1827" s="3">
        <v>0</v>
      </c>
      <c r="P1827" s="3">
        <v>0.65</v>
      </c>
      <c r="Q1827" s="3">
        <v>0.76824033260345403</v>
      </c>
    </row>
    <row r="1828" spans="1:17" x14ac:dyDescent="0.45">
      <c r="A1828" s="3">
        <v>39718</v>
      </c>
      <c r="B1828" t="b">
        <v>0</v>
      </c>
      <c r="C1828" t="b">
        <v>0</v>
      </c>
      <c r="D1828" s="3">
        <v>1886</v>
      </c>
      <c r="E1828" s="3">
        <v>1896</v>
      </c>
      <c r="F1828" t="s">
        <v>7605</v>
      </c>
      <c r="G1828" t="s">
        <v>7</v>
      </c>
      <c r="H1828" s="3">
        <v>0</v>
      </c>
      <c r="I1828" t="s">
        <v>582</v>
      </c>
      <c r="J1828" t="s">
        <v>12123</v>
      </c>
      <c r="L1828" t="s">
        <v>7606</v>
      </c>
      <c r="M1828" t="str">
        <f>"https://www.artic.edu/iiif/2/"&amp;Table9[[#This Row],[Image ID]]&amp;"/full/843,/0/default.jpg"</f>
        <v>https://www.artic.edu/iiif/2/4f45d4ab-a501-c43d-8167-8beb16b11749/full/843,/0/default.jpg</v>
      </c>
      <c r="N1828" s="3">
        <v>0.75</v>
      </c>
      <c r="O1828" s="3">
        <v>0.1</v>
      </c>
      <c r="P1828" s="3">
        <v>0.65</v>
      </c>
      <c r="Q1828" s="3">
        <v>0.69528996944427401</v>
      </c>
    </row>
    <row r="1829" spans="1:17" x14ac:dyDescent="0.45">
      <c r="A1829" s="3">
        <v>78511</v>
      </c>
      <c r="B1829" t="b">
        <v>0</v>
      </c>
      <c r="C1829" t="b">
        <v>0</v>
      </c>
      <c r="D1829" s="3">
        <v>1943</v>
      </c>
      <c r="E1829" s="3">
        <v>1943</v>
      </c>
      <c r="F1829" t="s">
        <v>2795</v>
      </c>
      <c r="G1829" t="s">
        <v>7</v>
      </c>
      <c r="H1829" s="3">
        <v>32.850200000000001</v>
      </c>
      <c r="I1829" t="s">
        <v>498</v>
      </c>
      <c r="J1829" t="s">
        <v>9843</v>
      </c>
      <c r="L1829" t="s">
        <v>9842</v>
      </c>
      <c r="M1829" t="str">
        <f>"https://www.artic.edu/iiif/2/"&amp;Table9[[#This Row],[Image ID]]&amp;"/full/843,/0/default.jpg"</f>
        <v>https://www.artic.edu/iiif/2/52074921-a053-5cee-814a-62baf09ff061/full/843,/0/default.jpg</v>
      </c>
      <c r="N1829" s="3">
        <v>0.75</v>
      </c>
      <c r="O1829" s="3">
        <v>0.1</v>
      </c>
      <c r="P1829" s="3">
        <v>0.65</v>
      </c>
      <c r="Q1829" s="3">
        <v>0.71127927303314198</v>
      </c>
    </row>
    <row r="1830" spans="1:17" x14ac:dyDescent="0.45">
      <c r="A1830" s="3">
        <v>222982</v>
      </c>
      <c r="B1830" t="b">
        <v>0</v>
      </c>
      <c r="C1830" t="b">
        <v>0</v>
      </c>
      <c r="D1830" s="3">
        <v>1987</v>
      </c>
      <c r="E1830" s="3">
        <v>1987</v>
      </c>
      <c r="F1830" t="s">
        <v>11</v>
      </c>
      <c r="G1830" t="s">
        <v>7</v>
      </c>
      <c r="H1830" s="3">
        <v>94.196899999999999</v>
      </c>
      <c r="I1830" t="s">
        <v>14579</v>
      </c>
      <c r="J1830" t="s">
        <v>12185</v>
      </c>
      <c r="L1830" t="s">
        <v>5852</v>
      </c>
      <c r="M1830" t="str">
        <f>"https://www.artic.edu/iiif/2/"&amp;Table9[[#This Row],[Image ID]]&amp;"/full/843,/0/default.jpg"</f>
        <v>https://www.artic.edu/iiif/2/5350d93b-d1b1-e315-7bf6-a71f67384624/full/843,/0/default.jpg</v>
      </c>
      <c r="N1830" s="3">
        <v>0.75</v>
      </c>
      <c r="O1830" s="3">
        <v>0.1</v>
      </c>
      <c r="P1830" s="3">
        <v>0.65</v>
      </c>
      <c r="Q1830" s="3">
        <v>0.90601027011871305</v>
      </c>
    </row>
    <row r="1831" spans="1:17" x14ac:dyDescent="0.45">
      <c r="A1831" s="3">
        <v>229365</v>
      </c>
      <c r="B1831" t="b">
        <v>0</v>
      </c>
      <c r="C1831" t="b">
        <v>0</v>
      </c>
      <c r="D1831" s="3">
        <v>1966</v>
      </c>
      <c r="E1831" s="3">
        <v>1966</v>
      </c>
      <c r="F1831" t="s">
        <v>6090</v>
      </c>
      <c r="G1831" t="s">
        <v>7</v>
      </c>
      <c r="H1831" s="3">
        <v>5.9816000000000003</v>
      </c>
      <c r="I1831" t="s">
        <v>52</v>
      </c>
      <c r="J1831" t="s">
        <v>12375</v>
      </c>
      <c r="L1831" t="s">
        <v>6091</v>
      </c>
      <c r="M1831" t="str">
        <f>"https://www.artic.edu/iiif/2/"&amp;Table9[[#This Row],[Image ID]]&amp;"/full/843,/0/default.jpg"</f>
        <v>https://www.artic.edu/iiif/2/5fb98882-3c6a-3233-d548-d94fc25114dd/full/843,/0/default.jpg</v>
      </c>
      <c r="N1831" s="3">
        <v>0.67500000000000004</v>
      </c>
      <c r="O1831" s="3">
        <v>2.5000000000000001E-2</v>
      </c>
      <c r="P1831" s="3">
        <v>0.65</v>
      </c>
      <c r="Q1831" s="3">
        <v>0.64121335744857699</v>
      </c>
    </row>
    <row r="1832" spans="1:17" x14ac:dyDescent="0.45">
      <c r="A1832" s="3">
        <v>8975</v>
      </c>
      <c r="B1832" t="b">
        <v>0</v>
      </c>
      <c r="C1832" t="b">
        <v>0</v>
      </c>
      <c r="D1832" s="3">
        <v>1908</v>
      </c>
      <c r="E1832" s="3">
        <v>1909</v>
      </c>
      <c r="F1832" t="s">
        <v>10471</v>
      </c>
      <c r="G1832" t="s">
        <v>7</v>
      </c>
      <c r="H1832" s="3">
        <v>29.258800000000001</v>
      </c>
      <c r="I1832" t="s">
        <v>14554</v>
      </c>
      <c r="J1832" t="s">
        <v>12389</v>
      </c>
      <c r="L1832" t="s">
        <v>10472</v>
      </c>
      <c r="M1832" t="str">
        <f>"https://www.artic.edu/iiif/2/"&amp;Table9[[#This Row],[Image ID]]&amp;"/full/843,/0/default.jpg"</f>
        <v>https://www.artic.edu/iiif/2/60914149-0e1e-b3a0-81b5-23f3c10d37c8/full/843,/0/default.jpg</v>
      </c>
      <c r="N1832" s="3">
        <v>0.67500000000000004</v>
      </c>
      <c r="O1832" s="3">
        <v>2.5000000000000001E-2</v>
      </c>
      <c r="P1832" s="3">
        <v>0.65</v>
      </c>
      <c r="Q1832" s="3">
        <v>0.71309071779251099</v>
      </c>
    </row>
    <row r="1833" spans="1:17" x14ac:dyDescent="0.45">
      <c r="A1833" s="3">
        <v>32590</v>
      </c>
      <c r="B1833" t="b">
        <v>0</v>
      </c>
      <c r="C1833" t="b">
        <v>0</v>
      </c>
      <c r="D1833" s="3">
        <v>1920</v>
      </c>
      <c r="E1833" s="3">
        <v>1920</v>
      </c>
      <c r="F1833" t="s">
        <v>7052</v>
      </c>
      <c r="G1833" t="s">
        <v>7053</v>
      </c>
      <c r="H1833" s="3">
        <v>31.4483</v>
      </c>
      <c r="I1833" t="s">
        <v>40</v>
      </c>
      <c r="J1833" t="s">
        <v>12506</v>
      </c>
      <c r="L1833" t="s">
        <v>7054</v>
      </c>
      <c r="M1833" t="str">
        <f>"https://www.artic.edu/iiif/2/"&amp;Table9[[#This Row],[Image ID]]&amp;"/full/843,/0/default.jpg"</f>
        <v>https://www.artic.edu/iiif/2/6968cad5-0a4b-95a0-6010-7f69fe93d9f8/full/843,/0/default.jpg</v>
      </c>
      <c r="N1833" s="3">
        <v>0.65</v>
      </c>
      <c r="O1833" s="3">
        <v>0</v>
      </c>
      <c r="P1833" s="3">
        <v>0.65</v>
      </c>
      <c r="Q1833" s="3">
        <v>0.65866833925247104</v>
      </c>
    </row>
    <row r="1834" spans="1:17" x14ac:dyDescent="0.45">
      <c r="A1834" s="3">
        <v>27357</v>
      </c>
      <c r="B1834" t="b">
        <v>0</v>
      </c>
      <c r="C1834" t="b">
        <v>0</v>
      </c>
      <c r="D1834" s="3">
        <v>1930</v>
      </c>
      <c r="E1834" s="3">
        <v>1930</v>
      </c>
      <c r="F1834" t="s">
        <v>6729</v>
      </c>
      <c r="G1834" t="s">
        <v>75</v>
      </c>
      <c r="H1834" s="3">
        <v>22.567699999999999</v>
      </c>
      <c r="I1834" t="s">
        <v>6694</v>
      </c>
      <c r="J1834" t="s">
        <v>12616</v>
      </c>
      <c r="L1834" t="s">
        <v>6730</v>
      </c>
      <c r="M1834" t="str">
        <f>"https://www.artic.edu/iiif/2/"&amp;Table9[[#This Row],[Image ID]]&amp;"/full/843,/0/default.jpg"</f>
        <v>https://www.artic.edu/iiif/2/709f364e-4594-779d-53a7-315b36db8048/full/843,/0/default.jpg</v>
      </c>
      <c r="N1834" s="3">
        <v>0.77500000000000002</v>
      </c>
      <c r="O1834" s="3">
        <v>0.125</v>
      </c>
      <c r="P1834" s="3">
        <v>0.65</v>
      </c>
      <c r="Q1834" s="3">
        <v>0.64252144098281805</v>
      </c>
    </row>
    <row r="1835" spans="1:17" x14ac:dyDescent="0.45">
      <c r="A1835" s="3">
        <v>122232</v>
      </c>
      <c r="B1835" t="b">
        <v>0</v>
      </c>
      <c r="C1835" t="b">
        <v>0</v>
      </c>
      <c r="D1835" s="3">
        <v>1916</v>
      </c>
      <c r="E1835" s="3">
        <v>1916</v>
      </c>
      <c r="F1835" t="s">
        <v>2698</v>
      </c>
      <c r="G1835" t="s">
        <v>7</v>
      </c>
      <c r="H1835" s="3">
        <v>39.127499999999998</v>
      </c>
      <c r="I1835" t="s">
        <v>49</v>
      </c>
      <c r="J1835" t="s">
        <v>12641</v>
      </c>
      <c r="L1835" t="s">
        <v>2699</v>
      </c>
      <c r="M1835" t="str">
        <f>"https://www.artic.edu/iiif/2/"&amp;Table9[[#This Row],[Image ID]]&amp;"/full/843,/0/default.jpg"</f>
        <v>https://www.artic.edu/iiif/2/72d28816-c42f-af88-63fc-d12426db240e/full/843,/0/default.jpg</v>
      </c>
      <c r="N1835" s="3">
        <v>0.67500000000000004</v>
      </c>
      <c r="O1835" s="3">
        <v>2.5000000000000001E-2</v>
      </c>
      <c r="P1835" s="3">
        <v>0.65</v>
      </c>
      <c r="Q1835" s="3">
        <v>0.82357865571975697</v>
      </c>
    </row>
    <row r="1836" spans="1:17" x14ac:dyDescent="0.45">
      <c r="A1836" s="3">
        <v>193425</v>
      </c>
      <c r="B1836" t="b">
        <v>0</v>
      </c>
      <c r="C1836" t="b">
        <v>0</v>
      </c>
      <c r="D1836" s="3">
        <v>1986</v>
      </c>
      <c r="E1836" s="3">
        <v>1986</v>
      </c>
      <c r="F1836" t="s">
        <v>5238</v>
      </c>
      <c r="G1836" t="s">
        <v>7</v>
      </c>
      <c r="H1836" s="3">
        <v>76.0488</v>
      </c>
      <c r="I1836" t="s">
        <v>5104</v>
      </c>
      <c r="J1836" t="s">
        <v>12659</v>
      </c>
      <c r="L1836" t="s">
        <v>5239</v>
      </c>
      <c r="M1836" t="str">
        <f>"https://www.artic.edu/iiif/2/"&amp;Table9[[#This Row],[Image ID]]&amp;"/full/843,/0/default.jpg"</f>
        <v>https://www.artic.edu/iiif/2/74089a1d-ef1d-8597-ec1b-cc3e34192540/full/843,/0/default.jpg</v>
      </c>
      <c r="N1836" s="3">
        <v>0.77500000000000002</v>
      </c>
      <c r="O1836" s="3">
        <v>0.125</v>
      </c>
      <c r="P1836" s="3">
        <v>0.65</v>
      </c>
      <c r="Q1836" s="3">
        <v>0.81208992004394498</v>
      </c>
    </row>
    <row r="1837" spans="1:17" x14ac:dyDescent="0.45">
      <c r="A1837" s="3">
        <v>233344</v>
      </c>
      <c r="B1837" t="b">
        <v>0</v>
      </c>
      <c r="C1837" t="b">
        <v>0</v>
      </c>
      <c r="D1837" s="3">
        <v>2011</v>
      </c>
      <c r="E1837" s="3">
        <v>2014</v>
      </c>
      <c r="F1837" t="s">
        <v>6173</v>
      </c>
      <c r="G1837" t="s">
        <v>6174</v>
      </c>
      <c r="H1837" s="3">
        <v>68.357299999999995</v>
      </c>
      <c r="I1837" t="s">
        <v>6175</v>
      </c>
      <c r="J1837" t="s">
        <v>12723</v>
      </c>
      <c r="K1837" s="5" t="s">
        <v>15</v>
      </c>
      <c r="L1837" t="s">
        <v>6176</v>
      </c>
      <c r="M1837" t="str">
        <f>"https://www.artic.edu/iiif/2/"&amp;Table9[[#This Row],[Image ID]]&amp;"/full/843,/0/default.jpg"</f>
        <v>https://www.artic.edu/iiif/2/78f7f050-91ac-fd85-89f3-171ef8168227/full/843,/0/default.jpg</v>
      </c>
      <c r="N1837" s="3">
        <v>0.75</v>
      </c>
      <c r="O1837" s="3">
        <v>0.1</v>
      </c>
      <c r="P1837" s="3">
        <v>0.65</v>
      </c>
      <c r="Q1837" s="3">
        <v>0.81146341562271096</v>
      </c>
    </row>
    <row r="1838" spans="1:17" x14ac:dyDescent="0.45">
      <c r="A1838" s="3">
        <v>185764</v>
      </c>
      <c r="B1838" t="b">
        <v>0</v>
      </c>
      <c r="C1838" t="b">
        <v>0</v>
      </c>
      <c r="D1838" s="3">
        <v>1924</v>
      </c>
      <c r="E1838" s="3">
        <v>1924</v>
      </c>
      <c r="F1838" t="s">
        <v>5007</v>
      </c>
      <c r="G1838" t="s">
        <v>7</v>
      </c>
      <c r="H1838" s="3">
        <v>14.0541</v>
      </c>
      <c r="I1838" t="s">
        <v>14639</v>
      </c>
      <c r="J1838" t="s">
        <v>12732</v>
      </c>
      <c r="L1838" t="s">
        <v>5008</v>
      </c>
      <c r="M1838" t="str">
        <f>"https://www.artic.edu/iiif/2/"&amp;Table9[[#This Row],[Image ID]]&amp;"/full/843,/0/default.jpg"</f>
        <v>https://www.artic.edu/iiif/2/798bb27f-379a-f910-2aa1-65555e70749b/full/843,/0/default.jpg</v>
      </c>
      <c r="N1838" s="3">
        <v>0.75</v>
      </c>
      <c r="O1838" s="3">
        <v>0.1</v>
      </c>
      <c r="P1838" s="3">
        <v>0.65</v>
      </c>
      <c r="Q1838" s="3">
        <v>0.80698859691619795</v>
      </c>
    </row>
    <row r="1839" spans="1:17" x14ac:dyDescent="0.45">
      <c r="A1839" s="3">
        <v>17939</v>
      </c>
      <c r="B1839" t="b">
        <v>0</v>
      </c>
      <c r="C1839" t="b">
        <v>0</v>
      </c>
      <c r="D1839" s="3">
        <v>1958</v>
      </c>
      <c r="E1839" s="3">
        <v>1968</v>
      </c>
      <c r="F1839" t="s">
        <v>11</v>
      </c>
      <c r="G1839" t="s">
        <v>4683</v>
      </c>
      <c r="H1839" s="3">
        <v>39.835500000000003</v>
      </c>
      <c r="I1839" t="s">
        <v>526</v>
      </c>
      <c r="J1839" t="s">
        <v>12803</v>
      </c>
      <c r="L1839" t="s">
        <v>4684</v>
      </c>
      <c r="M1839" t="str">
        <f>"https://www.artic.edu/iiif/2/"&amp;Table9[[#This Row],[Image ID]]&amp;"/full/843,/0/default.jpg"</f>
        <v>https://www.artic.edu/iiif/2/7f448d38-c56d-d545-27b5-13d62a8df81a/full/843,/0/default.jpg</v>
      </c>
      <c r="N1839" s="3">
        <v>0.67500000000000004</v>
      </c>
      <c r="O1839" s="3">
        <v>2.5000000000000001E-2</v>
      </c>
      <c r="P1839" s="3">
        <v>0.65</v>
      </c>
      <c r="Q1839" s="3">
        <v>0.82615202665328902</v>
      </c>
    </row>
    <row r="1840" spans="1:17" x14ac:dyDescent="0.45">
      <c r="A1840" s="3">
        <v>105025</v>
      </c>
      <c r="B1840" t="b">
        <v>0</v>
      </c>
      <c r="C1840" t="b">
        <v>0</v>
      </c>
      <c r="D1840" s="3">
        <v>1971</v>
      </c>
      <c r="E1840" s="3">
        <v>1971</v>
      </c>
      <c r="F1840" t="s">
        <v>467</v>
      </c>
      <c r="G1840" t="s">
        <v>59</v>
      </c>
      <c r="H1840" s="3">
        <v>46.250799999999998</v>
      </c>
      <c r="I1840" t="s">
        <v>465</v>
      </c>
      <c r="J1840" t="s">
        <v>12876</v>
      </c>
      <c r="L1840" t="s">
        <v>468</v>
      </c>
      <c r="M1840" t="str">
        <f>"https://www.artic.edu/iiif/2/"&amp;Table9[[#This Row],[Image ID]]&amp;"/full/843,/0/default.jpg"</f>
        <v>https://www.artic.edu/iiif/2/83dbec4a-ccf2-71f3-1c60-551065b8fd15/full/843,/0/default.jpg</v>
      </c>
      <c r="N1840" s="3">
        <v>0.67500000000000004</v>
      </c>
      <c r="O1840" s="3">
        <v>2.5000000000000001E-2</v>
      </c>
      <c r="P1840" s="3">
        <v>0.65</v>
      </c>
      <c r="Q1840" s="3">
        <v>0.65461277961730902</v>
      </c>
    </row>
    <row r="1841" spans="1:17" x14ac:dyDescent="0.45">
      <c r="A1841" s="3">
        <v>84090</v>
      </c>
      <c r="B1841" t="b">
        <v>0</v>
      </c>
      <c r="C1841" t="b">
        <v>0</v>
      </c>
      <c r="D1841" s="3">
        <v>1926</v>
      </c>
      <c r="E1841" s="3">
        <v>1926</v>
      </c>
      <c r="F1841" t="s">
        <v>10250</v>
      </c>
      <c r="G1841" t="s">
        <v>10251</v>
      </c>
      <c r="H1841" s="3">
        <v>19.8367</v>
      </c>
      <c r="I1841" t="s">
        <v>592</v>
      </c>
      <c r="J1841" t="s">
        <v>12929</v>
      </c>
      <c r="L1841" t="s">
        <v>10252</v>
      </c>
      <c r="M1841" t="str">
        <f>"https://www.artic.edu/iiif/2/"&amp;Table9[[#This Row],[Image ID]]&amp;"/full/843,/0/default.jpg"</f>
        <v>https://www.artic.edu/iiif/2/888c0d64-22a4-9ef3-b748-2ad13c8479ea/full/843,/0/default.jpg</v>
      </c>
      <c r="N1841" s="3">
        <v>0.77500000000000002</v>
      </c>
      <c r="O1841" s="3">
        <v>0.125</v>
      </c>
      <c r="P1841" s="3">
        <v>0.65</v>
      </c>
      <c r="Q1841" s="3">
        <v>0.727428019046783</v>
      </c>
    </row>
    <row r="1842" spans="1:17" x14ac:dyDescent="0.45">
      <c r="A1842" s="3">
        <v>66103</v>
      </c>
      <c r="B1842" t="b">
        <v>0</v>
      </c>
      <c r="C1842" t="b">
        <v>0</v>
      </c>
      <c r="D1842" s="3">
        <v>1941</v>
      </c>
      <c r="E1842" s="3">
        <v>1941</v>
      </c>
      <c r="F1842" t="s">
        <v>9186</v>
      </c>
      <c r="G1842" t="s">
        <v>9187</v>
      </c>
      <c r="H1842" s="3">
        <v>48.339399999999998</v>
      </c>
      <c r="I1842" t="s">
        <v>949</v>
      </c>
      <c r="J1842" t="s">
        <v>12939</v>
      </c>
      <c r="L1842" t="s">
        <v>9188</v>
      </c>
      <c r="M1842" t="str">
        <f>"https://www.artic.edu/iiif/2/"&amp;Table9[[#This Row],[Image ID]]&amp;"/full/843,/0/default.jpg"</f>
        <v>https://www.artic.edu/iiif/2/89b17a60-7e7b-201f-a645-ecb2e60de879/full/843,/0/default.jpg</v>
      </c>
      <c r="N1842" s="3">
        <v>0.77500000000000002</v>
      </c>
      <c r="O1842" s="3">
        <v>0.125</v>
      </c>
      <c r="P1842" s="3">
        <v>0.65</v>
      </c>
      <c r="Q1842" s="3">
        <v>0.69006776809692305</v>
      </c>
    </row>
    <row r="1843" spans="1:17" x14ac:dyDescent="0.45">
      <c r="A1843" s="3">
        <v>104265</v>
      </c>
      <c r="B1843" t="b">
        <v>0</v>
      </c>
      <c r="C1843" t="b">
        <v>0</v>
      </c>
      <c r="D1843" s="3">
        <v>1981</v>
      </c>
      <c r="E1843" s="3">
        <v>1981</v>
      </c>
      <c r="F1843" t="s">
        <v>392</v>
      </c>
      <c r="G1843" t="s">
        <v>390</v>
      </c>
      <c r="H1843" s="3">
        <v>4.1555999999999997</v>
      </c>
      <c r="I1843" t="s">
        <v>378</v>
      </c>
      <c r="J1843" t="s">
        <v>12099</v>
      </c>
      <c r="K1843" s="5" t="s">
        <v>45</v>
      </c>
      <c r="L1843" t="s">
        <v>393</v>
      </c>
      <c r="M1843" t="str">
        <f>"https://www.artic.edu/iiif/2/"&amp;Table9[[#This Row],[Image ID]]&amp;"/full/843,/0/default.jpg"</f>
        <v>https://www.artic.edu/iiif/2/92be3ee7-c277-23a2-62b5-a1db3d9d1830/full/843,/0/default.jpg</v>
      </c>
      <c r="N1843" s="3">
        <v>0.8</v>
      </c>
      <c r="O1843" s="3">
        <v>0.15</v>
      </c>
      <c r="P1843" s="3">
        <v>0.65</v>
      </c>
      <c r="Q1843" s="3">
        <v>0.86683398485183705</v>
      </c>
    </row>
    <row r="1844" spans="1:17" x14ac:dyDescent="0.45">
      <c r="A1844" s="3">
        <v>244013</v>
      </c>
      <c r="B1844" t="b">
        <v>0</v>
      </c>
      <c r="C1844" t="b">
        <v>0</v>
      </c>
      <c r="D1844" s="3">
        <v>1833</v>
      </c>
      <c r="E1844" s="3">
        <v>1833</v>
      </c>
      <c r="F1844" t="s">
        <v>6390</v>
      </c>
      <c r="G1844" t="s">
        <v>7</v>
      </c>
      <c r="H1844" s="3">
        <v>5.6429</v>
      </c>
      <c r="I1844" t="s">
        <v>2627</v>
      </c>
      <c r="J1844" t="s">
        <v>13065</v>
      </c>
      <c r="K1844" s="5" t="s">
        <v>37</v>
      </c>
      <c r="L1844" t="s">
        <v>6391</v>
      </c>
      <c r="M1844" t="str">
        <f>"https://www.artic.edu/iiif/2/"&amp;Table9[[#This Row],[Image ID]]&amp;"/full/843,/0/default.jpg"</f>
        <v>https://www.artic.edu/iiif/2/9379f724-e69d-8bf6-7900-e8f3ab0e767e/full/843,/0/default.jpg</v>
      </c>
      <c r="N1844" s="3">
        <v>0.8</v>
      </c>
      <c r="O1844" s="3">
        <v>0.15</v>
      </c>
      <c r="P1844" s="3">
        <v>0.65</v>
      </c>
      <c r="Q1844" s="3">
        <v>0.48801568150520303</v>
      </c>
    </row>
    <row r="1845" spans="1:17" x14ac:dyDescent="0.45">
      <c r="A1845" s="3">
        <v>74375</v>
      </c>
      <c r="B1845" t="b">
        <v>0</v>
      </c>
      <c r="C1845" t="b">
        <v>0</v>
      </c>
      <c r="D1845" s="3">
        <v>1921</v>
      </c>
      <c r="E1845" s="3">
        <v>1921</v>
      </c>
      <c r="F1845" t="s">
        <v>305</v>
      </c>
      <c r="G1845" t="s">
        <v>5975</v>
      </c>
      <c r="H1845" s="3">
        <v>47.504300000000001</v>
      </c>
      <c r="I1845" t="s">
        <v>1423</v>
      </c>
      <c r="J1845" t="s">
        <v>13066</v>
      </c>
      <c r="K1845" s="5" t="s">
        <v>45</v>
      </c>
      <c r="L1845" t="s">
        <v>9687</v>
      </c>
      <c r="M1845" t="str">
        <f>"https://www.artic.edu/iiif/2/"&amp;Table9[[#This Row],[Image ID]]&amp;"/full/843,/0/default.jpg"</f>
        <v>https://www.artic.edu/iiif/2/93b81e29-46b2-4ddf-2f3b-af1e1a4651a3/full/843,/0/default.jpg</v>
      </c>
      <c r="N1845" s="3">
        <v>0.77500000000000002</v>
      </c>
      <c r="O1845" s="3">
        <v>0.125</v>
      </c>
      <c r="P1845" s="3">
        <v>0.65</v>
      </c>
      <c r="Q1845" s="3">
        <v>0.90866982936859098</v>
      </c>
    </row>
    <row r="1846" spans="1:17" x14ac:dyDescent="0.45">
      <c r="A1846" s="3">
        <v>59443</v>
      </c>
      <c r="B1846" t="b">
        <v>0</v>
      </c>
      <c r="C1846" t="b">
        <v>0</v>
      </c>
      <c r="D1846" s="3">
        <v>1935</v>
      </c>
      <c r="E1846" s="3">
        <v>1945</v>
      </c>
      <c r="F1846" t="s">
        <v>438</v>
      </c>
      <c r="G1846" t="s">
        <v>7</v>
      </c>
      <c r="H1846" s="3">
        <v>0</v>
      </c>
      <c r="I1846" t="s">
        <v>748</v>
      </c>
      <c r="J1846" t="s">
        <v>13136</v>
      </c>
      <c r="L1846" t="s">
        <v>8563</v>
      </c>
      <c r="M1846" t="str">
        <f>"https://www.artic.edu/iiif/2/"&amp;Table9[[#This Row],[Image ID]]&amp;"/full/843,/0/default.jpg"</f>
        <v>https://www.artic.edu/iiif/2/9900fb25-4f31-a0c4-88a0-04dc5d3f2fbd/full/843,/0/default.jpg</v>
      </c>
      <c r="N1846" s="3">
        <v>0.72499999999999998</v>
      </c>
      <c r="O1846" s="3">
        <v>7.4999999999999997E-2</v>
      </c>
      <c r="P1846" s="3">
        <v>0.65</v>
      </c>
      <c r="Q1846" s="3">
        <v>0.86912500858306796</v>
      </c>
    </row>
    <row r="1847" spans="1:17" x14ac:dyDescent="0.45">
      <c r="A1847" s="3">
        <v>18384</v>
      </c>
      <c r="B1847" t="b">
        <v>0</v>
      </c>
      <c r="C1847" t="b">
        <v>0</v>
      </c>
      <c r="D1847" s="3">
        <v>1933</v>
      </c>
      <c r="E1847" s="3">
        <v>1933</v>
      </c>
      <c r="F1847" t="s">
        <v>4787</v>
      </c>
      <c r="G1847" t="s">
        <v>1769</v>
      </c>
      <c r="H1847" s="3">
        <v>60.104199999999999</v>
      </c>
      <c r="I1847" t="s">
        <v>1322</v>
      </c>
      <c r="J1847" t="s">
        <v>13148</v>
      </c>
      <c r="L1847" t="s">
        <v>4788</v>
      </c>
      <c r="M1847" t="str">
        <f>"https://www.artic.edu/iiif/2/"&amp;Table9[[#This Row],[Image ID]]&amp;"/full/843,/0/default.jpg"</f>
        <v>https://www.artic.edu/iiif/2/99d3b78e-8916-143d-98d2-0d1749c5a99e/full/843,/0/default.jpg</v>
      </c>
      <c r="N1847" s="3">
        <v>0.75</v>
      </c>
      <c r="O1847" s="3">
        <v>0.1</v>
      </c>
      <c r="P1847" s="3">
        <v>0.65</v>
      </c>
      <c r="Q1847" s="3">
        <v>0.73791259527206399</v>
      </c>
    </row>
    <row r="1848" spans="1:17" x14ac:dyDescent="0.45">
      <c r="A1848" s="3">
        <v>107709</v>
      </c>
      <c r="B1848" t="b">
        <v>0</v>
      </c>
      <c r="C1848" t="b">
        <v>0</v>
      </c>
      <c r="D1848" s="3">
        <v>1900</v>
      </c>
      <c r="E1848" s="3">
        <v>1910</v>
      </c>
      <c r="F1848" t="s">
        <v>699</v>
      </c>
      <c r="G1848" t="s">
        <v>700</v>
      </c>
      <c r="H1848" s="3">
        <v>33.025799999999997</v>
      </c>
      <c r="I1848" t="s">
        <v>133</v>
      </c>
      <c r="J1848" t="s">
        <v>13166</v>
      </c>
      <c r="K1848" s="5" t="s">
        <v>134</v>
      </c>
      <c r="L1848" t="s">
        <v>701</v>
      </c>
      <c r="M1848" t="str">
        <f>"https://www.artic.edu/iiif/2/"&amp;Table9[[#This Row],[Image ID]]&amp;"/full/843,/0/default.jpg"</f>
        <v>https://www.artic.edu/iiif/2/9b0d921f-1410-9614-8a99-d6826478d5e0/full/843,/0/default.jpg</v>
      </c>
      <c r="N1848" s="3">
        <v>0.72499999999999998</v>
      </c>
      <c r="O1848" s="3">
        <v>7.4999999999999997E-2</v>
      </c>
      <c r="P1848" s="3">
        <v>0.65</v>
      </c>
      <c r="Q1848" s="3">
        <v>0.84952765703201205</v>
      </c>
    </row>
    <row r="1849" spans="1:17" x14ac:dyDescent="0.45">
      <c r="A1849" s="3">
        <v>56040</v>
      </c>
      <c r="B1849" t="b">
        <v>0</v>
      </c>
      <c r="C1849" t="b">
        <v>0</v>
      </c>
      <c r="D1849" s="3">
        <v>1964</v>
      </c>
      <c r="E1849" s="3">
        <v>1964</v>
      </c>
      <c r="F1849" t="s">
        <v>8439</v>
      </c>
      <c r="G1849" t="s">
        <v>370</v>
      </c>
      <c r="H1849" s="3">
        <v>27.752099999999999</v>
      </c>
      <c r="I1849" t="s">
        <v>172</v>
      </c>
      <c r="J1849" t="s">
        <v>13205</v>
      </c>
      <c r="L1849" t="s">
        <v>8440</v>
      </c>
      <c r="M1849" t="str">
        <f>"https://www.artic.edu/iiif/2/"&amp;Table9[[#This Row],[Image ID]]&amp;"/full/843,/0/default.jpg"</f>
        <v>https://www.artic.edu/iiif/2/9e09e7e2-250e-a19f-81c9-1be829f8dd20/full/843,/0/default.jpg</v>
      </c>
      <c r="N1849" s="3">
        <v>0.75</v>
      </c>
      <c r="O1849" s="3">
        <v>0.1</v>
      </c>
      <c r="P1849" s="3">
        <v>0.65</v>
      </c>
      <c r="Q1849" s="3">
        <v>0.81276863813400202</v>
      </c>
    </row>
    <row r="1850" spans="1:17" x14ac:dyDescent="0.45">
      <c r="A1850" s="3">
        <v>12874</v>
      </c>
      <c r="B1850" t="b">
        <v>0</v>
      </c>
      <c r="C1850" t="b">
        <v>0</v>
      </c>
      <c r="D1850" s="3">
        <v>1913</v>
      </c>
      <c r="E1850" s="3">
        <v>1913</v>
      </c>
      <c r="F1850" t="s">
        <v>2830</v>
      </c>
      <c r="G1850" t="s">
        <v>7</v>
      </c>
      <c r="H1850" s="3">
        <v>37.738399999999999</v>
      </c>
      <c r="I1850" t="s">
        <v>761</v>
      </c>
      <c r="J1850" t="s">
        <v>13226</v>
      </c>
      <c r="K1850" s="5" t="s">
        <v>134</v>
      </c>
      <c r="L1850" t="s">
        <v>2831</v>
      </c>
      <c r="M1850" t="str">
        <f>"https://www.artic.edu/iiif/2/"&amp;Table9[[#This Row],[Image ID]]&amp;"/full/843,/0/default.jpg"</f>
        <v>https://www.artic.edu/iiif/2/9f91f7e3-daa8-8969-31c1-892d5af19404/full/843,/0/default.jpg</v>
      </c>
      <c r="N1850" s="3">
        <v>0.67500000000000004</v>
      </c>
      <c r="O1850" s="3">
        <v>2.5000000000000001E-2</v>
      </c>
      <c r="P1850" s="3">
        <v>0.65</v>
      </c>
      <c r="Q1850" s="3">
        <v>0.80628216266632002</v>
      </c>
    </row>
    <row r="1851" spans="1:17" x14ac:dyDescent="0.45">
      <c r="A1851" s="3">
        <v>222905</v>
      </c>
      <c r="B1851" t="b">
        <v>0</v>
      </c>
      <c r="C1851" t="b">
        <v>0</v>
      </c>
      <c r="D1851" s="3">
        <v>1974</v>
      </c>
      <c r="E1851" s="3">
        <v>1974</v>
      </c>
      <c r="F1851" t="s">
        <v>5840</v>
      </c>
      <c r="G1851" t="s">
        <v>238</v>
      </c>
      <c r="H1851" s="3">
        <v>125.6763</v>
      </c>
      <c r="I1851" t="s">
        <v>5841</v>
      </c>
      <c r="J1851" t="s">
        <v>11563</v>
      </c>
      <c r="L1851" t="s">
        <v>5842</v>
      </c>
      <c r="M1851" t="str">
        <f>"https://www.artic.edu/iiif/2/"&amp;Table9[[#This Row],[Image ID]]&amp;"/full/843,/0/default.jpg"</f>
        <v>https://www.artic.edu/iiif/2/a0470332-0caa-8264-ca8c-32aa0d209da9/full/843,/0/default.jpg</v>
      </c>
      <c r="N1851" s="3">
        <v>0.77500000000000002</v>
      </c>
      <c r="O1851" s="3">
        <v>0.125</v>
      </c>
      <c r="P1851" s="3">
        <v>0.65</v>
      </c>
      <c r="Q1851" s="3">
        <v>0.88484072685241699</v>
      </c>
    </row>
    <row r="1852" spans="1:17" x14ac:dyDescent="0.45">
      <c r="A1852" s="3">
        <v>184899</v>
      </c>
      <c r="B1852" t="b">
        <v>0</v>
      </c>
      <c r="C1852" t="b">
        <v>0</v>
      </c>
      <c r="D1852" s="3">
        <v>2003</v>
      </c>
      <c r="E1852" s="3">
        <v>2003</v>
      </c>
      <c r="F1852" t="s">
        <v>4892</v>
      </c>
      <c r="G1852" t="s">
        <v>4823</v>
      </c>
      <c r="H1852" s="3">
        <v>9.4248999999999992</v>
      </c>
      <c r="I1852" t="s">
        <v>293</v>
      </c>
      <c r="J1852" t="s">
        <v>10977</v>
      </c>
      <c r="K1852" s="5" t="s">
        <v>15</v>
      </c>
      <c r="L1852" t="s">
        <v>4893</v>
      </c>
      <c r="M1852" t="str">
        <f>"https://www.artic.edu/iiif/2/"&amp;Table9[[#This Row],[Image ID]]&amp;"/full/843,/0/default.jpg"</f>
        <v>https://www.artic.edu/iiif/2/a08f9475-f9cb-00da-62e0-4cf58e87de36/full/843,/0/default.jpg</v>
      </c>
      <c r="N1852" s="3">
        <v>0.77500000000000002</v>
      </c>
      <c r="O1852" s="3">
        <v>0.125</v>
      </c>
      <c r="P1852" s="3">
        <v>0.65</v>
      </c>
      <c r="Q1852" s="3">
        <v>0.82064002752303999</v>
      </c>
    </row>
    <row r="1853" spans="1:17" x14ac:dyDescent="0.45">
      <c r="A1853" s="3">
        <v>58625</v>
      </c>
      <c r="B1853" t="b">
        <v>0</v>
      </c>
      <c r="C1853" t="b">
        <v>0</v>
      </c>
      <c r="D1853" s="3">
        <v>1909</v>
      </c>
      <c r="E1853" s="3">
        <v>1909</v>
      </c>
      <c r="F1853" t="s">
        <v>438</v>
      </c>
      <c r="G1853" t="s">
        <v>7</v>
      </c>
      <c r="H1853" s="3">
        <v>25.828299999999999</v>
      </c>
      <c r="I1853" t="s">
        <v>133</v>
      </c>
      <c r="J1853" t="s">
        <v>13250</v>
      </c>
      <c r="K1853" s="5" t="s">
        <v>134</v>
      </c>
      <c r="L1853" t="s">
        <v>8529</v>
      </c>
      <c r="M1853" t="str">
        <f>"https://www.artic.edu/iiif/2/"&amp;Table9[[#This Row],[Image ID]]&amp;"/full/843,/0/default.jpg"</f>
        <v>https://www.artic.edu/iiif/2/a18f060c-6693-6246-0fe9-abc512841002/full/843,/0/default.jpg</v>
      </c>
      <c r="N1853" s="3">
        <v>0.75</v>
      </c>
      <c r="O1853" s="3">
        <v>0.1</v>
      </c>
      <c r="P1853" s="3">
        <v>0.65</v>
      </c>
      <c r="Q1853" s="3">
        <v>0.86487710475921598</v>
      </c>
    </row>
    <row r="1854" spans="1:17" x14ac:dyDescent="0.45">
      <c r="A1854" s="3">
        <v>184854</v>
      </c>
      <c r="B1854" t="b">
        <v>0</v>
      </c>
      <c r="C1854" t="b">
        <v>0</v>
      </c>
      <c r="D1854" s="3">
        <v>2003</v>
      </c>
      <c r="E1854" s="3">
        <v>2003</v>
      </c>
      <c r="F1854" t="s">
        <v>4857</v>
      </c>
      <c r="G1854" t="s">
        <v>4823</v>
      </c>
      <c r="H1854" s="3">
        <v>8.7965999999999998</v>
      </c>
      <c r="I1854" t="s">
        <v>293</v>
      </c>
      <c r="J1854" t="s">
        <v>10977</v>
      </c>
      <c r="K1854" s="5" t="s">
        <v>15</v>
      </c>
      <c r="L1854" t="s">
        <v>4858</v>
      </c>
      <c r="M1854" t="str">
        <f>"https://www.artic.edu/iiif/2/"&amp;Table9[[#This Row],[Image ID]]&amp;"/full/843,/0/default.jpg"</f>
        <v>https://www.artic.edu/iiif/2/a1fb1308-d066-5a2a-1c2f-f3a34e481545/full/843,/0/default.jpg</v>
      </c>
      <c r="N1854" s="3">
        <v>0.72499999999999998</v>
      </c>
      <c r="O1854" s="3">
        <v>7.4999999999999997E-2</v>
      </c>
      <c r="P1854" s="3">
        <v>0.65</v>
      </c>
      <c r="Q1854" s="3">
        <v>0.87665396928787198</v>
      </c>
    </row>
    <row r="1855" spans="1:17" x14ac:dyDescent="0.45">
      <c r="A1855" s="3">
        <v>50947</v>
      </c>
      <c r="B1855" t="b">
        <v>0</v>
      </c>
      <c r="C1855" t="b">
        <v>0</v>
      </c>
      <c r="D1855" s="3">
        <v>1943</v>
      </c>
      <c r="E1855" s="3">
        <v>1943</v>
      </c>
      <c r="F1855" t="s">
        <v>8132</v>
      </c>
      <c r="G1855" t="s">
        <v>8133</v>
      </c>
      <c r="H1855" s="3">
        <v>30.154</v>
      </c>
      <c r="I1855" t="s">
        <v>4739</v>
      </c>
      <c r="J1855" t="s">
        <v>13329</v>
      </c>
      <c r="L1855" t="s">
        <v>8134</v>
      </c>
      <c r="M1855" t="str">
        <f>"https://www.artic.edu/iiif/2/"&amp;Table9[[#This Row],[Image ID]]&amp;"/full/843,/0/default.jpg"</f>
        <v>https://www.artic.edu/iiif/2/a7129310-a11f-06ee-001e-660d58d278d3/full/843,/0/default.jpg</v>
      </c>
      <c r="N1855" s="3">
        <v>0.72499999999999998</v>
      </c>
      <c r="O1855" s="3">
        <v>7.4999999999999997E-2</v>
      </c>
      <c r="P1855" s="3">
        <v>0.65</v>
      </c>
      <c r="Q1855" s="3">
        <v>0.69362825155258101</v>
      </c>
    </row>
    <row r="1856" spans="1:17" x14ac:dyDescent="0.45">
      <c r="A1856" s="3">
        <v>80245</v>
      </c>
      <c r="B1856" t="b">
        <v>0</v>
      </c>
      <c r="C1856" t="b">
        <v>0</v>
      </c>
      <c r="D1856" s="3">
        <v>1954</v>
      </c>
      <c r="E1856" s="3">
        <v>1954</v>
      </c>
      <c r="F1856" t="s">
        <v>9938</v>
      </c>
      <c r="G1856" t="s">
        <v>9939</v>
      </c>
      <c r="H1856" s="3">
        <v>25.120699999999999</v>
      </c>
      <c r="I1856" t="s">
        <v>2389</v>
      </c>
      <c r="J1856" t="s">
        <v>13355</v>
      </c>
      <c r="L1856" t="s">
        <v>9940</v>
      </c>
      <c r="M1856" t="str">
        <f>"https://www.artic.edu/iiif/2/"&amp;Table9[[#This Row],[Image ID]]&amp;"/full/843,/0/default.jpg"</f>
        <v>https://www.artic.edu/iiif/2/a88d7f02-5884-df24-69a9-49898ce049d8/full/843,/0/default.jpg</v>
      </c>
      <c r="N1856" s="3">
        <v>0.72499999999999998</v>
      </c>
      <c r="O1856" s="3">
        <v>7.4999999999999997E-2</v>
      </c>
      <c r="P1856" s="3">
        <v>0.65</v>
      </c>
      <c r="Q1856" s="3">
        <v>0.84002685546875</v>
      </c>
    </row>
    <row r="1857" spans="1:17" x14ac:dyDescent="0.45">
      <c r="A1857" s="3">
        <v>129698</v>
      </c>
      <c r="B1857" t="b">
        <v>0</v>
      </c>
      <c r="C1857" t="b">
        <v>0</v>
      </c>
      <c r="D1857" s="3">
        <v>1941</v>
      </c>
      <c r="E1857" s="3">
        <v>1941</v>
      </c>
      <c r="F1857" t="s">
        <v>2936</v>
      </c>
      <c r="G1857" t="s">
        <v>2892</v>
      </c>
      <c r="H1857" s="3">
        <v>19.7652</v>
      </c>
      <c r="I1857" t="s">
        <v>14549</v>
      </c>
      <c r="J1857" t="s">
        <v>10990</v>
      </c>
      <c r="L1857" t="s">
        <v>2937</v>
      </c>
      <c r="M1857" t="str">
        <f>"https://www.artic.edu/iiif/2/"&amp;Table9[[#This Row],[Image ID]]&amp;"/full/843,/0/default.jpg"</f>
        <v>https://www.artic.edu/iiif/2/ace0e025-07f5-3eae-5b7b-683cf4095b21/full/843,/0/default.jpg</v>
      </c>
      <c r="N1857" s="3">
        <v>0.75</v>
      </c>
      <c r="O1857" s="3">
        <v>0.1</v>
      </c>
      <c r="P1857" s="3">
        <v>0.65</v>
      </c>
      <c r="Q1857" s="3">
        <v>0.76637446880340498</v>
      </c>
    </row>
    <row r="1858" spans="1:17" x14ac:dyDescent="0.45">
      <c r="A1858" s="3">
        <v>133565</v>
      </c>
      <c r="B1858" t="b">
        <v>0</v>
      </c>
      <c r="C1858" t="b">
        <v>0</v>
      </c>
      <c r="D1858" s="3">
        <v>1920</v>
      </c>
      <c r="E1858" s="3">
        <v>1930</v>
      </c>
      <c r="F1858" t="s">
        <v>3064</v>
      </c>
      <c r="G1858" t="s">
        <v>3041</v>
      </c>
      <c r="H1858" s="3">
        <v>26.731000000000002</v>
      </c>
      <c r="I1858" t="s">
        <v>3058</v>
      </c>
      <c r="J1858" t="s">
        <v>13466</v>
      </c>
      <c r="L1858" t="s">
        <v>3065</v>
      </c>
      <c r="M1858" t="str">
        <f>"https://www.artic.edu/iiif/2/"&amp;Table9[[#This Row],[Image ID]]&amp;"/full/843,/0/default.jpg"</f>
        <v>https://www.artic.edu/iiif/2/b10a512b-4b4e-aa7c-bd10-eddebb041aae/full/843,/0/default.jpg</v>
      </c>
      <c r="N1858" s="3">
        <v>0.65</v>
      </c>
      <c r="O1858" s="3">
        <v>0</v>
      </c>
      <c r="P1858" s="3">
        <v>0.65</v>
      </c>
      <c r="Q1858" s="3">
        <v>0.70384001731872503</v>
      </c>
    </row>
    <row r="1859" spans="1:17" x14ac:dyDescent="0.45">
      <c r="A1859" s="3">
        <v>26085</v>
      </c>
      <c r="B1859" t="b">
        <v>0</v>
      </c>
      <c r="C1859" t="b">
        <v>0</v>
      </c>
      <c r="D1859" s="3">
        <v>1945</v>
      </c>
      <c r="E1859" s="3">
        <v>1945</v>
      </c>
      <c r="F1859" t="s">
        <v>6673</v>
      </c>
      <c r="G1859" t="s">
        <v>7</v>
      </c>
      <c r="H1859" s="3">
        <v>17.9312</v>
      </c>
      <c r="I1859" t="s">
        <v>6674</v>
      </c>
      <c r="J1859" t="s">
        <v>13525</v>
      </c>
      <c r="L1859" t="s">
        <v>6675</v>
      </c>
      <c r="M1859" t="str">
        <f>"https://www.artic.edu/iiif/2/"&amp;Table9[[#This Row],[Image ID]]&amp;"/full/843,/0/default.jpg"</f>
        <v>https://www.artic.edu/iiif/2/b6376e12-57e9-96bd-2629-49cca70560d0/full/843,/0/default.jpg</v>
      </c>
      <c r="N1859" s="3">
        <v>0.75</v>
      </c>
      <c r="O1859" s="3">
        <v>0.1</v>
      </c>
      <c r="P1859" s="3">
        <v>0.65</v>
      </c>
      <c r="Q1859" s="3">
        <v>0.76342952251434304</v>
      </c>
    </row>
    <row r="1860" spans="1:17" x14ac:dyDescent="0.45">
      <c r="A1860" s="3">
        <v>118657</v>
      </c>
      <c r="B1860" t="b">
        <v>0</v>
      </c>
      <c r="C1860" t="b">
        <v>0</v>
      </c>
      <c r="D1860" s="3">
        <v>1949</v>
      </c>
      <c r="E1860" s="3">
        <v>1949</v>
      </c>
      <c r="F1860" t="s">
        <v>2521</v>
      </c>
      <c r="G1860" t="s">
        <v>2522</v>
      </c>
      <c r="H1860" s="3">
        <v>35.487499999999997</v>
      </c>
      <c r="I1860" t="s">
        <v>2302</v>
      </c>
      <c r="J1860" t="s">
        <v>13557</v>
      </c>
      <c r="L1860" t="s">
        <v>2523</v>
      </c>
      <c r="M1860" t="str">
        <f>"https://www.artic.edu/iiif/2/"&amp;Table9[[#This Row],[Image ID]]&amp;"/full/843,/0/default.jpg"</f>
        <v>https://www.artic.edu/iiif/2/b93d60cf-b866-21e3-67fc-df1a37b04dba/full/843,/0/default.jpg</v>
      </c>
      <c r="N1860" s="3">
        <v>0.72499999999999998</v>
      </c>
      <c r="O1860" s="3">
        <v>7.4999999999999997E-2</v>
      </c>
      <c r="P1860" s="3">
        <v>0.65</v>
      </c>
      <c r="Q1860" s="3">
        <v>0.83084577322006203</v>
      </c>
    </row>
    <row r="1861" spans="1:17" x14ac:dyDescent="0.45">
      <c r="A1861" s="3">
        <v>62323</v>
      </c>
      <c r="B1861" t="b">
        <v>0</v>
      </c>
      <c r="C1861" t="b">
        <v>0</v>
      </c>
      <c r="D1861" s="3">
        <v>1948</v>
      </c>
      <c r="E1861" s="3">
        <v>1948</v>
      </c>
      <c r="F1861" t="s">
        <v>8889</v>
      </c>
      <c r="G1861" t="s">
        <v>7</v>
      </c>
      <c r="H1861" s="3">
        <v>29.163</v>
      </c>
      <c r="I1861" t="s">
        <v>1</v>
      </c>
      <c r="J1861" t="s">
        <v>13581</v>
      </c>
      <c r="K1861" s="5" t="s">
        <v>2</v>
      </c>
      <c r="L1861" t="s">
        <v>8890</v>
      </c>
      <c r="M1861" t="str">
        <f>"https://www.artic.edu/iiif/2/"&amp;Table9[[#This Row],[Image ID]]&amp;"/full/843,/0/default.jpg"</f>
        <v>https://www.artic.edu/iiif/2/bafd0b1b-49bb-4af5-554a-7054abe2943a/full/843,/0/default.jpg</v>
      </c>
      <c r="N1861" s="3">
        <v>0.72499999999999998</v>
      </c>
      <c r="O1861" s="3">
        <v>7.4999999999999997E-2</v>
      </c>
      <c r="P1861" s="3">
        <v>0.65</v>
      </c>
      <c r="Q1861" s="3">
        <v>0.70546680688857999</v>
      </c>
    </row>
    <row r="1862" spans="1:17" x14ac:dyDescent="0.45">
      <c r="A1862" s="3">
        <v>90862</v>
      </c>
      <c r="B1862" t="b">
        <v>0</v>
      </c>
      <c r="C1862" t="b">
        <v>0</v>
      </c>
      <c r="D1862" s="3">
        <v>1917</v>
      </c>
      <c r="E1862" s="3">
        <v>1917</v>
      </c>
      <c r="F1862" t="s">
        <v>10548</v>
      </c>
      <c r="G1862" t="s">
        <v>250</v>
      </c>
      <c r="H1862" s="3">
        <v>11.204599999999999</v>
      </c>
      <c r="I1862" t="s">
        <v>459</v>
      </c>
      <c r="J1862" t="s">
        <v>13780</v>
      </c>
      <c r="K1862" s="5" t="s">
        <v>166</v>
      </c>
      <c r="L1862" t="s">
        <v>10549</v>
      </c>
      <c r="M1862" t="str">
        <f>"https://www.artic.edu/iiif/2/"&amp;Table9[[#This Row],[Image ID]]&amp;"/full/843,/0/default.jpg"</f>
        <v>https://www.artic.edu/iiif/2/ca1e9316-e8cf-08b8-f101-863f578e2456/full/843,/0/default.jpg</v>
      </c>
      <c r="N1862" s="3">
        <v>0.67500000000000004</v>
      </c>
      <c r="O1862" s="3">
        <v>2.5000000000000001E-2</v>
      </c>
      <c r="P1862" s="3">
        <v>0.65</v>
      </c>
      <c r="Q1862" s="3">
        <v>0.84396100044250399</v>
      </c>
    </row>
    <row r="1863" spans="1:17" x14ac:dyDescent="0.45">
      <c r="A1863" s="3">
        <v>118675</v>
      </c>
      <c r="B1863" t="b">
        <v>0</v>
      </c>
      <c r="C1863" t="b">
        <v>0</v>
      </c>
      <c r="D1863" s="3">
        <v>1944</v>
      </c>
      <c r="E1863" s="3">
        <v>1944</v>
      </c>
      <c r="F1863" t="s">
        <v>2527</v>
      </c>
      <c r="G1863" t="s">
        <v>7</v>
      </c>
      <c r="H1863" s="3">
        <v>41.940399999999997</v>
      </c>
      <c r="I1863" t="s">
        <v>172</v>
      </c>
      <c r="J1863" t="s">
        <v>13818</v>
      </c>
      <c r="L1863" t="s">
        <v>2528</v>
      </c>
      <c r="M1863" t="str">
        <f>"https://www.artic.edu/iiif/2/"&amp;Table9[[#This Row],[Image ID]]&amp;"/full/843,/0/default.jpg"</f>
        <v>https://www.artic.edu/iiif/2/cda850e5-8e19-87c5-b09c-17e646036452/full/843,/0/default.jpg</v>
      </c>
      <c r="N1863" s="3">
        <v>0.75</v>
      </c>
      <c r="O1863" s="3">
        <v>0.1</v>
      </c>
      <c r="P1863" s="3">
        <v>0.65</v>
      </c>
      <c r="Q1863" s="3">
        <v>0.74681264162063599</v>
      </c>
    </row>
    <row r="1864" spans="1:17" ht="28.5" x14ac:dyDescent="0.45">
      <c r="A1864" s="3">
        <v>33283</v>
      </c>
      <c r="B1864" t="b">
        <v>0</v>
      </c>
      <c r="C1864" t="b">
        <v>0</v>
      </c>
      <c r="D1864" s="3">
        <v>1930</v>
      </c>
      <c r="E1864" s="3">
        <v>1940</v>
      </c>
      <c r="F1864" t="s">
        <v>7083</v>
      </c>
      <c r="G1864" t="s">
        <v>7084</v>
      </c>
      <c r="H1864" s="3">
        <v>21.6431</v>
      </c>
      <c r="I1864" t="s">
        <v>914</v>
      </c>
      <c r="J1864" s="1" t="s">
        <v>13845</v>
      </c>
      <c r="L1864" t="s">
        <v>7085</v>
      </c>
      <c r="M1864" t="str">
        <f>"https://www.artic.edu/iiif/2/"&amp;Table9[[#This Row],[Image ID]]&amp;"/full/843,/0/default.jpg"</f>
        <v>https://www.artic.edu/iiif/2/cfef919c-490c-9b66-8c14-ec513cbe57e6/full/843,/0/default.jpg</v>
      </c>
      <c r="N1864" s="3">
        <v>0.72499999999999998</v>
      </c>
      <c r="O1864" s="3">
        <v>7.4999999999999997E-2</v>
      </c>
      <c r="P1864" s="3">
        <v>0.65</v>
      </c>
      <c r="Q1864" s="3">
        <v>0.71481442451476995</v>
      </c>
    </row>
    <row r="1865" spans="1:17" x14ac:dyDescent="0.45">
      <c r="A1865" s="3">
        <v>44037</v>
      </c>
      <c r="B1865" t="b">
        <v>0</v>
      </c>
      <c r="C1865" t="b">
        <v>0</v>
      </c>
      <c r="D1865" s="3">
        <v>1971</v>
      </c>
      <c r="E1865" s="3">
        <v>1971</v>
      </c>
      <c r="F1865" t="s">
        <v>7749</v>
      </c>
      <c r="G1865" t="s">
        <v>7750</v>
      </c>
      <c r="H1865" s="3">
        <v>46.004100000000001</v>
      </c>
      <c r="I1865" t="s">
        <v>7751</v>
      </c>
      <c r="J1865" t="s">
        <v>13847</v>
      </c>
      <c r="L1865" t="s">
        <v>7752</v>
      </c>
      <c r="M1865" t="str">
        <f>"https://www.artic.edu/iiif/2/"&amp;Table9[[#This Row],[Image ID]]&amp;"/full/843,/0/default.jpg"</f>
        <v>https://www.artic.edu/iiif/2/d045a9ef-729a-17b4-13f0-f5599c70a6e2/full/843,/0/default.jpg</v>
      </c>
      <c r="N1865" s="3">
        <v>0.65</v>
      </c>
      <c r="O1865" s="3">
        <v>0</v>
      </c>
      <c r="P1865" s="3">
        <v>0.65</v>
      </c>
      <c r="Q1865" s="3">
        <v>0.71740895509719804</v>
      </c>
    </row>
    <row r="1866" spans="1:17" x14ac:dyDescent="0.45">
      <c r="A1866" s="3">
        <v>64476</v>
      </c>
      <c r="B1866" t="b">
        <v>0</v>
      </c>
      <c r="C1866" t="b">
        <v>0</v>
      </c>
      <c r="D1866" s="3">
        <v>1909</v>
      </c>
      <c r="E1866" s="3">
        <v>1909</v>
      </c>
      <c r="F1866" t="s">
        <v>8988</v>
      </c>
      <c r="G1866" t="s">
        <v>7</v>
      </c>
      <c r="H1866" s="3">
        <v>24.069500000000001</v>
      </c>
      <c r="I1866" t="s">
        <v>8989</v>
      </c>
      <c r="J1866" t="s">
        <v>13866</v>
      </c>
      <c r="K1866" s="5" t="s">
        <v>9</v>
      </c>
      <c r="L1866" t="s">
        <v>8990</v>
      </c>
      <c r="M1866" t="str">
        <f>"https://www.artic.edu/iiif/2/"&amp;Table9[[#This Row],[Image ID]]&amp;"/full/843,/0/default.jpg"</f>
        <v>https://www.artic.edu/iiif/2/d1cda60c-c21d-9fbc-8195-4e7c3d6e9650/full/843,/0/default.jpg</v>
      </c>
      <c r="N1866" s="3">
        <v>0.72499999999999998</v>
      </c>
      <c r="O1866" s="3">
        <v>7.4999999999999997E-2</v>
      </c>
      <c r="P1866" s="3">
        <v>0.65</v>
      </c>
      <c r="Q1866" s="3">
        <v>0.56308060884475697</v>
      </c>
    </row>
    <row r="1867" spans="1:17" x14ac:dyDescent="0.45">
      <c r="A1867" s="3">
        <v>4841</v>
      </c>
      <c r="B1867" t="b">
        <v>0</v>
      </c>
      <c r="C1867" t="b">
        <v>0</v>
      </c>
      <c r="D1867" s="3">
        <v>1860</v>
      </c>
      <c r="E1867" s="3">
        <v>1917</v>
      </c>
      <c r="F1867" t="s">
        <v>7995</v>
      </c>
      <c r="G1867" t="s">
        <v>1502</v>
      </c>
      <c r="H1867" s="3">
        <v>24.848700000000001</v>
      </c>
      <c r="I1867" t="s">
        <v>68</v>
      </c>
      <c r="J1867" t="s">
        <v>13871</v>
      </c>
      <c r="L1867" t="s">
        <v>7996</v>
      </c>
      <c r="M1867" t="str">
        <f>"https://www.artic.edu/iiif/2/"&amp;Table9[[#This Row],[Image ID]]&amp;"/full/843,/0/default.jpg"</f>
        <v>https://www.artic.edu/iiif/2/d2d902ae-f195-d1a3-a5d5-5fa9fb0f3aa0/full/843,/0/default.jpg</v>
      </c>
      <c r="N1867" s="3">
        <v>0.77500000000000002</v>
      </c>
      <c r="O1867" s="3">
        <v>0.125</v>
      </c>
      <c r="P1867" s="3">
        <v>0.65</v>
      </c>
      <c r="Q1867" s="3">
        <v>0.82467782497405995</v>
      </c>
    </row>
    <row r="1868" spans="1:17" x14ac:dyDescent="0.45">
      <c r="A1868" s="3">
        <v>58999</v>
      </c>
      <c r="B1868" t="b">
        <v>0</v>
      </c>
      <c r="C1868" t="b">
        <v>0</v>
      </c>
      <c r="D1868" s="3">
        <v>1890</v>
      </c>
      <c r="E1868" s="3">
        <v>1890</v>
      </c>
      <c r="F1868" t="s">
        <v>8544</v>
      </c>
      <c r="G1868" t="s">
        <v>7</v>
      </c>
      <c r="H1868" s="3">
        <v>61.005699999999997</v>
      </c>
      <c r="I1868" t="s">
        <v>14647</v>
      </c>
      <c r="J1868" t="s">
        <v>13875</v>
      </c>
      <c r="K1868" s="5" t="s">
        <v>115</v>
      </c>
      <c r="L1868" t="s">
        <v>8545</v>
      </c>
      <c r="M1868" t="str">
        <f>"https://www.artic.edu/iiif/2/"&amp;Table9[[#This Row],[Image ID]]&amp;"/full/843,/0/default.jpg"</f>
        <v>https://www.artic.edu/iiif/2/d349a360-3690-bbc4-5883-22f4cd8bac84/full/843,/0/default.jpg</v>
      </c>
      <c r="N1868" s="3">
        <v>0.75</v>
      </c>
      <c r="O1868" s="3">
        <v>0.1</v>
      </c>
      <c r="P1868" s="3">
        <v>0.65</v>
      </c>
      <c r="Q1868" s="3">
        <v>0.76829433441162098</v>
      </c>
    </row>
    <row r="1869" spans="1:17" x14ac:dyDescent="0.45">
      <c r="A1869" s="3">
        <v>104086</v>
      </c>
      <c r="B1869" t="b">
        <v>0</v>
      </c>
      <c r="C1869" t="b">
        <v>0</v>
      </c>
      <c r="D1869" s="3">
        <v>1983</v>
      </c>
      <c r="E1869" s="3">
        <v>1984</v>
      </c>
      <c r="F1869" t="s">
        <v>346</v>
      </c>
      <c r="G1869" t="s">
        <v>347</v>
      </c>
      <c r="H1869" s="3">
        <v>13.671799999999999</v>
      </c>
      <c r="I1869" t="s">
        <v>348</v>
      </c>
      <c r="J1869" t="s">
        <v>13895</v>
      </c>
      <c r="L1869" t="s">
        <v>349</v>
      </c>
      <c r="M1869" t="str">
        <f>"https://www.artic.edu/iiif/2/"&amp;Table9[[#This Row],[Image ID]]&amp;"/full/843,/0/default.jpg"</f>
        <v>https://www.artic.edu/iiif/2/d46d69a1-9875-9004-c5c6-ede6896d872c/full/843,/0/default.jpg</v>
      </c>
      <c r="N1869" s="3">
        <v>0.65</v>
      </c>
      <c r="O1869" s="3">
        <v>0</v>
      </c>
      <c r="P1869" s="3">
        <v>0.65</v>
      </c>
      <c r="Q1869" s="3">
        <v>0.64495825767517001</v>
      </c>
    </row>
    <row r="1870" spans="1:17" x14ac:dyDescent="0.45">
      <c r="A1870" s="3">
        <v>80353</v>
      </c>
      <c r="B1870" t="b">
        <v>0</v>
      </c>
      <c r="C1870" t="b">
        <v>0</v>
      </c>
      <c r="D1870" s="3">
        <v>1920</v>
      </c>
      <c r="E1870" s="3">
        <v>1940</v>
      </c>
      <c r="F1870" t="s">
        <v>727</v>
      </c>
      <c r="G1870" t="s">
        <v>9963</v>
      </c>
      <c r="H1870" s="3">
        <v>42.599800000000002</v>
      </c>
      <c r="I1870" t="s">
        <v>2575</v>
      </c>
      <c r="J1870" t="s">
        <v>14010</v>
      </c>
      <c r="L1870" t="s">
        <v>9964</v>
      </c>
      <c r="M1870" t="str">
        <f>"https://www.artic.edu/iiif/2/"&amp;Table9[[#This Row],[Image ID]]&amp;"/full/843,/0/default.jpg"</f>
        <v>https://www.artic.edu/iiif/2/dc0decbc-7b32-a7f9-ca5e-d71a6e01f5c7/full/843,/0/default.jpg</v>
      </c>
      <c r="N1870" s="3">
        <v>0.75</v>
      </c>
      <c r="O1870" s="3">
        <v>0.1</v>
      </c>
      <c r="P1870" s="3">
        <v>0.65</v>
      </c>
      <c r="Q1870" s="3">
        <v>0.91267621517181396</v>
      </c>
    </row>
    <row r="1871" spans="1:17" x14ac:dyDescent="0.45">
      <c r="A1871" s="3">
        <v>229369</v>
      </c>
      <c r="B1871" t="b">
        <v>0</v>
      </c>
      <c r="C1871" t="b">
        <v>0</v>
      </c>
      <c r="D1871" s="3">
        <v>1991</v>
      </c>
      <c r="E1871" s="3">
        <v>1991</v>
      </c>
      <c r="F1871" t="s">
        <v>6098</v>
      </c>
      <c r="G1871" t="s">
        <v>141</v>
      </c>
      <c r="H1871" s="3">
        <v>19.327000000000002</v>
      </c>
      <c r="I1871" t="s">
        <v>866</v>
      </c>
      <c r="J1871" t="s">
        <v>14032</v>
      </c>
      <c r="L1871" t="s">
        <v>6099</v>
      </c>
      <c r="M1871" t="str">
        <f>"https://www.artic.edu/iiif/2/"&amp;Table9[[#This Row],[Image ID]]&amp;"/full/843,/0/default.jpg"</f>
        <v>https://www.artic.edu/iiif/2/ddb73328-ab15-5468-5d6f-c955491c07c9/full/843,/0/default.jpg</v>
      </c>
      <c r="N1871" s="3">
        <v>0.77500000000000002</v>
      </c>
      <c r="O1871" s="3">
        <v>0.125</v>
      </c>
      <c r="P1871" s="3">
        <v>0.65</v>
      </c>
      <c r="Q1871" s="3">
        <v>0.855091571807861</v>
      </c>
    </row>
    <row r="1872" spans="1:17" x14ac:dyDescent="0.45">
      <c r="A1872" s="3">
        <v>222838</v>
      </c>
      <c r="B1872" t="b">
        <v>0</v>
      </c>
      <c r="C1872" t="b">
        <v>0</v>
      </c>
      <c r="D1872" s="3">
        <v>1965</v>
      </c>
      <c r="E1872" s="3">
        <v>1965</v>
      </c>
      <c r="F1872" t="s">
        <v>5838</v>
      </c>
      <c r="G1872" t="s">
        <v>141</v>
      </c>
      <c r="H1872" s="3">
        <v>40.6646</v>
      </c>
      <c r="I1872" t="s">
        <v>293</v>
      </c>
      <c r="J1872" t="s">
        <v>14064</v>
      </c>
      <c r="L1872" t="s">
        <v>5839</v>
      </c>
      <c r="M1872" t="str">
        <f>"https://www.artic.edu/iiif/2/"&amp;Table9[[#This Row],[Image ID]]&amp;"/full/843,/0/default.jpg"</f>
        <v>https://www.artic.edu/iiif/2/e01b5848-1858-a8b1-f2e6-1c3fea783b63/full/843,/0/default.jpg</v>
      </c>
      <c r="N1872" s="3">
        <v>0.77500000000000002</v>
      </c>
      <c r="O1872" s="3">
        <v>0.125</v>
      </c>
      <c r="P1872" s="3">
        <v>0.65</v>
      </c>
      <c r="Q1872" s="3">
        <v>0.90264725685119596</v>
      </c>
    </row>
    <row r="1873" spans="1:17" x14ac:dyDescent="0.45">
      <c r="A1873" s="3">
        <v>50669</v>
      </c>
      <c r="B1873" t="b">
        <v>0</v>
      </c>
      <c r="C1873" t="b">
        <v>0</v>
      </c>
      <c r="D1873" s="3">
        <v>1975</v>
      </c>
      <c r="E1873" s="3">
        <v>1975</v>
      </c>
      <c r="F1873" t="s">
        <v>8123</v>
      </c>
      <c r="G1873" t="s">
        <v>8124</v>
      </c>
      <c r="H1873" s="3">
        <v>61.453699999999998</v>
      </c>
      <c r="I1873" t="s">
        <v>464</v>
      </c>
      <c r="J1873" t="s">
        <v>14166</v>
      </c>
      <c r="L1873" t="s">
        <v>8125</v>
      </c>
      <c r="M1873" t="str">
        <f>"https://www.artic.edu/iiif/2/"&amp;Table9[[#This Row],[Image ID]]&amp;"/full/843,/0/default.jpg"</f>
        <v>https://www.artic.edu/iiif/2/e670c806-e68d-ae6e-588a-f09ef483d124/full/843,/0/default.jpg</v>
      </c>
      <c r="N1873" s="3">
        <v>0.67500000000000004</v>
      </c>
      <c r="O1873" s="3">
        <v>2.5000000000000001E-2</v>
      </c>
      <c r="P1873" s="3">
        <v>0.65</v>
      </c>
      <c r="Q1873" s="3">
        <v>0.74986302852630604</v>
      </c>
    </row>
    <row r="1874" spans="1:17" x14ac:dyDescent="0.45">
      <c r="A1874" s="3">
        <v>117774</v>
      </c>
      <c r="B1874" t="b">
        <v>0</v>
      </c>
      <c r="C1874" t="b">
        <v>0</v>
      </c>
      <c r="D1874" s="3">
        <v>1979</v>
      </c>
      <c r="E1874" s="3">
        <v>1979</v>
      </c>
      <c r="F1874" t="s">
        <v>2430</v>
      </c>
      <c r="G1874" t="s">
        <v>2241</v>
      </c>
      <c r="H1874" s="3">
        <v>38.479500000000002</v>
      </c>
      <c r="I1874" t="s">
        <v>2431</v>
      </c>
      <c r="J1874" t="s">
        <v>14169</v>
      </c>
      <c r="L1874" t="s">
        <v>2432</v>
      </c>
      <c r="M1874" t="str">
        <f>"https://www.artic.edu/iiif/2/"&amp;Table9[[#This Row],[Image ID]]&amp;"/full/843,/0/default.jpg"</f>
        <v>https://www.artic.edu/iiif/2/e6982bae-90aa-e5e5-d72c-2edab7e86b9f/full/843,/0/default.jpg</v>
      </c>
      <c r="N1874" s="3">
        <v>0.72499999999999998</v>
      </c>
      <c r="O1874" s="3">
        <v>7.4999999999999997E-2</v>
      </c>
      <c r="P1874" s="3">
        <v>0.65</v>
      </c>
      <c r="Q1874" s="3">
        <v>0.75354897975921598</v>
      </c>
    </row>
    <row r="1875" spans="1:17" x14ac:dyDescent="0.45">
      <c r="A1875" s="3">
        <v>195460</v>
      </c>
      <c r="B1875" t="b">
        <v>0</v>
      </c>
      <c r="C1875" t="b">
        <v>0</v>
      </c>
      <c r="D1875" s="3">
        <v>2004</v>
      </c>
      <c r="E1875" s="3">
        <v>2004</v>
      </c>
      <c r="F1875" t="s">
        <v>5252</v>
      </c>
      <c r="G1875" t="s">
        <v>4705</v>
      </c>
      <c r="H1875" s="3">
        <v>19.467600000000001</v>
      </c>
      <c r="I1875" t="s">
        <v>5253</v>
      </c>
      <c r="J1875" t="s">
        <v>14183</v>
      </c>
      <c r="K1875" s="5" t="s">
        <v>15</v>
      </c>
      <c r="L1875" t="s">
        <v>5254</v>
      </c>
      <c r="M1875" t="str">
        <f>"https://www.artic.edu/iiif/2/"&amp;Table9[[#This Row],[Image ID]]&amp;"/full/843,/0/default.jpg"</f>
        <v>https://www.artic.edu/iiif/2/e7a15388-9af3-8703-ca30-33f3863e6b54/full/843,/0/default.jpg</v>
      </c>
      <c r="N1875" s="3">
        <v>0.72499999999999998</v>
      </c>
      <c r="O1875" s="3">
        <v>7.4999999999999997E-2</v>
      </c>
      <c r="P1875" s="3">
        <v>0.65</v>
      </c>
      <c r="Q1875" s="3">
        <v>0.82785797119140603</v>
      </c>
    </row>
    <row r="1876" spans="1:17" x14ac:dyDescent="0.45">
      <c r="A1876" s="3">
        <v>205548</v>
      </c>
      <c r="B1876" t="b">
        <v>0</v>
      </c>
      <c r="C1876" t="b">
        <v>0</v>
      </c>
      <c r="D1876" s="3">
        <v>1965</v>
      </c>
      <c r="E1876" s="3">
        <v>1965</v>
      </c>
      <c r="F1876" t="s">
        <v>5469</v>
      </c>
      <c r="G1876" t="s">
        <v>59</v>
      </c>
      <c r="H1876" s="3">
        <v>109.4093</v>
      </c>
      <c r="I1876" t="s">
        <v>5186</v>
      </c>
      <c r="J1876" t="s">
        <v>14303</v>
      </c>
      <c r="L1876" t="s">
        <v>5470</v>
      </c>
      <c r="M1876" t="str">
        <f>"https://www.artic.edu/iiif/2/"&amp;Table9[[#This Row],[Image ID]]&amp;"/full/843,/0/default.jpg"</f>
        <v>https://www.artic.edu/iiif/2/ef7071f3-a422-aee9-b3c9-67425d4833df/full/843,/0/default.jpg</v>
      </c>
      <c r="N1876" s="3">
        <v>0.75</v>
      </c>
      <c r="O1876" s="3">
        <v>0.1</v>
      </c>
      <c r="P1876" s="3">
        <v>0.65</v>
      </c>
      <c r="Q1876" s="3">
        <v>0.89131790399551303</v>
      </c>
    </row>
    <row r="1877" spans="1:17" x14ac:dyDescent="0.45">
      <c r="A1877" s="3">
        <v>217365</v>
      </c>
      <c r="B1877" t="b">
        <v>0</v>
      </c>
      <c r="C1877" t="b">
        <v>0</v>
      </c>
      <c r="D1877" s="3">
        <v>2012</v>
      </c>
      <c r="E1877" s="3">
        <v>2012</v>
      </c>
      <c r="F1877" t="s">
        <v>5678</v>
      </c>
      <c r="G1877" t="s">
        <v>5679</v>
      </c>
      <c r="H1877" s="3">
        <v>106.2953</v>
      </c>
      <c r="I1877" t="s">
        <v>5680</v>
      </c>
      <c r="J1877" t="s">
        <v>14449</v>
      </c>
      <c r="K1877" s="5" t="s">
        <v>15</v>
      </c>
      <c r="L1877" t="s">
        <v>5681</v>
      </c>
      <c r="M1877" t="str">
        <f>"https://www.artic.edu/iiif/2/"&amp;Table9[[#This Row],[Image ID]]&amp;"/full/843,/0/default.jpg"</f>
        <v>https://www.artic.edu/iiif/2/f9d41d25-619e-1ae6-1cbc-ea56c858cc4d/full/843,/0/default.jpg</v>
      </c>
      <c r="N1877" s="3">
        <v>0.75</v>
      </c>
      <c r="O1877" s="3">
        <v>0.1</v>
      </c>
      <c r="P1877" s="3">
        <v>0.65</v>
      </c>
      <c r="Q1877" s="3">
        <v>0.92943006753921498</v>
      </c>
    </row>
    <row r="1878" spans="1:17" x14ac:dyDescent="0.45">
      <c r="A1878" s="3">
        <v>62312</v>
      </c>
      <c r="B1878" t="b">
        <v>0</v>
      </c>
      <c r="C1878" t="b">
        <v>0</v>
      </c>
      <c r="D1878" s="3">
        <v>1940</v>
      </c>
      <c r="E1878" s="3">
        <v>1940</v>
      </c>
      <c r="F1878" t="s">
        <v>336</v>
      </c>
      <c r="G1878" t="s">
        <v>2534</v>
      </c>
      <c r="H1878" s="3">
        <v>40.064300000000003</v>
      </c>
      <c r="I1878" t="s">
        <v>1</v>
      </c>
      <c r="J1878" t="s">
        <v>14457</v>
      </c>
      <c r="K1878" s="5" t="s">
        <v>2</v>
      </c>
      <c r="L1878" t="s">
        <v>8884</v>
      </c>
      <c r="M1878" t="str">
        <f>"https://www.artic.edu/iiif/2/"&amp;Table9[[#This Row],[Image ID]]&amp;"/full/843,/0/default.jpg"</f>
        <v>https://www.artic.edu/iiif/2/fa5d0591-d4d5-2a96-fa6d-5c12d2745ccc/full/843,/0/default.jpg</v>
      </c>
      <c r="N1878" s="3">
        <v>0.75</v>
      </c>
      <c r="O1878" s="3">
        <v>0.1</v>
      </c>
      <c r="P1878" s="3">
        <v>0.65</v>
      </c>
      <c r="Q1878" s="3">
        <v>0.69308143854141202</v>
      </c>
    </row>
    <row r="1879" spans="1:17" x14ac:dyDescent="0.45">
      <c r="A1879" s="3">
        <v>8000</v>
      </c>
      <c r="B1879" t="b">
        <v>0</v>
      </c>
      <c r="C1879" t="b">
        <v>0</v>
      </c>
      <c r="D1879" s="3">
        <v>1910</v>
      </c>
      <c r="E1879" s="3">
        <v>1910</v>
      </c>
      <c r="F1879" t="s">
        <v>14</v>
      </c>
      <c r="G1879" t="s">
        <v>7</v>
      </c>
      <c r="H1879" s="3">
        <v>34.385399999999997</v>
      </c>
      <c r="I1879" t="s">
        <v>9926</v>
      </c>
      <c r="J1879" t="s">
        <v>14472</v>
      </c>
      <c r="L1879" t="s">
        <v>9927</v>
      </c>
      <c r="M1879" t="str">
        <f>"https://www.artic.edu/iiif/2/"&amp;Table9[[#This Row],[Image ID]]&amp;"/full/843,/0/default.jpg"</f>
        <v>https://www.artic.edu/iiif/2/fb6f4e09-9bf8-3cd5-ad25-c913e4d0fb05/full/843,/0/default.jpg</v>
      </c>
      <c r="N1879" s="3">
        <v>0.75</v>
      </c>
      <c r="O1879" s="3">
        <v>0.1</v>
      </c>
      <c r="P1879" s="3">
        <v>0.65</v>
      </c>
      <c r="Q1879" s="3">
        <v>0.84834331274032504</v>
      </c>
    </row>
    <row r="1880" spans="1:17" x14ac:dyDescent="0.45">
      <c r="A1880" s="3">
        <v>110988</v>
      </c>
      <c r="B1880" t="b">
        <v>0</v>
      </c>
      <c r="C1880" t="b">
        <v>0</v>
      </c>
      <c r="D1880" s="3">
        <v>1880</v>
      </c>
      <c r="E1880" s="3">
        <v>1940</v>
      </c>
      <c r="F1880" t="s">
        <v>990</v>
      </c>
      <c r="G1880" t="s">
        <v>991</v>
      </c>
      <c r="H1880" s="3">
        <v>38.957099999999997</v>
      </c>
      <c r="I1880" t="s">
        <v>14637</v>
      </c>
      <c r="J1880" t="s">
        <v>14491</v>
      </c>
      <c r="L1880" t="s">
        <v>992</v>
      </c>
      <c r="M1880" t="str">
        <f>"https://www.artic.edu/iiif/2/"&amp;Table9[[#This Row],[Image ID]]&amp;"/full/843,/0/default.jpg"</f>
        <v>https://www.artic.edu/iiif/2/fca190bd-41b6-c916-992d-2fb3efe0bb03/full/843,/0/default.jpg</v>
      </c>
      <c r="N1880" s="3">
        <v>0.72499999999999998</v>
      </c>
      <c r="O1880" s="3">
        <v>7.4999999999999997E-2</v>
      </c>
      <c r="P1880" s="3">
        <v>0.65</v>
      </c>
      <c r="Q1880" s="3">
        <v>0.807284295558929</v>
      </c>
    </row>
    <row r="1881" spans="1:17" x14ac:dyDescent="0.45">
      <c r="A1881" s="3">
        <v>80889</v>
      </c>
      <c r="B1881" t="b">
        <v>0</v>
      </c>
      <c r="C1881" t="b">
        <v>0</v>
      </c>
      <c r="D1881" s="3">
        <v>1860</v>
      </c>
      <c r="E1881" s="3">
        <v>1917</v>
      </c>
      <c r="F1881" t="s">
        <v>10047</v>
      </c>
      <c r="G1881" t="s">
        <v>10048</v>
      </c>
      <c r="H1881" s="3">
        <v>13.296900000000001</v>
      </c>
      <c r="I1881" t="s">
        <v>68</v>
      </c>
      <c r="J1881" t="s">
        <v>13986</v>
      </c>
      <c r="L1881" t="s">
        <v>10049</v>
      </c>
      <c r="M1881" t="str">
        <f>"https://www.artic.edu/iiif/2/"&amp;Table9[[#This Row],[Image ID]]&amp;"/full/843,/0/default.jpg"</f>
        <v>https://www.artic.edu/iiif/2/fe7d0c7b-3dbc-5c75-fe6d-898354859ca6/full/843,/0/default.jpg</v>
      </c>
      <c r="N1881" s="3">
        <v>0.72499999999999998</v>
      </c>
      <c r="O1881" s="3">
        <v>7.4999999999999997E-2</v>
      </c>
      <c r="P1881" s="3">
        <v>0.65</v>
      </c>
      <c r="Q1881" s="3">
        <v>0.869992315769195</v>
      </c>
    </row>
    <row r="1882" spans="1:17" x14ac:dyDescent="0.45">
      <c r="A1882" s="3">
        <v>59874</v>
      </c>
      <c r="B1882" t="b">
        <v>0</v>
      </c>
      <c r="C1882" t="b">
        <v>1</v>
      </c>
      <c r="D1882" s="3">
        <v>1550</v>
      </c>
      <c r="E1882" s="3">
        <v>1575</v>
      </c>
      <c r="F1882" t="s">
        <v>904</v>
      </c>
      <c r="G1882" t="s">
        <v>75</v>
      </c>
      <c r="H1882" s="3">
        <v>25.414300000000001</v>
      </c>
      <c r="I1882" t="s">
        <v>8612</v>
      </c>
      <c r="J1882" t="s">
        <v>10981</v>
      </c>
      <c r="L1882" t="s">
        <v>8613</v>
      </c>
      <c r="M1882" t="str">
        <f>"https://www.artic.edu/iiif/2/"&amp;Table9[[#This Row],[Image ID]]&amp;"/full/843,/0/default.jpg"</f>
        <v>https://www.artic.edu/iiif/2/00ca7b9d-5cf8-6e05-aea6-bf10ae13e393/full/843,/0/default.jpg</v>
      </c>
      <c r="N1882" s="3">
        <v>0.8</v>
      </c>
      <c r="O1882" s="3">
        <v>0.15</v>
      </c>
      <c r="P1882" s="3">
        <v>0.65</v>
      </c>
      <c r="Q1882" s="3">
        <v>0.75432711839675903</v>
      </c>
    </row>
    <row r="1883" spans="1:17" x14ac:dyDescent="0.45">
      <c r="A1883" s="3">
        <v>137123</v>
      </c>
      <c r="B1883" t="b">
        <v>0</v>
      </c>
      <c r="C1883" t="b">
        <v>1</v>
      </c>
      <c r="D1883" s="3">
        <v>1893</v>
      </c>
      <c r="E1883" s="3">
        <v>1893</v>
      </c>
      <c r="F1883" t="s">
        <v>3186</v>
      </c>
      <c r="G1883" t="s">
        <v>3187</v>
      </c>
      <c r="H1883" s="3">
        <v>26.958300000000001</v>
      </c>
      <c r="I1883" t="s">
        <v>872</v>
      </c>
      <c r="J1883" t="s">
        <v>10991</v>
      </c>
      <c r="L1883" t="s">
        <v>3188</v>
      </c>
      <c r="M1883" t="str">
        <f>"https://www.artic.edu/iiif/2/"&amp;Table9[[#This Row],[Image ID]]&amp;"/full/843,/0/default.jpg"</f>
        <v>https://www.artic.edu/iiif/2/015dcb17-5235-2b64-871a-9fdc309b913d/full/843,/0/default.jpg</v>
      </c>
      <c r="N1883" s="3">
        <v>0.72499999999999998</v>
      </c>
      <c r="O1883" s="3">
        <v>7.4999999999999997E-2</v>
      </c>
      <c r="P1883" s="3">
        <v>0.65</v>
      </c>
      <c r="Q1883" s="3">
        <v>0.86712902784347501</v>
      </c>
    </row>
    <row r="1884" spans="1:17" x14ac:dyDescent="0.45">
      <c r="A1884" s="3">
        <v>117477</v>
      </c>
      <c r="B1884" t="b">
        <v>0</v>
      </c>
      <c r="C1884" t="b">
        <v>1</v>
      </c>
      <c r="D1884" s="3">
        <v>1870</v>
      </c>
      <c r="E1884" s="3">
        <v>1880</v>
      </c>
      <c r="F1884" t="s">
        <v>2332</v>
      </c>
      <c r="G1884" t="s">
        <v>7</v>
      </c>
      <c r="H1884" s="3">
        <v>33.385899999999999</v>
      </c>
      <c r="I1884" t="s">
        <v>14666</v>
      </c>
      <c r="J1884" t="s">
        <v>11021</v>
      </c>
      <c r="L1884" t="s">
        <v>2333</v>
      </c>
      <c r="M1884" t="str">
        <f>"https://www.artic.edu/iiif/2/"&amp;Table9[[#This Row],[Image ID]]&amp;"/full/843,/0/default.jpg"</f>
        <v>https://www.artic.edu/iiif/2/035e8677-22c5-d349-d2a3-7a820e4f880d/full/843,/0/default.jpg</v>
      </c>
      <c r="N1884" s="3">
        <v>0.75</v>
      </c>
      <c r="O1884" s="3">
        <v>0.1</v>
      </c>
      <c r="P1884" s="3">
        <v>0.65</v>
      </c>
      <c r="Q1884" s="3">
        <v>0.79018026590347201</v>
      </c>
    </row>
    <row r="1885" spans="1:17" x14ac:dyDescent="0.45">
      <c r="A1885" s="3">
        <v>217683</v>
      </c>
      <c r="B1885" t="b">
        <v>0</v>
      </c>
      <c r="C1885" t="b">
        <v>1</v>
      </c>
      <c r="D1885" s="3">
        <v>1895</v>
      </c>
      <c r="E1885" s="3">
        <v>1896</v>
      </c>
      <c r="F1885" t="s">
        <v>5734</v>
      </c>
      <c r="G1885" t="s">
        <v>3028</v>
      </c>
      <c r="H1885" s="3">
        <v>20.939800000000002</v>
      </c>
      <c r="I1885" t="s">
        <v>5727</v>
      </c>
      <c r="J1885" t="s">
        <v>11026</v>
      </c>
      <c r="K1885" s="5" t="s">
        <v>130</v>
      </c>
      <c r="L1885" t="s">
        <v>5736</v>
      </c>
      <c r="M1885" t="str">
        <f>"https://www.artic.edu/iiif/2/"&amp;Table9[[#This Row],[Image ID]]&amp;"/full/843,/0/default.jpg"</f>
        <v>https://www.artic.edu/iiif/2/039e38ae-2244-6da0-f0fa-78c7b63d5b99/full/843,/0/default.jpg</v>
      </c>
      <c r="N1885" s="3">
        <v>0.72499999999999998</v>
      </c>
      <c r="O1885" s="3">
        <v>7.4999999999999997E-2</v>
      </c>
      <c r="P1885" s="3">
        <v>0.65</v>
      </c>
      <c r="Q1885" s="3">
        <v>0.73581975698471003</v>
      </c>
    </row>
    <row r="1886" spans="1:17" x14ac:dyDescent="0.45">
      <c r="A1886" s="3">
        <v>84527</v>
      </c>
      <c r="B1886" t="b">
        <v>0</v>
      </c>
      <c r="C1886" t="b">
        <v>1</v>
      </c>
      <c r="D1886" s="3">
        <v>1790</v>
      </c>
      <c r="E1886" s="3">
        <v>1827</v>
      </c>
      <c r="F1886" t="s">
        <v>10289</v>
      </c>
      <c r="G1886" t="s">
        <v>10290</v>
      </c>
      <c r="H1886" s="3">
        <v>18.860499999999998</v>
      </c>
      <c r="I1886" t="s">
        <v>1266</v>
      </c>
      <c r="J1886" t="s">
        <v>11058</v>
      </c>
      <c r="L1886" t="s">
        <v>10291</v>
      </c>
      <c r="M1886" t="str">
        <f>"https://www.artic.edu/iiif/2/"&amp;Table9[[#This Row],[Image ID]]&amp;"/full/843,/0/default.jpg"</f>
        <v>https://www.artic.edu/iiif/2/05b411d2-8ed9-b07c-cb49-c04665b373b5/full/843,/0/default.jpg</v>
      </c>
      <c r="N1886" s="3">
        <v>0.72499999999999998</v>
      </c>
      <c r="O1886" s="3">
        <v>7.4999999999999997E-2</v>
      </c>
      <c r="P1886" s="3">
        <v>0.65</v>
      </c>
      <c r="Q1886" s="3">
        <v>0.66556698083877497</v>
      </c>
    </row>
    <row r="1887" spans="1:17" x14ac:dyDescent="0.45">
      <c r="A1887" s="3">
        <v>4749</v>
      </c>
      <c r="B1887" t="b">
        <v>0</v>
      </c>
      <c r="C1887" t="b">
        <v>1</v>
      </c>
      <c r="D1887" s="3">
        <v>1897</v>
      </c>
      <c r="E1887" s="3">
        <v>1897</v>
      </c>
      <c r="F1887" t="s">
        <v>7951</v>
      </c>
      <c r="G1887" t="s">
        <v>7</v>
      </c>
      <c r="H1887" s="3">
        <v>21.381900000000002</v>
      </c>
      <c r="I1887" t="s">
        <v>934</v>
      </c>
      <c r="J1887" t="s">
        <v>11072</v>
      </c>
      <c r="K1887" s="5" t="s">
        <v>9</v>
      </c>
      <c r="L1887" t="s">
        <v>7952</v>
      </c>
      <c r="M1887" t="str">
        <f>"https://www.artic.edu/iiif/2/"&amp;Table9[[#This Row],[Image ID]]&amp;"/full/843,/0/default.jpg"</f>
        <v>https://www.artic.edu/iiif/2/074c1b1b-fe92-01ce-9e62-cc99369142dd/full/843,/0/default.jpg</v>
      </c>
      <c r="N1887" s="3">
        <v>0.75</v>
      </c>
      <c r="O1887" s="3">
        <v>0.1</v>
      </c>
      <c r="P1887" s="3">
        <v>0.65</v>
      </c>
      <c r="Q1887" s="3">
        <v>0.86545288562774603</v>
      </c>
    </row>
    <row r="1888" spans="1:17" x14ac:dyDescent="0.45">
      <c r="A1888" s="3">
        <v>16367</v>
      </c>
      <c r="B1888" t="b">
        <v>0</v>
      </c>
      <c r="C1888" t="b">
        <v>1</v>
      </c>
      <c r="D1888" s="3">
        <v>1802</v>
      </c>
      <c r="E1888" s="3">
        <v>1812</v>
      </c>
      <c r="F1888" t="s">
        <v>4393</v>
      </c>
      <c r="G1888" t="s">
        <v>7</v>
      </c>
      <c r="H1888" s="3">
        <v>16.523599999999998</v>
      </c>
      <c r="I1888" t="s">
        <v>14559</v>
      </c>
      <c r="J1888" t="s">
        <v>11195</v>
      </c>
      <c r="L1888" t="s">
        <v>4394</v>
      </c>
      <c r="M1888" t="str">
        <f>"https://www.artic.edu/iiif/2/"&amp;Table9[[#This Row],[Image ID]]&amp;"/full/843,/0/default.jpg"</f>
        <v>https://www.artic.edu/iiif/2/10fccebf-c9ee-4c52-1bbc-88112a78d695/full/843,/0/default.jpg</v>
      </c>
      <c r="N1888" s="3">
        <v>0.77500000000000002</v>
      </c>
      <c r="O1888" s="3">
        <v>0.125</v>
      </c>
      <c r="P1888" s="3">
        <v>0.65</v>
      </c>
      <c r="Q1888" s="3">
        <v>0.82518470287322998</v>
      </c>
    </row>
    <row r="1889" spans="1:17" x14ac:dyDescent="0.45">
      <c r="A1889" s="3">
        <v>217698</v>
      </c>
      <c r="B1889" t="b">
        <v>0</v>
      </c>
      <c r="C1889" t="b">
        <v>1</v>
      </c>
      <c r="D1889" s="3">
        <v>1895</v>
      </c>
      <c r="E1889" s="3">
        <v>1896</v>
      </c>
      <c r="F1889" t="s">
        <v>5734</v>
      </c>
      <c r="G1889" t="s">
        <v>3028</v>
      </c>
      <c r="H1889" s="3">
        <v>18.620799999999999</v>
      </c>
      <c r="I1889" t="s">
        <v>5727</v>
      </c>
      <c r="J1889" t="s">
        <v>11026</v>
      </c>
      <c r="K1889" s="5" t="s">
        <v>130</v>
      </c>
      <c r="L1889" t="s">
        <v>5740</v>
      </c>
      <c r="M1889" t="str">
        <f>"https://www.artic.edu/iiif/2/"&amp;Table9[[#This Row],[Image ID]]&amp;"/full/843,/0/default.jpg"</f>
        <v>https://www.artic.edu/iiif/2/12d5b271-863a-2072-3c2c-b70954e4c98a/full/843,/0/default.jpg</v>
      </c>
      <c r="N1889" s="3">
        <v>0.72499999999999998</v>
      </c>
      <c r="O1889" s="3">
        <v>7.4999999999999997E-2</v>
      </c>
      <c r="P1889" s="3">
        <v>0.65</v>
      </c>
      <c r="Q1889" s="3">
        <v>0.79152125120162897</v>
      </c>
    </row>
    <row r="1890" spans="1:17" x14ac:dyDescent="0.45">
      <c r="A1890" s="3">
        <v>15406</v>
      </c>
      <c r="B1890" t="b">
        <v>0</v>
      </c>
      <c r="C1890" t="b">
        <v>1</v>
      </c>
      <c r="D1890" s="3">
        <v>1845</v>
      </c>
      <c r="E1890" s="3">
        <v>1855</v>
      </c>
      <c r="F1890" t="s">
        <v>3975</v>
      </c>
      <c r="G1890" t="s">
        <v>75</v>
      </c>
      <c r="H1890" s="3">
        <v>21.599299999999999</v>
      </c>
      <c r="I1890" t="s">
        <v>14551</v>
      </c>
      <c r="J1890" t="s">
        <v>11243</v>
      </c>
      <c r="L1890" t="s">
        <v>3976</v>
      </c>
      <c r="M1890" t="str">
        <f>"https://www.artic.edu/iiif/2/"&amp;Table9[[#This Row],[Image ID]]&amp;"/full/843,/0/default.jpg"</f>
        <v>https://www.artic.edu/iiif/2/13b26391-274d-32c3-f2d2-2493b7dd8fbe/full/843,/0/default.jpg</v>
      </c>
      <c r="N1890" s="3">
        <v>0.72499999999999998</v>
      </c>
      <c r="O1890" s="3">
        <v>7.4999999999999997E-2</v>
      </c>
      <c r="P1890" s="3">
        <v>0.65</v>
      </c>
      <c r="Q1890" s="3">
        <v>0.60044634342193604</v>
      </c>
    </row>
    <row r="1891" spans="1:17" x14ac:dyDescent="0.45">
      <c r="A1891" s="3">
        <v>107862</v>
      </c>
      <c r="B1891" t="b">
        <v>0</v>
      </c>
      <c r="C1891" t="b">
        <v>1</v>
      </c>
      <c r="D1891" s="3">
        <v>1901</v>
      </c>
      <c r="E1891" s="3">
        <v>1901</v>
      </c>
      <c r="F1891" t="s">
        <v>705</v>
      </c>
      <c r="G1891" t="s">
        <v>7</v>
      </c>
      <c r="H1891" s="3">
        <v>43.260599999999997</v>
      </c>
      <c r="I1891" t="s">
        <v>510</v>
      </c>
      <c r="J1891" t="s">
        <v>11290</v>
      </c>
      <c r="K1891" s="5" t="s">
        <v>9</v>
      </c>
      <c r="L1891" t="s">
        <v>706</v>
      </c>
      <c r="M1891" t="str">
        <f>"https://www.artic.edu/iiif/2/"&amp;Table9[[#This Row],[Image ID]]&amp;"/full/843,/0/default.jpg"</f>
        <v>https://www.artic.edu/iiif/2/16facedd-c8c3-fbfc-a854-23c2d710a889/full/843,/0/default.jpg</v>
      </c>
      <c r="N1891" s="3">
        <v>0.72499999999999998</v>
      </c>
      <c r="O1891" s="3">
        <v>7.4999999999999997E-2</v>
      </c>
      <c r="P1891" s="3">
        <v>0.65</v>
      </c>
      <c r="Q1891" s="3">
        <v>0.53141045570373502</v>
      </c>
    </row>
    <row r="1892" spans="1:17" x14ac:dyDescent="0.45">
      <c r="A1892" s="3">
        <v>37743</v>
      </c>
      <c r="B1892" t="b">
        <v>0</v>
      </c>
      <c r="C1892" t="b">
        <v>1</v>
      </c>
      <c r="D1892" s="3">
        <v>1615</v>
      </c>
      <c r="E1892" s="3">
        <v>1625</v>
      </c>
      <c r="F1892" t="s">
        <v>1059</v>
      </c>
      <c r="G1892" t="s">
        <v>512</v>
      </c>
      <c r="H1892" s="3">
        <v>37.485900000000001</v>
      </c>
      <c r="I1892" t="s">
        <v>7274</v>
      </c>
      <c r="J1892" t="s">
        <v>11305</v>
      </c>
      <c r="L1892" t="s">
        <v>7275</v>
      </c>
      <c r="M1892" t="str">
        <f>"https://www.artic.edu/iiif/2/"&amp;Table9[[#This Row],[Image ID]]&amp;"/full/843,/0/default.jpg"</f>
        <v>https://www.artic.edu/iiif/2/1865cfaa-51b3-8916-56eb-6b57cf95c772/full/843,/0/default.jpg</v>
      </c>
      <c r="N1892" s="3">
        <v>0.77500000000000002</v>
      </c>
      <c r="O1892" s="3">
        <v>0.125</v>
      </c>
      <c r="P1892" s="3">
        <v>0.65</v>
      </c>
      <c r="Q1892" s="3">
        <v>0.75852084159850997</v>
      </c>
    </row>
    <row r="1893" spans="1:17" x14ac:dyDescent="0.45">
      <c r="A1893" s="3">
        <v>16223</v>
      </c>
      <c r="B1893" t="b">
        <v>0</v>
      </c>
      <c r="C1893" t="b">
        <v>1</v>
      </c>
      <c r="D1893" s="3">
        <v>1495</v>
      </c>
      <c r="E1893" s="3">
        <v>1505</v>
      </c>
      <c r="F1893" t="s">
        <v>4315</v>
      </c>
      <c r="G1893" t="s">
        <v>103</v>
      </c>
      <c r="H1893" s="3">
        <v>52.6721</v>
      </c>
      <c r="I1893" t="s">
        <v>4313</v>
      </c>
      <c r="J1893" t="s">
        <v>11329</v>
      </c>
      <c r="L1893" t="s">
        <v>4316</v>
      </c>
      <c r="M1893" t="str">
        <f>"https://www.artic.edu/iiif/2/"&amp;Table9[[#This Row],[Image ID]]&amp;"/full/843,/0/default.jpg"</f>
        <v>https://www.artic.edu/iiif/2/19cf5f83-6040-407e-992e-95a71374550f/full/843,/0/default.jpg</v>
      </c>
      <c r="N1893" s="3">
        <v>0.8</v>
      </c>
      <c r="O1893" s="3">
        <v>0.15</v>
      </c>
      <c r="P1893" s="3">
        <v>0.65</v>
      </c>
      <c r="Q1893" s="3">
        <v>0.72886067628860396</v>
      </c>
    </row>
    <row r="1894" spans="1:17" x14ac:dyDescent="0.45">
      <c r="A1894" s="3">
        <v>115144</v>
      </c>
      <c r="B1894" t="b">
        <v>0</v>
      </c>
      <c r="C1894" t="b">
        <v>1</v>
      </c>
      <c r="D1894" s="3">
        <v>1845</v>
      </c>
      <c r="E1894" s="3">
        <v>1845</v>
      </c>
      <c r="F1894" t="s">
        <v>1804</v>
      </c>
      <c r="G1894" t="s">
        <v>164</v>
      </c>
      <c r="H1894" s="3">
        <v>39.351199999999999</v>
      </c>
      <c r="I1894" t="s">
        <v>1555</v>
      </c>
      <c r="J1894" t="s">
        <v>11420</v>
      </c>
      <c r="L1894" t="s">
        <v>1805</v>
      </c>
      <c r="M1894" t="str">
        <f>"https://www.artic.edu/iiif/2/"&amp;Table9[[#This Row],[Image ID]]&amp;"/full/843,/0/default.jpg"</f>
        <v>https://www.artic.edu/iiif/2/1fa691a4-2cec-ceb7-bd63-8023d0fcdb07/full/843,/0/default.jpg</v>
      </c>
      <c r="N1894" s="3">
        <v>0.77500000000000002</v>
      </c>
      <c r="O1894" s="3">
        <v>0.125</v>
      </c>
      <c r="P1894" s="3">
        <v>0.65</v>
      </c>
      <c r="Q1894" s="3">
        <v>0.53546267747878995</v>
      </c>
    </row>
    <row r="1895" spans="1:17" x14ac:dyDescent="0.45">
      <c r="A1895" s="3">
        <v>115189</v>
      </c>
      <c r="B1895" t="b">
        <v>0</v>
      </c>
      <c r="C1895" t="b">
        <v>1</v>
      </c>
      <c r="D1895" s="3">
        <v>1835</v>
      </c>
      <c r="E1895" s="3">
        <v>1882</v>
      </c>
      <c r="F1895" t="s">
        <v>1824</v>
      </c>
      <c r="G1895" t="s">
        <v>1774</v>
      </c>
      <c r="H1895" s="3">
        <v>15.3238</v>
      </c>
      <c r="I1895" t="s">
        <v>1555</v>
      </c>
      <c r="J1895" t="s">
        <v>11447</v>
      </c>
      <c r="L1895" t="s">
        <v>1825</v>
      </c>
      <c r="M1895" t="str">
        <f>"https://www.artic.edu/iiif/2/"&amp;Table9[[#This Row],[Image ID]]&amp;"/full/843,/0/default.jpg"</f>
        <v>https://www.artic.edu/iiif/2/215d2aa4-7b56-745a-c31f-aa44e68cfd9c/full/843,/0/default.jpg</v>
      </c>
      <c r="N1895" s="3">
        <v>0.67500000000000004</v>
      </c>
      <c r="O1895" s="3">
        <v>2.5000000000000001E-2</v>
      </c>
      <c r="P1895" s="3">
        <v>0.65</v>
      </c>
      <c r="Q1895" s="3">
        <v>0.79064071178436202</v>
      </c>
    </row>
    <row r="1896" spans="1:17" x14ac:dyDescent="0.45">
      <c r="A1896" s="3">
        <v>66046</v>
      </c>
      <c r="B1896" t="b">
        <v>0</v>
      </c>
      <c r="C1896" t="b">
        <v>1</v>
      </c>
      <c r="D1896" s="3">
        <v>1725</v>
      </c>
      <c r="E1896" s="3">
        <v>1735</v>
      </c>
      <c r="F1896" t="s">
        <v>9179</v>
      </c>
      <c r="G1896" t="s">
        <v>7</v>
      </c>
      <c r="H1896" s="3">
        <v>15.566800000000001</v>
      </c>
      <c r="I1896" t="s">
        <v>1316</v>
      </c>
      <c r="J1896" t="s">
        <v>11458</v>
      </c>
      <c r="L1896" t="s">
        <v>9180</v>
      </c>
      <c r="M1896" t="str">
        <f>"https://www.artic.edu/iiif/2/"&amp;Table9[[#This Row],[Image ID]]&amp;"/full/843,/0/default.jpg"</f>
        <v>https://www.artic.edu/iiif/2/2202b9d5-7eaf-d6ec-b8fd-3873c8c2933e/full/843,/0/default.jpg</v>
      </c>
      <c r="N1896" s="3">
        <v>0.72499999999999998</v>
      </c>
      <c r="O1896" s="3">
        <v>7.4999999999999997E-2</v>
      </c>
      <c r="P1896" s="3">
        <v>0.65</v>
      </c>
      <c r="Q1896" s="3">
        <v>0.558812975883483</v>
      </c>
    </row>
    <row r="1897" spans="1:17" x14ac:dyDescent="0.45">
      <c r="A1897" s="3">
        <v>151900</v>
      </c>
      <c r="B1897" t="b">
        <v>0</v>
      </c>
      <c r="C1897" t="b">
        <v>1</v>
      </c>
      <c r="D1897" s="3">
        <v>1300</v>
      </c>
      <c r="E1897" s="3">
        <v>1500</v>
      </c>
      <c r="F1897" t="s">
        <v>3872</v>
      </c>
      <c r="G1897" t="s">
        <v>3873</v>
      </c>
      <c r="H1897" s="3">
        <v>47.429000000000002</v>
      </c>
      <c r="L1897" t="s">
        <v>3874</v>
      </c>
      <c r="M1897" t="str">
        <f>"https://www.artic.edu/iiif/2/"&amp;Table9[[#This Row],[Image ID]]&amp;"/full/843,/0/default.jpg"</f>
        <v>https://www.artic.edu/iiif/2/2292967d-7ba6-c25a-9a38-2a262bc47747/full/843,/0/default.jpg</v>
      </c>
      <c r="N1897" s="3">
        <v>0.75</v>
      </c>
      <c r="O1897" s="3">
        <v>0.1</v>
      </c>
      <c r="P1897" s="3">
        <v>0.65</v>
      </c>
      <c r="Q1897" s="3">
        <v>0.76601159572601296</v>
      </c>
    </row>
    <row r="1898" spans="1:17" x14ac:dyDescent="0.45">
      <c r="A1898" s="3">
        <v>95654</v>
      </c>
      <c r="B1898" t="b">
        <v>0</v>
      </c>
      <c r="C1898" t="b">
        <v>1</v>
      </c>
      <c r="D1898" s="3">
        <v>1879</v>
      </c>
      <c r="E1898" s="3">
        <v>1880</v>
      </c>
      <c r="F1898" t="s">
        <v>10775</v>
      </c>
      <c r="G1898" t="s">
        <v>7</v>
      </c>
      <c r="H1898" s="3">
        <v>33.0045</v>
      </c>
      <c r="I1898" t="s">
        <v>8</v>
      </c>
      <c r="J1898" t="s">
        <v>11536</v>
      </c>
      <c r="K1898" s="5" t="s">
        <v>9</v>
      </c>
      <c r="L1898" t="s">
        <v>10776</v>
      </c>
      <c r="M1898" t="str">
        <f>"https://www.artic.edu/iiif/2/"&amp;Table9[[#This Row],[Image ID]]&amp;"/full/843,/0/default.jpg"</f>
        <v>https://www.artic.edu/iiif/2/26e1c560-acca-3148-46dc-c144ac22bd3e/full/843,/0/default.jpg</v>
      </c>
      <c r="N1898" s="3">
        <v>0.72499999999999998</v>
      </c>
      <c r="O1898" s="3">
        <v>7.4999999999999997E-2</v>
      </c>
      <c r="P1898" s="3">
        <v>0.65</v>
      </c>
      <c r="Q1898" s="3">
        <v>0.69555079936981201</v>
      </c>
    </row>
    <row r="1899" spans="1:17" x14ac:dyDescent="0.45">
      <c r="A1899" s="3">
        <v>15717</v>
      </c>
      <c r="B1899" t="b">
        <v>0</v>
      </c>
      <c r="C1899" t="b">
        <v>1</v>
      </c>
      <c r="D1899" s="3">
        <v>1450</v>
      </c>
      <c r="E1899" s="3">
        <v>1487</v>
      </c>
      <c r="F1899" t="s">
        <v>4105</v>
      </c>
      <c r="G1899" t="s">
        <v>4102</v>
      </c>
      <c r="H1899" s="3">
        <v>60.213299999999997</v>
      </c>
      <c r="I1899" t="s">
        <v>4103</v>
      </c>
      <c r="J1899" t="s">
        <v>11647</v>
      </c>
      <c r="L1899" t="s">
        <v>4106</v>
      </c>
      <c r="M1899" t="str">
        <f>"https://www.artic.edu/iiif/2/"&amp;Table9[[#This Row],[Image ID]]&amp;"/full/843,/0/default.jpg"</f>
        <v>https://www.artic.edu/iiif/2/2e511440-57e2-83e6-593c-9b71390d233b/full/843,/0/default.jpg</v>
      </c>
      <c r="N1899" s="3">
        <v>0.67500000000000004</v>
      </c>
      <c r="O1899" s="3">
        <v>2.5000000000000001E-2</v>
      </c>
      <c r="P1899" s="3">
        <v>0.65</v>
      </c>
      <c r="Q1899" s="3">
        <v>0.77163451910018899</v>
      </c>
    </row>
    <row r="1900" spans="1:17" x14ac:dyDescent="0.45">
      <c r="A1900" s="3">
        <v>115696</v>
      </c>
      <c r="B1900" t="b">
        <v>0</v>
      </c>
      <c r="C1900" t="b">
        <v>1</v>
      </c>
      <c r="D1900" s="3">
        <v>1800</v>
      </c>
      <c r="E1900" s="3">
        <v>1899</v>
      </c>
      <c r="F1900" t="s">
        <v>2071</v>
      </c>
      <c r="G1900" t="s">
        <v>2072</v>
      </c>
      <c r="H1900" s="3">
        <v>24.238900000000001</v>
      </c>
      <c r="I1900" t="s">
        <v>2073</v>
      </c>
      <c r="J1900" t="s">
        <v>11692</v>
      </c>
      <c r="L1900" t="s">
        <v>2074</v>
      </c>
      <c r="M1900" t="str">
        <f>"https://www.artic.edu/iiif/2/"&amp;Table9[[#This Row],[Image ID]]&amp;"/full/843,/0/default.jpg"</f>
        <v>https://www.artic.edu/iiif/2/3127682f-ca2c-097a-fd5f-3c52d5a51f10/full/843,/0/default.jpg</v>
      </c>
      <c r="N1900" s="3">
        <v>0.72499999999999998</v>
      </c>
      <c r="O1900" s="3">
        <v>7.4999999999999997E-2</v>
      </c>
      <c r="P1900" s="3">
        <v>0.65</v>
      </c>
      <c r="Q1900" s="3">
        <v>0.50047296285629195</v>
      </c>
    </row>
    <row r="1901" spans="1:17" x14ac:dyDescent="0.45">
      <c r="A1901" s="3">
        <v>19605</v>
      </c>
      <c r="B1901" t="b">
        <v>0</v>
      </c>
      <c r="C1901" t="b">
        <v>1</v>
      </c>
      <c r="D1901" s="3">
        <v>1776</v>
      </c>
      <c r="E1901" s="3">
        <v>1827</v>
      </c>
      <c r="F1901" t="s">
        <v>5255</v>
      </c>
      <c r="G1901" t="s">
        <v>5256</v>
      </c>
      <c r="H1901" s="3">
        <v>31.747699999999998</v>
      </c>
      <c r="I1901" t="s">
        <v>1266</v>
      </c>
      <c r="J1901" t="s">
        <v>11726</v>
      </c>
      <c r="L1901" t="s">
        <v>5257</v>
      </c>
      <c r="M1901" t="str">
        <f>"https://www.artic.edu/iiif/2/"&amp;Table9[[#This Row],[Image ID]]&amp;"/full/843,/0/default.jpg"</f>
        <v>https://www.artic.edu/iiif/2/33b99a39-fe6f-e6f8-0803-15465aa58f19/full/843,/0/default.jpg</v>
      </c>
      <c r="N1901" s="3">
        <v>0.875</v>
      </c>
      <c r="O1901" s="3">
        <v>0.22500000000000001</v>
      </c>
      <c r="P1901" s="3">
        <v>0.65</v>
      </c>
      <c r="Q1901" s="3">
        <v>0.80553823709487904</v>
      </c>
    </row>
    <row r="1902" spans="1:17" x14ac:dyDescent="0.45">
      <c r="A1902" s="3">
        <v>111622</v>
      </c>
      <c r="B1902" t="b">
        <v>0</v>
      </c>
      <c r="C1902" t="b">
        <v>1</v>
      </c>
      <c r="D1902" s="3">
        <v>1482</v>
      </c>
      <c r="E1902" s="3">
        <v>1492</v>
      </c>
      <c r="F1902" t="s">
        <v>1153</v>
      </c>
      <c r="G1902" t="s">
        <v>103</v>
      </c>
      <c r="H1902" s="3">
        <v>43.259700000000002</v>
      </c>
      <c r="I1902" t="s">
        <v>1154</v>
      </c>
      <c r="J1902" t="s">
        <v>11752</v>
      </c>
      <c r="L1902" t="s">
        <v>1155</v>
      </c>
      <c r="M1902" t="str">
        <f>"https://www.artic.edu/iiif/2/"&amp;Table9[[#This Row],[Image ID]]&amp;"/full/843,/0/default.jpg"</f>
        <v>https://www.artic.edu/iiif/2/35afa43f-bdb5-06b8-81c5-416927ffe8ee/full/843,/0/default.jpg</v>
      </c>
      <c r="N1902" s="3">
        <v>0.77500000000000002</v>
      </c>
      <c r="O1902" s="3">
        <v>0.125</v>
      </c>
      <c r="P1902" s="3">
        <v>0.65</v>
      </c>
      <c r="Q1902" s="3">
        <v>0.72544068098068204</v>
      </c>
    </row>
    <row r="1903" spans="1:17" x14ac:dyDescent="0.45">
      <c r="A1903" s="3">
        <v>235546</v>
      </c>
      <c r="B1903" t="b">
        <v>0</v>
      </c>
      <c r="C1903" t="b">
        <v>1</v>
      </c>
      <c r="D1903" s="3">
        <v>1425</v>
      </c>
      <c r="E1903" s="3">
        <v>1435</v>
      </c>
      <c r="F1903" t="s">
        <v>6236</v>
      </c>
      <c r="G1903" t="s">
        <v>6237</v>
      </c>
      <c r="H1903" s="3">
        <v>50.445399999999999</v>
      </c>
      <c r="J1903" t="s">
        <v>11797</v>
      </c>
      <c r="K1903" s="5" t="s">
        <v>278</v>
      </c>
      <c r="L1903" t="s">
        <v>6238</v>
      </c>
      <c r="M1903" t="str">
        <f>"https://www.artic.edu/iiif/2/"&amp;Table9[[#This Row],[Image ID]]&amp;"/full/843,/0/default.jpg"</f>
        <v>https://www.artic.edu/iiif/2/38ba2c48-0beb-0c33-a8ec-087e88c6b5aa/full/843,/0/default.jpg</v>
      </c>
      <c r="N1903" s="3">
        <v>0.75</v>
      </c>
      <c r="O1903" s="3">
        <v>0.1</v>
      </c>
      <c r="P1903" s="3">
        <v>0.65</v>
      </c>
      <c r="Q1903" s="3">
        <v>0.77634340524673395</v>
      </c>
    </row>
    <row r="1904" spans="1:17" x14ac:dyDescent="0.45">
      <c r="A1904" s="3">
        <v>16648</v>
      </c>
      <c r="B1904" t="b">
        <v>0</v>
      </c>
      <c r="C1904" t="b">
        <v>1</v>
      </c>
      <c r="D1904" s="3">
        <v>1890</v>
      </c>
      <c r="E1904" s="3">
        <v>1890</v>
      </c>
      <c r="F1904" t="s">
        <v>14573</v>
      </c>
      <c r="G1904" t="s">
        <v>3958</v>
      </c>
      <c r="H1904" s="3">
        <v>27.1221</v>
      </c>
      <c r="I1904" t="s">
        <v>872</v>
      </c>
      <c r="J1904" t="s">
        <v>11802</v>
      </c>
      <c r="K1904" s="5" t="s">
        <v>115</v>
      </c>
      <c r="L1904" t="s">
        <v>4517</v>
      </c>
      <c r="M1904" t="str">
        <f>"https://www.artic.edu/iiif/2/"&amp;Table9[[#This Row],[Image ID]]&amp;"/full/843,/0/default.jpg"</f>
        <v>https://www.artic.edu/iiif/2/38f866cb-9000-de5a-e655-d3fb4d8dc056/full/843,/0/default.jpg</v>
      </c>
      <c r="N1904" s="3">
        <v>0.77500000000000002</v>
      </c>
      <c r="O1904" s="3">
        <v>0.125</v>
      </c>
      <c r="P1904" s="3">
        <v>0.65</v>
      </c>
      <c r="Q1904" s="3">
        <v>0.89167517423629705</v>
      </c>
    </row>
    <row r="1905" spans="1:17" x14ac:dyDescent="0.45">
      <c r="A1905" s="3">
        <v>68792</v>
      </c>
      <c r="B1905" t="b">
        <v>0</v>
      </c>
      <c r="C1905" t="b">
        <v>1</v>
      </c>
      <c r="D1905" s="3">
        <v>1874</v>
      </c>
      <c r="E1905" s="3">
        <v>1875</v>
      </c>
      <c r="F1905" t="s">
        <v>9370</v>
      </c>
      <c r="G1905" t="s">
        <v>7</v>
      </c>
      <c r="H1905" s="3">
        <v>22.4694</v>
      </c>
      <c r="I1905" t="s">
        <v>908</v>
      </c>
      <c r="J1905" t="s">
        <v>11873</v>
      </c>
      <c r="L1905" t="s">
        <v>9371</v>
      </c>
      <c r="M1905" t="str">
        <f>"https://www.artic.edu/iiif/2/"&amp;Table9[[#This Row],[Image ID]]&amp;"/full/843,/0/default.jpg"</f>
        <v>https://www.artic.edu/iiif/2/3d2d0842-312e-8d48-708b-d6adde0777bf/full/843,/0/default.jpg</v>
      </c>
      <c r="N1905" s="3">
        <v>0.72499999999999998</v>
      </c>
      <c r="O1905" s="3">
        <v>7.4999999999999997E-2</v>
      </c>
      <c r="P1905" s="3">
        <v>0.65</v>
      </c>
      <c r="Q1905" s="3">
        <v>0.47983905673027</v>
      </c>
    </row>
    <row r="1906" spans="1:17" x14ac:dyDescent="0.45">
      <c r="A1906" s="3">
        <v>22857</v>
      </c>
      <c r="B1906" t="b">
        <v>0</v>
      </c>
      <c r="C1906" t="b">
        <v>1</v>
      </c>
      <c r="D1906" s="3">
        <v>1504</v>
      </c>
      <c r="E1906" s="3">
        <v>1514</v>
      </c>
      <c r="F1906" t="s">
        <v>5993</v>
      </c>
      <c r="G1906" t="s">
        <v>75</v>
      </c>
      <c r="H1906" s="3">
        <v>37.679900000000004</v>
      </c>
      <c r="I1906" t="s">
        <v>5994</v>
      </c>
      <c r="J1906" t="s">
        <v>11894</v>
      </c>
      <c r="L1906" t="s">
        <v>5995</v>
      </c>
      <c r="M1906" t="str">
        <f>"https://www.artic.edu/iiif/2/"&amp;Table9[[#This Row],[Image ID]]&amp;"/full/843,/0/default.jpg"</f>
        <v>https://www.artic.edu/iiif/2/3e82db48-5f93-ada3-7ab2-f97328ccc1bd/full/843,/0/default.jpg</v>
      </c>
      <c r="N1906" s="3">
        <v>0.65</v>
      </c>
      <c r="O1906" s="3">
        <v>0</v>
      </c>
      <c r="P1906" s="3">
        <v>0.65</v>
      </c>
      <c r="Q1906" s="3">
        <v>0.69773972034454301</v>
      </c>
    </row>
    <row r="1907" spans="1:17" x14ac:dyDescent="0.45">
      <c r="A1907" s="3">
        <v>876</v>
      </c>
      <c r="B1907" t="b">
        <v>0</v>
      </c>
      <c r="C1907" t="b">
        <v>1</v>
      </c>
      <c r="D1907" s="3">
        <v>1890</v>
      </c>
      <c r="E1907" s="3">
        <v>1893</v>
      </c>
      <c r="F1907" t="s">
        <v>10393</v>
      </c>
      <c r="G1907" t="s">
        <v>7</v>
      </c>
      <c r="H1907" s="3">
        <v>30.1112</v>
      </c>
      <c r="I1907" t="s">
        <v>197</v>
      </c>
      <c r="J1907" t="s">
        <v>11900</v>
      </c>
      <c r="L1907" t="s">
        <v>10394</v>
      </c>
      <c r="M1907" t="str">
        <f>"https://www.artic.edu/iiif/2/"&amp;Table9[[#This Row],[Image ID]]&amp;"/full/843,/0/default.jpg"</f>
        <v>https://www.artic.edu/iiif/2/3ef69544-a84c-dfa4-df6a-346b4b59c351/full/843,/0/default.jpg</v>
      </c>
      <c r="N1907" s="3">
        <v>0.75</v>
      </c>
      <c r="O1907" s="3">
        <v>0.1</v>
      </c>
      <c r="P1907" s="3">
        <v>0.65</v>
      </c>
      <c r="Q1907" s="3">
        <v>0.54386717081069902</v>
      </c>
    </row>
    <row r="1908" spans="1:17" x14ac:dyDescent="0.45">
      <c r="A1908" s="3">
        <v>122130</v>
      </c>
      <c r="B1908" t="b">
        <v>0</v>
      </c>
      <c r="C1908" t="b">
        <v>1</v>
      </c>
      <c r="D1908" s="3">
        <v>1886</v>
      </c>
      <c r="E1908" s="3">
        <v>1886</v>
      </c>
      <c r="F1908" t="s">
        <v>14632</v>
      </c>
      <c r="G1908" t="s">
        <v>7</v>
      </c>
      <c r="H1908" s="3">
        <v>39.473100000000002</v>
      </c>
      <c r="I1908" t="s">
        <v>460</v>
      </c>
      <c r="J1908" t="s">
        <v>11980</v>
      </c>
      <c r="K1908" s="5" t="s">
        <v>115</v>
      </c>
      <c r="L1908" t="s">
        <v>2692</v>
      </c>
      <c r="M1908" t="str">
        <f>"https://www.artic.edu/iiif/2/"&amp;Table9[[#This Row],[Image ID]]&amp;"/full/843,/0/default.jpg"</f>
        <v>https://www.artic.edu/iiif/2/43fcfad0-8256-4923-9f9c-03ca90417907/full/843,/0/default.jpg</v>
      </c>
      <c r="N1908" s="3">
        <v>0.65</v>
      </c>
      <c r="O1908" s="3">
        <v>0</v>
      </c>
      <c r="P1908" s="3">
        <v>0.65</v>
      </c>
      <c r="Q1908" s="3">
        <v>0.64129978418350198</v>
      </c>
    </row>
    <row r="1909" spans="1:17" x14ac:dyDescent="0.45">
      <c r="A1909" s="3">
        <v>111726</v>
      </c>
      <c r="B1909" t="b">
        <v>0</v>
      </c>
      <c r="C1909" t="b">
        <v>1</v>
      </c>
      <c r="D1909" s="3">
        <v>1801</v>
      </c>
      <c r="E1909" s="3">
        <v>1900</v>
      </c>
      <c r="F1909" t="s">
        <v>1242</v>
      </c>
      <c r="G1909" t="s">
        <v>7</v>
      </c>
      <c r="H1909" s="3">
        <v>25.5124</v>
      </c>
      <c r="I1909" t="s">
        <v>14640</v>
      </c>
      <c r="J1909" t="s">
        <v>12226</v>
      </c>
      <c r="K1909" s="5" t="s">
        <v>37</v>
      </c>
      <c r="L1909" t="s">
        <v>1243</v>
      </c>
      <c r="M1909" t="str">
        <f>"https://www.artic.edu/iiif/2/"&amp;Table9[[#This Row],[Image ID]]&amp;"/full/843,/0/default.jpg"</f>
        <v>https://www.artic.edu/iiif/2/555d187d-b355-05ee-7a00-a64891656b05/full/843,/0/default.jpg</v>
      </c>
      <c r="N1909" s="3">
        <v>0.75</v>
      </c>
      <c r="O1909" s="3">
        <v>0.1</v>
      </c>
      <c r="P1909" s="3">
        <v>0.65</v>
      </c>
      <c r="Q1909" s="3">
        <v>0.67438256740570002</v>
      </c>
    </row>
    <row r="1910" spans="1:17" x14ac:dyDescent="0.45">
      <c r="A1910" s="3">
        <v>50309</v>
      </c>
      <c r="B1910" t="b">
        <v>0</v>
      </c>
      <c r="C1910" t="b">
        <v>1</v>
      </c>
      <c r="D1910" s="3">
        <v>1620</v>
      </c>
      <c r="E1910" s="3">
        <v>1640</v>
      </c>
      <c r="F1910" t="s">
        <v>8094</v>
      </c>
      <c r="G1910" t="s">
        <v>7</v>
      </c>
      <c r="H1910" s="3">
        <v>9.4799999999999995E-2</v>
      </c>
      <c r="I1910" t="s">
        <v>8095</v>
      </c>
      <c r="J1910" t="s">
        <v>12329</v>
      </c>
      <c r="L1910" t="s">
        <v>8096</v>
      </c>
      <c r="M1910" t="str">
        <f>"https://www.artic.edu/iiif/2/"&amp;Table9[[#This Row],[Image ID]]&amp;"/full/843,/0/default.jpg"</f>
        <v>https://www.artic.edu/iiif/2/5c9652f0-33b4-7b2b-2be5-007d2e6ea214/full/843,/0/default.jpg</v>
      </c>
      <c r="N1910" s="3">
        <v>0.77500000000000002</v>
      </c>
      <c r="O1910" s="3">
        <v>0.125</v>
      </c>
      <c r="P1910" s="3">
        <v>0.65</v>
      </c>
      <c r="Q1910" s="3">
        <v>0.75761950016021695</v>
      </c>
    </row>
    <row r="1911" spans="1:17" x14ac:dyDescent="0.45">
      <c r="A1911" s="3">
        <v>153799</v>
      </c>
      <c r="B1911" t="b">
        <v>0</v>
      </c>
      <c r="C1911" t="b">
        <v>1</v>
      </c>
      <c r="D1911" s="3">
        <v>1894</v>
      </c>
      <c r="E1911" s="3">
        <v>1895</v>
      </c>
      <c r="F1911" t="s">
        <v>3962</v>
      </c>
      <c r="G1911" t="s">
        <v>7</v>
      </c>
      <c r="H1911" s="3">
        <v>19.188400000000001</v>
      </c>
      <c r="I1911" t="s">
        <v>288</v>
      </c>
      <c r="J1911" t="s">
        <v>12333</v>
      </c>
      <c r="K1911" s="5" t="s">
        <v>115</v>
      </c>
      <c r="L1911" t="s">
        <v>3963</v>
      </c>
      <c r="M1911" t="str">
        <f>"https://www.artic.edu/iiif/2/"&amp;Table9[[#This Row],[Image ID]]&amp;"/full/843,/0/default.jpg"</f>
        <v>https://www.artic.edu/iiif/2/5ccaee46-a1a0-5035-821c-0547aa35c070/full/843,/0/default.jpg</v>
      </c>
      <c r="N1911" s="3">
        <v>0.72499999999999998</v>
      </c>
      <c r="O1911" s="3">
        <v>7.4999999999999997E-2</v>
      </c>
      <c r="P1911" s="3">
        <v>0.65</v>
      </c>
      <c r="Q1911" s="3">
        <v>0.79226708412170399</v>
      </c>
    </row>
    <row r="1912" spans="1:17" x14ac:dyDescent="0.45">
      <c r="A1912" s="3">
        <v>61117</v>
      </c>
      <c r="B1912" t="b">
        <v>0</v>
      </c>
      <c r="C1912" t="b">
        <v>1</v>
      </c>
      <c r="D1912" s="3">
        <v>1810</v>
      </c>
      <c r="E1912" s="3">
        <v>1815</v>
      </c>
      <c r="F1912" t="s">
        <v>8764</v>
      </c>
      <c r="G1912" t="s">
        <v>75</v>
      </c>
      <c r="H1912" s="3">
        <v>52.330100000000002</v>
      </c>
      <c r="I1912" t="s">
        <v>21</v>
      </c>
      <c r="J1912" t="s">
        <v>12347</v>
      </c>
      <c r="K1912" s="5" t="s">
        <v>125</v>
      </c>
      <c r="L1912" t="s">
        <v>8765</v>
      </c>
      <c r="M1912" t="str">
        <f>"https://www.artic.edu/iiif/2/"&amp;Table9[[#This Row],[Image ID]]&amp;"/full/843,/0/default.jpg"</f>
        <v>https://www.artic.edu/iiif/2/5da9b6e8-6ef8-d408-3261-2097eb0561e2/full/843,/0/default.jpg</v>
      </c>
      <c r="N1912" s="3">
        <v>0.77500000000000002</v>
      </c>
      <c r="O1912" s="3">
        <v>0.125</v>
      </c>
      <c r="P1912" s="3">
        <v>0.65</v>
      </c>
      <c r="Q1912" s="3">
        <v>0.66083103418350198</v>
      </c>
    </row>
    <row r="1913" spans="1:17" x14ac:dyDescent="0.45">
      <c r="A1913" s="3">
        <v>20541</v>
      </c>
      <c r="B1913" t="b">
        <v>0</v>
      </c>
      <c r="C1913" t="b">
        <v>1</v>
      </c>
      <c r="D1913" s="3">
        <v>1875</v>
      </c>
      <c r="E1913" s="3">
        <v>1885</v>
      </c>
      <c r="F1913" t="s">
        <v>5460</v>
      </c>
      <c r="G1913" t="s">
        <v>75</v>
      </c>
      <c r="H1913" s="3">
        <v>0</v>
      </c>
      <c r="I1913" t="s">
        <v>14575</v>
      </c>
      <c r="J1913" t="s">
        <v>12485</v>
      </c>
      <c r="L1913" t="s">
        <v>5461</v>
      </c>
      <c r="M1913" t="str">
        <f>"https://www.artic.edu/iiif/2/"&amp;Table9[[#This Row],[Image ID]]&amp;"/full/843,/0/default.jpg"</f>
        <v>https://www.artic.edu/iiif/2/678c71f6-db85-e5b7-03e2-cfb7631b9314/full/843,/0/default.jpg</v>
      </c>
      <c r="N1913" s="3">
        <v>0.8</v>
      </c>
      <c r="O1913" s="3">
        <v>0.15</v>
      </c>
      <c r="P1913" s="3">
        <v>0.65</v>
      </c>
      <c r="Q1913" s="3">
        <v>0.48009359836578303</v>
      </c>
    </row>
    <row r="1914" spans="1:17" x14ac:dyDescent="0.45">
      <c r="A1914" s="3">
        <v>16359</v>
      </c>
      <c r="B1914" t="b">
        <v>0</v>
      </c>
      <c r="C1914" t="b">
        <v>1</v>
      </c>
      <c r="D1914" s="3">
        <v>1801</v>
      </c>
      <c r="E1914" s="3">
        <v>1811</v>
      </c>
      <c r="F1914" t="s">
        <v>4389</v>
      </c>
      <c r="G1914" t="s">
        <v>75</v>
      </c>
      <c r="H1914" s="3">
        <v>24.427299999999999</v>
      </c>
      <c r="I1914" t="s">
        <v>14559</v>
      </c>
      <c r="J1914" t="s">
        <v>11246</v>
      </c>
      <c r="L1914" t="s">
        <v>4390</v>
      </c>
      <c r="M1914" t="str">
        <f>"https://www.artic.edu/iiif/2/"&amp;Table9[[#This Row],[Image ID]]&amp;"/full/843,/0/default.jpg"</f>
        <v>https://www.artic.edu/iiif/2/7325a7b0-a9f4-6c24-2505-1ee84daa27da/full/843,/0/default.jpg</v>
      </c>
      <c r="N1914" s="3">
        <v>0.8</v>
      </c>
      <c r="O1914" s="3">
        <v>0.15</v>
      </c>
      <c r="P1914" s="3">
        <v>0.65</v>
      </c>
      <c r="Q1914" s="3">
        <v>0.77724057435989302</v>
      </c>
    </row>
    <row r="1915" spans="1:17" x14ac:dyDescent="0.45">
      <c r="A1915" s="3">
        <v>105291</v>
      </c>
      <c r="B1915" t="b">
        <v>0</v>
      </c>
      <c r="C1915" t="b">
        <v>1</v>
      </c>
      <c r="D1915" s="3">
        <v>1878</v>
      </c>
      <c r="E1915" s="3">
        <v>1878</v>
      </c>
      <c r="F1915" t="s">
        <v>504</v>
      </c>
      <c r="G1915" t="s">
        <v>505</v>
      </c>
      <c r="H1915" s="3">
        <v>42.724499999999999</v>
      </c>
      <c r="I1915" t="s">
        <v>506</v>
      </c>
      <c r="J1915" t="s">
        <v>12696</v>
      </c>
      <c r="L1915" t="s">
        <v>507</v>
      </c>
      <c r="M1915" t="str">
        <f>"https://www.artic.edu/iiif/2/"&amp;Table9[[#This Row],[Image ID]]&amp;"/full/843,/0/default.jpg"</f>
        <v>https://www.artic.edu/iiif/2/76b3432d-6e5c-3748-b7a7-92e5f6b86bc1/full/843,/0/default.jpg</v>
      </c>
      <c r="N1915" s="3">
        <v>0.72499999999999998</v>
      </c>
      <c r="O1915" s="3">
        <v>7.4999999999999997E-2</v>
      </c>
      <c r="P1915" s="3">
        <v>0.65</v>
      </c>
      <c r="Q1915" s="3">
        <v>0.85236322879791204</v>
      </c>
    </row>
    <row r="1916" spans="1:17" ht="85.5" x14ac:dyDescent="0.45">
      <c r="A1916" s="3">
        <v>22866</v>
      </c>
      <c r="B1916" t="b">
        <v>0</v>
      </c>
      <c r="C1916" t="b">
        <v>1</v>
      </c>
      <c r="D1916" s="3">
        <v>1520</v>
      </c>
      <c r="E1916" s="3">
        <v>1525</v>
      </c>
      <c r="F1916" t="s">
        <v>6003</v>
      </c>
      <c r="G1916" t="s">
        <v>75</v>
      </c>
      <c r="H1916" s="3">
        <v>23.9148</v>
      </c>
      <c r="I1916" t="s">
        <v>5997</v>
      </c>
      <c r="J1916" s="1" t="s">
        <v>12709</v>
      </c>
      <c r="L1916" t="s">
        <v>6004</v>
      </c>
      <c r="M1916" t="str">
        <f>"https://www.artic.edu/iiif/2/"&amp;Table9[[#This Row],[Image ID]]&amp;"/full/843,/0/default.jpg"</f>
        <v>https://www.artic.edu/iiif/2/77afdb88-dd75-5dab-c58b-ef6ac91bee7a/full/843,/0/default.jpg</v>
      </c>
      <c r="N1916" s="3">
        <v>0.67500000000000004</v>
      </c>
      <c r="O1916" s="3">
        <v>2.5000000000000001E-2</v>
      </c>
      <c r="P1916" s="3">
        <v>0.65</v>
      </c>
      <c r="Q1916" s="3">
        <v>0.70742315053939797</v>
      </c>
    </row>
    <row r="1917" spans="1:17" x14ac:dyDescent="0.45">
      <c r="A1917" s="3">
        <v>151548</v>
      </c>
      <c r="B1917" t="b">
        <v>0</v>
      </c>
      <c r="C1917" t="b">
        <v>1</v>
      </c>
      <c r="D1917" s="3">
        <v>1858</v>
      </c>
      <c r="E1917" s="3">
        <v>1860</v>
      </c>
      <c r="F1917" t="s">
        <v>3838</v>
      </c>
      <c r="G1917" t="s">
        <v>3839</v>
      </c>
      <c r="H1917" s="3">
        <v>17.647200000000002</v>
      </c>
      <c r="I1917" t="s">
        <v>14551</v>
      </c>
      <c r="J1917" t="s">
        <v>12710</v>
      </c>
      <c r="L1917" t="s">
        <v>3840</v>
      </c>
      <c r="M1917" t="str">
        <f>"https://www.artic.edu/iiif/2/"&amp;Table9[[#This Row],[Image ID]]&amp;"/full/843,/0/default.jpg"</f>
        <v>https://www.artic.edu/iiif/2/77c344fa-4d19-8f61-776c-2e811a830810/full/843,/0/default.jpg</v>
      </c>
      <c r="N1917" s="3">
        <v>0.67500000000000004</v>
      </c>
      <c r="O1917" s="3">
        <v>2.5000000000000001E-2</v>
      </c>
      <c r="P1917" s="3">
        <v>0.65</v>
      </c>
      <c r="Q1917" s="3">
        <v>0.813321232795715</v>
      </c>
    </row>
    <row r="1918" spans="1:17" x14ac:dyDescent="0.45">
      <c r="A1918" s="3">
        <v>97933</v>
      </c>
      <c r="B1918" t="b">
        <v>0</v>
      </c>
      <c r="C1918" t="b">
        <v>1</v>
      </c>
      <c r="D1918" s="3">
        <v>1917</v>
      </c>
      <c r="E1918" s="3">
        <v>1926</v>
      </c>
      <c r="F1918" t="s">
        <v>10371</v>
      </c>
      <c r="G1918" t="s">
        <v>7</v>
      </c>
      <c r="H1918" s="3">
        <v>26.3096</v>
      </c>
      <c r="I1918" t="s">
        <v>43</v>
      </c>
      <c r="J1918" t="s">
        <v>12746</v>
      </c>
      <c r="L1918" t="s">
        <v>10903</v>
      </c>
      <c r="M1918" t="str">
        <f>"https://www.artic.edu/iiif/2/"&amp;Table9[[#This Row],[Image ID]]&amp;"/full/843,/0/default.jpg"</f>
        <v>https://www.artic.edu/iiif/2/7a23ad22-2044-6d7d-6315-9b101dadc559/full/843,/0/default.jpg</v>
      </c>
      <c r="N1918" s="3">
        <v>0.72499999999999998</v>
      </c>
      <c r="O1918" s="3">
        <v>7.4999999999999997E-2</v>
      </c>
      <c r="P1918" s="3">
        <v>0.65</v>
      </c>
      <c r="Q1918" s="3">
        <v>0.74207282066345204</v>
      </c>
    </row>
    <row r="1919" spans="1:17" x14ac:dyDescent="0.45">
      <c r="A1919" s="3">
        <v>115515</v>
      </c>
      <c r="B1919" t="b">
        <v>0</v>
      </c>
      <c r="C1919" t="b">
        <v>1</v>
      </c>
      <c r="D1919" s="3">
        <v>1719</v>
      </c>
      <c r="E1919" s="3">
        <v>1769</v>
      </c>
      <c r="F1919" t="s">
        <v>1995</v>
      </c>
      <c r="G1919" t="s">
        <v>1952</v>
      </c>
      <c r="H1919" s="3">
        <v>39.655000000000001</v>
      </c>
      <c r="I1919" t="s">
        <v>1922</v>
      </c>
      <c r="J1919" t="s">
        <v>12832</v>
      </c>
      <c r="L1919" t="s">
        <v>1996</v>
      </c>
      <c r="M1919" t="str">
        <f>"https://www.artic.edu/iiif/2/"&amp;Table9[[#This Row],[Image ID]]&amp;"/full/843,/0/default.jpg"</f>
        <v>https://www.artic.edu/iiif/2/80c4115a-a96e-b6af-883a-b3668fe977e0/full/843,/0/default.jpg</v>
      </c>
      <c r="N1919" s="3">
        <v>0.72499999999999998</v>
      </c>
      <c r="O1919" s="3">
        <v>7.4999999999999997E-2</v>
      </c>
      <c r="P1919" s="3">
        <v>0.65</v>
      </c>
      <c r="Q1919" s="3">
        <v>0.89579951763152998</v>
      </c>
    </row>
    <row r="1920" spans="1:17" x14ac:dyDescent="0.45">
      <c r="A1920" s="3">
        <v>128399</v>
      </c>
      <c r="B1920" t="b">
        <v>0</v>
      </c>
      <c r="C1920" t="b">
        <v>1</v>
      </c>
      <c r="D1920" s="3">
        <v>1776</v>
      </c>
      <c r="E1920" s="3">
        <v>1827</v>
      </c>
      <c r="F1920" t="s">
        <v>2827</v>
      </c>
      <c r="G1920" t="s">
        <v>2828</v>
      </c>
      <c r="H1920" s="3">
        <v>19.1006</v>
      </c>
      <c r="I1920" t="s">
        <v>1266</v>
      </c>
      <c r="L1920" t="s">
        <v>2829</v>
      </c>
      <c r="M1920" t="str">
        <f>"https://www.artic.edu/iiif/2/"&amp;Table9[[#This Row],[Image ID]]&amp;"/full/843,/0/default.jpg"</f>
        <v>https://www.artic.edu/iiif/2/8758fb08-3384-dd96-a029-b53b5dbef41d/full/843,/0/default.jpg</v>
      </c>
      <c r="N1920" s="3">
        <v>0.75</v>
      </c>
      <c r="O1920" s="3">
        <v>0.1</v>
      </c>
      <c r="P1920" s="3">
        <v>0.65</v>
      </c>
      <c r="Q1920" s="3">
        <v>0.79773122072219804</v>
      </c>
    </row>
    <row r="1921" spans="1:17" x14ac:dyDescent="0.45">
      <c r="A1921" s="3">
        <v>39085</v>
      </c>
      <c r="B1921" t="b">
        <v>0</v>
      </c>
      <c r="C1921" t="b">
        <v>1</v>
      </c>
      <c r="D1921" s="3">
        <v>1835</v>
      </c>
      <c r="E1921" s="3">
        <v>1882</v>
      </c>
      <c r="F1921" t="s">
        <v>7423</v>
      </c>
      <c r="G1921" t="s">
        <v>7424</v>
      </c>
      <c r="H1921" s="3">
        <v>24.230699999999999</v>
      </c>
      <c r="I1921" t="s">
        <v>5317</v>
      </c>
      <c r="J1921" t="s">
        <v>12955</v>
      </c>
      <c r="L1921" t="s">
        <v>7425</v>
      </c>
      <c r="M1921" t="str">
        <f>"https://www.artic.edu/iiif/2/"&amp;Table9[[#This Row],[Image ID]]&amp;"/full/843,/0/default.jpg"</f>
        <v>https://www.artic.edu/iiif/2/8ae4014a-ca16-fe65-080b-e503075bdf00/full/843,/0/default.jpg</v>
      </c>
      <c r="N1921" s="3">
        <v>0.875</v>
      </c>
      <c r="O1921" s="3">
        <v>0.22500000000000001</v>
      </c>
      <c r="P1921" s="3">
        <v>0.65</v>
      </c>
      <c r="Q1921" s="3">
        <v>0.68825364112854004</v>
      </c>
    </row>
    <row r="1922" spans="1:17" x14ac:dyDescent="0.45">
      <c r="A1922" s="3">
        <v>81535</v>
      </c>
      <c r="B1922" t="b">
        <v>0</v>
      </c>
      <c r="C1922" t="b">
        <v>1</v>
      </c>
      <c r="D1922" s="3">
        <v>1864</v>
      </c>
      <c r="E1922" s="3">
        <v>1865</v>
      </c>
      <c r="F1922" t="s">
        <v>10119</v>
      </c>
      <c r="G1922" t="s">
        <v>7</v>
      </c>
      <c r="I1922" t="s">
        <v>14636</v>
      </c>
      <c r="J1922" t="s">
        <v>12978</v>
      </c>
      <c r="K1922" s="5" t="s">
        <v>9</v>
      </c>
      <c r="L1922" t="s">
        <v>10120</v>
      </c>
      <c r="M1922" t="str">
        <f>"https://www.artic.edu/iiif/2/"&amp;Table9[[#This Row],[Image ID]]&amp;"/full/843,/0/default.jpg"</f>
        <v>https://www.artic.edu/iiif/2/8be90e71-83c3-3f98-a972-4acb9ce0e773/full/843,/0/default.jpg</v>
      </c>
      <c r="N1922" s="3">
        <v>0.72499999999999998</v>
      </c>
      <c r="O1922" s="3">
        <v>7.4999999999999997E-2</v>
      </c>
      <c r="P1922" s="3">
        <v>0.65</v>
      </c>
      <c r="Q1922" s="3">
        <v>0.78488916158676103</v>
      </c>
    </row>
    <row r="1923" spans="1:17" x14ac:dyDescent="0.45">
      <c r="A1923" s="3">
        <v>17564</v>
      </c>
      <c r="B1923" t="b">
        <v>0</v>
      </c>
      <c r="C1923" t="b">
        <v>1</v>
      </c>
      <c r="D1923" s="3">
        <v>1883</v>
      </c>
      <c r="E1923" s="3">
        <v>1895</v>
      </c>
      <c r="F1923" t="s">
        <v>4662</v>
      </c>
      <c r="G1923" t="s">
        <v>785</v>
      </c>
      <c r="H1923" s="3">
        <v>20.319099999999999</v>
      </c>
      <c r="I1923" t="s">
        <v>442</v>
      </c>
      <c r="J1923" t="s">
        <v>13005</v>
      </c>
      <c r="L1923" t="s">
        <v>4663</v>
      </c>
      <c r="M1923" t="str">
        <f>"https://www.artic.edu/iiif/2/"&amp;Table9[[#This Row],[Image ID]]&amp;"/full/843,/0/default.jpg"</f>
        <v>https://www.artic.edu/iiif/2/8e3a0b64-7c0d-5802-ea27-14e3abbda6a7/full/843,/0/default.jpg</v>
      </c>
      <c r="N1923" s="3">
        <v>0.67500000000000004</v>
      </c>
      <c r="O1923" s="3">
        <v>2.5000000000000001E-2</v>
      </c>
      <c r="P1923" s="3">
        <v>0.65</v>
      </c>
      <c r="Q1923" s="3">
        <v>0.83174866437911898</v>
      </c>
    </row>
    <row r="1924" spans="1:17" x14ac:dyDescent="0.45">
      <c r="A1924" s="3">
        <v>220730</v>
      </c>
      <c r="B1924" t="b">
        <v>0</v>
      </c>
      <c r="C1924" t="b">
        <v>1</v>
      </c>
      <c r="D1924" s="3">
        <v>1850</v>
      </c>
      <c r="E1924" s="3">
        <v>1859</v>
      </c>
      <c r="F1924" t="s">
        <v>5798</v>
      </c>
      <c r="G1924" t="s">
        <v>7</v>
      </c>
      <c r="H1924" s="3">
        <v>14.186400000000001</v>
      </c>
      <c r="I1924" t="s">
        <v>2428</v>
      </c>
      <c r="J1924" t="s">
        <v>12487</v>
      </c>
      <c r="K1924" s="5" t="s">
        <v>5799</v>
      </c>
      <c r="L1924" t="s">
        <v>5800</v>
      </c>
      <c r="M1924" t="str">
        <f>"https://www.artic.edu/iiif/2/"&amp;Table9[[#This Row],[Image ID]]&amp;"/full/843,/0/default.jpg"</f>
        <v>https://www.artic.edu/iiif/2/9223818e-8eb8-740c-28ba-7c4c75acc3d5/full/843,/0/default.jpg</v>
      </c>
      <c r="N1924" s="3">
        <v>0.72499999999999998</v>
      </c>
      <c r="O1924" s="3">
        <v>7.4999999999999997E-2</v>
      </c>
      <c r="P1924" s="3">
        <v>0.65</v>
      </c>
      <c r="Q1924" s="3">
        <v>0.54900425672531095</v>
      </c>
    </row>
    <row r="1925" spans="1:17" x14ac:dyDescent="0.45">
      <c r="A1925" s="3">
        <v>109571</v>
      </c>
      <c r="B1925" t="b">
        <v>0</v>
      </c>
      <c r="C1925" t="b">
        <v>1</v>
      </c>
      <c r="D1925" s="3">
        <v>1601</v>
      </c>
      <c r="E1925" s="3">
        <v>1700</v>
      </c>
      <c r="F1925" t="s">
        <v>824</v>
      </c>
      <c r="G1925" t="s">
        <v>825</v>
      </c>
      <c r="H1925" s="3">
        <v>25.7393</v>
      </c>
      <c r="J1925" t="s">
        <v>13086</v>
      </c>
      <c r="K1925" s="5" t="s">
        <v>5</v>
      </c>
      <c r="L1925" t="s">
        <v>826</v>
      </c>
      <c r="M1925" t="str">
        <f>"https://www.artic.edu/iiif/2/"&amp;Table9[[#This Row],[Image ID]]&amp;"/full/843,/0/default.jpg"</f>
        <v>https://www.artic.edu/iiif/2/95707142-7ff9-4214-1cf8-ba305dfb1b3f/full/843,/0/default.jpg</v>
      </c>
      <c r="N1925" s="3">
        <v>0.72499999999999998</v>
      </c>
      <c r="O1925" s="3">
        <v>7.4999999999999997E-2</v>
      </c>
      <c r="P1925" s="3">
        <v>0.65</v>
      </c>
      <c r="Q1925" s="3">
        <v>0.75773072242736805</v>
      </c>
    </row>
    <row r="1926" spans="1:17" x14ac:dyDescent="0.45">
      <c r="A1926" s="3">
        <v>16398</v>
      </c>
      <c r="B1926" t="b">
        <v>0</v>
      </c>
      <c r="C1926" t="b">
        <v>1</v>
      </c>
      <c r="D1926" s="3">
        <v>1671</v>
      </c>
      <c r="E1926" s="3">
        <v>1671</v>
      </c>
      <c r="F1926" t="s">
        <v>4409</v>
      </c>
      <c r="G1926" t="s">
        <v>7</v>
      </c>
      <c r="H1926" s="3">
        <v>29.198699999999999</v>
      </c>
      <c r="I1926" t="s">
        <v>4410</v>
      </c>
      <c r="J1926" t="s">
        <v>13108</v>
      </c>
      <c r="L1926" t="s">
        <v>4411</v>
      </c>
      <c r="M1926" t="str">
        <f>"https://www.artic.edu/iiif/2/"&amp;Table9[[#This Row],[Image ID]]&amp;"/full/843,/0/default.jpg"</f>
        <v>https://www.artic.edu/iiif/2/96f575e3-7d56-b3c9-0ed2-0456dab1d215/full/843,/0/default.jpg</v>
      </c>
      <c r="N1926" s="3">
        <v>0.72499999999999998</v>
      </c>
      <c r="O1926" s="3">
        <v>7.4999999999999997E-2</v>
      </c>
      <c r="P1926" s="3">
        <v>0.65</v>
      </c>
      <c r="Q1926" s="3">
        <v>0.78727376461028997</v>
      </c>
    </row>
    <row r="1927" spans="1:17" x14ac:dyDescent="0.45">
      <c r="A1927" s="3">
        <v>20686</v>
      </c>
      <c r="B1927" t="b">
        <v>0</v>
      </c>
      <c r="C1927" t="b">
        <v>1</v>
      </c>
      <c r="D1927" s="3">
        <v>1851</v>
      </c>
      <c r="E1927" s="3">
        <v>1851</v>
      </c>
      <c r="F1927" t="s">
        <v>904</v>
      </c>
      <c r="G1927" t="s">
        <v>7</v>
      </c>
      <c r="H1927" s="3">
        <v>27.0749</v>
      </c>
      <c r="I1927" t="s">
        <v>14633</v>
      </c>
      <c r="J1927" t="s">
        <v>13146</v>
      </c>
      <c r="L1927" t="s">
        <v>5493</v>
      </c>
      <c r="M1927" t="str">
        <f>"https://www.artic.edu/iiif/2/"&amp;Table9[[#This Row],[Image ID]]&amp;"/full/843,/0/default.jpg"</f>
        <v>https://www.artic.edu/iiif/2/99c39143-a45c-5fa1-ddd3-0dae633fbb87/full/843,/0/default.jpg</v>
      </c>
      <c r="N1927" s="3">
        <v>0.75</v>
      </c>
      <c r="O1927" s="3">
        <v>0.1</v>
      </c>
      <c r="P1927" s="3">
        <v>0.65</v>
      </c>
      <c r="Q1927" s="3">
        <v>0.74905115365982</v>
      </c>
    </row>
    <row r="1928" spans="1:17" x14ac:dyDescent="0.45">
      <c r="A1928" s="3">
        <v>31289</v>
      </c>
      <c r="B1928" t="b">
        <v>0</v>
      </c>
      <c r="C1928" t="b">
        <v>1</v>
      </c>
      <c r="D1928" s="3">
        <v>1876</v>
      </c>
      <c r="E1928" s="3">
        <v>1876</v>
      </c>
      <c r="F1928" t="s">
        <v>6999</v>
      </c>
      <c r="G1928" t="s">
        <v>1552</v>
      </c>
      <c r="H1928" s="3">
        <v>18.5322</v>
      </c>
      <c r="I1928" t="s">
        <v>73</v>
      </c>
      <c r="J1928" t="s">
        <v>13149</v>
      </c>
      <c r="L1928" t="s">
        <v>7000</v>
      </c>
      <c r="M1928" t="str">
        <f>"https://www.artic.edu/iiif/2/"&amp;Table9[[#This Row],[Image ID]]&amp;"/full/843,/0/default.jpg"</f>
        <v>https://www.artic.edu/iiif/2/99d71d28-08a8-badf-409c-f8739deab72a/full/843,/0/default.jpg</v>
      </c>
      <c r="N1928" s="3">
        <v>0.72499999999999998</v>
      </c>
      <c r="O1928" s="3">
        <v>7.4999999999999997E-2</v>
      </c>
      <c r="P1928" s="3">
        <v>0.65</v>
      </c>
      <c r="Q1928" s="3">
        <v>0.59215956926345803</v>
      </c>
    </row>
    <row r="1929" spans="1:17" x14ac:dyDescent="0.45">
      <c r="A1929" s="3">
        <v>25781</v>
      </c>
      <c r="B1929" t="b">
        <v>0</v>
      </c>
      <c r="C1929" t="b">
        <v>1</v>
      </c>
      <c r="D1929" s="3">
        <v>1459</v>
      </c>
      <c r="E1929" s="3">
        <v>1497</v>
      </c>
      <c r="F1929" t="s">
        <v>6583</v>
      </c>
      <c r="G1929" t="s">
        <v>103</v>
      </c>
      <c r="H1929" s="3">
        <v>29.327400000000001</v>
      </c>
      <c r="I1929" t="s">
        <v>6598</v>
      </c>
      <c r="J1929" t="s">
        <v>13186</v>
      </c>
      <c r="L1929" t="s">
        <v>6599</v>
      </c>
      <c r="M1929" t="str">
        <f>"https://www.artic.edu/iiif/2/"&amp;Table9[[#This Row],[Image ID]]&amp;"/full/843,/0/default.jpg"</f>
        <v>https://www.artic.edu/iiif/2/9c9e75ff-f131-2fdc-d29c-0584c80e0ca4/full/843,/0/default.jpg</v>
      </c>
      <c r="N1929" s="3">
        <v>0.77500000000000002</v>
      </c>
      <c r="O1929" s="3">
        <v>0.125</v>
      </c>
      <c r="P1929" s="3">
        <v>0.65</v>
      </c>
      <c r="Q1929" s="3">
        <v>0.86174458265304499</v>
      </c>
    </row>
    <row r="1930" spans="1:17" x14ac:dyDescent="0.45">
      <c r="A1930" s="3">
        <v>80604</v>
      </c>
      <c r="B1930" t="b">
        <v>0</v>
      </c>
      <c r="C1930" t="b">
        <v>1</v>
      </c>
      <c r="D1930" s="3">
        <v>1879</v>
      </c>
      <c r="E1930" s="3">
        <v>1879</v>
      </c>
      <c r="F1930" t="s">
        <v>10039</v>
      </c>
      <c r="G1930" t="s">
        <v>10040</v>
      </c>
      <c r="H1930" s="3">
        <v>36.834200000000003</v>
      </c>
      <c r="I1930" t="s">
        <v>66</v>
      </c>
      <c r="J1930" t="s">
        <v>13305</v>
      </c>
      <c r="K1930" s="5" t="s">
        <v>9</v>
      </c>
      <c r="L1930" t="s">
        <v>10041</v>
      </c>
      <c r="M1930" t="str">
        <f>"https://www.artic.edu/iiif/2/"&amp;Table9[[#This Row],[Image ID]]&amp;"/full/843,/0/default.jpg"</f>
        <v>https://www.artic.edu/iiif/2/a56877d3-f08c-e469-2b4c-81823ea30e40/full/843,/0/default.jpg</v>
      </c>
      <c r="N1930" s="3">
        <v>0.65</v>
      </c>
      <c r="O1930" s="3">
        <v>0</v>
      </c>
      <c r="P1930" s="3">
        <v>0.65</v>
      </c>
      <c r="Q1930" s="3">
        <v>0.80041587352752597</v>
      </c>
    </row>
    <row r="1931" spans="1:17" x14ac:dyDescent="0.45">
      <c r="A1931" s="3">
        <v>882</v>
      </c>
      <c r="B1931" t="b">
        <v>0</v>
      </c>
      <c r="C1931" t="b">
        <v>1</v>
      </c>
      <c r="D1931" s="3">
        <v>1850</v>
      </c>
      <c r="E1931" s="3">
        <v>1860</v>
      </c>
      <c r="F1931" t="s">
        <v>10410</v>
      </c>
      <c r="G1931" t="s">
        <v>10411</v>
      </c>
      <c r="H1931" s="3">
        <v>35.2363</v>
      </c>
      <c r="I1931" t="s">
        <v>373</v>
      </c>
      <c r="J1931" t="s">
        <v>13335</v>
      </c>
      <c r="L1931" t="s">
        <v>10412</v>
      </c>
      <c r="M1931" t="str">
        <f>"https://www.artic.edu/iiif/2/"&amp;Table9[[#This Row],[Image ID]]&amp;"/full/843,/0/default.jpg"</f>
        <v>https://www.artic.edu/iiif/2/a77f410d-fb47-e103-485b-19a7de1d432e/full/843,/0/default.jpg</v>
      </c>
      <c r="N1931" s="3">
        <v>0.72499999999999998</v>
      </c>
      <c r="O1931" s="3">
        <v>7.4999999999999997E-2</v>
      </c>
      <c r="P1931" s="3">
        <v>0.65</v>
      </c>
      <c r="Q1931" s="3">
        <v>0.67599672079086304</v>
      </c>
    </row>
    <row r="1932" spans="1:17" x14ac:dyDescent="0.45">
      <c r="A1932" s="3">
        <v>66557</v>
      </c>
      <c r="B1932" t="b">
        <v>0</v>
      </c>
      <c r="C1932" t="b">
        <v>1</v>
      </c>
      <c r="D1932" s="3">
        <v>1883</v>
      </c>
      <c r="E1932" s="3">
        <v>1883</v>
      </c>
      <c r="F1932" t="s">
        <v>9304</v>
      </c>
      <c r="G1932" t="s">
        <v>9305</v>
      </c>
      <c r="H1932" s="3">
        <v>25.9053</v>
      </c>
      <c r="I1932" t="s">
        <v>1527</v>
      </c>
      <c r="J1932" t="s">
        <v>13348</v>
      </c>
      <c r="L1932" t="s">
        <v>9306</v>
      </c>
      <c r="M1932" t="str">
        <f>"https://www.artic.edu/iiif/2/"&amp;Table9[[#This Row],[Image ID]]&amp;"/full/843,/0/default.jpg"</f>
        <v>https://www.artic.edu/iiif/2/a81f087c-5198-eda2-0dd9-ceea9516f641/full/843,/0/default.jpg</v>
      </c>
      <c r="N1932" s="3">
        <v>0.75</v>
      </c>
      <c r="O1932" s="3">
        <v>0.1</v>
      </c>
      <c r="P1932" s="3">
        <v>0.65</v>
      </c>
      <c r="Q1932" s="3">
        <v>0.76975494623184204</v>
      </c>
    </row>
    <row r="1933" spans="1:17" x14ac:dyDescent="0.45">
      <c r="A1933" s="3">
        <v>82511</v>
      </c>
      <c r="B1933" t="b">
        <v>0</v>
      </c>
      <c r="C1933" t="b">
        <v>1</v>
      </c>
      <c r="D1933" s="3">
        <v>1495</v>
      </c>
      <c r="E1933" s="3">
        <v>1505</v>
      </c>
      <c r="F1933" t="s">
        <v>10187</v>
      </c>
      <c r="G1933" t="s">
        <v>103</v>
      </c>
      <c r="H1933" s="3">
        <v>43.835700000000003</v>
      </c>
      <c r="J1933" t="s">
        <v>13351</v>
      </c>
      <c r="K1933" s="5" t="s">
        <v>2967</v>
      </c>
      <c r="L1933" t="s">
        <v>10188</v>
      </c>
      <c r="M1933" t="str">
        <f>"https://www.artic.edu/iiif/2/"&amp;Table9[[#This Row],[Image ID]]&amp;"/full/843,/0/default.jpg"</f>
        <v>https://www.artic.edu/iiif/2/a8383044-2d0b-e592-efde-0b72bfe6e460/full/843,/0/default.jpg</v>
      </c>
      <c r="N1933" s="3">
        <v>0.72499999999999998</v>
      </c>
      <c r="O1933" s="3">
        <v>7.4999999999999997E-2</v>
      </c>
      <c r="P1933" s="3">
        <v>0.65</v>
      </c>
      <c r="Q1933" s="3">
        <v>0.78954470157623202</v>
      </c>
    </row>
    <row r="1934" spans="1:17" x14ac:dyDescent="0.45">
      <c r="A1934" s="3">
        <v>215327</v>
      </c>
      <c r="B1934" t="b">
        <v>0</v>
      </c>
      <c r="C1934" t="b">
        <v>1</v>
      </c>
      <c r="D1934" s="3">
        <v>1851</v>
      </c>
      <c r="E1934" s="3">
        <v>1851</v>
      </c>
      <c r="F1934" t="s">
        <v>5626</v>
      </c>
      <c r="G1934" t="s">
        <v>5627</v>
      </c>
      <c r="H1934" s="3">
        <v>25.937200000000001</v>
      </c>
      <c r="I1934" t="s">
        <v>2721</v>
      </c>
      <c r="J1934" t="s">
        <v>13412</v>
      </c>
      <c r="L1934" t="s">
        <v>5628</v>
      </c>
      <c r="M1934" t="str">
        <f>"https://www.artic.edu/iiif/2/"&amp;Table9[[#This Row],[Image ID]]&amp;"/full/843,/0/default.jpg"</f>
        <v>https://www.artic.edu/iiif/2/ad73c788-4259-ebbd-45e8-2e185bbb43bd/full/843,/0/default.jpg</v>
      </c>
      <c r="N1934" s="3">
        <v>0.75</v>
      </c>
      <c r="O1934" s="3">
        <v>0.1</v>
      </c>
      <c r="P1934" s="3">
        <v>0.65</v>
      </c>
      <c r="Q1934" s="3">
        <v>0.72542893886566095</v>
      </c>
    </row>
    <row r="1935" spans="1:17" x14ac:dyDescent="0.45">
      <c r="A1935" s="3">
        <v>25806</v>
      </c>
      <c r="B1935" t="b">
        <v>0</v>
      </c>
      <c r="C1935" t="b">
        <v>1</v>
      </c>
      <c r="D1935" s="3">
        <v>1834</v>
      </c>
      <c r="E1935" s="3">
        <v>1834</v>
      </c>
      <c r="F1935" t="s">
        <v>6619</v>
      </c>
      <c r="G1935" t="s">
        <v>505</v>
      </c>
      <c r="H1935" s="3">
        <v>23.792200000000001</v>
      </c>
      <c r="I1935" t="s">
        <v>1274</v>
      </c>
      <c r="J1935" t="s">
        <v>13610</v>
      </c>
      <c r="L1935" t="s">
        <v>6620</v>
      </c>
      <c r="M1935" t="str">
        <f>"https://www.artic.edu/iiif/2/"&amp;Table9[[#This Row],[Image ID]]&amp;"/full/843,/0/default.jpg"</f>
        <v>https://www.artic.edu/iiif/2/bd8432e6-65f7-a32a-4e1a-85593633fa8f/full/843,/0/default.jpg</v>
      </c>
      <c r="N1935" s="3">
        <v>0.75</v>
      </c>
      <c r="O1935" s="3">
        <v>0.1</v>
      </c>
      <c r="P1935" s="3">
        <v>0.65</v>
      </c>
      <c r="Q1935" s="3">
        <v>0.50888401269912698</v>
      </c>
    </row>
    <row r="1936" spans="1:17" x14ac:dyDescent="0.45">
      <c r="A1936" s="3">
        <v>16549</v>
      </c>
      <c r="B1936" t="b">
        <v>0</v>
      </c>
      <c r="C1936" t="b">
        <v>1</v>
      </c>
      <c r="D1936" s="3">
        <v>1880</v>
      </c>
      <c r="E1936" s="3">
        <v>1880</v>
      </c>
      <c r="F1936" t="s">
        <v>4481</v>
      </c>
      <c r="G1936" t="s">
        <v>7</v>
      </c>
      <c r="H1936" s="3">
        <v>21.895600000000002</v>
      </c>
      <c r="I1936" t="s">
        <v>43</v>
      </c>
      <c r="J1936" t="s">
        <v>13667</v>
      </c>
      <c r="K1936" s="5" t="s">
        <v>9</v>
      </c>
      <c r="L1936" t="s">
        <v>4482</v>
      </c>
      <c r="M1936" t="str">
        <f>"https://www.artic.edu/iiif/2/"&amp;Table9[[#This Row],[Image ID]]&amp;"/full/843,/0/default.jpg"</f>
        <v>https://www.artic.edu/iiif/2/c12058f4-188f-c6ed-f0fe-52b32acfb296/full/843,/0/default.jpg</v>
      </c>
      <c r="N1936" s="3">
        <v>0.77500000000000002</v>
      </c>
      <c r="O1936" s="3">
        <v>0.125</v>
      </c>
      <c r="P1936" s="3">
        <v>0.65</v>
      </c>
      <c r="Q1936" s="3">
        <v>0.701490938663482</v>
      </c>
    </row>
    <row r="1937" spans="1:17" x14ac:dyDescent="0.45">
      <c r="A1937" s="3">
        <v>16633</v>
      </c>
      <c r="B1937" t="b">
        <v>0</v>
      </c>
      <c r="C1937" t="b">
        <v>1</v>
      </c>
      <c r="D1937" s="3">
        <v>1875</v>
      </c>
      <c r="E1937" s="3">
        <v>1875</v>
      </c>
      <c r="F1937" t="s">
        <v>4509</v>
      </c>
      <c r="G1937" t="s">
        <v>7</v>
      </c>
      <c r="H1937" s="3">
        <v>18.294499999999999</v>
      </c>
      <c r="I1937" t="s">
        <v>3452</v>
      </c>
      <c r="J1937" t="s">
        <v>13694</v>
      </c>
      <c r="K1937" s="5" t="s">
        <v>9</v>
      </c>
      <c r="L1937" t="s">
        <v>4510</v>
      </c>
      <c r="M1937" t="str">
        <f>"https://www.artic.edu/iiif/2/"&amp;Table9[[#This Row],[Image ID]]&amp;"/full/843,/0/default.jpg"</f>
        <v>https://www.artic.edu/iiif/2/c4425cb6-d8b5-6390-603d-7f802406d05d/full/843,/0/default.jpg</v>
      </c>
      <c r="N1937" s="3">
        <v>0.77500000000000002</v>
      </c>
      <c r="O1937" s="3">
        <v>0.125</v>
      </c>
      <c r="P1937" s="3">
        <v>0.65</v>
      </c>
      <c r="Q1937" s="3">
        <v>0.59805601835250799</v>
      </c>
    </row>
    <row r="1938" spans="1:17" x14ac:dyDescent="0.45">
      <c r="A1938" s="3">
        <v>115222</v>
      </c>
      <c r="B1938" t="b">
        <v>0</v>
      </c>
      <c r="C1938" t="b">
        <v>1</v>
      </c>
      <c r="D1938" s="3">
        <v>1847</v>
      </c>
      <c r="E1938" s="3">
        <v>1847</v>
      </c>
      <c r="F1938" t="s">
        <v>1886</v>
      </c>
      <c r="G1938" t="s">
        <v>1887</v>
      </c>
      <c r="H1938" s="3">
        <v>23.537400000000002</v>
      </c>
      <c r="I1938" t="s">
        <v>1555</v>
      </c>
      <c r="J1938" t="s">
        <v>13812</v>
      </c>
      <c r="L1938" t="s">
        <v>1888</v>
      </c>
      <c r="M1938" t="str">
        <f>"https://www.artic.edu/iiif/2/"&amp;Table9[[#This Row],[Image ID]]&amp;"/full/843,/0/default.jpg"</f>
        <v>https://www.artic.edu/iiif/2/cd04b952-dcb2-244f-646d-2551f342978e/full/843,/0/default.jpg</v>
      </c>
      <c r="N1938" s="3">
        <v>0.72499999999999998</v>
      </c>
      <c r="O1938" s="3">
        <v>7.4999999999999997E-2</v>
      </c>
      <c r="P1938" s="3">
        <v>0.65</v>
      </c>
      <c r="Q1938" s="3">
        <v>0.67464435100555398</v>
      </c>
    </row>
    <row r="1939" spans="1:17" x14ac:dyDescent="0.45">
      <c r="A1939" s="3">
        <v>39232</v>
      </c>
      <c r="B1939" t="b">
        <v>0</v>
      </c>
      <c r="C1939" t="b">
        <v>1</v>
      </c>
      <c r="D1939" s="3">
        <v>1835</v>
      </c>
      <c r="E1939" s="3">
        <v>1882</v>
      </c>
      <c r="F1939" t="s">
        <v>7534</v>
      </c>
      <c r="G1939" t="s">
        <v>7535</v>
      </c>
      <c r="H1939" s="3">
        <v>17.661999999999999</v>
      </c>
      <c r="I1939" t="s">
        <v>5317</v>
      </c>
      <c r="J1939" t="s">
        <v>13861</v>
      </c>
      <c r="L1939" t="s">
        <v>7536</v>
      </c>
      <c r="M1939" t="str">
        <f>"https://www.artic.edu/iiif/2/"&amp;Table9[[#This Row],[Image ID]]&amp;"/full/843,/0/default.jpg"</f>
        <v>https://www.artic.edu/iiif/2/d18d4c79-ed26-0a80-2df1-d2d764a7911f/full/843,/0/default.jpg</v>
      </c>
      <c r="N1939" s="3">
        <v>0.75</v>
      </c>
      <c r="O1939" s="3">
        <v>0.1</v>
      </c>
      <c r="P1939" s="3">
        <v>0.65</v>
      </c>
      <c r="Q1939" s="3">
        <v>0.80631709098815896</v>
      </c>
    </row>
    <row r="1940" spans="1:17" x14ac:dyDescent="0.45">
      <c r="A1940" s="3">
        <v>229972</v>
      </c>
      <c r="B1940" t="b">
        <v>0</v>
      </c>
      <c r="C1940" t="b">
        <v>1</v>
      </c>
      <c r="D1940" s="3">
        <v>1790</v>
      </c>
      <c r="E1940" s="3">
        <v>1790</v>
      </c>
      <c r="F1940" t="s">
        <v>6123</v>
      </c>
      <c r="G1940" t="s">
        <v>6124</v>
      </c>
      <c r="H1940" s="3">
        <v>27.803699999999999</v>
      </c>
      <c r="I1940" t="s">
        <v>3732</v>
      </c>
      <c r="J1940" t="s">
        <v>14007</v>
      </c>
      <c r="L1940" t="s">
        <v>6125</v>
      </c>
      <c r="M1940" t="str">
        <f>"https://www.artic.edu/iiif/2/"&amp;Table9[[#This Row],[Image ID]]&amp;"/full/843,/0/default.jpg"</f>
        <v>https://www.artic.edu/iiif/2/dbe6a07f-0fbf-3f25-a355-c9ca22f49a8d/full/843,/0/default.jpg</v>
      </c>
      <c r="N1940" s="3">
        <v>0.77500000000000002</v>
      </c>
      <c r="O1940" s="3">
        <v>0.125</v>
      </c>
      <c r="P1940" s="3">
        <v>0.65</v>
      </c>
      <c r="Q1940" s="3">
        <v>0.82687860727310103</v>
      </c>
    </row>
    <row r="1941" spans="1:17" x14ac:dyDescent="0.45">
      <c r="A1941" s="3">
        <v>97291</v>
      </c>
      <c r="B1941" t="b">
        <v>0</v>
      </c>
      <c r="C1941" t="b">
        <v>1</v>
      </c>
      <c r="D1941" s="3">
        <v>1880</v>
      </c>
      <c r="E1941" s="3">
        <v>1880</v>
      </c>
      <c r="F1941" t="s">
        <v>10809</v>
      </c>
      <c r="G1941" t="s">
        <v>7</v>
      </c>
      <c r="H1941" s="3">
        <v>43.905799999999999</v>
      </c>
      <c r="I1941" t="s">
        <v>506</v>
      </c>
      <c r="J1941" t="s">
        <v>14029</v>
      </c>
      <c r="L1941" t="s">
        <v>10810</v>
      </c>
      <c r="M1941" t="str">
        <f>"https://www.artic.edu/iiif/2/"&amp;Table9[[#This Row],[Image ID]]&amp;"/full/843,/0/default.jpg"</f>
        <v>https://www.artic.edu/iiif/2/dd91d801-7155-a7ee-bfb5-70b94e43e100/full/843,/0/default.jpg</v>
      </c>
      <c r="N1941" s="3">
        <v>0.67500000000000004</v>
      </c>
      <c r="O1941" s="3">
        <v>2.5000000000000001E-2</v>
      </c>
      <c r="P1941" s="3">
        <v>0.65</v>
      </c>
      <c r="Q1941" s="3">
        <v>0.55350166559219305</v>
      </c>
    </row>
    <row r="1942" spans="1:17" x14ac:dyDescent="0.45">
      <c r="A1942" s="3">
        <v>97897</v>
      </c>
      <c r="B1942" t="b">
        <v>0</v>
      </c>
      <c r="C1942" t="b">
        <v>1</v>
      </c>
      <c r="D1942" s="3">
        <v>1900</v>
      </c>
      <c r="E1942" s="3">
        <v>1900</v>
      </c>
      <c r="F1942" t="s">
        <v>10880</v>
      </c>
      <c r="G1942" t="s">
        <v>7</v>
      </c>
      <c r="H1942" s="3">
        <v>12.6082</v>
      </c>
      <c r="I1942" t="s">
        <v>192</v>
      </c>
      <c r="J1942" t="s">
        <v>14031</v>
      </c>
      <c r="L1942" t="s">
        <v>10881</v>
      </c>
      <c r="M1942" t="str">
        <f>"https://www.artic.edu/iiif/2/"&amp;Table9[[#This Row],[Image ID]]&amp;"/full/843,/0/default.jpg"</f>
        <v>https://www.artic.edu/iiif/2/ddabac10-c2ca-95ce-73fe-f568bb59e9e3/full/843,/0/default.jpg</v>
      </c>
      <c r="N1942" s="3">
        <v>0.65</v>
      </c>
      <c r="O1942" s="3">
        <v>0</v>
      </c>
      <c r="P1942" s="3">
        <v>0.65</v>
      </c>
      <c r="Q1942" s="3">
        <v>0.73754554986953702</v>
      </c>
    </row>
    <row r="1943" spans="1:17" x14ac:dyDescent="0.45">
      <c r="A1943" s="3">
        <v>28843</v>
      </c>
      <c r="B1943" t="b">
        <v>0</v>
      </c>
      <c r="C1943" t="b">
        <v>1</v>
      </c>
      <c r="D1943" s="3">
        <v>1835</v>
      </c>
      <c r="E1943" s="3">
        <v>1845</v>
      </c>
      <c r="F1943" t="s">
        <v>6822</v>
      </c>
      <c r="G1943" t="s">
        <v>6823</v>
      </c>
      <c r="H1943" s="3">
        <v>22.482199999999999</v>
      </c>
      <c r="I1943" t="s">
        <v>6824</v>
      </c>
      <c r="J1943" t="s">
        <v>14066</v>
      </c>
      <c r="L1943" t="s">
        <v>6825</v>
      </c>
      <c r="M1943" t="str">
        <f>"https://www.artic.edu/iiif/2/"&amp;Table9[[#This Row],[Image ID]]&amp;"/full/843,/0/default.jpg"</f>
        <v>https://www.artic.edu/iiif/2/e0480086-9e05-5e8a-a0a1-2c412c596e43/full/843,/0/default.jpg</v>
      </c>
      <c r="N1943" s="3">
        <v>0.77500000000000002</v>
      </c>
      <c r="O1943" s="3">
        <v>0.125</v>
      </c>
      <c r="P1943" s="3">
        <v>0.65</v>
      </c>
      <c r="Q1943" s="3">
        <v>0.64429956674575795</v>
      </c>
    </row>
    <row r="1944" spans="1:17" x14ac:dyDescent="0.45">
      <c r="A1944" s="3">
        <v>140600</v>
      </c>
      <c r="B1944" t="b">
        <v>0</v>
      </c>
      <c r="C1944" t="b">
        <v>1</v>
      </c>
      <c r="D1944" s="3">
        <v>1701</v>
      </c>
      <c r="E1944" s="3">
        <v>1900</v>
      </c>
      <c r="F1944" t="s">
        <v>3251</v>
      </c>
      <c r="G1944" t="s">
        <v>3252</v>
      </c>
      <c r="H1944" s="3">
        <v>58.054699999999997</v>
      </c>
      <c r="J1944" t="s">
        <v>14091</v>
      </c>
      <c r="K1944" s="5" t="s">
        <v>5</v>
      </c>
      <c r="L1944" t="s">
        <v>3253</v>
      </c>
      <c r="M1944" t="str">
        <f>"https://www.artic.edu/iiif/2/"&amp;Table9[[#This Row],[Image ID]]&amp;"/full/843,/0/default.jpg"</f>
        <v>https://www.artic.edu/iiif/2/e1b0118e-b051-80b8-edf4-9d136e666c81/full/843,/0/default.jpg</v>
      </c>
      <c r="N1944" s="3">
        <v>0.8</v>
      </c>
      <c r="O1944" s="3">
        <v>0.15</v>
      </c>
      <c r="P1944" s="3">
        <v>0.65</v>
      </c>
      <c r="Q1944" s="3">
        <v>0.737010598182678</v>
      </c>
    </row>
    <row r="1945" spans="1:17" x14ac:dyDescent="0.45">
      <c r="A1945" s="3">
        <v>7503</v>
      </c>
      <c r="B1945" t="b">
        <v>0</v>
      </c>
      <c r="C1945" t="b">
        <v>1</v>
      </c>
      <c r="D1945" s="3">
        <v>1887</v>
      </c>
      <c r="E1945" s="3">
        <v>1887</v>
      </c>
      <c r="F1945" t="s">
        <v>1059</v>
      </c>
      <c r="G1945" t="s">
        <v>7</v>
      </c>
      <c r="H1945" s="3">
        <v>17.854199999999999</v>
      </c>
      <c r="I1945" t="s">
        <v>3221</v>
      </c>
      <c r="J1945" t="s">
        <v>14121</v>
      </c>
      <c r="K1945" s="5" t="s">
        <v>9</v>
      </c>
      <c r="L1945" t="s">
        <v>9715</v>
      </c>
      <c r="M1945" t="str">
        <f>"https://www.artic.edu/iiif/2/"&amp;Table9[[#This Row],[Image ID]]&amp;"/full/843,/0/default.jpg"</f>
        <v>https://www.artic.edu/iiif/2/e35161fb-cd78-b757-8000-15ba3ebb0fc3/full/843,/0/default.jpg</v>
      </c>
      <c r="N1945" s="3">
        <v>0.67500000000000004</v>
      </c>
      <c r="O1945" s="3">
        <v>2.5000000000000001E-2</v>
      </c>
      <c r="P1945" s="3">
        <v>0.65</v>
      </c>
      <c r="Q1945" s="3">
        <v>0.61394125223159701</v>
      </c>
    </row>
    <row r="1946" spans="1:17" x14ac:dyDescent="0.45">
      <c r="A1946" s="3">
        <v>24932</v>
      </c>
      <c r="B1946" t="b">
        <v>0</v>
      </c>
      <c r="C1946" t="b">
        <v>1</v>
      </c>
      <c r="D1946" s="3">
        <v>1645</v>
      </c>
      <c r="E1946" s="3">
        <v>1674</v>
      </c>
      <c r="F1946" t="s">
        <v>6446</v>
      </c>
      <c r="G1946" t="s">
        <v>6447</v>
      </c>
      <c r="H1946" s="3">
        <v>41.099600000000002</v>
      </c>
      <c r="I1946" t="s">
        <v>473</v>
      </c>
      <c r="J1946" t="s">
        <v>14243</v>
      </c>
      <c r="L1946" t="s">
        <v>6448</v>
      </c>
      <c r="M1946" t="str">
        <f>"https://www.artic.edu/iiif/2/"&amp;Table9[[#This Row],[Image ID]]&amp;"/full/843,/0/default.jpg"</f>
        <v>https://www.artic.edu/iiif/2/eb55a232-2209-e00d-0716-0f813cea6c64/full/843,/0/default.jpg</v>
      </c>
      <c r="N1946" s="3">
        <v>0.72499999999999998</v>
      </c>
      <c r="O1946" s="3">
        <v>7.4999999999999997E-2</v>
      </c>
      <c r="P1946" s="3">
        <v>0.65</v>
      </c>
      <c r="Q1946" s="3">
        <v>0.77920687198638905</v>
      </c>
    </row>
    <row r="1947" spans="1:17" x14ac:dyDescent="0.45">
      <c r="A1947" s="3">
        <v>70118</v>
      </c>
      <c r="B1947" t="b">
        <v>0</v>
      </c>
      <c r="C1947" t="b">
        <v>1</v>
      </c>
      <c r="D1947" s="3">
        <v>1655</v>
      </c>
      <c r="E1947" s="3">
        <v>1665</v>
      </c>
      <c r="F1947" t="s">
        <v>9433</v>
      </c>
      <c r="G1947" t="s">
        <v>7</v>
      </c>
      <c r="H1947" s="3">
        <v>24.9785</v>
      </c>
      <c r="I1947" t="s">
        <v>9434</v>
      </c>
      <c r="J1947" t="s">
        <v>14259</v>
      </c>
      <c r="L1947" t="s">
        <v>9435</v>
      </c>
      <c r="M1947" t="str">
        <f>"https://www.artic.edu/iiif/2/"&amp;Table9[[#This Row],[Image ID]]&amp;"/full/843,/0/default.jpg"</f>
        <v>https://www.artic.edu/iiif/2/ec7c2bc7-7e9e-eb36-6edf-b5198533da10/full/843,/0/default.jpg</v>
      </c>
      <c r="N1947" s="3">
        <v>0.72499999999999998</v>
      </c>
      <c r="O1947" s="3">
        <v>7.4999999999999997E-2</v>
      </c>
      <c r="P1947" s="3">
        <v>0.65</v>
      </c>
      <c r="Q1947" s="3">
        <v>0.86802476644515902</v>
      </c>
    </row>
    <row r="1948" spans="1:17" x14ac:dyDescent="0.45">
      <c r="A1948" s="3">
        <v>114326</v>
      </c>
      <c r="B1948" t="b">
        <v>0</v>
      </c>
      <c r="C1948" t="b">
        <v>1</v>
      </c>
      <c r="D1948" s="3">
        <v>1800</v>
      </c>
      <c r="E1948" s="3">
        <v>1899</v>
      </c>
      <c r="F1948" t="s">
        <v>1607</v>
      </c>
      <c r="G1948" t="s">
        <v>1608</v>
      </c>
      <c r="H1948" s="3">
        <v>21.8337</v>
      </c>
      <c r="I1948" t="s">
        <v>16</v>
      </c>
      <c r="J1948" t="s">
        <v>14273</v>
      </c>
      <c r="L1948" t="s">
        <v>1609</v>
      </c>
      <c r="M1948" t="str">
        <f>"https://www.artic.edu/iiif/2/"&amp;Table9[[#This Row],[Image ID]]&amp;"/full/843,/0/default.jpg"</f>
        <v>https://www.artic.edu/iiif/2/ed66fb9b-30a4-2667-40e6-c9f297f02d72/full/843,/0/default.jpg</v>
      </c>
      <c r="N1948" s="3">
        <v>0.75</v>
      </c>
      <c r="O1948" s="3">
        <v>0.1</v>
      </c>
      <c r="P1948" s="3">
        <v>0.65</v>
      </c>
      <c r="Q1948" s="3">
        <v>0.41405177116393999</v>
      </c>
    </row>
    <row r="1949" spans="1:17" ht="85.5" x14ac:dyDescent="0.45">
      <c r="A1949" s="3">
        <v>111670</v>
      </c>
      <c r="B1949" t="b">
        <v>0</v>
      </c>
      <c r="C1949" t="b">
        <v>1</v>
      </c>
      <c r="D1949" s="3">
        <v>1515</v>
      </c>
      <c r="E1949" s="3">
        <v>1520</v>
      </c>
      <c r="F1949" t="s">
        <v>1233</v>
      </c>
      <c r="G1949" t="s">
        <v>1234</v>
      </c>
      <c r="H1949" s="3">
        <v>32.198599999999999</v>
      </c>
      <c r="I1949" t="s">
        <v>1235</v>
      </c>
      <c r="J1949" s="1" t="s">
        <v>14398</v>
      </c>
      <c r="L1949" t="s">
        <v>1236</v>
      </c>
      <c r="M1949" t="str">
        <f>"https://www.artic.edu/iiif/2/"&amp;Table9[[#This Row],[Image ID]]&amp;"/full/843,/0/default.jpg"</f>
        <v>https://www.artic.edu/iiif/2/f66dd2f6-735b-3bbb-560f-66cd3ecea0e6/full/843,/0/default.jpg</v>
      </c>
      <c r="N1949" s="3">
        <v>0.67500000000000004</v>
      </c>
      <c r="O1949" s="3">
        <v>2.5000000000000001E-2</v>
      </c>
      <c r="P1949" s="3">
        <v>0.65</v>
      </c>
      <c r="Q1949" s="3">
        <v>0.75923401117324796</v>
      </c>
    </row>
    <row r="1950" spans="1:17" x14ac:dyDescent="0.45">
      <c r="A1950" s="3">
        <v>180204</v>
      </c>
      <c r="B1950" t="b">
        <v>0</v>
      </c>
      <c r="C1950" t="b">
        <v>1</v>
      </c>
      <c r="D1950" s="3">
        <v>1801</v>
      </c>
      <c r="E1950" s="3">
        <v>1900</v>
      </c>
      <c r="F1950" t="s">
        <v>4689</v>
      </c>
      <c r="G1950" t="s">
        <v>4690</v>
      </c>
      <c r="H1950" s="3">
        <v>32.833399999999997</v>
      </c>
      <c r="J1950" t="s">
        <v>14446</v>
      </c>
      <c r="K1950" s="5" t="s">
        <v>5</v>
      </c>
      <c r="L1950" t="s">
        <v>4691</v>
      </c>
      <c r="M1950" t="str">
        <f>"https://www.artic.edu/iiif/2/"&amp;Table9[[#This Row],[Image ID]]&amp;"/full/843,/0/default.jpg"</f>
        <v>https://www.artic.edu/iiif/2/f9b8e473-ad03-6b0a-16c9-cc7163189bfa/full/843,/0/default.jpg</v>
      </c>
      <c r="N1950" s="3">
        <v>0.77500000000000002</v>
      </c>
      <c r="O1950" s="3">
        <v>0.125</v>
      </c>
      <c r="P1950" s="3">
        <v>0.65</v>
      </c>
      <c r="Q1950" s="3">
        <v>0.766018867492675</v>
      </c>
    </row>
    <row r="1951" spans="1:17" x14ac:dyDescent="0.45">
      <c r="A1951" s="3">
        <v>120296</v>
      </c>
      <c r="B1951" t="b">
        <v>0</v>
      </c>
      <c r="C1951" t="b">
        <v>1</v>
      </c>
      <c r="D1951" s="3">
        <v>1894</v>
      </c>
      <c r="E1951" s="3">
        <v>1894</v>
      </c>
      <c r="F1951" t="s">
        <v>2637</v>
      </c>
      <c r="G1951" t="s">
        <v>7</v>
      </c>
      <c r="H1951" s="3">
        <v>14.9709</v>
      </c>
      <c r="I1951" t="s">
        <v>2638</v>
      </c>
      <c r="J1951" t="s">
        <v>14534</v>
      </c>
      <c r="K1951" s="5" t="s">
        <v>9</v>
      </c>
      <c r="L1951" t="s">
        <v>2639</v>
      </c>
      <c r="M1951" t="str">
        <f>"https://www.artic.edu/iiif/2/"&amp;Table9[[#This Row],[Image ID]]&amp;"/full/843,/0/default.jpg"</f>
        <v>https://www.artic.edu/iiif/2/ff5e49d3-448f-2aba-4461-6e36c1dc7dfa/full/843,/0/default.jpg</v>
      </c>
      <c r="N1951" s="3">
        <v>0.77500000000000002</v>
      </c>
      <c r="O1951" s="3">
        <v>0.125</v>
      </c>
      <c r="P1951" s="3">
        <v>0.65</v>
      </c>
      <c r="Q1951" s="3">
        <v>0.42322129011154103</v>
      </c>
    </row>
    <row r="1952" spans="1:17" x14ac:dyDescent="0.45">
      <c r="A1952" s="3">
        <v>55400</v>
      </c>
      <c r="B1952" t="b">
        <v>0</v>
      </c>
      <c r="C1952" t="b">
        <v>0</v>
      </c>
      <c r="D1952" s="3">
        <v>1939</v>
      </c>
      <c r="E1952" s="3">
        <v>1940</v>
      </c>
      <c r="F1952" t="s">
        <v>8337</v>
      </c>
      <c r="G1952" t="s">
        <v>8338</v>
      </c>
      <c r="H1952" s="3">
        <v>46.295299999999997</v>
      </c>
      <c r="I1952" t="s">
        <v>40</v>
      </c>
      <c r="J1952" t="s">
        <v>11047</v>
      </c>
      <c r="L1952" t="s">
        <v>8339</v>
      </c>
      <c r="M1952" t="str">
        <f>"https://www.artic.edu/iiif/2/"&amp;Table9[[#This Row],[Image ID]]&amp;"/full/843,/0/default.jpg"</f>
        <v>https://www.artic.edu/iiif/2/05338c56-41da-6115-5531-d4235bb6ed3b/full/843,/0/default.jpg</v>
      </c>
      <c r="N1952" s="3">
        <v>0.7</v>
      </c>
      <c r="O1952" s="3">
        <v>0.05</v>
      </c>
      <c r="P1952" s="3">
        <v>0.64999999999999991</v>
      </c>
      <c r="Q1952" s="3">
        <v>0.82880860567092896</v>
      </c>
    </row>
    <row r="1953" spans="1:17" x14ac:dyDescent="0.45">
      <c r="A1953" s="3">
        <v>66144</v>
      </c>
      <c r="B1953" t="b">
        <v>0</v>
      </c>
      <c r="C1953" t="b">
        <v>0</v>
      </c>
      <c r="D1953" s="3">
        <v>1906</v>
      </c>
      <c r="E1953" s="3">
        <v>1906</v>
      </c>
      <c r="F1953" t="s">
        <v>9193</v>
      </c>
      <c r="G1953" t="s">
        <v>7</v>
      </c>
      <c r="H1953" s="3">
        <v>47.080100000000002</v>
      </c>
      <c r="I1953" t="s">
        <v>14717</v>
      </c>
      <c r="J1953" t="s">
        <v>11054</v>
      </c>
      <c r="L1953" t="s">
        <v>9194</v>
      </c>
      <c r="M1953" t="str">
        <f>"https://www.artic.edu/iiif/2/"&amp;Table9[[#This Row],[Image ID]]&amp;"/full/843,/0/default.jpg"</f>
        <v>https://www.artic.edu/iiif/2/0558d3c0-dd86-7d26-2e55-126c1470ca41/full/843,/0/default.jpg</v>
      </c>
      <c r="N1953" s="3">
        <v>0.82499999999999996</v>
      </c>
      <c r="O1953" s="3">
        <v>0.17499999999999999</v>
      </c>
      <c r="P1953" s="3">
        <v>0.64999999999999991</v>
      </c>
      <c r="Q1953" s="3">
        <v>0.68090212345123202</v>
      </c>
    </row>
    <row r="1954" spans="1:17" x14ac:dyDescent="0.45">
      <c r="A1954" s="3">
        <v>22242</v>
      </c>
      <c r="B1954" t="b">
        <v>0</v>
      </c>
      <c r="C1954" t="b">
        <v>0</v>
      </c>
      <c r="D1954" s="3">
        <v>1962</v>
      </c>
      <c r="E1954" s="3">
        <v>1962</v>
      </c>
      <c r="F1954" t="s">
        <v>5828</v>
      </c>
      <c r="G1954" t="s">
        <v>7</v>
      </c>
      <c r="H1954" s="3">
        <v>19.770600000000002</v>
      </c>
      <c r="I1954" t="s">
        <v>752</v>
      </c>
      <c r="J1954" t="s">
        <v>11102</v>
      </c>
      <c r="L1954" t="s">
        <v>5829</v>
      </c>
      <c r="M1954" t="str">
        <f>"https://www.artic.edu/iiif/2/"&amp;Table9[[#This Row],[Image ID]]&amp;"/full/843,/0/default.jpg"</f>
        <v>https://www.artic.edu/iiif/2/08feb924-b4eb-1545-0315-0b20387d3490/full/843,/0/default.jpg</v>
      </c>
      <c r="N1954" s="3">
        <v>0.7</v>
      </c>
      <c r="O1954" s="3">
        <v>0.05</v>
      </c>
      <c r="P1954" s="3">
        <v>0.64999999999999991</v>
      </c>
      <c r="Q1954" s="3">
        <v>0.87532871961593595</v>
      </c>
    </row>
    <row r="1955" spans="1:17" x14ac:dyDescent="0.45">
      <c r="A1955" s="3">
        <v>203075</v>
      </c>
      <c r="B1955" t="b">
        <v>0</v>
      </c>
      <c r="C1955" t="b">
        <v>0</v>
      </c>
      <c r="D1955" s="3">
        <v>1928</v>
      </c>
      <c r="E1955" s="3">
        <v>1996</v>
      </c>
      <c r="F1955" t="s">
        <v>5363</v>
      </c>
      <c r="G1955" t="s">
        <v>5364</v>
      </c>
      <c r="H1955" s="3">
        <v>30.417899999999999</v>
      </c>
      <c r="I1955" t="s">
        <v>5365</v>
      </c>
      <c r="J1955" t="s">
        <v>11540</v>
      </c>
      <c r="L1955" t="s">
        <v>5366</v>
      </c>
      <c r="M1955" t="str">
        <f>"https://www.artic.edu/iiif/2/"&amp;Table9[[#This Row],[Image ID]]&amp;"/full/843,/0/default.jpg"</f>
        <v>https://www.artic.edu/iiif/2/27154a3d-6637-1aa4-24e6-911eacfa1517/full/843,/0/default.jpg</v>
      </c>
      <c r="N1955" s="3">
        <v>0.85</v>
      </c>
      <c r="O1955" s="3">
        <v>0.2</v>
      </c>
      <c r="P1955" s="3">
        <v>0.64999999999999991</v>
      </c>
      <c r="Q1955" s="3">
        <v>0.66688978672027499</v>
      </c>
    </row>
    <row r="1956" spans="1:17" x14ac:dyDescent="0.45">
      <c r="A1956" s="3">
        <v>127263</v>
      </c>
      <c r="B1956" t="b">
        <v>0</v>
      </c>
      <c r="C1956" t="b">
        <v>0</v>
      </c>
      <c r="D1956" s="3">
        <v>1940</v>
      </c>
      <c r="E1956" s="3">
        <v>1940</v>
      </c>
      <c r="F1956" t="s">
        <v>734</v>
      </c>
      <c r="G1956" t="s">
        <v>160</v>
      </c>
      <c r="H1956" s="3">
        <v>65.508899999999997</v>
      </c>
      <c r="I1956" t="s">
        <v>2796</v>
      </c>
      <c r="J1956" t="s">
        <v>11654</v>
      </c>
      <c r="L1956" t="s">
        <v>2812</v>
      </c>
      <c r="M1956" t="str">
        <f>"https://www.artic.edu/iiif/2/"&amp;Table9[[#This Row],[Image ID]]&amp;"/full/843,/0/default.jpg"</f>
        <v>https://www.artic.edu/iiif/2/2ebd8ef2-d8e8-f0f2-2d1f-c19cec39d799/full/843,/0/default.jpg</v>
      </c>
      <c r="N1956" s="3">
        <v>0.7</v>
      </c>
      <c r="O1956" s="3">
        <v>0.05</v>
      </c>
      <c r="P1956" s="3">
        <v>0.64999999999999991</v>
      </c>
      <c r="Q1956" s="3">
        <v>0.78295427560806197</v>
      </c>
    </row>
    <row r="1957" spans="1:17" x14ac:dyDescent="0.45">
      <c r="A1957" s="3">
        <v>60747</v>
      </c>
      <c r="B1957" t="b">
        <v>0</v>
      </c>
      <c r="C1957" t="b">
        <v>0</v>
      </c>
      <c r="D1957" s="3">
        <v>1945</v>
      </c>
      <c r="E1957" s="3">
        <v>1945</v>
      </c>
      <c r="F1957" t="s">
        <v>8744</v>
      </c>
      <c r="G1957" t="s">
        <v>7</v>
      </c>
      <c r="H1957" s="3">
        <v>24.843900000000001</v>
      </c>
      <c r="I1957" t="s">
        <v>329</v>
      </c>
      <c r="J1957" t="s">
        <v>11727</v>
      </c>
      <c r="K1957" s="5" t="s">
        <v>2</v>
      </c>
      <c r="L1957" t="s">
        <v>8745</v>
      </c>
      <c r="M1957" t="str">
        <f>"https://www.artic.edu/iiif/2/"&amp;Table9[[#This Row],[Image ID]]&amp;"/full/843,/0/default.jpg"</f>
        <v>https://www.artic.edu/iiif/2/33ba9efe-0932-4552-e817-efa70474d5c2/full/843,/0/default.jpg</v>
      </c>
      <c r="N1957" s="3">
        <v>0.7</v>
      </c>
      <c r="O1957" s="3">
        <v>0.05</v>
      </c>
      <c r="P1957" s="3">
        <v>0.64999999999999991</v>
      </c>
      <c r="Q1957" s="3">
        <v>0.65704160928726196</v>
      </c>
    </row>
    <row r="1958" spans="1:17" x14ac:dyDescent="0.45">
      <c r="A1958" s="3">
        <v>142553</v>
      </c>
      <c r="B1958" t="b">
        <v>0</v>
      </c>
      <c r="C1958" t="b">
        <v>0</v>
      </c>
      <c r="D1958" s="3">
        <v>1979</v>
      </c>
      <c r="E1958" s="3">
        <v>1979</v>
      </c>
      <c r="F1958" t="s">
        <v>3292</v>
      </c>
      <c r="G1958" t="s">
        <v>2072</v>
      </c>
      <c r="H1958" s="3">
        <v>35.3919</v>
      </c>
      <c r="I1958" t="s">
        <v>3293</v>
      </c>
      <c r="J1958" t="s">
        <v>11830</v>
      </c>
      <c r="L1958" t="s">
        <v>3294</v>
      </c>
      <c r="M1958" t="str">
        <f>"https://www.artic.edu/iiif/2/"&amp;Table9[[#This Row],[Image ID]]&amp;"/full/843,/0/default.jpg"</f>
        <v>https://www.artic.edu/iiif/2/3a42ad80-658c-6995-5dc9-4356ab9068ea/full/843,/0/default.jpg</v>
      </c>
      <c r="N1958" s="3">
        <v>0.7</v>
      </c>
      <c r="O1958" s="3">
        <v>0.05</v>
      </c>
      <c r="P1958" s="3">
        <v>0.64999999999999991</v>
      </c>
      <c r="Q1958" s="3">
        <v>0.67802149057388295</v>
      </c>
    </row>
    <row r="1959" spans="1:17" x14ac:dyDescent="0.45">
      <c r="A1959" s="3">
        <v>53111</v>
      </c>
      <c r="B1959" t="b">
        <v>0</v>
      </c>
      <c r="C1959" t="b">
        <v>0</v>
      </c>
      <c r="D1959" s="3">
        <v>1909</v>
      </c>
      <c r="E1959" s="3">
        <v>1909</v>
      </c>
      <c r="F1959" t="s">
        <v>438</v>
      </c>
      <c r="G1959" t="s">
        <v>8240</v>
      </c>
      <c r="H1959" s="3">
        <v>29.612500000000001</v>
      </c>
      <c r="I1959" t="s">
        <v>133</v>
      </c>
      <c r="J1959" t="s">
        <v>11856</v>
      </c>
      <c r="K1959" s="5" t="s">
        <v>134</v>
      </c>
      <c r="L1959" t="s">
        <v>8241</v>
      </c>
      <c r="M1959" t="str">
        <f>"https://www.artic.edu/iiif/2/"&amp;Table9[[#This Row],[Image ID]]&amp;"/full/843,/0/default.jpg"</f>
        <v>https://www.artic.edu/iiif/2/3bebd534-9481-3a50-f6cf-7bab3a6934da/full/843,/0/default.jpg</v>
      </c>
      <c r="N1959" s="3">
        <v>0.7</v>
      </c>
      <c r="O1959" s="3">
        <v>0.05</v>
      </c>
      <c r="P1959" s="3">
        <v>0.64999999999999991</v>
      </c>
      <c r="Q1959" s="3">
        <v>0.77235984802246005</v>
      </c>
    </row>
    <row r="1960" spans="1:17" x14ac:dyDescent="0.45">
      <c r="A1960" s="3">
        <v>10981</v>
      </c>
      <c r="B1960" t="b">
        <v>0</v>
      </c>
      <c r="C1960" t="b">
        <v>0</v>
      </c>
      <c r="D1960" s="3">
        <v>1938</v>
      </c>
      <c r="E1960" s="3">
        <v>1938</v>
      </c>
      <c r="F1960" t="s">
        <v>844</v>
      </c>
      <c r="G1960" t="s">
        <v>845</v>
      </c>
      <c r="H1960" s="3">
        <v>50.718000000000004</v>
      </c>
      <c r="I1960" t="s">
        <v>523</v>
      </c>
      <c r="J1960" t="s">
        <v>12139</v>
      </c>
      <c r="L1960" t="s">
        <v>846</v>
      </c>
      <c r="M1960" t="str">
        <f>"https://www.artic.edu/iiif/2/"&amp;Table9[[#This Row],[Image ID]]&amp;"/full/843,/0/default.jpg"</f>
        <v>https://www.artic.edu/iiif/2/509e3a6c-a944-7424-7b42-9786b096a0a6/full/843,/0/default.jpg</v>
      </c>
      <c r="N1960" s="3">
        <v>0.7</v>
      </c>
      <c r="O1960" s="3">
        <v>0.05</v>
      </c>
      <c r="P1960" s="3">
        <v>0.64999999999999991</v>
      </c>
      <c r="Q1960" s="3">
        <v>0.77441483736038197</v>
      </c>
    </row>
    <row r="1961" spans="1:17" x14ac:dyDescent="0.45">
      <c r="A1961" s="3">
        <v>27930</v>
      </c>
      <c r="B1961" t="b">
        <v>0</v>
      </c>
      <c r="C1961" t="b">
        <v>0</v>
      </c>
      <c r="D1961" s="3">
        <v>1920</v>
      </c>
      <c r="E1961" s="3">
        <v>1925</v>
      </c>
      <c r="F1961" t="s">
        <v>2792</v>
      </c>
      <c r="G1961" t="s">
        <v>7</v>
      </c>
      <c r="H1961" s="3">
        <v>43.836399999999998</v>
      </c>
      <c r="I1961" t="s">
        <v>14554</v>
      </c>
      <c r="J1961" t="s">
        <v>12145</v>
      </c>
      <c r="L1961" t="s">
        <v>6750</v>
      </c>
      <c r="M1961" t="str">
        <f>"https://www.artic.edu/iiif/2/"&amp;Table9[[#This Row],[Image ID]]&amp;"/full/843,/0/default.jpg"</f>
        <v>https://www.artic.edu/iiif/2/50b2dee2-6011-fe79-58bc-b9d9ae140d0c/full/843,/0/default.jpg</v>
      </c>
      <c r="N1961" s="3">
        <v>0.7</v>
      </c>
      <c r="O1961" s="3">
        <v>0.05</v>
      </c>
      <c r="P1961" s="3">
        <v>0.64999999999999991</v>
      </c>
      <c r="Q1961" s="3">
        <v>0.70485502481460505</v>
      </c>
    </row>
    <row r="1962" spans="1:17" x14ac:dyDescent="0.45">
      <c r="A1962" s="3">
        <v>14770</v>
      </c>
      <c r="B1962" t="b">
        <v>0</v>
      </c>
      <c r="C1962" t="b">
        <v>0</v>
      </c>
      <c r="D1962" s="3">
        <v>1898</v>
      </c>
      <c r="E1962" s="3">
        <v>1927</v>
      </c>
      <c r="F1962" t="s">
        <v>3650</v>
      </c>
      <c r="G1962" t="s">
        <v>3651</v>
      </c>
      <c r="H1962" s="3">
        <v>23.108000000000001</v>
      </c>
      <c r="I1962" t="s">
        <v>427</v>
      </c>
      <c r="J1962" t="s">
        <v>12256</v>
      </c>
      <c r="L1962" t="s">
        <v>3652</v>
      </c>
      <c r="M1962" t="str">
        <f>"https://www.artic.edu/iiif/2/"&amp;Table9[[#This Row],[Image ID]]&amp;"/full/843,/0/default.jpg"</f>
        <v>https://www.artic.edu/iiif/2/57378127-0add-b6c8-863c-a2a087b839d7/full/843,/0/default.jpg</v>
      </c>
      <c r="N1962" s="3">
        <v>0.7</v>
      </c>
      <c r="O1962" s="3">
        <v>0.05</v>
      </c>
      <c r="P1962" s="3">
        <v>0.64999999999999991</v>
      </c>
      <c r="Q1962" s="3">
        <v>0.79180735349655096</v>
      </c>
    </row>
    <row r="1963" spans="1:17" x14ac:dyDescent="0.45">
      <c r="A1963" s="3">
        <v>113733</v>
      </c>
      <c r="B1963" t="b">
        <v>0</v>
      </c>
      <c r="C1963" t="b">
        <v>0</v>
      </c>
      <c r="D1963" s="3">
        <v>1966</v>
      </c>
      <c r="E1963" s="3">
        <v>1967</v>
      </c>
      <c r="F1963" t="s">
        <v>1497</v>
      </c>
      <c r="G1963" t="s">
        <v>1498</v>
      </c>
      <c r="H1963" s="3">
        <v>84.147000000000006</v>
      </c>
      <c r="I1963" t="s">
        <v>1499</v>
      </c>
      <c r="J1963" t="s">
        <v>12314</v>
      </c>
      <c r="L1963" t="s">
        <v>1500</v>
      </c>
      <c r="M1963" t="str">
        <f>"https://www.artic.edu/iiif/2/"&amp;Table9[[#This Row],[Image ID]]&amp;"/full/843,/0/default.jpg"</f>
        <v>https://www.artic.edu/iiif/2/5bbbfea2-781f-00af-9d61-fa25efc04b20/full/843,/0/default.jpg</v>
      </c>
      <c r="N1963" s="3">
        <v>0.7</v>
      </c>
      <c r="O1963" s="3">
        <v>0.05</v>
      </c>
      <c r="P1963" s="3">
        <v>0.64999999999999991</v>
      </c>
      <c r="Q1963" s="3">
        <v>0.65418910980224598</v>
      </c>
    </row>
    <row r="1964" spans="1:17" x14ac:dyDescent="0.45">
      <c r="A1964" s="3">
        <v>55688</v>
      </c>
      <c r="B1964" t="b">
        <v>0</v>
      </c>
      <c r="C1964" t="b">
        <v>0</v>
      </c>
      <c r="D1964" s="3">
        <v>1963</v>
      </c>
      <c r="E1964" s="3">
        <v>1965</v>
      </c>
      <c r="F1964" t="s">
        <v>8369</v>
      </c>
      <c r="G1964" t="s">
        <v>8370</v>
      </c>
      <c r="H1964" s="3">
        <v>27.899899999999999</v>
      </c>
      <c r="I1964" t="s">
        <v>599</v>
      </c>
      <c r="J1964" t="s">
        <v>11435</v>
      </c>
      <c r="L1964" t="s">
        <v>8371</v>
      </c>
      <c r="M1964" t="str">
        <f>"https://www.artic.edu/iiif/2/"&amp;Table9[[#This Row],[Image ID]]&amp;"/full/843,/0/default.jpg"</f>
        <v>https://www.artic.edu/iiif/2/7a439f03-fcb1-ea36-ca5b-8f2bca6e5aad/full/843,/0/default.jpg</v>
      </c>
      <c r="N1964" s="3">
        <v>0.7</v>
      </c>
      <c r="O1964" s="3">
        <v>0.05</v>
      </c>
      <c r="P1964" s="3">
        <v>0.64999999999999991</v>
      </c>
      <c r="Q1964" s="3">
        <v>0.73797541856765703</v>
      </c>
    </row>
    <row r="1965" spans="1:17" x14ac:dyDescent="0.45">
      <c r="A1965" s="3">
        <v>47996</v>
      </c>
      <c r="B1965" t="b">
        <v>0</v>
      </c>
      <c r="C1965" t="b">
        <v>0</v>
      </c>
      <c r="D1965" s="3">
        <v>1896</v>
      </c>
      <c r="E1965" s="3">
        <v>1943</v>
      </c>
      <c r="F1965" t="s">
        <v>7986</v>
      </c>
      <c r="G1965" t="s">
        <v>7987</v>
      </c>
      <c r="H1965" s="3">
        <v>24.3324</v>
      </c>
      <c r="I1965" t="s">
        <v>7988</v>
      </c>
      <c r="J1965" t="s">
        <v>12877</v>
      </c>
      <c r="L1965" t="s">
        <v>7989</v>
      </c>
      <c r="M1965" t="str">
        <f>"https://www.artic.edu/iiif/2/"&amp;Table9[[#This Row],[Image ID]]&amp;"/full/843,/0/default.jpg"</f>
        <v>https://www.artic.edu/iiif/2/83dc355b-c9db-cf0e-ca39-11f6a1f7ffd8/full/843,/0/default.jpg</v>
      </c>
      <c r="N1965" s="3">
        <v>0.7</v>
      </c>
      <c r="O1965" s="3">
        <v>0.05</v>
      </c>
      <c r="P1965" s="3">
        <v>0.64999999999999991</v>
      </c>
      <c r="Q1965" s="3">
        <v>0.70871746540069502</v>
      </c>
    </row>
    <row r="1966" spans="1:17" x14ac:dyDescent="0.45">
      <c r="A1966" s="3">
        <v>157158</v>
      </c>
      <c r="B1966" t="b">
        <v>0</v>
      </c>
      <c r="C1966" t="b">
        <v>0</v>
      </c>
      <c r="D1966" s="3">
        <v>1957</v>
      </c>
      <c r="E1966" s="3">
        <v>1958</v>
      </c>
      <c r="F1966" t="s">
        <v>4097</v>
      </c>
      <c r="G1966" t="s">
        <v>7</v>
      </c>
      <c r="H1966" s="3">
        <v>30.123799999999999</v>
      </c>
      <c r="I1966" t="s">
        <v>1281</v>
      </c>
      <c r="J1966" t="s">
        <v>13013</v>
      </c>
      <c r="L1966" t="s">
        <v>4098</v>
      </c>
      <c r="M1966" t="str">
        <f>"https://www.artic.edu/iiif/2/"&amp;Table9[[#This Row],[Image ID]]&amp;"/full/843,/0/default.jpg"</f>
        <v>https://www.artic.edu/iiif/2/8eec8935-b7c3-620e-b633-3e39fbf057af/full/843,/0/default.jpg</v>
      </c>
      <c r="N1966" s="3">
        <v>0.7</v>
      </c>
      <c r="O1966" s="3">
        <v>0.05</v>
      </c>
      <c r="P1966" s="3">
        <v>0.64999999999999991</v>
      </c>
      <c r="Q1966" s="3">
        <v>0.82496750354766801</v>
      </c>
    </row>
    <row r="1967" spans="1:17" x14ac:dyDescent="0.45">
      <c r="A1967" s="3">
        <v>65972</v>
      </c>
      <c r="B1967" t="b">
        <v>0</v>
      </c>
      <c r="C1967" t="b">
        <v>0</v>
      </c>
      <c r="D1967" s="3">
        <v>1919</v>
      </c>
      <c r="E1967" s="3">
        <v>1919</v>
      </c>
      <c r="F1967" t="s">
        <v>9127</v>
      </c>
      <c r="G1967" t="s">
        <v>9128</v>
      </c>
      <c r="H1967" s="3">
        <v>26.904599999999999</v>
      </c>
      <c r="I1967" t="s">
        <v>949</v>
      </c>
      <c r="J1967" t="s">
        <v>13052</v>
      </c>
      <c r="L1967" t="s">
        <v>9129</v>
      </c>
      <c r="M1967" t="str">
        <f>"https://www.artic.edu/iiif/2/"&amp;Table9[[#This Row],[Image ID]]&amp;"/full/843,/0/default.jpg"</f>
        <v>https://www.artic.edu/iiif/2/922ebb82-a5db-890c-c7f0-2a502a7301d7/full/843,/0/default.jpg</v>
      </c>
      <c r="N1967" s="3">
        <v>0.7</v>
      </c>
      <c r="O1967" s="3">
        <v>0.05</v>
      </c>
      <c r="P1967" s="3">
        <v>0.64999999999999991</v>
      </c>
      <c r="Q1967" s="3">
        <v>0.70898061990737904</v>
      </c>
    </row>
    <row r="1968" spans="1:17" x14ac:dyDescent="0.45">
      <c r="A1968" s="3">
        <v>118737</v>
      </c>
      <c r="B1968" t="b">
        <v>0</v>
      </c>
      <c r="C1968" t="b">
        <v>0</v>
      </c>
      <c r="D1968" s="3">
        <v>1940</v>
      </c>
      <c r="E1968" s="3">
        <v>1940</v>
      </c>
      <c r="F1968" t="s">
        <v>11</v>
      </c>
      <c r="G1968" t="s">
        <v>7</v>
      </c>
      <c r="H1968" s="3">
        <v>18.0748</v>
      </c>
      <c r="I1968" t="s">
        <v>1275</v>
      </c>
      <c r="J1968" t="s">
        <v>13101</v>
      </c>
      <c r="L1968" t="s">
        <v>2557</v>
      </c>
      <c r="M1968" t="str">
        <f>"https://www.artic.edu/iiif/2/"&amp;Table9[[#This Row],[Image ID]]&amp;"/full/843,/0/default.jpg"</f>
        <v>https://www.artic.edu/iiif/2/965fb9fe-c899-149d-4da8-43e255630073/full/843,/0/default.jpg</v>
      </c>
      <c r="N1968" s="3">
        <v>0.7</v>
      </c>
      <c r="O1968" s="3">
        <v>0.05</v>
      </c>
      <c r="P1968" s="3">
        <v>0.64999999999999991</v>
      </c>
      <c r="Q1968" s="3">
        <v>0.60964614152908303</v>
      </c>
    </row>
    <row r="1969" spans="1:17" x14ac:dyDescent="0.45">
      <c r="A1969" s="3">
        <v>5257</v>
      </c>
      <c r="B1969" t="b">
        <v>0</v>
      </c>
      <c r="C1969" t="b">
        <v>0</v>
      </c>
      <c r="D1969" s="3">
        <v>1911</v>
      </c>
      <c r="E1969" s="3">
        <v>1918</v>
      </c>
      <c r="F1969" t="s">
        <v>8190</v>
      </c>
      <c r="G1969" t="s">
        <v>285</v>
      </c>
      <c r="H1969" s="3">
        <v>31.528500000000001</v>
      </c>
      <c r="I1969" t="s">
        <v>3724</v>
      </c>
      <c r="J1969" t="s">
        <v>13167</v>
      </c>
      <c r="L1969" t="s">
        <v>8191</v>
      </c>
      <c r="M1969" t="str">
        <f>"https://www.artic.edu/iiif/2/"&amp;Table9[[#This Row],[Image ID]]&amp;"/full/843,/0/default.jpg"</f>
        <v>https://www.artic.edu/iiif/2/9b1cb66b-4163-2631-195d-3e56a147f70e/full/843,/0/default.jpg</v>
      </c>
      <c r="N1969" s="3">
        <v>0.7</v>
      </c>
      <c r="O1969" s="3">
        <v>0.05</v>
      </c>
      <c r="P1969" s="3">
        <v>0.64999999999999991</v>
      </c>
      <c r="Q1969" s="3">
        <v>0.71599370241165095</v>
      </c>
    </row>
    <row r="1970" spans="1:17" x14ac:dyDescent="0.45">
      <c r="A1970" s="3">
        <v>152757</v>
      </c>
      <c r="B1970" t="b">
        <v>0</v>
      </c>
      <c r="C1970" t="b">
        <v>0</v>
      </c>
      <c r="D1970" s="3">
        <v>1989</v>
      </c>
      <c r="E1970" s="3">
        <v>1999</v>
      </c>
      <c r="F1970" t="s">
        <v>3914</v>
      </c>
      <c r="G1970" t="s">
        <v>3915</v>
      </c>
      <c r="H1970" s="3">
        <v>100.7252</v>
      </c>
      <c r="I1970" t="s">
        <v>62</v>
      </c>
      <c r="J1970" t="s">
        <v>13218</v>
      </c>
      <c r="L1970" t="s">
        <v>3923</v>
      </c>
      <c r="M1970" t="str">
        <f>"https://www.artic.edu/iiif/2/"&amp;Table9[[#This Row],[Image ID]]&amp;"/full/843,/0/default.jpg"</f>
        <v>https://www.artic.edu/iiif/2/9e8f1d07-97b6-bbd8-3b11-c488130e77dd/full/843,/0/default.jpg</v>
      </c>
      <c r="N1970" s="3">
        <v>0.85</v>
      </c>
      <c r="O1970" s="3">
        <v>0.2</v>
      </c>
      <c r="P1970" s="3">
        <v>0.64999999999999991</v>
      </c>
      <c r="Q1970" s="3">
        <v>0.91661947965621904</v>
      </c>
    </row>
    <row r="1971" spans="1:17" x14ac:dyDescent="0.45">
      <c r="A1971" s="3">
        <v>228832</v>
      </c>
      <c r="B1971" t="b">
        <v>0</v>
      </c>
      <c r="C1971" t="b">
        <v>0</v>
      </c>
      <c r="D1971" s="3">
        <v>2013</v>
      </c>
      <c r="E1971" s="3">
        <v>2013</v>
      </c>
      <c r="F1971" t="s">
        <v>6009</v>
      </c>
      <c r="G1971" t="s">
        <v>6010</v>
      </c>
      <c r="H1971" s="3">
        <v>23.959900000000001</v>
      </c>
      <c r="I1971" t="s">
        <v>6011</v>
      </c>
      <c r="J1971" t="s">
        <v>13378</v>
      </c>
      <c r="K1971" s="5" t="s">
        <v>15</v>
      </c>
      <c r="L1971" t="s">
        <v>6012</v>
      </c>
      <c r="M1971" t="str">
        <f>"https://www.artic.edu/iiif/2/"&amp;Table9[[#This Row],[Image ID]]&amp;"/full/843,/0/default.jpg"</f>
        <v>https://www.artic.edu/iiif/2/aa50e1e3-6bfb-b7e5-8971-8ec9b99523af/full/843,/0/default.jpg</v>
      </c>
      <c r="N1971" s="3">
        <v>0.7</v>
      </c>
      <c r="O1971" s="3">
        <v>0.05</v>
      </c>
      <c r="P1971" s="3">
        <v>0.64999999999999991</v>
      </c>
      <c r="Q1971" s="3">
        <v>0.89721727371215798</v>
      </c>
    </row>
    <row r="1972" spans="1:17" x14ac:dyDescent="0.45">
      <c r="A1972" s="3">
        <v>23133</v>
      </c>
      <c r="B1972" t="b">
        <v>0</v>
      </c>
      <c r="C1972" t="b">
        <v>0</v>
      </c>
      <c r="D1972" s="3">
        <v>1942</v>
      </c>
      <c r="E1972" s="3">
        <v>1942</v>
      </c>
      <c r="F1972" t="s">
        <v>11</v>
      </c>
      <c r="G1972" t="s">
        <v>6158</v>
      </c>
      <c r="H1972" s="3">
        <v>41.537399999999998</v>
      </c>
      <c r="I1972" t="s">
        <v>758</v>
      </c>
      <c r="J1972" t="s">
        <v>13541</v>
      </c>
      <c r="L1972" t="s">
        <v>6159</v>
      </c>
      <c r="M1972" t="str">
        <f>"https://www.artic.edu/iiif/2/"&amp;Table9[[#This Row],[Image ID]]&amp;"/full/843,/0/default.jpg"</f>
        <v>https://www.artic.edu/iiif/2/b74b282b-c55a-077b-113d-e44b801ee770/full/843,/0/default.jpg</v>
      </c>
      <c r="N1972" s="3">
        <v>0.7</v>
      </c>
      <c r="O1972" s="3">
        <v>0.05</v>
      </c>
      <c r="P1972" s="3">
        <v>0.64999999999999991</v>
      </c>
      <c r="Q1972" s="3">
        <v>0.83109092712402299</v>
      </c>
    </row>
    <row r="1973" spans="1:17" x14ac:dyDescent="0.45">
      <c r="A1973" s="3">
        <v>181083</v>
      </c>
      <c r="B1973" t="b">
        <v>0</v>
      </c>
      <c r="C1973" t="b">
        <v>0</v>
      </c>
      <c r="D1973" s="3">
        <v>1992</v>
      </c>
      <c r="E1973" s="3">
        <v>1992</v>
      </c>
      <c r="F1973" t="s">
        <v>2609</v>
      </c>
      <c r="G1973" t="s">
        <v>141</v>
      </c>
      <c r="H1973" s="3">
        <v>7.4476000000000004</v>
      </c>
      <c r="I1973" t="s">
        <v>3983</v>
      </c>
      <c r="J1973" t="s">
        <v>13614</v>
      </c>
      <c r="L1973" t="s">
        <v>4709</v>
      </c>
      <c r="M1973" t="str">
        <f>"https://www.artic.edu/iiif/2/"&amp;Table9[[#This Row],[Image ID]]&amp;"/full/843,/0/default.jpg"</f>
        <v>https://www.artic.edu/iiif/2/bda7594e-c61d-4e94-4a3c-c91ab3d095d0/full/843,/0/default.jpg</v>
      </c>
      <c r="N1973" s="3">
        <v>0.7</v>
      </c>
      <c r="O1973" s="3">
        <v>0.05</v>
      </c>
      <c r="P1973" s="3">
        <v>0.64999999999999991</v>
      </c>
      <c r="Q1973" s="3">
        <v>0.77335345745086603</v>
      </c>
    </row>
    <row r="1974" spans="1:17" x14ac:dyDescent="0.45">
      <c r="A1974" s="3">
        <v>30981</v>
      </c>
      <c r="B1974" t="b">
        <v>0</v>
      </c>
      <c r="C1974" t="b">
        <v>0</v>
      </c>
      <c r="D1974" s="3">
        <v>1968</v>
      </c>
      <c r="E1974" s="3">
        <v>1968</v>
      </c>
      <c r="F1974" t="s">
        <v>11</v>
      </c>
      <c r="G1974" t="s">
        <v>6981</v>
      </c>
      <c r="H1974" s="3">
        <v>53.7639</v>
      </c>
      <c r="I1974" t="s">
        <v>6979</v>
      </c>
      <c r="J1974" t="s">
        <v>13770</v>
      </c>
      <c r="L1974" t="s">
        <v>6982</v>
      </c>
      <c r="M1974" t="str">
        <f>"https://www.artic.edu/iiif/2/"&amp;Table9[[#This Row],[Image ID]]&amp;"/full/843,/0/default.jpg"</f>
        <v>https://www.artic.edu/iiif/2/c94727ad-eecf-2944-8b96-575ef4518f1a/full/843,/0/default.jpg</v>
      </c>
      <c r="N1974" s="3">
        <v>0.7</v>
      </c>
      <c r="O1974" s="3">
        <v>0.05</v>
      </c>
      <c r="P1974" s="3">
        <v>0.64999999999999991</v>
      </c>
      <c r="Q1974" s="3">
        <v>0.698092281818389</v>
      </c>
    </row>
    <row r="1975" spans="1:17" x14ac:dyDescent="0.45">
      <c r="A1975" s="3">
        <v>118283</v>
      </c>
      <c r="B1975" t="b">
        <v>0</v>
      </c>
      <c r="C1975" t="b">
        <v>0</v>
      </c>
      <c r="D1975" s="3">
        <v>1905</v>
      </c>
      <c r="E1975" s="3">
        <v>1906</v>
      </c>
      <c r="F1975" t="s">
        <v>2489</v>
      </c>
      <c r="G1975" t="s">
        <v>7</v>
      </c>
      <c r="H1975" s="3">
        <v>21.084099999999999</v>
      </c>
      <c r="I1975" t="s">
        <v>2490</v>
      </c>
      <c r="J1975" t="s">
        <v>13832</v>
      </c>
      <c r="K1975" s="5" t="s">
        <v>9</v>
      </c>
      <c r="L1975" t="s">
        <v>2491</v>
      </c>
      <c r="M1975" t="str">
        <f>"https://www.artic.edu/iiif/2/"&amp;Table9[[#This Row],[Image ID]]&amp;"/full/843,/0/default.jpg"</f>
        <v>https://www.artic.edu/iiif/2/cf5de951-64e9-d78c-4847-d80c9fbff168/full/843,/0/default.jpg</v>
      </c>
      <c r="N1975" s="3">
        <v>0.7</v>
      </c>
      <c r="O1975" s="3">
        <v>0.05</v>
      </c>
      <c r="P1975" s="3">
        <v>0.64999999999999991</v>
      </c>
      <c r="Q1975" s="3">
        <v>0.68412947654724099</v>
      </c>
    </row>
    <row r="1976" spans="1:17" x14ac:dyDescent="0.45">
      <c r="A1976" s="3">
        <v>61956</v>
      </c>
      <c r="B1976" t="b">
        <v>0</v>
      </c>
      <c r="C1976" t="b">
        <v>0</v>
      </c>
      <c r="D1976" s="3">
        <v>1943</v>
      </c>
      <c r="E1976" s="3">
        <v>1943</v>
      </c>
      <c r="F1976" t="s">
        <v>8846</v>
      </c>
      <c r="G1976" t="s">
        <v>8847</v>
      </c>
      <c r="H1976" s="3">
        <v>82.722499999999997</v>
      </c>
      <c r="I1976" t="s">
        <v>1032</v>
      </c>
      <c r="J1976" t="s">
        <v>13904</v>
      </c>
      <c r="L1976" t="s">
        <v>8848</v>
      </c>
      <c r="M1976" t="str">
        <f>"https://www.artic.edu/iiif/2/"&amp;Table9[[#This Row],[Image ID]]&amp;"/full/843,/0/default.jpg"</f>
        <v>https://www.artic.edu/iiif/2/d51b8a23-ca14-298b-1004-52f4dc4925b1/full/843,/0/default.jpg</v>
      </c>
      <c r="N1976" s="3">
        <v>0.7</v>
      </c>
      <c r="O1976" s="3">
        <v>0.05</v>
      </c>
      <c r="P1976" s="3">
        <v>0.64999999999999991</v>
      </c>
      <c r="Q1976" s="3">
        <v>0.78883373737335205</v>
      </c>
    </row>
    <row r="1977" spans="1:17" x14ac:dyDescent="0.45">
      <c r="A1977" s="3">
        <v>79588</v>
      </c>
      <c r="B1977" t="b">
        <v>0</v>
      </c>
      <c r="C1977" t="b">
        <v>0</v>
      </c>
      <c r="D1977" s="3">
        <v>1910</v>
      </c>
      <c r="E1977" s="3">
        <v>1910</v>
      </c>
      <c r="F1977" t="s">
        <v>9900</v>
      </c>
      <c r="G1977" t="s">
        <v>2611</v>
      </c>
      <c r="H1977" s="3">
        <v>74.597700000000003</v>
      </c>
      <c r="I1977" t="s">
        <v>8213</v>
      </c>
      <c r="J1977" t="s">
        <v>13918</v>
      </c>
      <c r="L1977" t="s">
        <v>9901</v>
      </c>
      <c r="M1977" t="str">
        <f>"https://www.artic.edu/iiif/2/"&amp;Table9[[#This Row],[Image ID]]&amp;"/full/843,/0/default.jpg"</f>
        <v>https://www.artic.edu/iiif/2/d5ed2404-ea30-d3ed-283a-f6e6d27f169d/full/843,/0/default.jpg</v>
      </c>
      <c r="N1977" s="3">
        <v>0.7</v>
      </c>
      <c r="O1977" s="3">
        <v>0.05</v>
      </c>
      <c r="P1977" s="3">
        <v>0.64999999999999991</v>
      </c>
      <c r="Q1977" s="3">
        <v>0.75168973207473699</v>
      </c>
    </row>
    <row r="1978" spans="1:17" x14ac:dyDescent="0.45">
      <c r="A1978" s="3">
        <v>24202</v>
      </c>
      <c r="B1978" t="b">
        <v>0</v>
      </c>
      <c r="C1978" t="b">
        <v>0</v>
      </c>
      <c r="D1978" s="3">
        <v>1925</v>
      </c>
      <c r="E1978" s="3">
        <v>1925</v>
      </c>
      <c r="F1978" t="s">
        <v>6370</v>
      </c>
      <c r="G1978" t="s">
        <v>7</v>
      </c>
      <c r="H1978" s="3">
        <v>27.572099999999999</v>
      </c>
      <c r="I1978" t="s">
        <v>1351</v>
      </c>
      <c r="J1978" t="s">
        <v>14085</v>
      </c>
      <c r="L1978" t="s">
        <v>6371</v>
      </c>
      <c r="M1978" t="str">
        <f>"https://www.artic.edu/iiif/2/"&amp;Table9[[#This Row],[Image ID]]&amp;"/full/843,/0/default.jpg"</f>
        <v>https://www.artic.edu/iiif/2/e127aa5e-2154-5116-76e1-0c3f0c4a7cb4/full/843,/0/default.jpg</v>
      </c>
      <c r="N1978" s="3">
        <v>0.7</v>
      </c>
      <c r="O1978" s="3">
        <v>0.05</v>
      </c>
      <c r="P1978" s="3">
        <v>0.64999999999999991</v>
      </c>
      <c r="Q1978" s="3">
        <v>0.85236644744873002</v>
      </c>
    </row>
    <row r="1979" spans="1:17" x14ac:dyDescent="0.45">
      <c r="A1979" s="3">
        <v>82413</v>
      </c>
      <c r="B1979" t="b">
        <v>0</v>
      </c>
      <c r="C1979" t="b">
        <v>0</v>
      </c>
      <c r="D1979" s="3">
        <v>1928</v>
      </c>
      <c r="E1979" s="3">
        <v>1928</v>
      </c>
      <c r="F1979" t="s">
        <v>3838</v>
      </c>
      <c r="G1979" t="s">
        <v>10176</v>
      </c>
      <c r="H1979" s="3">
        <v>50.846299999999999</v>
      </c>
      <c r="I1979" t="s">
        <v>748</v>
      </c>
      <c r="J1979" t="s">
        <v>14092</v>
      </c>
      <c r="L1979" t="s">
        <v>10177</v>
      </c>
      <c r="M1979" t="str">
        <f>"https://www.artic.edu/iiif/2/"&amp;Table9[[#This Row],[Image ID]]&amp;"/full/843,/0/default.jpg"</f>
        <v>https://www.artic.edu/iiif/2/e1bd416f-ec68-4dea-7ddd-70bb8c8b6156/full/843,/0/default.jpg</v>
      </c>
      <c r="N1979" s="3">
        <v>0.7</v>
      </c>
      <c r="O1979" s="3">
        <v>0.05</v>
      </c>
      <c r="P1979" s="3">
        <v>0.64999999999999991</v>
      </c>
      <c r="Q1979" s="3">
        <v>0.72682988643646196</v>
      </c>
    </row>
    <row r="1980" spans="1:17" x14ac:dyDescent="0.45">
      <c r="A1980" s="3">
        <v>50529</v>
      </c>
      <c r="B1980" t="b">
        <v>0</v>
      </c>
      <c r="C1980" t="b">
        <v>0</v>
      </c>
      <c r="D1980" s="3">
        <v>1899</v>
      </c>
      <c r="E1980" s="3">
        <v>1940</v>
      </c>
      <c r="F1980" t="s">
        <v>8111</v>
      </c>
      <c r="G1980" t="s">
        <v>3664</v>
      </c>
      <c r="H1980" s="3">
        <v>26.060500000000001</v>
      </c>
      <c r="I1980" t="s">
        <v>40</v>
      </c>
      <c r="J1980" t="s">
        <v>14182</v>
      </c>
      <c r="L1980" t="s">
        <v>8112</v>
      </c>
      <c r="M1980" t="str">
        <f>"https://www.artic.edu/iiif/2/"&amp;Table9[[#This Row],[Image ID]]&amp;"/full/843,/0/default.jpg"</f>
        <v>https://www.artic.edu/iiif/2/e793a8b7-5e80-a91b-a15d-5d070a981670/full/843,/0/default.jpg</v>
      </c>
      <c r="N1980" s="3">
        <v>0.7</v>
      </c>
      <c r="O1980" s="3">
        <v>0.05</v>
      </c>
      <c r="P1980" s="3">
        <v>0.64999999999999991</v>
      </c>
      <c r="Q1980" s="3">
        <v>0.88755011558532704</v>
      </c>
    </row>
    <row r="1981" spans="1:17" x14ac:dyDescent="0.45">
      <c r="A1981" s="3">
        <v>39664</v>
      </c>
      <c r="B1981" t="b">
        <v>0</v>
      </c>
      <c r="C1981" t="b">
        <v>0</v>
      </c>
      <c r="D1981" s="3">
        <v>1934</v>
      </c>
      <c r="E1981" s="3">
        <v>1940</v>
      </c>
      <c r="F1981" t="s">
        <v>168</v>
      </c>
      <c r="G1981" t="s">
        <v>7598</v>
      </c>
      <c r="H1981" s="3">
        <v>22.009499999999999</v>
      </c>
      <c r="I1981" t="s">
        <v>7599</v>
      </c>
      <c r="J1981" t="s">
        <v>14443</v>
      </c>
      <c r="L1981" t="s">
        <v>7600</v>
      </c>
      <c r="M1981" t="str">
        <f>"https://www.artic.edu/iiif/2/"&amp;Table9[[#This Row],[Image ID]]&amp;"/full/843,/0/default.jpg"</f>
        <v>https://www.artic.edu/iiif/2/f96f59ce-3ccb-6312-010d-60fcd85cfce8/full/843,/0/default.jpg</v>
      </c>
      <c r="N1981" s="3">
        <v>0.7</v>
      </c>
      <c r="O1981" s="3">
        <v>0.05</v>
      </c>
      <c r="P1981" s="3">
        <v>0.64999999999999991</v>
      </c>
      <c r="Q1981" s="3">
        <v>0.551530420780181</v>
      </c>
    </row>
    <row r="1982" spans="1:17" x14ac:dyDescent="0.45">
      <c r="A1982" s="3">
        <v>111718</v>
      </c>
      <c r="B1982" t="b">
        <v>0</v>
      </c>
      <c r="C1982" t="b">
        <v>1</v>
      </c>
      <c r="D1982" s="3">
        <v>1525</v>
      </c>
      <c r="E1982" s="3">
        <v>1542</v>
      </c>
      <c r="F1982" t="s">
        <v>1239</v>
      </c>
      <c r="G1982" t="s">
        <v>75</v>
      </c>
      <c r="H1982" s="3">
        <v>47.222099999999998</v>
      </c>
      <c r="I1982" t="s">
        <v>1240</v>
      </c>
      <c r="J1982" t="s">
        <v>11020</v>
      </c>
      <c r="L1982" t="s">
        <v>1241</v>
      </c>
      <c r="M1982" t="str">
        <f>"https://www.artic.edu/iiif/2/"&amp;Table9[[#This Row],[Image ID]]&amp;"/full/843,/0/default.jpg"</f>
        <v>https://www.artic.edu/iiif/2/0356e981-edc5-56ad-1a64-9ebdae3c5aab/full/843,/0/default.jpg</v>
      </c>
      <c r="N1982" s="3">
        <v>0.7</v>
      </c>
      <c r="O1982" s="3">
        <v>0.05</v>
      </c>
      <c r="P1982" s="3">
        <v>0.64999999999999991</v>
      </c>
      <c r="Q1982" s="3">
        <v>0.95782178640365601</v>
      </c>
    </row>
    <row r="1983" spans="1:17" x14ac:dyDescent="0.45">
      <c r="A1983" s="3">
        <v>7169</v>
      </c>
      <c r="B1983" t="b">
        <v>0</v>
      </c>
      <c r="C1983" t="b">
        <v>1</v>
      </c>
      <c r="D1983" s="3">
        <v>1875</v>
      </c>
      <c r="E1983" s="3">
        <v>1875</v>
      </c>
      <c r="F1983" t="s">
        <v>9525</v>
      </c>
      <c r="G1983" t="s">
        <v>9526</v>
      </c>
      <c r="H1983" s="3">
        <v>12.264799999999999</v>
      </c>
      <c r="I1983" t="s">
        <v>2230</v>
      </c>
      <c r="J1983" t="s">
        <v>11048</v>
      </c>
      <c r="L1983" t="s">
        <v>9527</v>
      </c>
      <c r="M1983" t="str">
        <f>"https://www.artic.edu/iiif/2/"&amp;Table9[[#This Row],[Image ID]]&amp;"/full/843,/0/default.jpg"</f>
        <v>https://www.artic.edu/iiif/2/0534abcb-8bf1-dbc8-16a7-5eeb818dbcf7/full/843,/0/default.jpg</v>
      </c>
      <c r="N1983" s="3">
        <v>0.7</v>
      </c>
      <c r="O1983" s="3">
        <v>0.05</v>
      </c>
      <c r="P1983" s="3">
        <v>0.64999999999999991</v>
      </c>
      <c r="Q1983" s="3">
        <v>0.76873207092285101</v>
      </c>
    </row>
    <row r="1984" spans="1:17" x14ac:dyDescent="0.45">
      <c r="A1984" s="3">
        <v>73997</v>
      </c>
      <c r="B1984" t="b">
        <v>0</v>
      </c>
      <c r="C1984" t="b">
        <v>1</v>
      </c>
      <c r="D1984" s="3">
        <v>1800</v>
      </c>
      <c r="E1984" s="3">
        <v>1899</v>
      </c>
      <c r="F1984" t="s">
        <v>9653</v>
      </c>
      <c r="G1984" t="s">
        <v>1774</v>
      </c>
      <c r="H1984" s="3">
        <v>29.279499999999999</v>
      </c>
      <c r="I1984" t="s">
        <v>16</v>
      </c>
      <c r="J1984" t="s">
        <v>11142</v>
      </c>
      <c r="L1984" t="s">
        <v>9654</v>
      </c>
      <c r="M1984" t="str">
        <f>"https://www.artic.edu/iiif/2/"&amp;Table9[[#This Row],[Image ID]]&amp;"/full/843,/0/default.jpg"</f>
        <v>https://www.artic.edu/iiif/2/0caf6fdc-1670-7244-acc0-4498398d591e/full/843,/0/default.jpg</v>
      </c>
      <c r="N1984" s="3">
        <v>0.7</v>
      </c>
      <c r="O1984" s="3">
        <v>0.05</v>
      </c>
      <c r="P1984" s="3">
        <v>0.64999999999999991</v>
      </c>
      <c r="Q1984" s="3">
        <v>0.81940186023712103</v>
      </c>
    </row>
    <row r="1985" spans="1:17" x14ac:dyDescent="0.45">
      <c r="A1985" s="3">
        <v>113088</v>
      </c>
      <c r="B1985" t="b">
        <v>0</v>
      </c>
      <c r="C1985" t="b">
        <v>1</v>
      </c>
      <c r="D1985" s="3">
        <v>1854</v>
      </c>
      <c r="E1985" s="3">
        <v>1856</v>
      </c>
      <c r="F1985" t="s">
        <v>1348</v>
      </c>
      <c r="G1985" t="s">
        <v>1349</v>
      </c>
      <c r="H1985" s="3">
        <v>28.654800000000002</v>
      </c>
      <c r="I1985" t="s">
        <v>516</v>
      </c>
      <c r="J1985" t="s">
        <v>11200</v>
      </c>
      <c r="L1985" t="s">
        <v>1350</v>
      </c>
      <c r="M1985" t="str">
        <f>"https://www.artic.edu/iiif/2/"&amp;Table9[[#This Row],[Image ID]]&amp;"/full/843,/0/default.jpg"</f>
        <v>https://www.artic.edu/iiif/2/118061d2-4e44-32e9-fa4e-098f99bb8ddd/full/843,/0/default.jpg</v>
      </c>
      <c r="N1985" s="3">
        <v>0.7</v>
      </c>
      <c r="O1985" s="3">
        <v>0.05</v>
      </c>
      <c r="P1985" s="3">
        <v>0.64999999999999991</v>
      </c>
      <c r="Q1985" s="3">
        <v>0.75124073028564398</v>
      </c>
    </row>
    <row r="1986" spans="1:17" x14ac:dyDescent="0.45">
      <c r="A1986" s="3">
        <v>32091</v>
      </c>
      <c r="B1986" t="b">
        <v>0</v>
      </c>
      <c r="C1986" t="b">
        <v>1</v>
      </c>
      <c r="D1986" s="3">
        <v>1605</v>
      </c>
      <c r="E1986" s="3">
        <v>1615</v>
      </c>
      <c r="F1986" t="s">
        <v>2348</v>
      </c>
      <c r="G1986" t="s">
        <v>75</v>
      </c>
      <c r="H1986" s="3">
        <v>30.714500000000001</v>
      </c>
      <c r="I1986" t="s">
        <v>7045</v>
      </c>
      <c r="J1986" t="s">
        <v>11566</v>
      </c>
      <c r="L1986" t="s">
        <v>7046</v>
      </c>
      <c r="M1986" t="str">
        <f>"https://www.artic.edu/iiif/2/"&amp;Table9[[#This Row],[Image ID]]&amp;"/full/843,/0/default.jpg"</f>
        <v>https://www.artic.edu/iiif/2/28cdca78-e3f4-9d13-df34-92585f1e8938/full/843,/0/default.jpg</v>
      </c>
      <c r="N1986" s="3">
        <v>0.7</v>
      </c>
      <c r="O1986" s="3">
        <v>0.05</v>
      </c>
      <c r="P1986" s="3">
        <v>0.64999999999999991</v>
      </c>
      <c r="Q1986" s="3">
        <v>0.89355713129043501</v>
      </c>
    </row>
    <row r="1987" spans="1:17" x14ac:dyDescent="0.45">
      <c r="A1987" s="3">
        <v>235548</v>
      </c>
      <c r="B1987" t="b">
        <v>0</v>
      </c>
      <c r="C1987" t="b">
        <v>1</v>
      </c>
      <c r="D1987" s="3">
        <v>1491</v>
      </c>
      <c r="E1987" s="3">
        <v>1491</v>
      </c>
      <c r="F1987" t="s">
        <v>6242</v>
      </c>
      <c r="G1987" t="s">
        <v>6243</v>
      </c>
      <c r="H1987" s="3">
        <v>39.767099999999999</v>
      </c>
      <c r="I1987" t="s">
        <v>6244</v>
      </c>
      <c r="J1987" t="s">
        <v>11699</v>
      </c>
      <c r="K1987" s="5" t="s">
        <v>278</v>
      </c>
      <c r="L1987" t="s">
        <v>6245</v>
      </c>
      <c r="M1987" t="str">
        <f>"https://www.artic.edu/iiif/2/"&amp;Table9[[#This Row],[Image ID]]&amp;"/full/843,/0/default.jpg"</f>
        <v>https://www.artic.edu/iiif/2/31b756c5-5843-7a4e-dd4d-360bcfc547b4/full/843,/0/default.jpg</v>
      </c>
      <c r="N1987" s="3">
        <v>0.7</v>
      </c>
      <c r="O1987" s="3">
        <v>0.05</v>
      </c>
      <c r="P1987" s="3">
        <v>0.64999999999999991</v>
      </c>
      <c r="Q1987" s="3">
        <v>0.65801417827606201</v>
      </c>
    </row>
    <row r="1988" spans="1:17" x14ac:dyDescent="0.45">
      <c r="A1988" s="3">
        <v>90060</v>
      </c>
      <c r="B1988" t="b">
        <v>0</v>
      </c>
      <c r="C1988" t="b">
        <v>1</v>
      </c>
      <c r="D1988" s="3">
        <v>1525</v>
      </c>
      <c r="E1988" s="3">
        <v>1545</v>
      </c>
      <c r="F1988" t="s">
        <v>10499</v>
      </c>
      <c r="G1988" t="s">
        <v>6643</v>
      </c>
      <c r="H1988" s="3">
        <v>37.1355</v>
      </c>
      <c r="I1988" t="s">
        <v>10500</v>
      </c>
      <c r="J1988" t="s">
        <v>11707</v>
      </c>
      <c r="L1988" t="s">
        <v>10501</v>
      </c>
      <c r="M1988" t="str">
        <f>"https://www.artic.edu/iiif/2/"&amp;Table9[[#This Row],[Image ID]]&amp;"/full/843,/0/default.jpg"</f>
        <v>https://www.artic.edu/iiif/2/322d6d16-0fe2-c03e-9441-8a6c25cc6396/full/843,/0/default.jpg</v>
      </c>
      <c r="N1988" s="3">
        <v>0.7</v>
      </c>
      <c r="O1988" s="3">
        <v>0.05</v>
      </c>
      <c r="P1988" s="3">
        <v>0.64999999999999991</v>
      </c>
      <c r="Q1988" s="3">
        <v>0.78847259283065796</v>
      </c>
    </row>
    <row r="1989" spans="1:17" x14ac:dyDescent="0.45">
      <c r="A1989" s="3">
        <v>14694</v>
      </c>
      <c r="B1989" t="b">
        <v>0</v>
      </c>
      <c r="C1989" t="b">
        <v>1</v>
      </c>
      <c r="D1989" s="3">
        <v>1395</v>
      </c>
      <c r="E1989" s="3">
        <v>1405</v>
      </c>
      <c r="F1989" t="s">
        <v>3522</v>
      </c>
      <c r="G1989" t="s">
        <v>3523</v>
      </c>
      <c r="H1989" s="3">
        <v>45.445599999999999</v>
      </c>
      <c r="J1989" t="s">
        <v>12170</v>
      </c>
      <c r="K1989" s="5" t="s">
        <v>278</v>
      </c>
      <c r="L1989" t="s">
        <v>3524</v>
      </c>
      <c r="M1989" t="str">
        <f>"https://www.artic.edu/iiif/2/"&amp;Table9[[#This Row],[Image ID]]&amp;"/full/843,/0/default.jpg"</f>
        <v>https://www.artic.edu/iiif/2/5201d68a-5b91-4adb-8130-b11f7756d003/full/843,/0/default.jpg</v>
      </c>
      <c r="N1989" s="3">
        <v>0.7</v>
      </c>
      <c r="O1989" s="3">
        <v>0.05</v>
      </c>
      <c r="P1989" s="3">
        <v>0.64999999999999991</v>
      </c>
      <c r="Q1989" s="3">
        <v>0.76110565662384</v>
      </c>
    </row>
    <row r="1990" spans="1:17" x14ac:dyDescent="0.45">
      <c r="A1990" s="3">
        <v>123555</v>
      </c>
      <c r="B1990" t="b">
        <v>0</v>
      </c>
      <c r="C1990" t="b">
        <v>1</v>
      </c>
      <c r="D1990" s="3">
        <v>1300</v>
      </c>
      <c r="E1990" s="3">
        <v>1500</v>
      </c>
      <c r="F1990" t="s">
        <v>2715</v>
      </c>
      <c r="G1990" t="s">
        <v>2716</v>
      </c>
      <c r="H1990" s="3">
        <v>33.581699999999998</v>
      </c>
      <c r="J1990" t="s">
        <v>12313</v>
      </c>
      <c r="K1990" s="5" t="s">
        <v>278</v>
      </c>
      <c r="L1990" t="s">
        <v>2717</v>
      </c>
      <c r="M1990" t="str">
        <f>"https://www.artic.edu/iiif/2/"&amp;Table9[[#This Row],[Image ID]]&amp;"/full/843,/0/default.jpg"</f>
        <v>https://www.artic.edu/iiif/2/5b6f6d4c-9951-dd7f-0149-5aece783d72f/full/843,/0/default.jpg</v>
      </c>
      <c r="N1990" s="3">
        <v>0.7</v>
      </c>
      <c r="O1990" s="3">
        <v>0.05</v>
      </c>
      <c r="P1990" s="3">
        <v>0.64999999999999991</v>
      </c>
      <c r="Q1990" s="3">
        <v>0.73816341161727905</v>
      </c>
    </row>
    <row r="1991" spans="1:17" x14ac:dyDescent="0.45">
      <c r="A1991" s="3">
        <v>74013</v>
      </c>
      <c r="B1991" t="b">
        <v>0</v>
      </c>
      <c r="C1991" t="b">
        <v>1</v>
      </c>
      <c r="D1991" s="3">
        <v>1800</v>
      </c>
      <c r="E1991" s="3">
        <v>1899</v>
      </c>
      <c r="F1991" t="s">
        <v>9655</v>
      </c>
      <c r="G1991" t="s">
        <v>9656</v>
      </c>
      <c r="H1991" s="3">
        <v>37.761899999999997</v>
      </c>
      <c r="I1991" t="s">
        <v>16</v>
      </c>
      <c r="J1991" t="s">
        <v>12648</v>
      </c>
      <c r="L1991" t="s">
        <v>9657</v>
      </c>
      <c r="M1991" t="str">
        <f>"https://www.artic.edu/iiif/2/"&amp;Table9[[#This Row],[Image ID]]&amp;"/full/843,/0/default.jpg"</f>
        <v>https://www.artic.edu/iiif/2/735e8508-2d42-a04e-dabb-51ca80a88774/full/843,/0/default.jpg</v>
      </c>
      <c r="N1991" s="3">
        <v>0.7</v>
      </c>
      <c r="O1991" s="3">
        <v>0.05</v>
      </c>
      <c r="P1991" s="3">
        <v>0.64999999999999991</v>
      </c>
      <c r="Q1991" s="3">
        <v>0.68873286247253396</v>
      </c>
    </row>
    <row r="1992" spans="1:17" x14ac:dyDescent="0.45">
      <c r="A1992" s="3">
        <v>56556</v>
      </c>
      <c r="B1992" t="b">
        <v>0</v>
      </c>
      <c r="C1992" t="b">
        <v>1</v>
      </c>
      <c r="D1992" s="3">
        <v>1865</v>
      </c>
      <c r="E1992" s="3">
        <v>1865</v>
      </c>
      <c r="F1992" t="s">
        <v>8458</v>
      </c>
      <c r="G1992" t="s">
        <v>7</v>
      </c>
      <c r="H1992" s="3">
        <v>0</v>
      </c>
      <c r="I1992" t="s">
        <v>8459</v>
      </c>
      <c r="J1992" t="s">
        <v>12738</v>
      </c>
      <c r="L1992" t="s">
        <v>8460</v>
      </c>
      <c r="M1992" t="str">
        <f>"https://www.artic.edu/iiif/2/"&amp;Table9[[#This Row],[Image ID]]&amp;"/full/843,/0/default.jpg"</f>
        <v>https://www.artic.edu/iiif/2/79d6ad93-50d3-8b6a-66d5-f24d0a3d1ecd/full/843,/0/default.jpg</v>
      </c>
      <c r="N1992" s="3">
        <v>0.82499999999999996</v>
      </c>
      <c r="O1992" s="3">
        <v>0.17499999999999999</v>
      </c>
      <c r="P1992" s="3">
        <v>0.64999999999999991</v>
      </c>
      <c r="Q1992" s="3">
        <v>0.72161668539047197</v>
      </c>
    </row>
    <row r="1993" spans="1:17" x14ac:dyDescent="0.45">
      <c r="A1993" s="3">
        <v>105604</v>
      </c>
      <c r="B1993" t="b">
        <v>0</v>
      </c>
      <c r="C1993" t="b">
        <v>1</v>
      </c>
      <c r="D1993" s="3">
        <v>1804</v>
      </c>
      <c r="E1993" s="3">
        <v>1804</v>
      </c>
      <c r="F1993" t="s">
        <v>545</v>
      </c>
      <c r="G1993" t="s">
        <v>7</v>
      </c>
      <c r="H1993" s="3">
        <v>50.142200000000003</v>
      </c>
      <c r="I1993" t="s">
        <v>178</v>
      </c>
      <c r="J1993" t="s">
        <v>12917</v>
      </c>
      <c r="L1993" t="s">
        <v>546</v>
      </c>
      <c r="M1993" t="str">
        <f>"https://www.artic.edu/iiif/2/"&amp;Table9[[#This Row],[Image ID]]&amp;"/full/843,/0/default.jpg"</f>
        <v>https://www.artic.edu/iiif/2/87cb3fad-65e7-f5e7-291c-dca132489ec3/full/843,/0/default.jpg</v>
      </c>
      <c r="N1993" s="3">
        <v>0.7</v>
      </c>
      <c r="O1993" s="3">
        <v>0.05</v>
      </c>
      <c r="P1993" s="3">
        <v>0.64999999999999991</v>
      </c>
      <c r="Q1993" s="3">
        <v>0.84496915340423495</v>
      </c>
    </row>
    <row r="1994" spans="1:17" x14ac:dyDescent="0.45">
      <c r="A1994" s="3">
        <v>191321</v>
      </c>
      <c r="B1994" t="b">
        <v>0</v>
      </c>
      <c r="C1994" t="b">
        <v>1</v>
      </c>
      <c r="D1994" s="3">
        <v>1501</v>
      </c>
      <c r="E1994" s="3">
        <v>1600</v>
      </c>
      <c r="F1994" t="s">
        <v>5191</v>
      </c>
      <c r="G1994" t="s">
        <v>5192</v>
      </c>
      <c r="H1994" s="3">
        <v>65.595399999999998</v>
      </c>
      <c r="J1994" t="s">
        <v>12934</v>
      </c>
      <c r="K1994" s="5" t="s">
        <v>4</v>
      </c>
      <c r="L1994" t="s">
        <v>5193</v>
      </c>
      <c r="M1994" t="str">
        <f>"https://www.artic.edu/iiif/2/"&amp;Table9[[#This Row],[Image ID]]&amp;"/full/843,/0/default.jpg"</f>
        <v>https://www.artic.edu/iiif/2/89669f9f-5a65-3be5-b181-7d44bca6c7ef/full/843,/0/default.jpg</v>
      </c>
      <c r="N1994" s="3">
        <v>0.7</v>
      </c>
      <c r="O1994" s="3">
        <v>0.05</v>
      </c>
      <c r="P1994" s="3">
        <v>0.64999999999999991</v>
      </c>
      <c r="Q1994" s="3">
        <v>0.71596777439117398</v>
      </c>
    </row>
    <row r="1995" spans="1:17" x14ac:dyDescent="0.45">
      <c r="A1995" s="3">
        <v>38954</v>
      </c>
      <c r="B1995" t="b">
        <v>0</v>
      </c>
      <c r="C1995" t="b">
        <v>1</v>
      </c>
      <c r="D1995" s="3">
        <v>1807</v>
      </c>
      <c r="E1995" s="3">
        <v>1810</v>
      </c>
      <c r="F1995" t="s">
        <v>7346</v>
      </c>
      <c r="G1995" t="s">
        <v>7347</v>
      </c>
      <c r="H1995" s="3">
        <v>26.07</v>
      </c>
      <c r="I1995" t="s">
        <v>1359</v>
      </c>
      <c r="L1995" t="s">
        <v>7348</v>
      </c>
      <c r="M1995" t="str">
        <f>"https://www.artic.edu/iiif/2/"&amp;Table9[[#This Row],[Image ID]]&amp;"/full/843,/0/default.jpg"</f>
        <v>https://www.artic.edu/iiif/2/9b36a197-acc5-676e-67af-73ae47b65616/full/843,/0/default.jpg</v>
      </c>
      <c r="N1995" s="3">
        <v>0.7</v>
      </c>
      <c r="O1995" s="3">
        <v>0.05</v>
      </c>
      <c r="P1995" s="3">
        <v>0.64999999999999991</v>
      </c>
      <c r="Q1995" s="3">
        <v>0.66677731275558405</v>
      </c>
    </row>
    <row r="1996" spans="1:17" x14ac:dyDescent="0.45">
      <c r="A1996" s="3">
        <v>66565</v>
      </c>
      <c r="B1996" t="b">
        <v>0</v>
      </c>
      <c r="C1996" t="b">
        <v>1</v>
      </c>
      <c r="D1996" s="3">
        <v>1866</v>
      </c>
      <c r="E1996" s="3">
        <v>1901</v>
      </c>
      <c r="F1996" t="s">
        <v>9307</v>
      </c>
      <c r="G1996" t="s">
        <v>9308</v>
      </c>
      <c r="H1996" s="3">
        <v>24.2774</v>
      </c>
      <c r="I1996" t="s">
        <v>1527</v>
      </c>
      <c r="J1996" t="s">
        <v>13333</v>
      </c>
      <c r="L1996" t="s">
        <v>9309</v>
      </c>
      <c r="M1996" t="str">
        <f>"https://www.artic.edu/iiif/2/"&amp;Table9[[#This Row],[Image ID]]&amp;"/full/843,/0/default.jpg"</f>
        <v>https://www.artic.edu/iiif/2/a76fac26-0b20-3954-6490-398e0a191864/full/843,/0/default.jpg</v>
      </c>
      <c r="N1996" s="3">
        <v>0.7</v>
      </c>
      <c r="O1996" s="3">
        <v>0.05</v>
      </c>
      <c r="P1996" s="3">
        <v>0.64999999999999991</v>
      </c>
      <c r="Q1996" s="3">
        <v>0.90755236148834195</v>
      </c>
    </row>
    <row r="1997" spans="1:17" x14ac:dyDescent="0.45">
      <c r="A1997" s="3">
        <v>47596</v>
      </c>
      <c r="B1997" t="b">
        <v>0</v>
      </c>
      <c r="C1997" t="b">
        <v>1</v>
      </c>
      <c r="D1997" s="3">
        <v>1755</v>
      </c>
      <c r="E1997" s="3">
        <v>1770</v>
      </c>
      <c r="F1997" t="s">
        <v>5625</v>
      </c>
      <c r="G1997" t="s">
        <v>7</v>
      </c>
      <c r="H1997" s="3">
        <v>0</v>
      </c>
      <c r="I1997" t="s">
        <v>7686</v>
      </c>
      <c r="J1997" t="s">
        <v>13598</v>
      </c>
      <c r="L1997" t="s">
        <v>7961</v>
      </c>
      <c r="M1997" t="str">
        <f>"https://www.artic.edu/iiif/2/"&amp;Table9[[#This Row],[Image ID]]&amp;"/full/843,/0/default.jpg"</f>
        <v>https://www.artic.edu/iiif/2/bc3d8e34-905a-2ca0-81a1-1122479aca9f/full/843,/0/default.jpg</v>
      </c>
      <c r="N1997" s="3">
        <v>0.7</v>
      </c>
      <c r="O1997" s="3">
        <v>0.05</v>
      </c>
      <c r="P1997" s="3">
        <v>0.64999999999999991</v>
      </c>
      <c r="Q1997" s="3">
        <v>0.590074062347412</v>
      </c>
    </row>
    <row r="1998" spans="1:17" x14ac:dyDescent="0.45">
      <c r="A1998" s="3">
        <v>111418</v>
      </c>
      <c r="B1998" t="b">
        <v>0</v>
      </c>
      <c r="C1998" t="b">
        <v>1</v>
      </c>
      <c r="D1998" s="3">
        <v>1631</v>
      </c>
      <c r="E1998" s="3">
        <v>1634</v>
      </c>
      <c r="F1998" t="s">
        <v>1096</v>
      </c>
      <c r="G1998" t="s">
        <v>7</v>
      </c>
      <c r="H1998" s="3">
        <v>35.165500000000002</v>
      </c>
      <c r="I1998" t="s">
        <v>1097</v>
      </c>
      <c r="J1998" t="s">
        <v>13829</v>
      </c>
      <c r="L1998" t="s">
        <v>1098</v>
      </c>
      <c r="M1998" t="str">
        <f>"https://www.artic.edu/iiif/2/"&amp;Table9[[#This Row],[Image ID]]&amp;"/full/843,/0/default.jpg"</f>
        <v>https://www.artic.edu/iiif/2/cec52f00-87a3-1e81-a663-520004ab7259/full/843,/0/default.jpg</v>
      </c>
      <c r="N1998" s="3">
        <v>0.7</v>
      </c>
      <c r="O1998" s="3">
        <v>0.05</v>
      </c>
      <c r="P1998" s="3">
        <v>0.64999999999999991</v>
      </c>
      <c r="Q1998" s="3">
        <v>0.67671805620193404</v>
      </c>
    </row>
    <row r="1999" spans="1:17" x14ac:dyDescent="0.45">
      <c r="A1999" s="3">
        <v>107337</v>
      </c>
      <c r="B1999" t="b">
        <v>0</v>
      </c>
      <c r="C1999" t="b">
        <v>1</v>
      </c>
      <c r="D1999" s="3">
        <v>1400</v>
      </c>
      <c r="E1999" s="3">
        <v>1600</v>
      </c>
      <c r="F1999" t="s">
        <v>672</v>
      </c>
      <c r="G1999" t="s">
        <v>673</v>
      </c>
      <c r="H1999" s="3">
        <v>34.735500000000002</v>
      </c>
      <c r="J1999" t="s">
        <v>13912</v>
      </c>
      <c r="K1999" s="5" t="s">
        <v>278</v>
      </c>
      <c r="L1999" t="s">
        <v>674</v>
      </c>
      <c r="M1999" t="str">
        <f>"https://www.artic.edu/iiif/2/"&amp;Table9[[#This Row],[Image ID]]&amp;"/full/843,/0/default.jpg"</f>
        <v>https://www.artic.edu/iiif/2/d58bebce-56fa-3832-301b-89cd026b7073/full/843,/0/default.jpg</v>
      </c>
      <c r="N1999" s="3">
        <v>0.7</v>
      </c>
      <c r="O1999" s="3">
        <v>0.05</v>
      </c>
      <c r="P1999" s="3">
        <v>0.64999999999999991</v>
      </c>
      <c r="Q1999" s="3">
        <v>0.72218686342239302</v>
      </c>
    </row>
    <row r="2000" spans="1:17" x14ac:dyDescent="0.45">
      <c r="A2000" s="3">
        <v>19322</v>
      </c>
      <c r="B2000" t="b">
        <v>0</v>
      </c>
      <c r="C2000" t="b">
        <v>1</v>
      </c>
      <c r="D2000" s="3">
        <v>1620</v>
      </c>
      <c r="E2000" s="3">
        <v>1645</v>
      </c>
      <c r="F2000" t="s">
        <v>5216</v>
      </c>
      <c r="G2000" t="s">
        <v>5217</v>
      </c>
      <c r="H2000" s="3">
        <v>0</v>
      </c>
      <c r="I2000" t="s">
        <v>580</v>
      </c>
      <c r="J2000" t="s">
        <v>13926</v>
      </c>
      <c r="L2000" t="s">
        <v>5218</v>
      </c>
      <c r="M2000" t="str">
        <f>"https://www.artic.edu/iiif/2/"&amp;Table9[[#This Row],[Image ID]]&amp;"/full/843,/0/default.jpg"</f>
        <v>https://www.artic.edu/iiif/2/d67f1cfe-c16f-0b19-1acb-4d915f158991/full/843,/0/default.jpg</v>
      </c>
      <c r="N2000" s="3">
        <v>0.82499999999999996</v>
      </c>
      <c r="O2000" s="3">
        <v>0.17499999999999999</v>
      </c>
      <c r="P2000" s="3">
        <v>0.64999999999999991</v>
      </c>
      <c r="Q2000" s="3">
        <v>0.64307296276092496</v>
      </c>
    </row>
    <row r="2001" spans="1:17" x14ac:dyDescent="0.45">
      <c r="A2001" s="3">
        <v>115184</v>
      </c>
      <c r="B2001" t="b">
        <v>0</v>
      </c>
      <c r="C2001" t="b">
        <v>1</v>
      </c>
      <c r="D2001" s="3">
        <v>1835</v>
      </c>
      <c r="E2001" s="3">
        <v>1882</v>
      </c>
      <c r="F2001" t="s">
        <v>1820</v>
      </c>
      <c r="G2001" t="s">
        <v>1774</v>
      </c>
      <c r="H2001" s="3">
        <v>22.2852</v>
      </c>
      <c r="I2001" t="s">
        <v>1555</v>
      </c>
      <c r="J2001" t="s">
        <v>14174</v>
      </c>
      <c r="L2001" t="s">
        <v>1821</v>
      </c>
      <c r="M2001" t="str">
        <f>"https://www.artic.edu/iiif/2/"&amp;Table9[[#This Row],[Image ID]]&amp;"/full/843,/0/default.jpg"</f>
        <v>https://www.artic.edu/iiif/2/e709a2e1-f193-71ed-959e-ec16fc4a7591/full/843,/0/default.jpg</v>
      </c>
      <c r="N2001" s="3">
        <v>0.82499999999999996</v>
      </c>
      <c r="O2001" s="3">
        <v>0.17499999999999999</v>
      </c>
      <c r="P2001" s="3">
        <v>0.64999999999999991</v>
      </c>
      <c r="Q2001" s="3">
        <v>0.72933346033096302</v>
      </c>
    </row>
    <row r="2002" spans="1:17" x14ac:dyDescent="0.45">
      <c r="A2002" s="3">
        <v>115516</v>
      </c>
      <c r="B2002" t="b">
        <v>0</v>
      </c>
      <c r="C2002" t="b">
        <v>1</v>
      </c>
      <c r="D2002" s="3">
        <v>1719</v>
      </c>
      <c r="E2002" s="3">
        <v>1769</v>
      </c>
      <c r="F2002" t="s">
        <v>1997</v>
      </c>
      <c r="G2002" t="s">
        <v>1952</v>
      </c>
      <c r="H2002" s="3">
        <v>48.697499999999998</v>
      </c>
      <c r="I2002" t="s">
        <v>1922</v>
      </c>
      <c r="J2002" t="s">
        <v>14304</v>
      </c>
      <c r="L2002" t="s">
        <v>1998</v>
      </c>
      <c r="M2002" t="str">
        <f>"https://www.artic.edu/iiif/2/"&amp;Table9[[#This Row],[Image ID]]&amp;"/full/843,/0/default.jpg"</f>
        <v>https://www.artic.edu/iiif/2/ef9669e8-9927-104b-cdb7-968a8cbc767a/full/843,/0/default.jpg</v>
      </c>
      <c r="N2002" s="3">
        <v>0.7</v>
      </c>
      <c r="O2002" s="3">
        <v>0.05</v>
      </c>
      <c r="P2002" s="3">
        <v>0.64999999999999991</v>
      </c>
      <c r="Q2002" s="3">
        <v>0.88325178623199396</v>
      </c>
    </row>
    <row r="2003" spans="1:17" x14ac:dyDescent="0.45">
      <c r="A2003" s="3">
        <v>80571</v>
      </c>
      <c r="B2003" t="b">
        <v>0</v>
      </c>
      <c r="C2003" t="b">
        <v>1</v>
      </c>
      <c r="D2003" s="3">
        <v>1850</v>
      </c>
      <c r="E2003" s="3">
        <v>1860</v>
      </c>
      <c r="F2003" t="s">
        <v>10027</v>
      </c>
      <c r="G2003" t="s">
        <v>75</v>
      </c>
      <c r="H2003" s="3">
        <v>25.524999999999999</v>
      </c>
      <c r="I2003" t="s">
        <v>14551</v>
      </c>
      <c r="J2003" t="s">
        <v>14505</v>
      </c>
      <c r="L2003" t="s">
        <v>10028</v>
      </c>
      <c r="M2003" t="str">
        <f>"https://www.artic.edu/iiif/2/"&amp;Table9[[#This Row],[Image ID]]&amp;"/full/843,/0/default.jpg"</f>
        <v>https://www.artic.edu/iiif/2/fdd9f9dc-6893-c608-7589-02f4f0ab5fbd/full/843,/0/default.jpg</v>
      </c>
      <c r="N2003" s="3">
        <v>0.7</v>
      </c>
      <c r="O2003" s="3">
        <v>0.05</v>
      </c>
      <c r="P2003" s="3">
        <v>0.64999999999999991</v>
      </c>
      <c r="Q2003" s="3">
        <v>0.75401246547698897</v>
      </c>
    </row>
    <row r="2004" spans="1:17" x14ac:dyDescent="0.45">
      <c r="A2004" s="3">
        <v>80579</v>
      </c>
      <c r="B2004" t="b">
        <v>0</v>
      </c>
      <c r="C2004" t="b">
        <v>1</v>
      </c>
      <c r="D2004" s="3">
        <v>1800</v>
      </c>
      <c r="E2004" s="3">
        <v>1808</v>
      </c>
      <c r="F2004" t="s">
        <v>10032</v>
      </c>
      <c r="G2004" t="s">
        <v>7</v>
      </c>
      <c r="H2004" s="3">
        <v>46.121400000000001</v>
      </c>
      <c r="I2004" t="s">
        <v>14630</v>
      </c>
      <c r="J2004" t="s">
        <v>14507</v>
      </c>
      <c r="L2004" t="s">
        <v>10033</v>
      </c>
      <c r="M2004" t="str">
        <f>"https://www.artic.edu/iiif/2/"&amp;Table9[[#This Row],[Image ID]]&amp;"/full/843,/0/default.jpg"</f>
        <v>https://www.artic.edu/iiif/2/fdf7c790-890a-fdf9-00df-5f47697eee0a/full/843,/0/default.jpg</v>
      </c>
      <c r="N2004" s="3">
        <v>0.82499999999999996</v>
      </c>
      <c r="O2004" s="3">
        <v>0.17499999999999999</v>
      </c>
      <c r="P2004" s="3">
        <v>0.64999999999999991</v>
      </c>
      <c r="Q2004" s="3">
        <v>0.79465335607528598</v>
      </c>
    </row>
    <row r="2005" spans="1:17" x14ac:dyDescent="0.45">
      <c r="A2005" s="3">
        <v>5048</v>
      </c>
      <c r="B2005" t="b">
        <v>0</v>
      </c>
      <c r="C2005" t="b">
        <v>0</v>
      </c>
      <c r="D2005" s="3">
        <v>1889</v>
      </c>
      <c r="E2005" s="3">
        <v>1930</v>
      </c>
      <c r="F2005" t="s">
        <v>8103</v>
      </c>
      <c r="G2005" t="s">
        <v>8104</v>
      </c>
      <c r="H2005" s="3">
        <v>17.5002</v>
      </c>
      <c r="I2005" t="s">
        <v>8105</v>
      </c>
      <c r="J2005" t="s">
        <v>11640</v>
      </c>
      <c r="L2005" t="s">
        <v>8106</v>
      </c>
      <c r="M2005" t="str">
        <f>"https://www.artic.edu/iiif/2/"&amp;Table9[[#This Row],[Image ID]]&amp;"/full/843,/0/default.jpg"</f>
        <v>https://www.artic.edu/iiif/2/2e070878-d5f2-a141-d76e-814fad5388fe/full/843,/0/default.jpg</v>
      </c>
      <c r="N2005" s="3">
        <v>0.73799999999999999</v>
      </c>
      <c r="O2005" s="3">
        <v>9.2999999999999999E-2</v>
      </c>
      <c r="P2005" s="3">
        <v>0.64500000000000002</v>
      </c>
      <c r="Q2005" s="3">
        <v>0.65334665775298995</v>
      </c>
    </row>
    <row r="2006" spans="1:17" x14ac:dyDescent="0.45">
      <c r="A2006" s="3">
        <v>79789</v>
      </c>
      <c r="B2006" t="b">
        <v>0</v>
      </c>
      <c r="C2006" t="b">
        <v>1</v>
      </c>
      <c r="D2006" s="3">
        <v>1525</v>
      </c>
      <c r="E2006" s="3">
        <v>1550</v>
      </c>
      <c r="F2006" t="s">
        <v>297</v>
      </c>
      <c r="G2006" t="s">
        <v>75</v>
      </c>
      <c r="H2006" s="3">
        <v>0</v>
      </c>
      <c r="J2006" t="s">
        <v>12619</v>
      </c>
      <c r="L2006" t="s">
        <v>9924</v>
      </c>
      <c r="M2006" t="str">
        <f>"https://www.artic.edu/iiif/2/"&amp;Table9[[#This Row],[Image ID]]&amp;"/full/843,/0/default.jpg"</f>
        <v>https://www.artic.edu/iiif/2/70d29ea7-d9c9-947c-dc2f-a79f11844ae1/full/843,/0/default.jpg</v>
      </c>
      <c r="N2006" s="3">
        <v>0.75600000000000001</v>
      </c>
      <c r="O2006" s="3">
        <v>0.111</v>
      </c>
      <c r="P2006" s="3">
        <v>0.64500000000000002</v>
      </c>
      <c r="Q2006" s="3">
        <v>0.76633316278457597</v>
      </c>
    </row>
    <row r="2007" spans="1:17" x14ac:dyDescent="0.45">
      <c r="A2007" s="3">
        <v>73343</v>
      </c>
      <c r="B2007" t="b">
        <v>0</v>
      </c>
      <c r="C2007" t="b">
        <v>0</v>
      </c>
      <c r="D2007" s="3">
        <v>1960</v>
      </c>
      <c r="E2007" s="3">
        <v>1988</v>
      </c>
      <c r="F2007" t="s">
        <v>9606</v>
      </c>
      <c r="G2007" t="s">
        <v>5556</v>
      </c>
      <c r="H2007" s="3">
        <v>70.783699999999996</v>
      </c>
      <c r="I2007" t="s">
        <v>2431</v>
      </c>
      <c r="J2007" t="s">
        <v>13972</v>
      </c>
      <c r="L2007" t="s">
        <v>9607</v>
      </c>
      <c r="M2007" t="str">
        <f>"https://www.artic.edu/iiif/2/"&amp;Table9[[#This Row],[Image ID]]&amp;"/full/843,/0/default.jpg"</f>
        <v>https://www.artic.edu/iiif/2/d9b7691a-cd4b-dbe1-5b4a-7b27934ea88b/full/843,/0/default.jpg</v>
      </c>
      <c r="N2007" s="3">
        <v>0.66700000000000004</v>
      </c>
      <c r="O2007" s="3">
        <v>2.3E-2</v>
      </c>
      <c r="P2007" s="3">
        <v>0.64400000000000002</v>
      </c>
      <c r="Q2007" s="3">
        <v>0.73971724510192804</v>
      </c>
    </row>
    <row r="2008" spans="1:17" x14ac:dyDescent="0.45">
      <c r="A2008" s="3">
        <v>28146</v>
      </c>
      <c r="B2008" t="b">
        <v>0</v>
      </c>
      <c r="C2008" t="b">
        <v>1</v>
      </c>
      <c r="D2008" s="3">
        <v>1865</v>
      </c>
      <c r="E2008" s="3">
        <v>1865</v>
      </c>
      <c r="F2008" t="s">
        <v>6790</v>
      </c>
      <c r="G2008" t="s">
        <v>7</v>
      </c>
      <c r="H2008" s="3">
        <v>32.977800000000002</v>
      </c>
      <c r="I2008" t="s">
        <v>14553</v>
      </c>
      <c r="J2008" t="s">
        <v>11079</v>
      </c>
      <c r="L2008" t="s">
        <v>6791</v>
      </c>
      <c r="M2008" t="str">
        <f>"https://www.artic.edu/iiif/2/"&amp;Table9[[#This Row],[Image ID]]&amp;"/full/843,/0/default.jpg"</f>
        <v>https://www.artic.edu/iiif/2/07bdc94a-7d44-fde8-c0e1-f19fefce359d/full/843,/0/default.jpg</v>
      </c>
      <c r="N2008" s="3">
        <v>0.73299999999999998</v>
      </c>
      <c r="O2008" s="3">
        <v>8.8999999999999996E-2</v>
      </c>
      <c r="P2008" s="3">
        <v>0.64400000000000002</v>
      </c>
      <c r="Q2008" s="3">
        <v>0.65335738658904996</v>
      </c>
    </row>
    <row r="2009" spans="1:17" x14ac:dyDescent="0.45">
      <c r="A2009" s="3">
        <v>44055</v>
      </c>
      <c r="B2009" t="b">
        <v>0</v>
      </c>
      <c r="C2009" t="b">
        <v>0</v>
      </c>
      <c r="D2009" s="3">
        <v>1931</v>
      </c>
      <c r="E2009" s="3">
        <v>1942</v>
      </c>
      <c r="F2009" t="s">
        <v>7761</v>
      </c>
      <c r="G2009" t="s">
        <v>7762</v>
      </c>
      <c r="H2009" s="3">
        <v>49.434899999999999</v>
      </c>
      <c r="I2009" t="s">
        <v>2781</v>
      </c>
      <c r="J2009" t="s">
        <v>11932</v>
      </c>
      <c r="L2009" t="s">
        <v>7763</v>
      </c>
      <c r="M2009" t="str">
        <f>"https://www.artic.edu/iiif/2/"&amp;Table9[[#This Row],[Image ID]]&amp;"/full/843,/0/default.jpg"</f>
        <v>https://www.artic.edu/iiif/2/40e7f4bc-d674-afee-08d4-7cd06b00790e/full/843,/0/default.jpg</v>
      </c>
      <c r="N2009" s="3">
        <v>0.71399999999999997</v>
      </c>
      <c r="O2009" s="3">
        <v>7.0000000000000007E-2</v>
      </c>
      <c r="P2009" s="3">
        <v>0.64399999999999991</v>
      </c>
      <c r="Q2009" s="3">
        <v>0.55499362945556596</v>
      </c>
    </row>
    <row r="2010" spans="1:17" x14ac:dyDescent="0.45">
      <c r="A2010" s="3">
        <v>71529</v>
      </c>
      <c r="B2010" t="b">
        <v>0</v>
      </c>
      <c r="C2010" t="b">
        <v>0</v>
      </c>
      <c r="D2010" s="3">
        <v>1923</v>
      </c>
      <c r="E2010" s="3">
        <v>1923</v>
      </c>
      <c r="F2010" t="s">
        <v>9491</v>
      </c>
      <c r="G2010" t="s">
        <v>7</v>
      </c>
      <c r="H2010" s="3">
        <v>24.066800000000001</v>
      </c>
      <c r="I2010" t="s">
        <v>4708</v>
      </c>
      <c r="J2010" t="s">
        <v>12419</v>
      </c>
      <c r="K2010" s="5" t="s">
        <v>45</v>
      </c>
      <c r="L2010" t="s">
        <v>9492</v>
      </c>
      <c r="M2010" t="str">
        <f>"https://www.artic.edu/iiif/2/"&amp;Table9[[#This Row],[Image ID]]&amp;"/full/843,/0/default.jpg"</f>
        <v>https://www.artic.edu/iiif/2/6349bf10-a044-70f4-2500-eda2e8a9f9cb/full/843,/0/default.jpg</v>
      </c>
      <c r="N2010" s="3">
        <v>0.71099999999999997</v>
      </c>
      <c r="O2010" s="3">
        <v>6.7000000000000004E-2</v>
      </c>
      <c r="P2010" s="3">
        <v>0.64399999999999991</v>
      </c>
      <c r="Q2010" s="3">
        <v>0.76728832721710205</v>
      </c>
    </row>
    <row r="2011" spans="1:17" x14ac:dyDescent="0.45">
      <c r="A2011" s="3">
        <v>193241</v>
      </c>
      <c r="B2011" t="b">
        <v>0</v>
      </c>
      <c r="C2011" t="b">
        <v>1</v>
      </c>
      <c r="D2011" s="3">
        <v>1099</v>
      </c>
      <c r="E2011" s="3">
        <v>1199</v>
      </c>
      <c r="F2011" t="s">
        <v>5219</v>
      </c>
      <c r="G2011" t="s">
        <v>5220</v>
      </c>
      <c r="H2011" s="3">
        <v>22.5718</v>
      </c>
      <c r="J2011" t="s">
        <v>13848</v>
      </c>
      <c r="K2011" s="5" t="s">
        <v>13</v>
      </c>
      <c r="L2011" t="s">
        <v>5221</v>
      </c>
      <c r="M2011" t="str">
        <f>"https://www.artic.edu/iiif/2/"&amp;Table9[[#This Row],[Image ID]]&amp;"/full/843,/0/default.jpg"</f>
        <v>https://www.artic.edu/iiif/2/d062a585-033e-dc4f-35d9-bffe4746a479/full/843,/0/default.jpg</v>
      </c>
      <c r="N2011" s="3">
        <v>0.71399999999999997</v>
      </c>
      <c r="O2011" s="3">
        <v>7.0000000000000007E-2</v>
      </c>
      <c r="P2011" s="3">
        <v>0.64399999999999991</v>
      </c>
      <c r="Q2011" s="3">
        <v>0.73477131128311102</v>
      </c>
    </row>
    <row r="2012" spans="1:17" x14ac:dyDescent="0.45">
      <c r="A2012" s="3">
        <v>22245</v>
      </c>
      <c r="B2012" t="b">
        <v>0</v>
      </c>
      <c r="C2012" t="b">
        <v>0</v>
      </c>
      <c r="D2012" s="3">
        <v>1963</v>
      </c>
      <c r="E2012" s="3">
        <v>1963</v>
      </c>
      <c r="F2012" t="s">
        <v>5830</v>
      </c>
      <c r="G2012" t="s">
        <v>7</v>
      </c>
      <c r="H2012" s="3">
        <v>17.794699999999999</v>
      </c>
      <c r="I2012" t="s">
        <v>172</v>
      </c>
      <c r="J2012" t="s">
        <v>10992</v>
      </c>
      <c r="L2012" t="s">
        <v>5831</v>
      </c>
      <c r="M2012" t="str">
        <f>"https://www.artic.edu/iiif/2/"&amp;Table9[[#This Row],[Image ID]]&amp;"/full/843,/0/default.jpg"</f>
        <v>https://www.artic.edu/iiif/2/01900a3b-01ca-22cb-f7bd-6c21697a6063/full/843,/0/default.jpg</v>
      </c>
      <c r="N2012" s="3">
        <v>0.78600000000000003</v>
      </c>
      <c r="O2012" s="3">
        <v>0.14299999999999999</v>
      </c>
      <c r="P2012" s="3">
        <v>0.64300000000000002</v>
      </c>
      <c r="Q2012" s="3">
        <v>0.76315170526504505</v>
      </c>
    </row>
    <row r="2013" spans="1:17" x14ac:dyDescent="0.45">
      <c r="A2013" s="3">
        <v>3166</v>
      </c>
      <c r="B2013" t="b">
        <v>0</v>
      </c>
      <c r="C2013" t="b">
        <v>0</v>
      </c>
      <c r="D2013" s="3">
        <v>1895</v>
      </c>
      <c r="E2013" s="3">
        <v>1925</v>
      </c>
      <c r="F2013" t="s">
        <v>7012</v>
      </c>
      <c r="G2013" t="s">
        <v>7013</v>
      </c>
      <c r="H2013" s="3">
        <v>9.6096000000000004</v>
      </c>
      <c r="I2013" t="s">
        <v>7014</v>
      </c>
      <c r="J2013" t="s">
        <v>11234</v>
      </c>
      <c r="L2013" t="s">
        <v>7015</v>
      </c>
      <c r="M2013" t="str">
        <f>"https://www.artic.edu/iiif/2/"&amp;Table9[[#This Row],[Image ID]]&amp;"/full/843,/0/default.jpg"</f>
        <v>https://www.artic.edu/iiif/2/13244e9e-a474-6230-edca-7a3a0bfa71b4/full/843,/0/default.jpg</v>
      </c>
      <c r="N2013" s="3">
        <v>0.66700000000000004</v>
      </c>
      <c r="O2013" s="3">
        <v>2.4E-2</v>
      </c>
      <c r="P2013" s="3">
        <v>0.64300000000000002</v>
      </c>
      <c r="Q2013" s="3">
        <v>0.71685451269149703</v>
      </c>
    </row>
    <row r="2014" spans="1:17" x14ac:dyDescent="0.45">
      <c r="A2014" s="3">
        <v>117568</v>
      </c>
      <c r="B2014" t="b">
        <v>0</v>
      </c>
      <c r="C2014" t="b">
        <v>0</v>
      </c>
      <c r="D2014" s="3">
        <v>1969</v>
      </c>
      <c r="E2014" s="3">
        <v>1969</v>
      </c>
      <c r="F2014" t="s">
        <v>121</v>
      </c>
      <c r="G2014" t="s">
        <v>2391</v>
      </c>
      <c r="H2014" s="3">
        <v>50.054099999999998</v>
      </c>
      <c r="I2014" t="s">
        <v>2389</v>
      </c>
      <c r="J2014" t="s">
        <v>11481</v>
      </c>
      <c r="L2014" t="s">
        <v>2392</v>
      </c>
      <c r="M2014" t="str">
        <f>"https://www.artic.edu/iiif/2/"&amp;Table9[[#This Row],[Image ID]]&amp;"/full/843,/0/default.jpg"</f>
        <v>https://www.artic.edu/iiif/2/2375bc7c-87c8-0cda-bc44-d556b19f322f/full/843,/0/default.jpg</v>
      </c>
      <c r="N2014" s="3">
        <v>0.71399999999999997</v>
      </c>
      <c r="O2014" s="3">
        <v>7.0999999999999994E-2</v>
      </c>
      <c r="P2014" s="3">
        <v>0.64300000000000002</v>
      </c>
      <c r="Q2014" s="3">
        <v>0.83753174543380704</v>
      </c>
    </row>
    <row r="2015" spans="1:17" x14ac:dyDescent="0.45">
      <c r="A2015" s="3">
        <v>65897</v>
      </c>
      <c r="B2015" t="b">
        <v>0</v>
      </c>
      <c r="C2015" t="b">
        <v>0</v>
      </c>
      <c r="D2015" s="3">
        <v>1932</v>
      </c>
      <c r="E2015" s="3">
        <v>1942</v>
      </c>
      <c r="F2015" t="s">
        <v>911</v>
      </c>
      <c r="G2015" t="s">
        <v>2289</v>
      </c>
      <c r="H2015" s="3">
        <v>20.354700000000001</v>
      </c>
      <c r="I2015" t="s">
        <v>1430</v>
      </c>
      <c r="J2015" t="s">
        <v>12124</v>
      </c>
      <c r="L2015" t="s">
        <v>9088</v>
      </c>
      <c r="M2015" t="str">
        <f>"https://www.artic.edu/iiif/2/"&amp;Table9[[#This Row],[Image ID]]&amp;"/full/843,/0/default.jpg"</f>
        <v>https://www.artic.edu/iiif/2/4f4ad49a-b1f5-6af4-53cf-1a5c82535ba3/full/843,/0/default.jpg</v>
      </c>
      <c r="N2015" s="3">
        <v>0.83299999999999996</v>
      </c>
      <c r="O2015" s="3">
        <v>0.19</v>
      </c>
      <c r="P2015" s="3">
        <v>0.64300000000000002</v>
      </c>
      <c r="Q2015" s="3">
        <v>0.82828754186630205</v>
      </c>
    </row>
    <row r="2016" spans="1:17" x14ac:dyDescent="0.45">
      <c r="A2016" s="3">
        <v>14814</v>
      </c>
      <c r="B2016" t="b">
        <v>0</v>
      </c>
      <c r="C2016" t="b">
        <v>0</v>
      </c>
      <c r="D2016" s="3">
        <v>1895</v>
      </c>
      <c r="E2016" s="3">
        <v>1933</v>
      </c>
      <c r="F2016" t="s">
        <v>3704</v>
      </c>
      <c r="G2016" t="s">
        <v>3705</v>
      </c>
      <c r="H2016" s="3">
        <v>22.165400000000002</v>
      </c>
      <c r="I2016" t="s">
        <v>3699</v>
      </c>
      <c r="J2016" t="s">
        <v>12252</v>
      </c>
      <c r="L2016" t="s">
        <v>3706</v>
      </c>
      <c r="M2016" t="str">
        <f>"https://www.artic.edu/iiif/2/"&amp;Table9[[#This Row],[Image ID]]&amp;"/full/843,/0/default.jpg"</f>
        <v>https://www.artic.edu/iiif/2/56bc6003-75bf-424c-6362-d47279507b0d/full/843,/0/default.jpg</v>
      </c>
      <c r="N2016" s="3">
        <v>0.78600000000000003</v>
      </c>
      <c r="O2016" s="3">
        <v>0.14299999999999999</v>
      </c>
      <c r="P2016" s="3">
        <v>0.64300000000000002</v>
      </c>
      <c r="Q2016" s="3">
        <v>0.70379495620727495</v>
      </c>
    </row>
    <row r="2017" spans="1:17" x14ac:dyDescent="0.45">
      <c r="A2017" s="3">
        <v>14794</v>
      </c>
      <c r="B2017" t="b">
        <v>0</v>
      </c>
      <c r="C2017" t="b">
        <v>0</v>
      </c>
      <c r="D2017" s="3">
        <v>1914</v>
      </c>
      <c r="E2017" s="3">
        <v>1914</v>
      </c>
      <c r="F2017" t="s">
        <v>3685</v>
      </c>
      <c r="G2017" t="s">
        <v>3686</v>
      </c>
      <c r="H2017" s="3">
        <v>27.890799999999999</v>
      </c>
      <c r="I2017" t="s">
        <v>934</v>
      </c>
      <c r="J2017" t="s">
        <v>12546</v>
      </c>
      <c r="L2017" t="s">
        <v>3687</v>
      </c>
      <c r="M2017" t="str">
        <f>"https://www.artic.edu/iiif/2/"&amp;Table9[[#This Row],[Image ID]]&amp;"/full/843,/0/default.jpg"</f>
        <v>https://www.artic.edu/iiif/2/6bcff102-062f-1d3d-dbfe-25a240a2951a/full/843,/0/default.jpg</v>
      </c>
      <c r="N2017" s="3">
        <v>0.73799999999999999</v>
      </c>
      <c r="O2017" s="3">
        <v>9.5000000000000001E-2</v>
      </c>
      <c r="P2017" s="3">
        <v>0.64300000000000002</v>
      </c>
      <c r="Q2017" s="3">
        <v>0.69124418497085505</v>
      </c>
    </row>
    <row r="2018" spans="1:17" x14ac:dyDescent="0.45">
      <c r="A2018" s="3">
        <v>212760</v>
      </c>
      <c r="B2018" t="b">
        <v>0</v>
      </c>
      <c r="C2018" t="b">
        <v>0</v>
      </c>
      <c r="D2018" s="3">
        <v>1957</v>
      </c>
      <c r="E2018" s="3">
        <v>1957</v>
      </c>
      <c r="F2018" t="s">
        <v>5603</v>
      </c>
      <c r="G2018" t="s">
        <v>2516</v>
      </c>
      <c r="H2018" s="3">
        <v>40.451599999999999</v>
      </c>
      <c r="I2018" t="s">
        <v>5604</v>
      </c>
      <c r="J2018" t="s">
        <v>12552</v>
      </c>
      <c r="K2018" s="5" t="s">
        <v>45</v>
      </c>
      <c r="L2018" t="s">
        <v>5605</v>
      </c>
      <c r="M2018" t="str">
        <f>"https://www.artic.edu/iiif/2/"&amp;Table9[[#This Row],[Image ID]]&amp;"/full/843,/0/default.jpg"</f>
        <v>https://www.artic.edu/iiif/2/6c26e83f-0203-4acc-4b34-edcf38b80d4a/full/843,/0/default.jpg</v>
      </c>
      <c r="N2018" s="3">
        <v>0.73799999999999999</v>
      </c>
      <c r="O2018" s="3">
        <v>9.5000000000000001E-2</v>
      </c>
      <c r="P2018" s="3">
        <v>0.64300000000000002</v>
      </c>
      <c r="Q2018" s="3">
        <v>0.74116790294647195</v>
      </c>
    </row>
    <row r="2019" spans="1:17" x14ac:dyDescent="0.45">
      <c r="A2019" s="3">
        <v>153703</v>
      </c>
      <c r="B2019" t="b">
        <v>0</v>
      </c>
      <c r="C2019" t="b">
        <v>0</v>
      </c>
      <c r="D2019" s="3">
        <v>1926</v>
      </c>
      <c r="E2019" s="3">
        <v>1926</v>
      </c>
      <c r="F2019" t="s">
        <v>3952</v>
      </c>
      <c r="G2019" t="s">
        <v>7</v>
      </c>
      <c r="H2019" s="3">
        <v>63.6145</v>
      </c>
      <c r="I2019" t="s">
        <v>49</v>
      </c>
      <c r="J2019" t="s">
        <v>12742</v>
      </c>
      <c r="L2019" t="s">
        <v>3953</v>
      </c>
      <c r="M2019" t="str">
        <f>"https://www.artic.edu/iiif/2/"&amp;Table9[[#This Row],[Image ID]]&amp;"/full/843,/0/default.jpg"</f>
        <v>https://www.artic.edu/iiif/2/79f1c666-1e19-af39-f7e0-f22989835eb2/full/843,/0/default.jpg</v>
      </c>
      <c r="N2019" s="3">
        <v>0.71399999999999997</v>
      </c>
      <c r="O2019" s="3">
        <v>7.0999999999999994E-2</v>
      </c>
      <c r="P2019" s="3">
        <v>0.64300000000000002</v>
      </c>
      <c r="Q2019" s="3">
        <v>0.849401354789733</v>
      </c>
    </row>
    <row r="2020" spans="1:17" x14ac:dyDescent="0.45">
      <c r="A2020" s="3">
        <v>184893</v>
      </c>
      <c r="B2020" t="b">
        <v>0</v>
      </c>
      <c r="C2020" t="b">
        <v>0</v>
      </c>
      <c r="D2020" s="3">
        <v>2003</v>
      </c>
      <c r="E2020" s="3">
        <v>2003</v>
      </c>
      <c r="F2020" t="s">
        <v>4880</v>
      </c>
      <c r="G2020" t="s">
        <v>4823</v>
      </c>
      <c r="H2020" s="3">
        <v>8.2628000000000004</v>
      </c>
      <c r="I2020" t="s">
        <v>293</v>
      </c>
      <c r="J2020" t="s">
        <v>10977</v>
      </c>
      <c r="K2020" s="5" t="s">
        <v>15</v>
      </c>
      <c r="L2020" t="s">
        <v>4881</v>
      </c>
      <c r="M2020" t="str">
        <f>"https://www.artic.edu/iiif/2/"&amp;Table9[[#This Row],[Image ID]]&amp;"/full/843,/0/default.jpg"</f>
        <v>https://www.artic.edu/iiif/2/d49096e0-c17b-454c-dd1b-aee68c71ea37/full/843,/0/default.jpg</v>
      </c>
      <c r="N2020" s="3">
        <v>0.81</v>
      </c>
      <c r="O2020" s="3">
        <v>0.16700000000000001</v>
      </c>
      <c r="P2020" s="3">
        <v>0.64300000000000002</v>
      </c>
      <c r="Q2020" s="3">
        <v>0.93925523757934504</v>
      </c>
    </row>
    <row r="2021" spans="1:17" x14ac:dyDescent="0.45">
      <c r="A2021" s="3">
        <v>24332</v>
      </c>
      <c r="B2021" t="b">
        <v>0</v>
      </c>
      <c r="C2021" t="b">
        <v>0</v>
      </c>
      <c r="D2021" s="3">
        <v>1921</v>
      </c>
      <c r="E2021" s="3">
        <v>1927</v>
      </c>
      <c r="F2021" t="s">
        <v>6385</v>
      </c>
      <c r="G2021" t="s">
        <v>7</v>
      </c>
      <c r="H2021" s="3">
        <v>14.9672</v>
      </c>
      <c r="I2021" t="s">
        <v>14565</v>
      </c>
      <c r="J2021" t="s">
        <v>13967</v>
      </c>
      <c r="L2021" t="s">
        <v>6386</v>
      </c>
      <c r="M2021" t="str">
        <f>"https://www.artic.edu/iiif/2/"&amp;Table9[[#This Row],[Image ID]]&amp;"/full/843,/0/default.jpg"</f>
        <v>https://www.artic.edu/iiif/2/d9315a3f-1f41-3e0e-e0af-eaa01914bd7f/full/843,/0/default.jpg</v>
      </c>
      <c r="N2021" s="3">
        <v>0.73799999999999999</v>
      </c>
      <c r="O2021" s="3">
        <v>9.5000000000000001E-2</v>
      </c>
      <c r="P2021" s="3">
        <v>0.64300000000000002</v>
      </c>
      <c r="Q2021" s="3">
        <v>0.77301371097564697</v>
      </c>
    </row>
    <row r="2022" spans="1:17" x14ac:dyDescent="0.45">
      <c r="A2022" s="3">
        <v>118577</v>
      </c>
      <c r="B2022" t="b">
        <v>0</v>
      </c>
      <c r="C2022" t="b">
        <v>0</v>
      </c>
      <c r="D2022" s="3">
        <v>1937</v>
      </c>
      <c r="E2022" s="3">
        <v>1937</v>
      </c>
      <c r="F2022" t="s">
        <v>2502</v>
      </c>
      <c r="G2022" t="s">
        <v>7</v>
      </c>
      <c r="H2022" s="3">
        <v>73.368700000000004</v>
      </c>
      <c r="I2022" t="s">
        <v>144</v>
      </c>
      <c r="J2022" t="s">
        <v>14012</v>
      </c>
      <c r="K2022" s="5" t="s">
        <v>45</v>
      </c>
      <c r="L2022" t="s">
        <v>2503</v>
      </c>
      <c r="M2022" t="str">
        <f>"https://www.artic.edu/iiif/2/"&amp;Table9[[#This Row],[Image ID]]&amp;"/full/843,/0/default.jpg"</f>
        <v>https://www.artic.edu/iiif/2/dc49268e-ecd0-6603-67f7-aad81769bda2/full/843,/0/default.jpg</v>
      </c>
      <c r="N2022" s="3">
        <v>0.71399999999999997</v>
      </c>
      <c r="O2022" s="3">
        <v>7.0999999999999994E-2</v>
      </c>
      <c r="P2022" s="3">
        <v>0.64300000000000002</v>
      </c>
      <c r="Q2022" s="3">
        <v>0.70027792453765803</v>
      </c>
    </row>
    <row r="2023" spans="1:17" x14ac:dyDescent="0.45">
      <c r="A2023" s="3">
        <v>5569</v>
      </c>
      <c r="B2023" t="b">
        <v>0</v>
      </c>
      <c r="C2023" t="b">
        <v>0</v>
      </c>
      <c r="D2023" s="3">
        <v>1956</v>
      </c>
      <c r="E2023" s="3">
        <v>1956</v>
      </c>
      <c r="F2023" t="s">
        <v>8372</v>
      </c>
      <c r="G2023" t="s">
        <v>250</v>
      </c>
      <c r="H2023" s="3">
        <v>79.636700000000005</v>
      </c>
      <c r="I2023" t="s">
        <v>791</v>
      </c>
      <c r="J2023" t="s">
        <v>11346</v>
      </c>
      <c r="L2023" t="s">
        <v>8373</v>
      </c>
      <c r="M2023" t="str">
        <f>"https://www.artic.edu/iiif/2/"&amp;Table9[[#This Row],[Image ID]]&amp;"/full/843,/0/default.jpg"</f>
        <v>https://www.artic.edu/iiif/2/e81e3afd-69a7-915d-d93d-4b1c2ab91bfe/full/843,/0/default.jpg</v>
      </c>
      <c r="N2023" s="3">
        <v>0.78600000000000003</v>
      </c>
      <c r="O2023" s="3">
        <v>0.14299999999999999</v>
      </c>
      <c r="P2023" s="3">
        <v>0.64300000000000002</v>
      </c>
      <c r="Q2023" s="3">
        <v>0.89463376998901301</v>
      </c>
    </row>
    <row r="2024" spans="1:17" x14ac:dyDescent="0.45">
      <c r="A2024" s="3">
        <v>59882</v>
      </c>
      <c r="B2024" t="b">
        <v>0</v>
      </c>
      <c r="C2024" t="b">
        <v>1</v>
      </c>
      <c r="D2024" s="3">
        <v>1855</v>
      </c>
      <c r="E2024" s="3">
        <v>1875</v>
      </c>
      <c r="F2024" t="s">
        <v>8614</v>
      </c>
      <c r="G2024" t="s">
        <v>75</v>
      </c>
      <c r="H2024" s="3">
        <v>0</v>
      </c>
      <c r="I2024" t="s">
        <v>1007</v>
      </c>
      <c r="J2024" t="s">
        <v>12031</v>
      </c>
      <c r="L2024" t="s">
        <v>8615</v>
      </c>
      <c r="M2024" t="str">
        <f>"https://www.artic.edu/iiif/2/"&amp;Table9[[#This Row],[Image ID]]&amp;"/full/843,/0/default.jpg"</f>
        <v>https://www.artic.edu/iiif/2/47e85960-5411-6a5e-002d-83066fa724b7/full/843,/0/default.jpg</v>
      </c>
      <c r="N2024" s="3">
        <v>0.76200000000000001</v>
      </c>
      <c r="O2024" s="3">
        <v>0.11899999999999999</v>
      </c>
      <c r="P2024" s="3">
        <v>0.64300000000000002</v>
      </c>
      <c r="Q2024" s="3">
        <v>0.57865667343139604</v>
      </c>
    </row>
    <row r="2025" spans="1:17" x14ac:dyDescent="0.45">
      <c r="A2025" s="3">
        <v>21765</v>
      </c>
      <c r="B2025" t="b">
        <v>0</v>
      </c>
      <c r="C2025" t="b">
        <v>1</v>
      </c>
      <c r="D2025" s="3">
        <v>1776</v>
      </c>
      <c r="E2025" s="3">
        <v>1827</v>
      </c>
      <c r="F2025" t="s">
        <v>5723</v>
      </c>
      <c r="G2025" t="s">
        <v>5265</v>
      </c>
      <c r="H2025" s="3">
        <v>29.487200000000001</v>
      </c>
      <c r="I2025" t="s">
        <v>1266</v>
      </c>
      <c r="J2025" t="s">
        <v>13880</v>
      </c>
      <c r="L2025" t="s">
        <v>5724</v>
      </c>
      <c r="M2025" t="str">
        <f>"https://www.artic.edu/iiif/2/"&amp;Table9[[#This Row],[Image ID]]&amp;"/full/843,/0/default.jpg"</f>
        <v>https://www.artic.edu/iiif/2/d380a5eb-e90b-1d5a-6476-132d9252cb17/full/843,/0/default.jpg</v>
      </c>
      <c r="N2025" s="3">
        <v>0.73799999999999999</v>
      </c>
      <c r="O2025" s="3">
        <v>9.5000000000000001E-2</v>
      </c>
      <c r="P2025" s="3">
        <v>0.64300000000000002</v>
      </c>
      <c r="Q2025" s="3">
        <v>0.67944759130477905</v>
      </c>
    </row>
    <row r="2026" spans="1:17" x14ac:dyDescent="0.45">
      <c r="A2026" s="3">
        <v>25774</v>
      </c>
      <c r="B2026" t="b">
        <v>0</v>
      </c>
      <c r="C2026" t="b">
        <v>1</v>
      </c>
      <c r="D2026" s="3">
        <v>1325</v>
      </c>
      <c r="E2026" s="3">
        <v>1335</v>
      </c>
      <c r="F2026" t="s">
        <v>6592</v>
      </c>
      <c r="G2026" t="s">
        <v>103</v>
      </c>
      <c r="H2026" s="3">
        <v>54.257300000000001</v>
      </c>
      <c r="I2026" t="s">
        <v>6593</v>
      </c>
      <c r="J2026" t="s">
        <v>14126</v>
      </c>
      <c r="L2026" t="s">
        <v>6594</v>
      </c>
      <c r="M2026" t="str">
        <f>"https://www.artic.edu/iiif/2/"&amp;Table9[[#This Row],[Image ID]]&amp;"/full/843,/0/default.jpg"</f>
        <v>https://www.artic.edu/iiif/2/e3c6d59b-4f1b-aee9-5ae4-a8f4a735eded/full/843,/0/default.jpg</v>
      </c>
      <c r="N2026" s="3">
        <v>0.73799999999999999</v>
      </c>
      <c r="O2026" s="3">
        <v>9.5000000000000001E-2</v>
      </c>
      <c r="P2026" s="3">
        <v>0.64300000000000002</v>
      </c>
      <c r="Q2026" s="3">
        <v>0.75464200973510698</v>
      </c>
    </row>
    <row r="2027" spans="1:17" x14ac:dyDescent="0.45">
      <c r="A2027" s="3">
        <v>39691</v>
      </c>
      <c r="B2027" t="b">
        <v>0</v>
      </c>
      <c r="C2027" t="b">
        <v>1</v>
      </c>
      <c r="D2027" s="3">
        <v>1876</v>
      </c>
      <c r="E2027" s="3">
        <v>1876</v>
      </c>
      <c r="F2027" t="s">
        <v>7603</v>
      </c>
      <c r="G2027" t="s">
        <v>7</v>
      </c>
      <c r="H2027" s="3">
        <v>27.0306</v>
      </c>
      <c r="I2027" t="s">
        <v>3190</v>
      </c>
      <c r="J2027" t="s">
        <v>14136</v>
      </c>
      <c r="K2027" s="5" t="s">
        <v>9</v>
      </c>
      <c r="L2027" t="s">
        <v>7604</v>
      </c>
      <c r="M2027" t="str">
        <f>"https://www.artic.edu/iiif/2/"&amp;Table9[[#This Row],[Image ID]]&amp;"/full/843,/0/default.jpg"</f>
        <v>https://www.artic.edu/iiif/2/e420a236-8068-a82f-04b2-36fe3d2c7a3d/full/843,/0/default.jpg</v>
      </c>
      <c r="N2027" s="3">
        <v>0.73799999999999999</v>
      </c>
      <c r="O2027" s="3">
        <v>9.5000000000000001E-2</v>
      </c>
      <c r="P2027" s="3">
        <v>0.64300000000000002</v>
      </c>
      <c r="Q2027" s="3">
        <v>0.48979258537292403</v>
      </c>
    </row>
    <row r="2028" spans="1:17" x14ac:dyDescent="0.45">
      <c r="A2028" s="3">
        <v>102695</v>
      </c>
      <c r="B2028" t="b">
        <v>0</v>
      </c>
      <c r="C2028" t="b">
        <v>0</v>
      </c>
      <c r="D2028" s="3">
        <v>1926</v>
      </c>
      <c r="E2028" s="3">
        <v>1927</v>
      </c>
      <c r="F2028" t="s">
        <v>11</v>
      </c>
      <c r="G2028" t="s">
        <v>289</v>
      </c>
      <c r="H2028" s="3">
        <v>32.880800000000001</v>
      </c>
      <c r="I2028" t="s">
        <v>14588</v>
      </c>
      <c r="J2028" t="s">
        <v>12283</v>
      </c>
      <c r="L2028" t="s">
        <v>290</v>
      </c>
      <c r="M2028" t="str">
        <f>"https://www.artic.edu/iiif/2/"&amp;Table9[[#This Row],[Image ID]]&amp;"/full/843,/0/default.jpg"</f>
        <v>https://www.artic.edu/iiif/2/5968f7e0-b3f3-6811-7500-14a350833a36/full/843,/0/default.jpg</v>
      </c>
      <c r="N2028" s="3">
        <v>0.69</v>
      </c>
      <c r="O2028" s="3">
        <v>4.7E-2</v>
      </c>
      <c r="P2028" s="3">
        <v>0.6429999999999999</v>
      </c>
      <c r="Q2028" s="3">
        <v>0.80314534902572599</v>
      </c>
    </row>
    <row r="2029" spans="1:17" x14ac:dyDescent="0.45">
      <c r="A2029" s="3">
        <v>145906</v>
      </c>
      <c r="B2029" t="b">
        <v>0</v>
      </c>
      <c r="C2029" t="b">
        <v>0</v>
      </c>
      <c r="D2029" s="3">
        <v>1902</v>
      </c>
      <c r="E2029" s="3">
        <v>1902</v>
      </c>
      <c r="F2029" t="s">
        <v>3424</v>
      </c>
      <c r="G2029" t="s">
        <v>250</v>
      </c>
      <c r="H2029" s="3">
        <v>28.476199999999999</v>
      </c>
      <c r="I2029" t="s">
        <v>934</v>
      </c>
      <c r="J2029" t="s">
        <v>11261</v>
      </c>
      <c r="K2029" s="5" t="s">
        <v>9</v>
      </c>
      <c r="L2029" t="s">
        <v>3425</v>
      </c>
      <c r="M2029" t="str">
        <f>"https://www.artic.edu/iiif/2/"&amp;Table9[[#This Row],[Image ID]]&amp;"/full/843,/0/default.jpg"</f>
        <v>https://www.artic.edu/iiif/2/15339910-f650-d1ff-2044-1fda9d447574/full/843,/0/default.jpg</v>
      </c>
      <c r="N2029" s="3">
        <v>0.69</v>
      </c>
      <c r="O2029" s="3">
        <v>4.8000000000000001E-2</v>
      </c>
      <c r="P2029" s="3">
        <v>0.6419999999999999</v>
      </c>
      <c r="Q2029" s="3">
        <v>0.73940819501876798</v>
      </c>
    </row>
    <row r="2030" spans="1:17" x14ac:dyDescent="0.45">
      <c r="A2030" s="3">
        <v>39661</v>
      </c>
      <c r="B2030" t="b">
        <v>0</v>
      </c>
      <c r="C2030" t="b">
        <v>0</v>
      </c>
      <c r="D2030" s="3">
        <v>1939</v>
      </c>
      <c r="E2030" s="3">
        <v>1939</v>
      </c>
      <c r="F2030" t="s">
        <v>7595</v>
      </c>
      <c r="G2030" t="s">
        <v>7596</v>
      </c>
      <c r="H2030" s="3">
        <v>32.508099999999999</v>
      </c>
      <c r="I2030" t="s">
        <v>4064</v>
      </c>
      <c r="J2030" t="s">
        <v>11819</v>
      </c>
      <c r="L2030" t="s">
        <v>7597</v>
      </c>
      <c r="M2030" t="str">
        <f>"https://www.artic.edu/iiif/2/"&amp;Table9[[#This Row],[Image ID]]&amp;"/full/843,/0/default.jpg"</f>
        <v>https://www.artic.edu/iiif/2/39cf9b9b-ed07-f615-1503-70a187c5e556/full/843,/0/default.jpg</v>
      </c>
      <c r="N2030" s="3">
        <v>0.69</v>
      </c>
      <c r="O2030" s="3">
        <v>4.8000000000000001E-2</v>
      </c>
      <c r="P2030" s="3">
        <v>0.6419999999999999</v>
      </c>
      <c r="Q2030" s="3">
        <v>0.83540922403335505</v>
      </c>
    </row>
    <row r="2031" spans="1:17" x14ac:dyDescent="0.45">
      <c r="A2031" s="3">
        <v>2183</v>
      </c>
      <c r="B2031" t="b">
        <v>0</v>
      </c>
      <c r="C2031" t="b">
        <v>0</v>
      </c>
      <c r="D2031" s="3">
        <v>1927</v>
      </c>
      <c r="E2031" s="3">
        <v>1956</v>
      </c>
      <c r="F2031" t="s">
        <v>5762</v>
      </c>
      <c r="G2031" t="s">
        <v>159</v>
      </c>
      <c r="H2031" s="3">
        <v>18.3308</v>
      </c>
      <c r="I2031" t="s">
        <v>1460</v>
      </c>
      <c r="J2031" t="s">
        <v>11858</v>
      </c>
      <c r="L2031" t="s">
        <v>5763</v>
      </c>
      <c r="M2031" t="str">
        <f>"https://www.artic.edu/iiif/2/"&amp;Table9[[#This Row],[Image ID]]&amp;"/full/843,/0/default.jpg"</f>
        <v>https://www.artic.edu/iiif/2/3c306382-b034-90ab-88d9-d5ccc0515d46/full/843,/0/default.jpg</v>
      </c>
      <c r="N2031" s="3">
        <v>0.69</v>
      </c>
      <c r="O2031" s="3">
        <v>4.8000000000000001E-2</v>
      </c>
      <c r="P2031" s="3">
        <v>0.6419999999999999</v>
      </c>
      <c r="Q2031" s="3">
        <v>0.77399754524230902</v>
      </c>
    </row>
    <row r="2032" spans="1:17" x14ac:dyDescent="0.45">
      <c r="A2032" s="3">
        <v>66152</v>
      </c>
      <c r="B2032" t="b">
        <v>0</v>
      </c>
      <c r="C2032" t="b">
        <v>0</v>
      </c>
      <c r="D2032" s="3">
        <v>1904</v>
      </c>
      <c r="E2032" s="3">
        <v>1905</v>
      </c>
      <c r="F2032" t="s">
        <v>9199</v>
      </c>
      <c r="G2032" t="s">
        <v>7</v>
      </c>
      <c r="H2032" s="3">
        <v>43.222299999999997</v>
      </c>
      <c r="I2032" t="s">
        <v>9200</v>
      </c>
      <c r="J2032" t="s">
        <v>13508</v>
      </c>
      <c r="L2032" t="s">
        <v>9201</v>
      </c>
      <c r="M2032" t="str">
        <f>"https://www.artic.edu/iiif/2/"&amp;Table9[[#This Row],[Image ID]]&amp;"/full/843,/0/default.jpg"</f>
        <v>https://www.artic.edu/iiif/2/b4d76d59-5791-949b-5267-b48d40445774/full/843,/0/default.jpg</v>
      </c>
      <c r="N2032" s="3">
        <v>0.69</v>
      </c>
      <c r="O2032" s="3">
        <v>4.8000000000000001E-2</v>
      </c>
      <c r="P2032" s="3">
        <v>0.6419999999999999</v>
      </c>
      <c r="Q2032" s="3">
        <v>0.77457714080810502</v>
      </c>
    </row>
    <row r="2033" spans="1:17" x14ac:dyDescent="0.45">
      <c r="A2033" s="3">
        <v>79055</v>
      </c>
      <c r="B2033" t="b">
        <v>0</v>
      </c>
      <c r="C2033" t="b">
        <v>1</v>
      </c>
      <c r="D2033" s="3">
        <v>1820</v>
      </c>
      <c r="E2033" s="3">
        <v>1829</v>
      </c>
      <c r="F2033" t="s">
        <v>9886</v>
      </c>
      <c r="G2033" t="s">
        <v>642</v>
      </c>
      <c r="H2033" s="3">
        <v>45.477600000000002</v>
      </c>
      <c r="I2033" t="s">
        <v>16</v>
      </c>
      <c r="J2033" t="s">
        <v>10983</v>
      </c>
      <c r="L2033" t="s">
        <v>9887</v>
      </c>
      <c r="M2033" t="str">
        <f>"https://www.artic.edu/iiif/2/"&amp;Table9[[#This Row],[Image ID]]&amp;"/full/843,/0/default.jpg"</f>
        <v>https://www.artic.edu/iiif/2/00e22075-d8a2-3a5a-c742-961e02138418/full/843,/0/default.jpg</v>
      </c>
      <c r="N2033" s="3">
        <v>0.69</v>
      </c>
      <c r="O2033" s="3">
        <v>4.8000000000000001E-2</v>
      </c>
      <c r="P2033" s="3">
        <v>0.6419999999999999</v>
      </c>
      <c r="Q2033" s="3">
        <v>0.593963623046875</v>
      </c>
    </row>
    <row r="2034" spans="1:17" x14ac:dyDescent="0.45">
      <c r="A2034" s="3">
        <v>39011</v>
      </c>
      <c r="B2034" t="b">
        <v>0</v>
      </c>
      <c r="C2034" t="b">
        <v>1</v>
      </c>
      <c r="D2034" s="3">
        <v>1806</v>
      </c>
      <c r="E2034" s="3">
        <v>1818</v>
      </c>
      <c r="F2034" t="s">
        <v>7377</v>
      </c>
      <c r="G2034" t="s">
        <v>7378</v>
      </c>
      <c r="H2034" s="3">
        <v>35.241100000000003</v>
      </c>
      <c r="I2034" t="s">
        <v>7307</v>
      </c>
      <c r="J2034" t="s">
        <v>11190</v>
      </c>
      <c r="L2034" t="s">
        <v>7379</v>
      </c>
      <c r="M2034" t="str">
        <f>"https://www.artic.edu/iiif/2/"&amp;Table9[[#This Row],[Image ID]]&amp;"/full/843,/0/default.jpg"</f>
        <v>https://www.artic.edu/iiif/2/109d158d-9c29-148b-3391-141a2fd84ef7/full/843,/0/default.jpg</v>
      </c>
      <c r="N2034" s="3">
        <v>0.69</v>
      </c>
      <c r="O2034" s="3">
        <v>4.8000000000000001E-2</v>
      </c>
      <c r="P2034" s="3">
        <v>0.6419999999999999</v>
      </c>
      <c r="Q2034" s="3">
        <v>0.72659957408904996</v>
      </c>
    </row>
    <row r="2035" spans="1:17" x14ac:dyDescent="0.45">
      <c r="A2035" s="3">
        <v>20825</v>
      </c>
      <c r="B2035" t="b">
        <v>0</v>
      </c>
      <c r="C2035" t="b">
        <v>1</v>
      </c>
      <c r="D2035" s="3">
        <v>1762</v>
      </c>
      <c r="E2035" s="3">
        <v>1773</v>
      </c>
      <c r="F2035" t="s">
        <v>5521</v>
      </c>
      <c r="G2035" t="s">
        <v>129</v>
      </c>
      <c r="H2035" s="3">
        <v>33.039000000000001</v>
      </c>
      <c r="I2035" t="s">
        <v>777</v>
      </c>
      <c r="J2035" t="s">
        <v>11871</v>
      </c>
      <c r="K2035" s="5" t="s">
        <v>13</v>
      </c>
      <c r="L2035" t="s">
        <v>5522</v>
      </c>
      <c r="M2035" t="str">
        <f>"https://www.artic.edu/iiif/2/"&amp;Table9[[#This Row],[Image ID]]&amp;"/full/843,/0/default.jpg"</f>
        <v>https://www.artic.edu/iiif/2/3cfe2f71-c14b-4101-d9e4-6604d4048317/full/843,/0/default.jpg</v>
      </c>
      <c r="N2035" s="3">
        <v>0.69</v>
      </c>
      <c r="O2035" s="3">
        <v>4.8000000000000001E-2</v>
      </c>
      <c r="P2035" s="3">
        <v>0.6419999999999999</v>
      </c>
      <c r="Q2035" s="3">
        <v>0.76734334230422896</v>
      </c>
    </row>
    <row r="2036" spans="1:17" x14ac:dyDescent="0.45">
      <c r="A2036" s="3">
        <v>153798</v>
      </c>
      <c r="B2036" t="b">
        <v>0</v>
      </c>
      <c r="C2036" t="b">
        <v>1</v>
      </c>
      <c r="D2036" s="3">
        <v>1882</v>
      </c>
      <c r="E2036" s="3">
        <v>1883</v>
      </c>
      <c r="F2036" t="s">
        <v>3960</v>
      </c>
      <c r="G2036" t="s">
        <v>7</v>
      </c>
      <c r="H2036" s="3">
        <v>22.913499999999999</v>
      </c>
      <c r="I2036" t="s">
        <v>442</v>
      </c>
      <c r="J2036" t="s">
        <v>12360</v>
      </c>
      <c r="K2036" s="5" t="s">
        <v>9</v>
      </c>
      <c r="L2036" t="s">
        <v>3961</v>
      </c>
      <c r="M2036" t="str">
        <f>"https://www.artic.edu/iiif/2/"&amp;Table9[[#This Row],[Image ID]]&amp;"/full/843,/0/default.jpg"</f>
        <v>https://www.artic.edu/iiif/2/5edb357d-2e8f-8673-d9e8-4b1150af3895/full/843,/0/default.jpg</v>
      </c>
      <c r="N2036" s="3">
        <v>0.69</v>
      </c>
      <c r="O2036" s="3">
        <v>4.8000000000000001E-2</v>
      </c>
      <c r="P2036" s="3">
        <v>0.6419999999999999</v>
      </c>
      <c r="Q2036" s="3">
        <v>0.76126891374588002</v>
      </c>
    </row>
    <row r="2037" spans="1:17" x14ac:dyDescent="0.45">
      <c r="A2037" s="3">
        <v>28893</v>
      </c>
      <c r="B2037" t="b">
        <v>0</v>
      </c>
      <c r="C2037" t="b">
        <v>0</v>
      </c>
      <c r="D2037" s="3">
        <v>1966</v>
      </c>
      <c r="E2037" s="3">
        <v>1966</v>
      </c>
      <c r="F2037" t="s">
        <v>6848</v>
      </c>
      <c r="G2037" t="s">
        <v>59</v>
      </c>
      <c r="H2037" s="3">
        <v>45.364100000000001</v>
      </c>
      <c r="I2037" t="s">
        <v>2265</v>
      </c>
      <c r="J2037" t="s">
        <v>14272</v>
      </c>
      <c r="K2037" s="5" t="s">
        <v>2266</v>
      </c>
      <c r="L2037" t="s">
        <v>6849</v>
      </c>
      <c r="M2037" t="str">
        <f>"https://www.artic.edu/iiif/2/"&amp;Table9[[#This Row],[Image ID]]&amp;"/full/843,/0/default.jpg"</f>
        <v>https://www.artic.edu/iiif/2/ed659075-b9d4-c4bd-caad-1f0d081467c2/full/843,/0/default.jpg</v>
      </c>
      <c r="N2037" s="3">
        <v>0.72699999999999998</v>
      </c>
      <c r="O2037" s="3">
        <v>8.8999999999999996E-2</v>
      </c>
      <c r="P2037" s="3">
        <v>0.63800000000000001</v>
      </c>
      <c r="Q2037" s="3">
        <v>0.63254326581954901</v>
      </c>
    </row>
    <row r="2038" spans="1:17" x14ac:dyDescent="0.45">
      <c r="A2038" s="3">
        <v>93809</v>
      </c>
      <c r="B2038" t="b">
        <v>0</v>
      </c>
      <c r="C2038" t="b">
        <v>0</v>
      </c>
      <c r="D2038" s="3">
        <v>1940</v>
      </c>
      <c r="E2038" s="3">
        <v>1940</v>
      </c>
      <c r="F2038" t="s">
        <v>10640</v>
      </c>
      <c r="G2038" t="s">
        <v>10641</v>
      </c>
      <c r="H2038" s="3">
        <v>19.5273</v>
      </c>
      <c r="I2038" t="s">
        <v>378</v>
      </c>
      <c r="J2038" t="s">
        <v>11365</v>
      </c>
      <c r="L2038" t="s">
        <v>10642</v>
      </c>
      <c r="M2038" t="str">
        <f>"https://www.artic.edu/iiif/2/"&amp;Table9[[#This Row],[Image ID]]&amp;"/full/843,/0/default.jpg"</f>
        <v>https://www.artic.edu/iiif/2/1ca6e186-c6b8-9b45-4c4e-0e1143fe3303/full/843,/0/default.jpg</v>
      </c>
      <c r="N2038" s="3">
        <v>0.75600000000000001</v>
      </c>
      <c r="O2038" s="3">
        <v>0.11899999999999999</v>
      </c>
      <c r="P2038" s="3">
        <v>0.63700000000000001</v>
      </c>
      <c r="Q2038" s="3">
        <v>0.60912460088729803</v>
      </c>
    </row>
    <row r="2039" spans="1:17" x14ac:dyDescent="0.45">
      <c r="A2039" s="3">
        <v>225740</v>
      </c>
      <c r="B2039" t="b">
        <v>0</v>
      </c>
      <c r="C2039" t="b">
        <v>0</v>
      </c>
      <c r="D2039" s="3">
        <v>1959</v>
      </c>
      <c r="E2039" s="3">
        <v>1959</v>
      </c>
      <c r="F2039" t="s">
        <v>5940</v>
      </c>
      <c r="G2039" t="s">
        <v>5917</v>
      </c>
      <c r="H2039" s="3">
        <v>44.912999999999997</v>
      </c>
      <c r="I2039" t="s">
        <v>5918</v>
      </c>
      <c r="J2039" t="s">
        <v>11203</v>
      </c>
      <c r="L2039" t="s">
        <v>5941</v>
      </c>
      <c r="M2039" t="str">
        <f>"https://www.artic.edu/iiif/2/"&amp;Table9[[#This Row],[Image ID]]&amp;"/full/843,/0/default.jpg"</f>
        <v>https://www.artic.edu/iiif/2/e715f855-25d3-6860-51c5-f9f9ee7fb347/full/843,/0/default.jpg</v>
      </c>
      <c r="N2039" s="3">
        <v>0.73199999999999998</v>
      </c>
      <c r="O2039" s="3">
        <v>9.5000000000000001E-2</v>
      </c>
      <c r="P2039" s="3">
        <v>0.63700000000000001</v>
      </c>
      <c r="Q2039" s="3">
        <v>0.83654063940048196</v>
      </c>
    </row>
    <row r="2040" spans="1:17" x14ac:dyDescent="0.45">
      <c r="A2040" s="3">
        <v>10927</v>
      </c>
      <c r="B2040" t="b">
        <v>0</v>
      </c>
      <c r="C2040" t="b">
        <v>1</v>
      </c>
      <c r="D2040" s="3">
        <v>1375</v>
      </c>
      <c r="E2040" s="3">
        <v>1399</v>
      </c>
      <c r="F2040" t="s">
        <v>754</v>
      </c>
      <c r="G2040" t="s">
        <v>755</v>
      </c>
      <c r="H2040" s="3">
        <v>46.699599999999997</v>
      </c>
      <c r="I2040" t="s">
        <v>756</v>
      </c>
      <c r="J2040" t="s">
        <v>12217</v>
      </c>
      <c r="K2040" s="5" t="s">
        <v>278</v>
      </c>
      <c r="L2040" t="s">
        <v>757</v>
      </c>
      <c r="M2040" t="str">
        <f>"https://www.artic.edu/iiif/2/"&amp;Table9[[#This Row],[Image ID]]&amp;"/full/843,/0/default.jpg"</f>
        <v>https://www.artic.edu/iiif/2/54f0b704-7108-5b91-1d0f-585758267fb4/full/843,/0/default.jpg</v>
      </c>
      <c r="N2040" s="3">
        <v>0.73199999999999998</v>
      </c>
      <c r="O2040" s="3">
        <v>9.5000000000000001E-2</v>
      </c>
      <c r="P2040" s="3">
        <v>0.63700000000000001</v>
      </c>
      <c r="Q2040" s="3">
        <v>0.80239313840866</v>
      </c>
    </row>
    <row r="2041" spans="1:17" x14ac:dyDescent="0.45">
      <c r="A2041" s="3">
        <v>135516</v>
      </c>
      <c r="B2041" t="b">
        <v>0</v>
      </c>
      <c r="C2041" t="b">
        <v>0</v>
      </c>
      <c r="D2041" s="3">
        <v>1932</v>
      </c>
      <c r="E2041" s="3">
        <v>1932</v>
      </c>
      <c r="F2041" t="s">
        <v>3136</v>
      </c>
      <c r="G2041" t="s">
        <v>3137</v>
      </c>
      <c r="H2041" s="3">
        <v>30.527200000000001</v>
      </c>
      <c r="I2041" t="s">
        <v>40</v>
      </c>
      <c r="J2041" t="s">
        <v>12570</v>
      </c>
      <c r="L2041" t="s">
        <v>3138</v>
      </c>
      <c r="M2041" t="str">
        <f>"https://www.artic.edu/iiif/2/"&amp;Table9[[#This Row],[Image ID]]&amp;"/full/843,/0/default.jpg"</f>
        <v>https://www.artic.edu/iiif/2/6e3789c3-05e0-5774-f1f7-0cb99ac054af/full/843,/0/default.jpg</v>
      </c>
      <c r="N2041" s="3">
        <v>0.70699999999999996</v>
      </c>
      <c r="O2041" s="3">
        <v>7.0999999999999994E-2</v>
      </c>
      <c r="P2041" s="3">
        <v>0.63600000000000001</v>
      </c>
      <c r="Q2041" s="3">
        <v>0.753895163536071</v>
      </c>
    </row>
    <row r="2042" spans="1:17" x14ac:dyDescent="0.45">
      <c r="A2042" s="3">
        <v>115495</v>
      </c>
      <c r="B2042" t="b">
        <v>0</v>
      </c>
      <c r="C2042" t="b">
        <v>1</v>
      </c>
      <c r="D2042" s="3">
        <v>1719</v>
      </c>
      <c r="E2042" s="3">
        <v>1769</v>
      </c>
      <c r="F2042" t="s">
        <v>1957</v>
      </c>
      <c r="G2042" t="s">
        <v>1952</v>
      </c>
      <c r="H2042" s="3">
        <v>25.511800000000001</v>
      </c>
      <c r="I2042" t="s">
        <v>1922</v>
      </c>
      <c r="J2042" t="s">
        <v>14296</v>
      </c>
      <c r="L2042" t="s">
        <v>1958</v>
      </c>
      <c r="M2042" t="str">
        <f>"https://www.artic.edu/iiif/2/"&amp;Table9[[#This Row],[Image ID]]&amp;"/full/843,/0/default.jpg"</f>
        <v>https://www.artic.edu/iiif/2/eed4df60-dd5c-0b5c-ec30-9e858ea586c0/full/843,/0/default.jpg</v>
      </c>
      <c r="N2042" s="3">
        <v>0.72699999999999998</v>
      </c>
      <c r="O2042" s="3">
        <v>9.0999999999999998E-2</v>
      </c>
      <c r="P2042" s="3">
        <v>0.63600000000000001</v>
      </c>
      <c r="Q2042" s="3">
        <v>0.86955326795578003</v>
      </c>
    </row>
    <row r="2043" spans="1:17" x14ac:dyDescent="0.45">
      <c r="A2043" s="3">
        <v>184853</v>
      </c>
      <c r="B2043" t="b">
        <v>0</v>
      </c>
      <c r="C2043" t="b">
        <v>0</v>
      </c>
      <c r="D2043" s="3">
        <v>2003</v>
      </c>
      <c r="E2043" s="3">
        <v>2003</v>
      </c>
      <c r="F2043" t="s">
        <v>4855</v>
      </c>
      <c r="G2043" t="s">
        <v>4823</v>
      </c>
      <c r="H2043" s="3">
        <v>7.1982999999999997</v>
      </c>
      <c r="I2043" t="s">
        <v>293</v>
      </c>
      <c r="J2043" t="s">
        <v>10977</v>
      </c>
      <c r="K2043" s="5" t="s">
        <v>15</v>
      </c>
      <c r="L2043" t="s">
        <v>4856</v>
      </c>
      <c r="M2043" t="str">
        <f>"https://www.artic.edu/iiif/2/"&amp;Table9[[#This Row],[Image ID]]&amp;"/full/843,/0/default.jpg"</f>
        <v>https://www.artic.edu/iiif/2/0316a28f-636b-4fd8-a693-e0061d970b67/full/843,/0/default.jpg</v>
      </c>
      <c r="N2043" s="3">
        <v>0.68300000000000005</v>
      </c>
      <c r="O2043" s="3">
        <v>4.8000000000000001E-2</v>
      </c>
      <c r="P2043" s="3">
        <v>0.63500000000000001</v>
      </c>
      <c r="Q2043" s="3">
        <v>0.80785608291625899</v>
      </c>
    </row>
    <row r="2044" spans="1:17" x14ac:dyDescent="0.45">
      <c r="A2044" s="3">
        <v>117566</v>
      </c>
      <c r="B2044" t="b">
        <v>0</v>
      </c>
      <c r="C2044" t="b">
        <v>0</v>
      </c>
      <c r="D2044" s="3">
        <v>1945</v>
      </c>
      <c r="E2044" s="3">
        <v>1945</v>
      </c>
      <c r="F2044" t="s">
        <v>2383</v>
      </c>
      <c r="G2044" t="s">
        <v>2384</v>
      </c>
      <c r="H2044" s="3">
        <v>29.940300000000001</v>
      </c>
      <c r="I2044" t="s">
        <v>2385</v>
      </c>
      <c r="J2044" t="s">
        <v>11756</v>
      </c>
      <c r="L2044" t="s">
        <v>2386</v>
      </c>
      <c r="M2044" t="str">
        <f>"https://www.artic.edu/iiif/2/"&amp;Table9[[#This Row],[Image ID]]&amp;"/full/843,/0/default.jpg"</f>
        <v>https://www.artic.edu/iiif/2/35fa85f5-ae66-5049-b580-19d3860ed187/full/843,/0/default.jpg</v>
      </c>
      <c r="N2044" s="3">
        <v>0.65900000000000003</v>
      </c>
      <c r="O2044" s="3">
        <v>2.4E-2</v>
      </c>
      <c r="P2044" s="3">
        <v>0.63500000000000001</v>
      </c>
      <c r="Q2044" s="3">
        <v>0.79922866821288996</v>
      </c>
    </row>
    <row r="2045" spans="1:17" x14ac:dyDescent="0.45">
      <c r="A2045" s="3">
        <v>136951</v>
      </c>
      <c r="B2045" t="b">
        <v>0</v>
      </c>
      <c r="C2045" t="b">
        <v>0</v>
      </c>
      <c r="D2045" s="3">
        <v>1934</v>
      </c>
      <c r="E2045" s="3">
        <v>1934</v>
      </c>
      <c r="F2045" t="s">
        <v>3177</v>
      </c>
      <c r="G2045" t="s">
        <v>3178</v>
      </c>
      <c r="H2045" s="3">
        <v>5.3422999999999998</v>
      </c>
      <c r="I2045" t="s">
        <v>315</v>
      </c>
      <c r="J2045" t="s">
        <v>12323</v>
      </c>
      <c r="K2045" s="5" t="s">
        <v>2</v>
      </c>
      <c r="L2045" t="s">
        <v>3179</v>
      </c>
      <c r="M2045" t="str">
        <f>"https://www.artic.edu/iiif/2/"&amp;Table9[[#This Row],[Image ID]]&amp;"/full/843,/0/default.jpg"</f>
        <v>https://www.artic.edu/iiif/2/5c09e0db-b781-b569-69df-0a06f3ab9eba/full/843,/0/default.jpg</v>
      </c>
      <c r="N2045" s="3">
        <v>0.65900000000000003</v>
      </c>
      <c r="O2045" s="3">
        <v>2.4E-2</v>
      </c>
      <c r="P2045" s="3">
        <v>0.63500000000000001</v>
      </c>
      <c r="Q2045" s="3">
        <v>0.79991799592971802</v>
      </c>
    </row>
    <row r="2046" spans="1:17" x14ac:dyDescent="0.45">
      <c r="A2046" s="3">
        <v>107256</v>
      </c>
      <c r="B2046" t="b">
        <v>0</v>
      </c>
      <c r="C2046" t="b">
        <v>0</v>
      </c>
      <c r="D2046" s="3">
        <v>1968</v>
      </c>
      <c r="E2046" s="3">
        <v>1972</v>
      </c>
      <c r="F2046" t="s">
        <v>614</v>
      </c>
      <c r="G2046" t="s">
        <v>625</v>
      </c>
      <c r="H2046" s="3">
        <v>48.694600000000001</v>
      </c>
      <c r="I2046" t="s">
        <v>612</v>
      </c>
      <c r="J2046" t="s">
        <v>13007</v>
      </c>
      <c r="L2046" t="s">
        <v>626</v>
      </c>
      <c r="M2046" t="str">
        <f>"https://www.artic.edu/iiif/2/"&amp;Table9[[#This Row],[Image ID]]&amp;"/full/843,/0/default.jpg"</f>
        <v>https://www.artic.edu/iiif/2/8e77fe17-a144-c882-3a0e-a062b2e699bd/full/843,/0/default.jpg</v>
      </c>
      <c r="N2046" s="3">
        <v>0.65900000000000003</v>
      </c>
      <c r="O2046" s="3">
        <v>2.4E-2</v>
      </c>
      <c r="P2046" s="3">
        <v>0.63500000000000001</v>
      </c>
      <c r="Q2046" s="3">
        <v>0.77611637115478505</v>
      </c>
    </row>
    <row r="2047" spans="1:17" x14ac:dyDescent="0.45">
      <c r="A2047" s="3">
        <v>118733</v>
      </c>
      <c r="B2047" t="b">
        <v>0</v>
      </c>
      <c r="C2047" t="b">
        <v>0</v>
      </c>
      <c r="D2047" s="3">
        <v>1920</v>
      </c>
      <c r="E2047" s="3">
        <v>1920</v>
      </c>
      <c r="F2047" t="s">
        <v>2553</v>
      </c>
      <c r="G2047" t="s">
        <v>2554</v>
      </c>
      <c r="H2047" s="3">
        <v>42.820500000000003</v>
      </c>
      <c r="I2047" t="s">
        <v>2555</v>
      </c>
      <c r="J2047" t="s">
        <v>12221</v>
      </c>
      <c r="L2047" t="s">
        <v>2556</v>
      </c>
      <c r="M2047" t="str">
        <f>"https://www.artic.edu/iiif/2/"&amp;Table9[[#This Row],[Image ID]]&amp;"/full/843,/0/default.jpg"</f>
        <v>https://www.artic.edu/iiif/2/ce4f8db6-62eb-6c05-2198-4b63867e12f5/full/843,/0/default.jpg</v>
      </c>
      <c r="N2047" s="3">
        <v>0.65900000000000003</v>
      </c>
      <c r="O2047" s="3">
        <v>2.4E-2</v>
      </c>
      <c r="P2047" s="3">
        <v>0.63500000000000001</v>
      </c>
      <c r="Q2047" s="3">
        <v>0.82445883750915505</v>
      </c>
    </row>
    <row r="2048" spans="1:17" x14ac:dyDescent="0.45">
      <c r="A2048" s="3">
        <v>66174</v>
      </c>
      <c r="B2048" t="b">
        <v>0</v>
      </c>
      <c r="C2048" t="b">
        <v>0</v>
      </c>
      <c r="D2048" s="3">
        <v>1972</v>
      </c>
      <c r="E2048" s="3">
        <v>1972</v>
      </c>
      <c r="F2048" t="s">
        <v>9209</v>
      </c>
      <c r="G2048" t="s">
        <v>7</v>
      </c>
      <c r="H2048" s="3">
        <v>36.078299999999999</v>
      </c>
      <c r="I2048" t="s">
        <v>148</v>
      </c>
      <c r="J2048" t="s">
        <v>6669</v>
      </c>
      <c r="K2048" s="5" t="s">
        <v>149</v>
      </c>
      <c r="L2048" t="s">
        <v>9210</v>
      </c>
      <c r="M2048" t="str">
        <f>"https://www.artic.edu/iiif/2/"&amp;Table9[[#This Row],[Image ID]]&amp;"/full/843,/0/default.jpg"</f>
        <v>https://www.artic.edu/iiif/2/d79d9551-10c1-3c57-1823-3fb732d24965/full/843,/0/default.jpg</v>
      </c>
      <c r="N2048" s="3">
        <v>0.65900000000000003</v>
      </c>
      <c r="O2048" s="3">
        <v>2.4E-2</v>
      </c>
      <c r="P2048" s="3">
        <v>0.63500000000000001</v>
      </c>
      <c r="Q2048" s="3">
        <v>0.73914819955825795</v>
      </c>
    </row>
    <row r="2049" spans="1:17" x14ac:dyDescent="0.45">
      <c r="A2049" s="3">
        <v>45240</v>
      </c>
      <c r="B2049" t="b">
        <v>0</v>
      </c>
      <c r="C2049" t="b">
        <v>1</v>
      </c>
      <c r="D2049" s="3">
        <v>1899</v>
      </c>
      <c r="E2049" s="3">
        <v>1904</v>
      </c>
      <c r="F2049" t="s">
        <v>2705</v>
      </c>
      <c r="G2049" t="s">
        <v>7</v>
      </c>
      <c r="H2049" s="3">
        <v>28.45</v>
      </c>
      <c r="I2049" t="s">
        <v>14591</v>
      </c>
      <c r="J2049" t="s">
        <v>13039</v>
      </c>
      <c r="K2049" s="5" t="s">
        <v>115</v>
      </c>
      <c r="L2049" t="s">
        <v>7830</v>
      </c>
      <c r="M2049" t="str">
        <f>"https://www.artic.edu/iiif/2/"&amp;Table9[[#This Row],[Image ID]]&amp;"/full/843,/0/default.jpg"</f>
        <v>https://www.artic.edu/iiif/2/911e0b3f-7b25-4fe7-f019-0f7647cc2959/full/843,/0/default.jpg</v>
      </c>
      <c r="N2049" s="3">
        <v>0.65900000000000003</v>
      </c>
      <c r="O2049" s="3">
        <v>2.4E-2</v>
      </c>
      <c r="P2049" s="3">
        <v>0.63500000000000001</v>
      </c>
      <c r="Q2049" s="3">
        <v>0.68329268693923895</v>
      </c>
    </row>
    <row r="2050" spans="1:17" x14ac:dyDescent="0.45">
      <c r="A2050" s="3">
        <v>115870</v>
      </c>
      <c r="B2050" t="b">
        <v>0</v>
      </c>
      <c r="C2050" t="b">
        <v>1</v>
      </c>
      <c r="D2050" s="3">
        <v>1800</v>
      </c>
      <c r="E2050" s="3">
        <v>1899</v>
      </c>
      <c r="F2050" t="s">
        <v>2115</v>
      </c>
      <c r="G2050" t="s">
        <v>2069</v>
      </c>
      <c r="H2050" s="3">
        <v>13.0038</v>
      </c>
      <c r="I2050" t="s">
        <v>16</v>
      </c>
      <c r="J2050" t="s">
        <v>13735</v>
      </c>
      <c r="L2050" t="s">
        <v>2116</v>
      </c>
      <c r="M2050" t="str">
        <f>"https://www.artic.edu/iiif/2/"&amp;Table9[[#This Row],[Image ID]]&amp;"/full/843,/0/default.jpg"</f>
        <v>https://www.artic.edu/iiif/2/c732f8e4-2924-973a-3a78-766f6d2bbb86/full/843,/0/default.jpg</v>
      </c>
      <c r="N2050" s="3">
        <v>0.65900000000000003</v>
      </c>
      <c r="O2050" s="3">
        <v>2.4E-2</v>
      </c>
      <c r="P2050" s="3">
        <v>0.63500000000000001</v>
      </c>
      <c r="Q2050" s="3">
        <v>0.51909685134887695</v>
      </c>
    </row>
    <row r="2051" spans="1:17" x14ac:dyDescent="0.45">
      <c r="A2051" s="3">
        <v>14733</v>
      </c>
      <c r="B2051" t="b">
        <v>0</v>
      </c>
      <c r="C2051" t="b">
        <v>0</v>
      </c>
      <c r="D2051" s="3">
        <v>1914</v>
      </c>
      <c r="E2051" s="3">
        <v>1914</v>
      </c>
      <c r="F2051" t="s">
        <v>3603</v>
      </c>
      <c r="G2051" t="s">
        <v>3604</v>
      </c>
      <c r="H2051" s="3">
        <v>29.163900000000002</v>
      </c>
      <c r="I2051" t="s">
        <v>1068</v>
      </c>
      <c r="J2051" t="s">
        <v>11352</v>
      </c>
      <c r="L2051" t="s">
        <v>3605</v>
      </c>
      <c r="M2051" t="str">
        <f>"https://www.artic.edu/iiif/2/"&amp;Table9[[#This Row],[Image ID]]&amp;"/full/843,/0/default.jpg"</f>
        <v>https://www.artic.edu/iiif/2/1bb92d80-6d5f-ad6b-a267-0918298041a2/full/843,/0/default.jpg</v>
      </c>
      <c r="N2051" s="3">
        <v>0.75600000000000001</v>
      </c>
      <c r="O2051" s="3">
        <v>0.122</v>
      </c>
      <c r="P2051" s="3">
        <v>0.63400000000000001</v>
      </c>
      <c r="Q2051" s="3">
        <v>0.751631259918212</v>
      </c>
    </row>
    <row r="2052" spans="1:17" x14ac:dyDescent="0.45">
      <c r="A2052" s="3">
        <v>256944</v>
      </c>
      <c r="B2052" t="b">
        <v>0</v>
      </c>
      <c r="C2052" t="b">
        <v>0</v>
      </c>
      <c r="D2052" s="3">
        <v>1960</v>
      </c>
      <c r="E2052" s="3">
        <v>1960</v>
      </c>
      <c r="F2052" t="s">
        <v>6538</v>
      </c>
      <c r="G2052" t="s">
        <v>250</v>
      </c>
      <c r="H2052" s="3">
        <v>0</v>
      </c>
      <c r="I2052" t="s">
        <v>176</v>
      </c>
      <c r="J2052" t="s">
        <v>6540</v>
      </c>
      <c r="L2052" t="s">
        <v>6539</v>
      </c>
      <c r="M2052" t="str">
        <f>"https://www.artic.edu/iiif/2/"&amp;Table9[[#This Row],[Image ID]]&amp;"/full/843,/0/default.jpg"</f>
        <v>https://www.artic.edu/iiif/2/2ffcc6cb-b96a-fcd8-09ba-6bf83da17574/full/843,/0/default.jpg</v>
      </c>
      <c r="N2052" s="3">
        <v>0.68300000000000005</v>
      </c>
      <c r="O2052" s="3">
        <v>4.9000000000000002E-2</v>
      </c>
      <c r="P2052" s="3">
        <v>0.63400000000000001</v>
      </c>
      <c r="Q2052" s="3">
        <v>0.762947797775268</v>
      </c>
    </row>
    <row r="2053" spans="1:17" x14ac:dyDescent="0.45">
      <c r="A2053" s="3">
        <v>184007</v>
      </c>
      <c r="B2053" t="b">
        <v>0</v>
      </c>
      <c r="C2053" t="b">
        <v>0</v>
      </c>
      <c r="D2053" s="3">
        <v>2004</v>
      </c>
      <c r="E2053" s="3">
        <v>2004</v>
      </c>
      <c r="F2053" t="s">
        <v>4789</v>
      </c>
      <c r="G2053" t="s">
        <v>4790</v>
      </c>
      <c r="H2053" s="3">
        <v>4.9709000000000003</v>
      </c>
      <c r="I2053" t="s">
        <v>4791</v>
      </c>
      <c r="J2053" t="s">
        <v>11422</v>
      </c>
      <c r="K2053" s="5" t="s">
        <v>15</v>
      </c>
      <c r="L2053" t="s">
        <v>4792</v>
      </c>
      <c r="M2053" t="str">
        <f>"https://www.artic.edu/iiif/2/"&amp;Table9[[#This Row],[Image ID]]&amp;"/full/843,/0/default.jpg"</f>
        <v>https://www.artic.edu/iiif/2/313a8f4f-5856-c043-cece-fd653bb57b08/full/843,/0/default.jpg</v>
      </c>
      <c r="N2053" s="3">
        <v>0.73199999999999998</v>
      </c>
      <c r="O2053" s="3">
        <v>9.8000000000000004E-2</v>
      </c>
      <c r="P2053" s="3">
        <v>0.63400000000000001</v>
      </c>
      <c r="Q2053" s="3">
        <v>0.78275388479232699</v>
      </c>
    </row>
    <row r="2054" spans="1:17" x14ac:dyDescent="0.45">
      <c r="A2054" s="3">
        <v>18617</v>
      </c>
      <c r="B2054" t="b">
        <v>0</v>
      </c>
      <c r="C2054" t="b">
        <v>0</v>
      </c>
      <c r="D2054" s="3">
        <v>1899</v>
      </c>
      <c r="E2054" s="3">
        <v>1963</v>
      </c>
      <c r="F2054" t="s">
        <v>5046</v>
      </c>
      <c r="G2054" t="s">
        <v>5047</v>
      </c>
      <c r="H2054" s="3">
        <v>35.643799999999999</v>
      </c>
      <c r="I2054" t="s">
        <v>5048</v>
      </c>
      <c r="J2054" t="s">
        <v>11734</v>
      </c>
      <c r="L2054" t="s">
        <v>5049</v>
      </c>
      <c r="M2054" t="str">
        <f>"https://www.artic.edu/iiif/2/"&amp;Table9[[#This Row],[Image ID]]&amp;"/full/843,/0/default.jpg"</f>
        <v>https://www.artic.edu/iiif/2/34353dfe-5ce2-4ba0-0e4a-f44c5c1441a9/full/843,/0/default.jpg</v>
      </c>
      <c r="N2054" s="3">
        <v>0.878</v>
      </c>
      <c r="O2054" s="3">
        <v>0.24399999999999999</v>
      </c>
      <c r="P2054" s="3">
        <v>0.63400000000000001</v>
      </c>
      <c r="Q2054" s="3">
        <v>0.47964608669281</v>
      </c>
    </row>
    <row r="2055" spans="1:17" x14ac:dyDescent="0.45">
      <c r="A2055" s="3">
        <v>228840</v>
      </c>
      <c r="B2055" t="b">
        <v>0</v>
      </c>
      <c r="C2055" t="b">
        <v>0</v>
      </c>
      <c r="D2055" s="3">
        <v>2004</v>
      </c>
      <c r="E2055" s="3">
        <v>2004</v>
      </c>
      <c r="F2055" t="s">
        <v>6026</v>
      </c>
      <c r="G2055" t="s">
        <v>141</v>
      </c>
      <c r="H2055" s="3">
        <v>3.0032999999999999</v>
      </c>
      <c r="I2055" t="s">
        <v>6016</v>
      </c>
      <c r="J2055" t="s">
        <v>11455</v>
      </c>
      <c r="K2055" s="5" t="s">
        <v>15</v>
      </c>
      <c r="L2055" t="s">
        <v>6027</v>
      </c>
      <c r="M2055" t="str">
        <f>"https://www.artic.edu/iiif/2/"&amp;Table9[[#This Row],[Image ID]]&amp;"/full/843,/0/default.jpg"</f>
        <v>https://www.artic.edu/iiif/2/52c3571f-f6f9-265f-0748-7ba033e245bc/full/843,/0/default.jpg</v>
      </c>
      <c r="N2055" s="3">
        <v>0.70699999999999996</v>
      </c>
      <c r="O2055" s="3">
        <v>7.2999999999999995E-2</v>
      </c>
      <c r="P2055" s="3">
        <v>0.63400000000000001</v>
      </c>
      <c r="Q2055" s="3">
        <v>0.88463091850280695</v>
      </c>
    </row>
    <row r="2056" spans="1:17" x14ac:dyDescent="0.45">
      <c r="A2056" s="3">
        <v>184882</v>
      </c>
      <c r="B2056" t="b">
        <v>0</v>
      </c>
      <c r="C2056" t="b">
        <v>0</v>
      </c>
      <c r="D2056" s="3">
        <v>2003</v>
      </c>
      <c r="E2056" s="3">
        <v>2003</v>
      </c>
      <c r="F2056" t="s">
        <v>4870</v>
      </c>
      <c r="G2056" t="s">
        <v>4823</v>
      </c>
      <c r="H2056" s="3">
        <v>7.4706000000000001</v>
      </c>
      <c r="I2056" t="s">
        <v>293</v>
      </c>
      <c r="J2056" t="s">
        <v>10977</v>
      </c>
      <c r="K2056" s="5" t="s">
        <v>15</v>
      </c>
      <c r="L2056" t="s">
        <v>4871</v>
      </c>
      <c r="M2056" t="str">
        <f>"https://www.artic.edu/iiif/2/"&amp;Table9[[#This Row],[Image ID]]&amp;"/full/843,/0/default.jpg"</f>
        <v>https://www.artic.edu/iiif/2/56b9f8dd-6596-5810-7390-82461efc4ef7/full/843,/0/default.jpg</v>
      </c>
      <c r="N2056" s="3">
        <v>0.75600000000000001</v>
      </c>
      <c r="O2056" s="3">
        <v>0.122</v>
      </c>
      <c r="P2056" s="3">
        <v>0.63400000000000001</v>
      </c>
      <c r="Q2056" s="3">
        <v>0.84320014715194702</v>
      </c>
    </row>
    <row r="2057" spans="1:17" x14ac:dyDescent="0.45">
      <c r="A2057" s="3">
        <v>234463</v>
      </c>
      <c r="B2057" t="b">
        <v>0</v>
      </c>
      <c r="C2057" t="b">
        <v>0</v>
      </c>
      <c r="D2057" s="3">
        <v>1976</v>
      </c>
      <c r="E2057" s="3">
        <v>1976</v>
      </c>
      <c r="F2057" t="s">
        <v>6214</v>
      </c>
      <c r="G2057" t="s">
        <v>141</v>
      </c>
      <c r="H2057" s="3">
        <v>55.814999999999998</v>
      </c>
      <c r="I2057" t="s">
        <v>3454</v>
      </c>
      <c r="J2057" t="s">
        <v>12451</v>
      </c>
      <c r="L2057" t="s">
        <v>6215</v>
      </c>
      <c r="M2057" t="str">
        <f>"https://www.artic.edu/iiif/2/"&amp;Table9[[#This Row],[Image ID]]&amp;"/full/843,/0/default.jpg"</f>
        <v>https://www.artic.edu/iiif/2/653fd744-32ab-aca6-f1ac-0b70bca11288/full/843,/0/default.jpg</v>
      </c>
      <c r="N2057" s="3">
        <v>0.73199999999999998</v>
      </c>
      <c r="O2057" s="3">
        <v>9.8000000000000004E-2</v>
      </c>
      <c r="P2057" s="3">
        <v>0.63400000000000001</v>
      </c>
      <c r="Q2057" s="3">
        <v>0.79762727022170998</v>
      </c>
    </row>
    <row r="2058" spans="1:17" x14ac:dyDescent="0.45">
      <c r="A2058" s="3">
        <v>183241</v>
      </c>
      <c r="B2058" t="b">
        <v>0</v>
      </c>
      <c r="C2058" t="b">
        <v>0</v>
      </c>
      <c r="D2058" s="3">
        <v>1980</v>
      </c>
      <c r="E2058" s="3">
        <v>1980</v>
      </c>
      <c r="F2058" t="s">
        <v>4777</v>
      </c>
      <c r="G2058" t="s">
        <v>1769</v>
      </c>
      <c r="H2058" s="3">
        <v>33.089100000000002</v>
      </c>
      <c r="I2058" t="s">
        <v>4778</v>
      </c>
      <c r="J2058" t="s">
        <v>12520</v>
      </c>
      <c r="L2058" t="s">
        <v>4779</v>
      </c>
      <c r="M2058" t="str">
        <f>"https://www.artic.edu/iiif/2/"&amp;Table9[[#This Row],[Image ID]]&amp;"/full/843,/0/default.jpg"</f>
        <v>https://www.artic.edu/iiif/2/6a2a11e8-3e79-ea73-4d0a-7b2bb3215561/full/843,/0/default.jpg</v>
      </c>
      <c r="N2058" s="3">
        <v>0.68300000000000005</v>
      </c>
      <c r="O2058" s="3">
        <v>4.9000000000000002E-2</v>
      </c>
      <c r="P2058" s="3">
        <v>0.63400000000000001</v>
      </c>
      <c r="Q2058" s="3">
        <v>0.70329290628433205</v>
      </c>
    </row>
    <row r="2059" spans="1:17" x14ac:dyDescent="0.45">
      <c r="A2059" s="3">
        <v>93801</v>
      </c>
      <c r="B2059" t="b">
        <v>0</v>
      </c>
      <c r="C2059" t="b">
        <v>0</v>
      </c>
      <c r="D2059" s="3">
        <v>1931</v>
      </c>
      <c r="E2059" s="3">
        <v>1932</v>
      </c>
      <c r="F2059" t="s">
        <v>10622</v>
      </c>
      <c r="G2059" t="s">
        <v>10623</v>
      </c>
      <c r="H2059" s="3">
        <v>4.7991999999999999</v>
      </c>
      <c r="I2059" t="s">
        <v>378</v>
      </c>
      <c r="J2059" t="s">
        <v>12571</v>
      </c>
      <c r="K2059" s="5" t="s">
        <v>2</v>
      </c>
      <c r="L2059" t="s">
        <v>10624</v>
      </c>
      <c r="M2059" t="str">
        <f>"https://www.artic.edu/iiif/2/"&amp;Table9[[#This Row],[Image ID]]&amp;"/full/843,/0/default.jpg"</f>
        <v>https://www.artic.edu/iiif/2/6e5c632f-6481-5dfa-b70d-a6510786b4c6/full/843,/0/default.jpg</v>
      </c>
      <c r="N2059" s="3">
        <v>0.70699999999999996</v>
      </c>
      <c r="O2059" s="3">
        <v>7.2999999999999995E-2</v>
      </c>
      <c r="P2059" s="3">
        <v>0.63400000000000001</v>
      </c>
      <c r="Q2059" s="3">
        <v>0.77024757862090998</v>
      </c>
    </row>
    <row r="2060" spans="1:17" x14ac:dyDescent="0.45">
      <c r="A2060" s="3">
        <v>13745</v>
      </c>
      <c r="B2060" t="b">
        <v>0</v>
      </c>
      <c r="C2060" t="b">
        <v>0</v>
      </c>
      <c r="D2060" s="3">
        <v>1913</v>
      </c>
      <c r="E2060" s="3">
        <v>1913</v>
      </c>
      <c r="F2060" t="s">
        <v>3198</v>
      </c>
      <c r="G2060" t="s">
        <v>7</v>
      </c>
      <c r="H2060" s="3">
        <v>23.795300000000001</v>
      </c>
      <c r="I2060" t="s">
        <v>3196</v>
      </c>
      <c r="J2060" t="s">
        <v>12580</v>
      </c>
      <c r="K2060" s="5" t="s">
        <v>284</v>
      </c>
      <c r="L2060" t="s">
        <v>3199</v>
      </c>
      <c r="M2060" t="str">
        <f>"https://www.artic.edu/iiif/2/"&amp;Table9[[#This Row],[Image ID]]&amp;"/full/843,/0/default.jpg"</f>
        <v>https://www.artic.edu/iiif/2/6ea9b674-8204-02b0-66a4-55da1a037b81/full/843,/0/default.jpg</v>
      </c>
      <c r="N2060" s="3">
        <v>0.78</v>
      </c>
      <c r="O2060" s="3">
        <v>0.14599999999999999</v>
      </c>
      <c r="P2060" s="3">
        <v>0.63400000000000001</v>
      </c>
      <c r="Q2060" s="3">
        <v>0.77871286869048995</v>
      </c>
    </row>
    <row r="2061" spans="1:17" x14ac:dyDescent="0.45">
      <c r="A2061" s="3">
        <v>82544</v>
      </c>
      <c r="B2061" t="b">
        <v>0</v>
      </c>
      <c r="C2061" t="b">
        <v>0</v>
      </c>
      <c r="D2061" s="3">
        <v>1949</v>
      </c>
      <c r="E2061" s="3">
        <v>1949</v>
      </c>
      <c r="F2061" t="s">
        <v>499</v>
      </c>
      <c r="G2061" t="s">
        <v>10191</v>
      </c>
      <c r="H2061" s="3">
        <v>104.39530000000001</v>
      </c>
      <c r="I2061" t="s">
        <v>758</v>
      </c>
      <c r="J2061" t="s">
        <v>12623</v>
      </c>
      <c r="L2061" t="s">
        <v>10192</v>
      </c>
      <c r="M2061" t="str">
        <f>"https://www.artic.edu/iiif/2/"&amp;Table9[[#This Row],[Image ID]]&amp;"/full/843,/0/default.jpg"</f>
        <v>https://www.artic.edu/iiif/2/7107e105-cba2-bb61-b68f-b7fd08e6d9d2/full/843,/0/default.jpg</v>
      </c>
      <c r="N2061" s="3">
        <v>0.75600000000000001</v>
      </c>
      <c r="O2061" s="3">
        <v>0.122</v>
      </c>
      <c r="P2061" s="3">
        <v>0.63400000000000001</v>
      </c>
      <c r="Q2061" s="3">
        <v>0.81567198038101196</v>
      </c>
    </row>
    <row r="2062" spans="1:17" x14ac:dyDescent="0.45">
      <c r="A2062" s="3">
        <v>44002</v>
      </c>
      <c r="B2062" t="b">
        <v>0</v>
      </c>
      <c r="C2062" t="b">
        <v>0</v>
      </c>
      <c r="D2062" s="3">
        <v>1927</v>
      </c>
      <c r="E2062" s="3">
        <v>1927</v>
      </c>
      <c r="F2062" t="s">
        <v>6441</v>
      </c>
      <c r="G2062" t="s">
        <v>7</v>
      </c>
      <c r="H2062" s="3">
        <v>38.0837</v>
      </c>
      <c r="I2062" t="s">
        <v>2789</v>
      </c>
      <c r="J2062" t="s">
        <v>12858</v>
      </c>
      <c r="K2062" s="5" t="s">
        <v>45</v>
      </c>
      <c r="L2062" t="s">
        <v>7741</v>
      </c>
      <c r="M2062" t="str">
        <f>"https://www.artic.edu/iiif/2/"&amp;Table9[[#This Row],[Image ID]]&amp;"/full/843,/0/default.jpg"</f>
        <v>https://www.artic.edu/iiif/2/82e492fb-a00a-ac9d-58e7-0124c4758aa1/full/843,/0/default.jpg</v>
      </c>
      <c r="N2062" s="3">
        <v>0.73199999999999998</v>
      </c>
      <c r="O2062" s="3">
        <v>9.8000000000000004E-2</v>
      </c>
      <c r="P2062" s="3">
        <v>0.63400000000000001</v>
      </c>
      <c r="Q2062" s="3">
        <v>0.83514887094497603</v>
      </c>
    </row>
    <row r="2063" spans="1:17" x14ac:dyDescent="0.45">
      <c r="A2063" s="3">
        <v>229361</v>
      </c>
      <c r="B2063" t="b">
        <v>0</v>
      </c>
      <c r="C2063" t="b">
        <v>0</v>
      </c>
      <c r="D2063" s="3">
        <v>1978</v>
      </c>
      <c r="E2063" s="3">
        <v>1978</v>
      </c>
      <c r="F2063" t="s">
        <v>6081</v>
      </c>
      <c r="G2063" t="s">
        <v>6079</v>
      </c>
      <c r="H2063" s="3">
        <v>28.340699999999998</v>
      </c>
      <c r="I2063" t="s">
        <v>2666</v>
      </c>
      <c r="J2063" t="s">
        <v>12909</v>
      </c>
      <c r="K2063" s="5" t="s">
        <v>149</v>
      </c>
      <c r="L2063" t="s">
        <v>6082</v>
      </c>
      <c r="M2063" t="str">
        <f>"https://www.artic.edu/iiif/2/"&amp;Table9[[#This Row],[Image ID]]&amp;"/full/843,/0/default.jpg"</f>
        <v>https://www.artic.edu/iiif/2/867641a6-6b70-ae7d-f3f8-e8210e56694e/full/843,/0/default.jpg</v>
      </c>
      <c r="N2063" s="3">
        <v>0.78</v>
      </c>
      <c r="O2063" s="3">
        <v>0.14599999999999999</v>
      </c>
      <c r="P2063" s="3">
        <v>0.63400000000000001</v>
      </c>
      <c r="Q2063" s="3">
        <v>0.87895870208740201</v>
      </c>
    </row>
    <row r="2064" spans="1:17" x14ac:dyDescent="0.45">
      <c r="A2064" s="3">
        <v>57394</v>
      </c>
      <c r="B2064" t="b">
        <v>0</v>
      </c>
      <c r="C2064" t="b">
        <v>0</v>
      </c>
      <c r="D2064" s="3">
        <v>1927</v>
      </c>
      <c r="E2064" s="3">
        <v>1927</v>
      </c>
      <c r="F2064" t="s">
        <v>8483</v>
      </c>
      <c r="G2064" t="s">
        <v>8484</v>
      </c>
      <c r="H2064" s="3">
        <v>14.4452</v>
      </c>
      <c r="I2064" t="s">
        <v>591</v>
      </c>
      <c r="J2064" t="s">
        <v>12933</v>
      </c>
      <c r="L2064" t="s">
        <v>8485</v>
      </c>
      <c r="M2064" t="str">
        <f>"https://www.artic.edu/iiif/2/"&amp;Table9[[#This Row],[Image ID]]&amp;"/full/843,/0/default.jpg"</f>
        <v>https://www.artic.edu/iiif/2/8900606e-3b6d-a8c8-8d2e-4de45d4ca75b/full/843,/0/default.jpg</v>
      </c>
      <c r="N2064" s="3">
        <v>0.70699999999999996</v>
      </c>
      <c r="O2064" s="3">
        <v>7.2999999999999995E-2</v>
      </c>
      <c r="P2064" s="3">
        <v>0.63400000000000001</v>
      </c>
      <c r="Q2064" s="3">
        <v>0.68961805105209295</v>
      </c>
    </row>
    <row r="2065" spans="1:17" x14ac:dyDescent="0.45">
      <c r="A2065" s="3">
        <v>229999</v>
      </c>
      <c r="B2065" t="b">
        <v>0</v>
      </c>
      <c r="C2065" t="b">
        <v>0</v>
      </c>
      <c r="D2065" s="3">
        <v>1981</v>
      </c>
      <c r="E2065" s="3">
        <v>1981</v>
      </c>
      <c r="F2065" t="s">
        <v>6130</v>
      </c>
      <c r="G2065" t="s">
        <v>6127</v>
      </c>
      <c r="H2065" s="3">
        <v>7.9078999999999997</v>
      </c>
      <c r="I2065" t="s">
        <v>6128</v>
      </c>
      <c r="J2065" t="s">
        <v>13261</v>
      </c>
      <c r="L2065" t="s">
        <v>6131</v>
      </c>
      <c r="M2065" t="str">
        <f>"https://www.artic.edu/iiif/2/"&amp;Table9[[#This Row],[Image ID]]&amp;"/full/843,/0/default.jpg"</f>
        <v>https://www.artic.edu/iiif/2/a26e7810-d62a-2212-3ff2-0b6a5c243fef/full/843,/0/default.jpg</v>
      </c>
      <c r="N2065" s="3">
        <v>0.68300000000000005</v>
      </c>
      <c r="O2065" s="3">
        <v>4.9000000000000002E-2</v>
      </c>
      <c r="P2065" s="3">
        <v>0.63400000000000001</v>
      </c>
      <c r="Q2065" s="3">
        <v>0.78297686576843195</v>
      </c>
    </row>
    <row r="2066" spans="1:17" x14ac:dyDescent="0.45">
      <c r="A2066" s="3">
        <v>104470</v>
      </c>
      <c r="B2066" t="b">
        <v>0</v>
      </c>
      <c r="C2066" t="b">
        <v>0</v>
      </c>
      <c r="D2066" s="3">
        <v>1644</v>
      </c>
      <c r="E2066" s="3">
        <v>1912</v>
      </c>
      <c r="F2066" t="s">
        <v>447</v>
      </c>
      <c r="G2066" t="s">
        <v>448</v>
      </c>
      <c r="H2066" s="3">
        <v>25.766500000000001</v>
      </c>
      <c r="I2066" t="s">
        <v>449</v>
      </c>
      <c r="J2066" t="s">
        <v>13314</v>
      </c>
      <c r="K2066" s="5" t="s">
        <v>130</v>
      </c>
      <c r="L2066" t="s">
        <v>450</v>
      </c>
      <c r="M2066" t="str">
        <f>"https://www.artic.edu/iiif/2/"&amp;Table9[[#This Row],[Image ID]]&amp;"/full/843,/0/default.jpg"</f>
        <v>https://www.artic.edu/iiif/2/a608ae06-f7d9-bca8-2e66-f61bbbf12eb8/full/843,/0/default.jpg</v>
      </c>
      <c r="N2066" s="3">
        <v>0.73199999999999998</v>
      </c>
      <c r="O2066" s="3">
        <v>9.8000000000000004E-2</v>
      </c>
      <c r="P2066" s="3">
        <v>0.63400000000000001</v>
      </c>
      <c r="Q2066" s="3">
        <v>0.75378400087356501</v>
      </c>
    </row>
    <row r="2067" spans="1:17" x14ac:dyDescent="0.45">
      <c r="A2067" s="3">
        <v>115883</v>
      </c>
      <c r="B2067" t="b">
        <v>0</v>
      </c>
      <c r="C2067" t="b">
        <v>0</v>
      </c>
      <c r="D2067" s="3">
        <v>1863</v>
      </c>
      <c r="E2067" s="3">
        <v>1863</v>
      </c>
      <c r="F2067" t="s">
        <v>2167</v>
      </c>
      <c r="G2067" t="s">
        <v>2168</v>
      </c>
      <c r="H2067" s="3">
        <v>49.192100000000003</v>
      </c>
      <c r="I2067" t="s">
        <v>2165</v>
      </c>
      <c r="J2067" t="s">
        <v>2170</v>
      </c>
      <c r="L2067" t="s">
        <v>2169</v>
      </c>
      <c r="M2067" t="str">
        <f>"https://www.artic.edu/iiif/2/"&amp;Table9[[#This Row],[Image ID]]&amp;"/full/843,/0/default.jpg"</f>
        <v>https://www.artic.edu/iiif/2/a9c51da8-4270-2068-564b-95f4d960e168/full/843,/0/default.jpg</v>
      </c>
      <c r="N2067" s="3">
        <v>0.78</v>
      </c>
      <c r="O2067" s="3">
        <v>0.14599999999999999</v>
      </c>
      <c r="P2067" s="3">
        <v>0.63400000000000001</v>
      </c>
      <c r="Q2067" s="3">
        <v>0.74990546703338601</v>
      </c>
    </row>
    <row r="2068" spans="1:17" x14ac:dyDescent="0.45">
      <c r="A2068" s="3">
        <v>189206</v>
      </c>
      <c r="B2068" t="b">
        <v>0</v>
      </c>
      <c r="C2068" t="b">
        <v>0</v>
      </c>
      <c r="D2068" s="3">
        <v>1972</v>
      </c>
      <c r="E2068" s="3">
        <v>1972</v>
      </c>
      <c r="F2068" t="s">
        <v>11</v>
      </c>
      <c r="G2068" t="s">
        <v>5144</v>
      </c>
      <c r="H2068" s="3">
        <v>14.887</v>
      </c>
      <c r="I2068" t="s">
        <v>611</v>
      </c>
      <c r="J2068" t="s">
        <v>13392</v>
      </c>
      <c r="L2068" t="s">
        <v>5145</v>
      </c>
      <c r="M2068" t="str">
        <f>"https://www.artic.edu/iiif/2/"&amp;Table9[[#This Row],[Image ID]]&amp;"/full/843,/0/default.jpg"</f>
        <v>https://www.artic.edu/iiif/2/abc6acdf-1c97-42b3-aea7-181150b87bac/full/843,/0/default.jpg</v>
      </c>
      <c r="N2068" s="3">
        <v>0.70699999999999996</v>
      </c>
      <c r="O2068" s="3">
        <v>7.2999999999999995E-2</v>
      </c>
      <c r="P2068" s="3">
        <v>0.63400000000000001</v>
      </c>
      <c r="Q2068" s="3">
        <v>0.79667705297470004</v>
      </c>
    </row>
    <row r="2069" spans="1:17" x14ac:dyDescent="0.45">
      <c r="A2069" s="3">
        <v>129687</v>
      </c>
      <c r="B2069" t="b">
        <v>0</v>
      </c>
      <c r="C2069" t="b">
        <v>0</v>
      </c>
      <c r="D2069" s="3">
        <v>1941</v>
      </c>
      <c r="E2069" s="3">
        <v>1941</v>
      </c>
      <c r="F2069" t="s">
        <v>2914</v>
      </c>
      <c r="G2069" t="s">
        <v>2892</v>
      </c>
      <c r="H2069" s="3">
        <v>31.0608</v>
      </c>
      <c r="I2069" t="s">
        <v>14549</v>
      </c>
      <c r="J2069" t="s">
        <v>10990</v>
      </c>
      <c r="L2069" t="s">
        <v>2915</v>
      </c>
      <c r="M2069" t="str">
        <f>"https://www.artic.edu/iiif/2/"&amp;Table9[[#This Row],[Image ID]]&amp;"/full/843,/0/default.jpg"</f>
        <v>https://www.artic.edu/iiif/2/b5ce34ab-cd9f-e640-1d11-1344a8262029/full/843,/0/default.jpg</v>
      </c>
      <c r="N2069" s="3">
        <v>0.73199999999999998</v>
      </c>
      <c r="O2069" s="3">
        <v>9.8000000000000004E-2</v>
      </c>
      <c r="P2069" s="3">
        <v>0.63400000000000001</v>
      </c>
      <c r="Q2069" s="3">
        <v>0.88286548852920499</v>
      </c>
    </row>
    <row r="2070" spans="1:17" x14ac:dyDescent="0.45">
      <c r="A2070" s="3">
        <v>4105</v>
      </c>
      <c r="B2070" t="b">
        <v>0</v>
      </c>
      <c r="C2070" t="b">
        <v>0</v>
      </c>
      <c r="D2070" s="3">
        <v>1907</v>
      </c>
      <c r="E2070" s="3">
        <v>1907</v>
      </c>
      <c r="F2070" t="s">
        <v>7683</v>
      </c>
      <c r="G2070" t="s">
        <v>7</v>
      </c>
      <c r="H2070" s="3">
        <v>0</v>
      </c>
      <c r="I2070" t="s">
        <v>1311</v>
      </c>
      <c r="J2070" t="s">
        <v>10973</v>
      </c>
      <c r="L2070" t="s">
        <v>7684</v>
      </c>
      <c r="M2070" t="str">
        <f>"https://www.artic.edu/iiif/2/"&amp;Table9[[#This Row],[Image ID]]&amp;"/full/843,/0/default.jpg"</f>
        <v>https://www.artic.edu/iiif/2/b86681a1-6d00-02a3-b956-6442a8b925bc/full/843,/0/default.jpg</v>
      </c>
      <c r="N2070" s="3">
        <v>0.70699999999999996</v>
      </c>
      <c r="O2070" s="3">
        <v>7.2999999999999995E-2</v>
      </c>
      <c r="P2070" s="3">
        <v>0.63400000000000001</v>
      </c>
      <c r="Q2070" s="3">
        <v>0.73252922296524003</v>
      </c>
    </row>
    <row r="2071" spans="1:17" x14ac:dyDescent="0.45">
      <c r="A2071" s="3">
        <v>130520</v>
      </c>
      <c r="B2071" t="b">
        <v>0</v>
      </c>
      <c r="C2071" t="b">
        <v>0</v>
      </c>
      <c r="D2071" s="3">
        <v>1913</v>
      </c>
      <c r="E2071" s="3">
        <v>1913</v>
      </c>
      <c r="F2071" t="s">
        <v>2969</v>
      </c>
      <c r="G2071" t="s">
        <v>7</v>
      </c>
      <c r="H2071" s="3">
        <v>35.543799999999997</v>
      </c>
      <c r="I2071" t="s">
        <v>809</v>
      </c>
      <c r="J2071" t="s">
        <v>13649</v>
      </c>
      <c r="K2071" s="5" t="s">
        <v>45</v>
      </c>
      <c r="L2071" t="s">
        <v>2970</v>
      </c>
      <c r="M2071" t="str">
        <f>"https://www.artic.edu/iiif/2/"&amp;Table9[[#This Row],[Image ID]]&amp;"/full/843,/0/default.jpg"</f>
        <v>https://www.artic.edu/iiif/2/c000546e-c620-cf37-65df-8c852aeab864/full/843,/0/default.jpg</v>
      </c>
      <c r="N2071" s="3">
        <v>0.75600000000000001</v>
      </c>
      <c r="O2071" s="3">
        <v>0.122</v>
      </c>
      <c r="P2071" s="3">
        <v>0.63400000000000001</v>
      </c>
      <c r="Q2071" s="3">
        <v>0.75486916303634599</v>
      </c>
    </row>
    <row r="2072" spans="1:17" x14ac:dyDescent="0.45">
      <c r="A2072" s="3">
        <v>185098</v>
      </c>
      <c r="B2072" t="b">
        <v>0</v>
      </c>
      <c r="C2072" t="b">
        <v>0</v>
      </c>
      <c r="D2072" s="3">
        <v>1925</v>
      </c>
      <c r="E2072" s="3">
        <v>1925</v>
      </c>
      <c r="F2072" t="s">
        <v>4967</v>
      </c>
      <c r="G2072" t="s">
        <v>4968</v>
      </c>
      <c r="H2072" s="3">
        <v>41.348799999999997</v>
      </c>
      <c r="I2072" t="s">
        <v>914</v>
      </c>
      <c r="J2072" t="s">
        <v>13655</v>
      </c>
      <c r="L2072" t="s">
        <v>4969</v>
      </c>
      <c r="M2072" t="str">
        <f>"https://www.artic.edu/iiif/2/"&amp;Table9[[#This Row],[Image ID]]&amp;"/full/843,/0/default.jpg"</f>
        <v>https://www.artic.edu/iiif/2/c0532955-149a-f48e-887e-ca5e74bca69c/full/843,/0/default.jpg</v>
      </c>
      <c r="N2072" s="3">
        <v>0.68300000000000005</v>
      </c>
      <c r="O2072" s="3">
        <v>4.9000000000000002E-2</v>
      </c>
      <c r="P2072" s="3">
        <v>0.63400000000000001</v>
      </c>
      <c r="Q2072" s="3">
        <v>0.75582146644592196</v>
      </c>
    </row>
    <row r="2073" spans="1:17" x14ac:dyDescent="0.45">
      <c r="A2073" s="3">
        <v>66017</v>
      </c>
      <c r="B2073" t="b">
        <v>0</v>
      </c>
      <c r="C2073" t="b">
        <v>0</v>
      </c>
      <c r="D2073" s="3">
        <v>1913</v>
      </c>
      <c r="E2073" s="3">
        <v>1913</v>
      </c>
      <c r="F2073" t="s">
        <v>9160</v>
      </c>
      <c r="G2073" t="s">
        <v>3502</v>
      </c>
      <c r="H2073" s="3">
        <v>25.589300000000001</v>
      </c>
      <c r="I2073" t="s">
        <v>2555</v>
      </c>
      <c r="J2073" t="s">
        <v>13704</v>
      </c>
      <c r="L2073" t="s">
        <v>9161</v>
      </c>
      <c r="M2073" t="str">
        <f>"https://www.artic.edu/iiif/2/"&amp;Table9[[#This Row],[Image ID]]&amp;"/full/843,/0/default.jpg"</f>
        <v>https://www.artic.edu/iiif/2/c4e3bb4e-3fed-988c-3df9-d1672ac458c2/full/843,/0/default.jpg</v>
      </c>
      <c r="N2073" s="3">
        <v>0.68300000000000005</v>
      </c>
      <c r="O2073" s="3">
        <v>4.9000000000000002E-2</v>
      </c>
      <c r="P2073" s="3">
        <v>0.63400000000000001</v>
      </c>
      <c r="Q2073" s="3">
        <v>0.81422317028045599</v>
      </c>
    </row>
    <row r="2074" spans="1:17" x14ac:dyDescent="0.45">
      <c r="A2074" s="3">
        <v>97406</v>
      </c>
      <c r="B2074" t="b">
        <v>0</v>
      </c>
      <c r="C2074" t="b">
        <v>0</v>
      </c>
      <c r="D2074" s="3">
        <v>1980</v>
      </c>
      <c r="E2074" s="3">
        <v>1980</v>
      </c>
      <c r="F2074" t="s">
        <v>10831</v>
      </c>
      <c r="G2074" t="s">
        <v>59</v>
      </c>
      <c r="H2074" s="3">
        <v>49.713500000000003</v>
      </c>
      <c r="I2074" t="s">
        <v>857</v>
      </c>
      <c r="J2074" t="s">
        <v>13821</v>
      </c>
      <c r="L2074" t="s">
        <v>10832</v>
      </c>
      <c r="M2074" t="str">
        <f>"https://www.artic.edu/iiif/2/"&amp;Table9[[#This Row],[Image ID]]&amp;"/full/843,/0/default.jpg"</f>
        <v>https://www.artic.edu/iiif/2/cdbae85d-0794-fc4e-90d6-b6d3921249e9/full/843,/0/default.jpg</v>
      </c>
      <c r="N2074" s="3">
        <v>0.70699999999999996</v>
      </c>
      <c r="O2074" s="3">
        <v>7.2999999999999995E-2</v>
      </c>
      <c r="P2074" s="3">
        <v>0.63400000000000001</v>
      </c>
      <c r="Q2074" s="3">
        <v>0.92309129238128595</v>
      </c>
    </row>
    <row r="2075" spans="1:17" x14ac:dyDescent="0.45">
      <c r="A2075" s="3">
        <v>113433</v>
      </c>
      <c r="B2075" t="b">
        <v>0</v>
      </c>
      <c r="C2075" t="b">
        <v>0</v>
      </c>
      <c r="D2075" s="3">
        <v>1915</v>
      </c>
      <c r="E2075" s="3">
        <v>1925</v>
      </c>
      <c r="F2075" t="s">
        <v>1438</v>
      </c>
      <c r="G2075" t="s">
        <v>1439</v>
      </c>
      <c r="H2075" s="3">
        <v>23.7363</v>
      </c>
      <c r="I2075" t="s">
        <v>949</v>
      </c>
      <c r="J2075" t="s">
        <v>13865</v>
      </c>
      <c r="L2075" t="s">
        <v>1440</v>
      </c>
      <c r="M2075" t="str">
        <f>"https://www.artic.edu/iiif/2/"&amp;Table9[[#This Row],[Image ID]]&amp;"/full/843,/0/default.jpg"</f>
        <v>https://www.artic.edu/iiif/2/d1bb2888-f7ea-be78-4966-16d7d094b341/full/843,/0/default.jpg</v>
      </c>
      <c r="N2075" s="3">
        <v>0.75600000000000001</v>
      </c>
      <c r="O2075" s="3">
        <v>0.122</v>
      </c>
      <c r="P2075" s="3">
        <v>0.63400000000000001</v>
      </c>
      <c r="Q2075" s="3">
        <v>0.78700631856918302</v>
      </c>
    </row>
    <row r="2076" spans="1:17" x14ac:dyDescent="0.45">
      <c r="A2076" s="3">
        <v>83013</v>
      </c>
      <c r="B2076" t="b">
        <v>0</v>
      </c>
      <c r="C2076" t="b">
        <v>0</v>
      </c>
      <c r="D2076" s="3">
        <v>1889</v>
      </c>
      <c r="E2076" s="3">
        <v>1948</v>
      </c>
      <c r="F2076" t="s">
        <v>10197</v>
      </c>
      <c r="G2076" t="s">
        <v>10198</v>
      </c>
      <c r="H2076" s="3">
        <v>21.822900000000001</v>
      </c>
      <c r="I2076" t="s">
        <v>10199</v>
      </c>
      <c r="J2076" t="s">
        <v>13922</v>
      </c>
      <c r="L2076" t="s">
        <v>10200</v>
      </c>
      <c r="M2076" t="str">
        <f>"https://www.artic.edu/iiif/2/"&amp;Table9[[#This Row],[Image ID]]&amp;"/full/843,/0/default.jpg"</f>
        <v>https://www.artic.edu/iiif/2/d652a205-9ee6-8950-aaf4-4f0475cfbb21/full/843,/0/default.jpg</v>
      </c>
      <c r="N2076" s="3">
        <v>0.68300000000000005</v>
      </c>
      <c r="O2076" s="3">
        <v>4.9000000000000002E-2</v>
      </c>
      <c r="P2076" s="3">
        <v>0.63400000000000001</v>
      </c>
      <c r="Q2076" s="3">
        <v>0.62893426418304399</v>
      </c>
    </row>
    <row r="2077" spans="1:17" x14ac:dyDescent="0.45">
      <c r="A2077" s="3">
        <v>188890</v>
      </c>
      <c r="B2077" t="b">
        <v>0</v>
      </c>
      <c r="C2077" t="b">
        <v>0</v>
      </c>
      <c r="D2077" s="3">
        <v>1972</v>
      </c>
      <c r="E2077" s="3">
        <v>1982</v>
      </c>
      <c r="F2077" t="s">
        <v>5130</v>
      </c>
      <c r="G2077" t="s">
        <v>4991</v>
      </c>
      <c r="H2077" s="3">
        <v>35.732799999999997</v>
      </c>
      <c r="I2077" t="s">
        <v>1001</v>
      </c>
      <c r="J2077" t="s">
        <v>12655</v>
      </c>
      <c r="K2077" s="5" t="s">
        <v>13</v>
      </c>
      <c r="L2077" t="s">
        <v>5131</v>
      </c>
      <c r="M2077" t="str">
        <f>"https://www.artic.edu/iiif/2/"&amp;Table9[[#This Row],[Image ID]]&amp;"/full/843,/0/default.jpg"</f>
        <v>https://www.artic.edu/iiif/2/df49461d-901e-ee34-2a34-1bee87990d5f/full/843,/0/default.jpg</v>
      </c>
      <c r="N2077" s="3">
        <v>0.70699999999999996</v>
      </c>
      <c r="O2077" s="3">
        <v>7.2999999999999995E-2</v>
      </c>
      <c r="P2077" s="3">
        <v>0.63400000000000001</v>
      </c>
      <c r="Q2077" s="3">
        <v>0.67545896768569902</v>
      </c>
    </row>
    <row r="2078" spans="1:17" x14ac:dyDescent="0.45">
      <c r="A2078" s="3">
        <v>47188</v>
      </c>
      <c r="B2078" t="b">
        <v>0</v>
      </c>
      <c r="C2078" t="b">
        <v>0</v>
      </c>
      <c r="D2078" s="3">
        <v>1941</v>
      </c>
      <c r="E2078" s="3">
        <v>1941</v>
      </c>
      <c r="F2078" t="s">
        <v>7927</v>
      </c>
      <c r="G2078" t="s">
        <v>7</v>
      </c>
      <c r="H2078" s="3">
        <v>28.913399999999999</v>
      </c>
      <c r="I2078" t="s">
        <v>7928</v>
      </c>
      <c r="J2078" t="s">
        <v>11763</v>
      </c>
      <c r="L2078" t="s">
        <v>7929</v>
      </c>
      <c r="M2078" t="str">
        <f>"https://www.artic.edu/iiif/2/"&amp;Table9[[#This Row],[Image ID]]&amp;"/full/843,/0/default.jpg"</f>
        <v>https://www.artic.edu/iiif/2/e76af0cb-c464-8cc9-6788-d42cd4fa3c4e/full/843,/0/default.jpg</v>
      </c>
      <c r="N2078" s="3">
        <v>0.75600000000000001</v>
      </c>
      <c r="O2078" s="3">
        <v>0.122</v>
      </c>
      <c r="P2078" s="3">
        <v>0.63400000000000001</v>
      </c>
      <c r="Q2078" s="3">
        <v>0.74060535430908203</v>
      </c>
    </row>
    <row r="2079" spans="1:17" x14ac:dyDescent="0.45">
      <c r="A2079" s="3">
        <v>76170</v>
      </c>
      <c r="B2079" t="b">
        <v>0</v>
      </c>
      <c r="C2079" t="b">
        <v>0</v>
      </c>
      <c r="F2079" t="s">
        <v>9776</v>
      </c>
      <c r="G2079" t="s">
        <v>9777</v>
      </c>
      <c r="H2079" s="3">
        <v>17.594999999999999</v>
      </c>
      <c r="I2079" t="s">
        <v>4343</v>
      </c>
      <c r="L2079" t="s">
        <v>9778</v>
      </c>
      <c r="M2079" t="str">
        <f>"https://www.artic.edu/iiif/2/"&amp;Table9[[#This Row],[Image ID]]&amp;"/full/843,/0/default.jpg"</f>
        <v>https://www.artic.edu/iiif/2/f62dac7a-c546-87eb-9067-45191925126f/full/843,/0/default.jpg</v>
      </c>
      <c r="N2079" s="3">
        <v>0.78</v>
      </c>
      <c r="O2079" s="3">
        <v>0.14599999999999999</v>
      </c>
      <c r="P2079" s="3">
        <v>0.63400000000000001</v>
      </c>
      <c r="Q2079" s="3">
        <v>0.65764296054839999</v>
      </c>
    </row>
    <row r="2080" spans="1:17" x14ac:dyDescent="0.45">
      <c r="A2080" s="3">
        <v>35579</v>
      </c>
      <c r="B2080" t="b">
        <v>0</v>
      </c>
      <c r="C2080" t="b">
        <v>0</v>
      </c>
      <c r="D2080" s="3">
        <v>1895</v>
      </c>
      <c r="E2080" s="3">
        <v>1895</v>
      </c>
      <c r="F2080" t="s">
        <v>7198</v>
      </c>
      <c r="G2080" t="s">
        <v>7</v>
      </c>
      <c r="H2080" s="3">
        <v>31.387699999999999</v>
      </c>
      <c r="I2080" t="s">
        <v>882</v>
      </c>
      <c r="J2080" t="s">
        <v>14428</v>
      </c>
      <c r="L2080" t="s">
        <v>7199</v>
      </c>
      <c r="M2080" t="str">
        <f>"https://www.artic.edu/iiif/2/"&amp;Table9[[#This Row],[Image ID]]&amp;"/full/843,/0/default.jpg"</f>
        <v>https://www.artic.edu/iiif/2/f8424c6e-a066-ab4f-7664-3d5cd1c4fcf3/full/843,/0/default.jpg</v>
      </c>
      <c r="N2080" s="3">
        <v>0.70699999999999996</v>
      </c>
      <c r="O2080" s="3">
        <v>7.2999999999999995E-2</v>
      </c>
      <c r="P2080" s="3">
        <v>0.63400000000000001</v>
      </c>
      <c r="Q2080" s="3">
        <v>0.68950223922729403</v>
      </c>
    </row>
    <row r="2081" spans="1:17" x14ac:dyDescent="0.45">
      <c r="A2081" s="3">
        <v>235550</v>
      </c>
      <c r="B2081" t="b">
        <v>0</v>
      </c>
      <c r="C2081" t="b">
        <v>1</v>
      </c>
      <c r="D2081" s="3">
        <v>1500</v>
      </c>
      <c r="E2081" s="3">
        <v>1510</v>
      </c>
      <c r="F2081" t="s">
        <v>6249</v>
      </c>
      <c r="G2081" t="s">
        <v>6250</v>
      </c>
      <c r="H2081" s="3">
        <v>24.076799999999999</v>
      </c>
      <c r="J2081" t="s">
        <v>11177</v>
      </c>
      <c r="L2081" t="s">
        <v>6251</v>
      </c>
      <c r="M2081" t="str">
        <f>"https://www.artic.edu/iiif/2/"&amp;Table9[[#This Row],[Image ID]]&amp;"/full/843,/0/default.jpg"</f>
        <v>https://www.artic.edu/iiif/2/0f508824-c688-36bc-f52f-05ec3717034e/full/843,/0/default.jpg</v>
      </c>
      <c r="N2081" s="3">
        <v>0.70699999999999996</v>
      </c>
      <c r="O2081" s="3">
        <v>7.2999999999999995E-2</v>
      </c>
      <c r="P2081" s="3">
        <v>0.63400000000000001</v>
      </c>
      <c r="Q2081" s="3">
        <v>0.65899032354354803</v>
      </c>
    </row>
    <row r="2082" spans="1:17" x14ac:dyDescent="0.45">
      <c r="A2082" s="3">
        <v>38926</v>
      </c>
      <c r="B2082" t="b">
        <v>0</v>
      </c>
      <c r="C2082" t="b">
        <v>1</v>
      </c>
      <c r="D2082" s="3">
        <v>1776</v>
      </c>
      <c r="E2082" s="3">
        <v>1827</v>
      </c>
      <c r="F2082" t="s">
        <v>7324</v>
      </c>
      <c r="G2082" t="s">
        <v>7325</v>
      </c>
      <c r="H2082" s="3">
        <v>23.064499999999999</v>
      </c>
      <c r="I2082" t="s">
        <v>1266</v>
      </c>
      <c r="J2082" t="s">
        <v>11230</v>
      </c>
      <c r="L2082" t="s">
        <v>7326</v>
      </c>
      <c r="M2082" t="str">
        <f>"https://www.artic.edu/iiif/2/"&amp;Table9[[#This Row],[Image ID]]&amp;"/full/843,/0/default.jpg"</f>
        <v>https://www.artic.edu/iiif/2/12d02b8b-032f-27d2-0b5d-0da1a331cfed/full/843,/0/default.jpg</v>
      </c>
      <c r="N2082" s="3">
        <v>0.80500000000000005</v>
      </c>
      <c r="O2082" s="3">
        <v>0.17100000000000001</v>
      </c>
      <c r="P2082" s="3">
        <v>0.63400000000000001</v>
      </c>
      <c r="Q2082" s="3">
        <v>0.70307815074920599</v>
      </c>
    </row>
    <row r="2083" spans="1:17" x14ac:dyDescent="0.45">
      <c r="A2083" s="3">
        <v>21739</v>
      </c>
      <c r="B2083" t="b">
        <v>0</v>
      </c>
      <c r="C2083" t="b">
        <v>1</v>
      </c>
      <c r="D2083" s="3">
        <v>1776</v>
      </c>
      <c r="E2083" s="3">
        <v>1827</v>
      </c>
      <c r="F2083" t="s">
        <v>5682</v>
      </c>
      <c r="G2083" t="s">
        <v>5683</v>
      </c>
      <c r="H2083" s="3">
        <v>22.171099999999999</v>
      </c>
      <c r="I2083" t="s">
        <v>1266</v>
      </c>
      <c r="J2083" t="s">
        <v>11291</v>
      </c>
      <c r="L2083" t="s">
        <v>5684</v>
      </c>
      <c r="M2083" t="str">
        <f>"https://www.artic.edu/iiif/2/"&amp;Table9[[#This Row],[Image ID]]&amp;"/full/843,/0/default.jpg"</f>
        <v>https://www.artic.edu/iiif/2/1716b394-020d-a3f9-c402-bb7e16efd724/full/843,/0/default.jpg</v>
      </c>
      <c r="N2083" s="3">
        <v>0.80500000000000005</v>
      </c>
      <c r="O2083" s="3">
        <v>0.17100000000000001</v>
      </c>
      <c r="P2083" s="3">
        <v>0.63400000000000001</v>
      </c>
      <c r="Q2083" s="3">
        <v>0.78350514173507602</v>
      </c>
    </row>
    <row r="2084" spans="1:17" x14ac:dyDescent="0.45">
      <c r="A2084" s="3">
        <v>27170</v>
      </c>
      <c r="B2084" t="b">
        <v>0</v>
      </c>
      <c r="C2084" t="b">
        <v>1</v>
      </c>
      <c r="D2084" s="3">
        <v>1870</v>
      </c>
      <c r="E2084" s="3">
        <v>1880</v>
      </c>
      <c r="F2084" t="s">
        <v>1397</v>
      </c>
      <c r="G2084" t="s">
        <v>7</v>
      </c>
      <c r="H2084" s="3">
        <v>0</v>
      </c>
      <c r="I2084" t="s">
        <v>14682</v>
      </c>
      <c r="J2084" t="s">
        <v>11325</v>
      </c>
      <c r="L2084" t="s">
        <v>6715</v>
      </c>
      <c r="M2084" t="str">
        <f>"https://www.artic.edu/iiif/2/"&amp;Table9[[#This Row],[Image ID]]&amp;"/full/843,/0/default.jpg"</f>
        <v>https://www.artic.edu/iiif/2/19967481-f358-3d6d-781e-9aa9187d6007/full/843,/0/default.jpg</v>
      </c>
      <c r="N2084" s="3">
        <v>0.68300000000000005</v>
      </c>
      <c r="O2084" s="3">
        <v>4.9000000000000002E-2</v>
      </c>
      <c r="P2084" s="3">
        <v>0.63400000000000001</v>
      </c>
      <c r="Q2084" s="3">
        <v>0.67563182115554798</v>
      </c>
    </row>
    <row r="2085" spans="1:17" x14ac:dyDescent="0.45">
      <c r="A2085" s="3">
        <v>81548</v>
      </c>
      <c r="B2085" t="b">
        <v>0</v>
      </c>
      <c r="C2085" t="b">
        <v>1</v>
      </c>
      <c r="D2085" s="3">
        <v>1881</v>
      </c>
      <c r="E2085" s="3">
        <v>1881</v>
      </c>
      <c r="F2085" t="s">
        <v>5477</v>
      </c>
      <c r="G2085" t="s">
        <v>7</v>
      </c>
      <c r="H2085" s="3">
        <v>16.8796</v>
      </c>
      <c r="I2085" t="s">
        <v>288</v>
      </c>
      <c r="J2085" t="s">
        <v>11722</v>
      </c>
      <c r="K2085" s="5" t="s">
        <v>115</v>
      </c>
      <c r="L2085" t="s">
        <v>10130</v>
      </c>
      <c r="M2085" t="str">
        <f>"https://www.artic.edu/iiif/2/"&amp;Table9[[#This Row],[Image ID]]&amp;"/full/843,/0/default.jpg"</f>
        <v>https://www.artic.edu/iiif/2/335a59a4-3f5b-b9db-b8e8-861467d211ef/full/843,/0/default.jpg</v>
      </c>
      <c r="N2085" s="3">
        <v>0.70699999999999996</v>
      </c>
      <c r="O2085" s="3">
        <v>7.2999999999999995E-2</v>
      </c>
      <c r="P2085" s="3">
        <v>0.63400000000000001</v>
      </c>
      <c r="Q2085" s="3">
        <v>0.75821125507354703</v>
      </c>
    </row>
    <row r="2086" spans="1:17" x14ac:dyDescent="0.45">
      <c r="A2086" s="3">
        <v>39221</v>
      </c>
      <c r="B2086" t="b">
        <v>0</v>
      </c>
      <c r="C2086" t="b">
        <v>1</v>
      </c>
      <c r="D2086" s="3">
        <v>1835</v>
      </c>
      <c r="E2086" s="3">
        <v>1882</v>
      </c>
      <c r="F2086" t="s">
        <v>7518</v>
      </c>
      <c r="G2086" t="s">
        <v>7519</v>
      </c>
      <c r="H2086" s="3">
        <v>18.290099999999999</v>
      </c>
      <c r="I2086" t="s">
        <v>5317</v>
      </c>
      <c r="J2086" t="s">
        <v>11885</v>
      </c>
      <c r="L2086" t="s">
        <v>7520</v>
      </c>
      <c r="M2086" t="str">
        <f>"https://www.artic.edu/iiif/2/"&amp;Table9[[#This Row],[Image ID]]&amp;"/full/843,/0/default.jpg"</f>
        <v>https://www.artic.edu/iiif/2/3dcf83bc-0a11-318e-31d5-22a75dbd0e46/full/843,/0/default.jpg</v>
      </c>
      <c r="N2086" s="3">
        <v>0.70699999999999996</v>
      </c>
      <c r="O2086" s="3">
        <v>7.2999999999999995E-2</v>
      </c>
      <c r="P2086" s="3">
        <v>0.63400000000000001</v>
      </c>
      <c r="Q2086" s="3">
        <v>0.80144226551055897</v>
      </c>
    </row>
    <row r="2087" spans="1:17" x14ac:dyDescent="0.45">
      <c r="A2087" s="3">
        <v>78591</v>
      </c>
      <c r="B2087" t="b">
        <v>0</v>
      </c>
      <c r="C2087" t="b">
        <v>1</v>
      </c>
      <c r="D2087" s="3">
        <v>1616</v>
      </c>
      <c r="E2087" s="3">
        <v>1616</v>
      </c>
      <c r="F2087" t="s">
        <v>14583</v>
      </c>
      <c r="G2087" t="s">
        <v>7</v>
      </c>
      <c r="H2087" s="3">
        <v>39.088700000000003</v>
      </c>
      <c r="I2087" t="s">
        <v>9849</v>
      </c>
      <c r="J2087" t="s">
        <v>12166</v>
      </c>
      <c r="L2087" t="s">
        <v>9850</v>
      </c>
      <c r="M2087" t="str">
        <f>"https://www.artic.edu/iiif/2/"&amp;Table9[[#This Row],[Image ID]]&amp;"/full/843,/0/default.jpg"</f>
        <v>https://www.artic.edu/iiif/2/51b5e908-743a-04a2-b080-9f9f2a33e502/full/843,/0/default.jpg</v>
      </c>
      <c r="N2087" s="3">
        <v>0.78</v>
      </c>
      <c r="O2087" s="3">
        <v>0.14599999999999999</v>
      </c>
      <c r="P2087" s="3">
        <v>0.63400000000000001</v>
      </c>
      <c r="Q2087" s="3">
        <v>0.91933780908584595</v>
      </c>
    </row>
    <row r="2088" spans="1:17" x14ac:dyDescent="0.45">
      <c r="A2088" s="3">
        <v>115506</v>
      </c>
      <c r="B2088" t="b">
        <v>0</v>
      </c>
      <c r="C2088" t="b">
        <v>1</v>
      </c>
      <c r="D2088" s="3">
        <v>1719</v>
      </c>
      <c r="E2088" s="3">
        <v>1769</v>
      </c>
      <c r="F2088" t="s">
        <v>1981</v>
      </c>
      <c r="G2088" t="s">
        <v>1982</v>
      </c>
      <c r="H2088" s="3">
        <v>35.024700000000003</v>
      </c>
      <c r="I2088" t="s">
        <v>1922</v>
      </c>
      <c r="J2088" t="s">
        <v>12249</v>
      </c>
      <c r="L2088" t="s">
        <v>1983</v>
      </c>
      <c r="M2088" t="str">
        <f>"https://www.artic.edu/iiif/2/"&amp;Table9[[#This Row],[Image ID]]&amp;"/full/843,/0/default.jpg"</f>
        <v>https://www.artic.edu/iiif/2/56aa5bd0-8ff8-1965-b985-9c0593dae39b/full/843,/0/default.jpg</v>
      </c>
      <c r="N2088" s="3">
        <v>0.70699999999999996</v>
      </c>
      <c r="O2088" s="3">
        <v>7.2999999999999995E-2</v>
      </c>
      <c r="P2088" s="3">
        <v>0.63400000000000001</v>
      </c>
      <c r="Q2088" s="3">
        <v>0.86293345689773504</v>
      </c>
    </row>
    <row r="2089" spans="1:17" x14ac:dyDescent="0.45">
      <c r="A2089" s="3">
        <v>79774</v>
      </c>
      <c r="B2089" t="b">
        <v>0</v>
      </c>
      <c r="C2089" t="b">
        <v>1</v>
      </c>
      <c r="D2089" s="3">
        <v>1550</v>
      </c>
      <c r="E2089" s="3">
        <v>1560</v>
      </c>
      <c r="F2089" t="s">
        <v>297</v>
      </c>
      <c r="G2089" t="s">
        <v>75</v>
      </c>
      <c r="H2089" s="3">
        <v>45.603000000000002</v>
      </c>
      <c r="I2089" t="s">
        <v>4362</v>
      </c>
      <c r="J2089" t="s">
        <v>12346</v>
      </c>
      <c r="L2089" t="s">
        <v>9917</v>
      </c>
      <c r="M2089" t="str">
        <f>"https://www.artic.edu/iiif/2/"&amp;Table9[[#This Row],[Image ID]]&amp;"/full/843,/0/default.jpg"</f>
        <v>https://www.artic.edu/iiif/2/5d52a808-7eb4-8651-f7c7-4e3ffaa06389/full/843,/0/default.jpg</v>
      </c>
      <c r="N2089" s="3">
        <v>0.78</v>
      </c>
      <c r="O2089" s="3">
        <v>0.14599999999999999</v>
      </c>
      <c r="P2089" s="3">
        <v>0.63400000000000001</v>
      </c>
      <c r="Q2089" s="3">
        <v>0.79513412714004505</v>
      </c>
    </row>
    <row r="2090" spans="1:17" x14ac:dyDescent="0.45">
      <c r="A2090" s="3">
        <v>115491</v>
      </c>
      <c r="B2090" t="b">
        <v>0</v>
      </c>
      <c r="C2090" t="b">
        <v>1</v>
      </c>
      <c r="D2090" s="3">
        <v>1719</v>
      </c>
      <c r="E2090" s="3">
        <v>1769</v>
      </c>
      <c r="F2090" t="s">
        <v>1945</v>
      </c>
      <c r="G2090" t="s">
        <v>1946</v>
      </c>
      <c r="H2090" s="3">
        <v>27.921700000000001</v>
      </c>
      <c r="I2090" t="s">
        <v>1922</v>
      </c>
      <c r="J2090" t="s">
        <v>12407</v>
      </c>
      <c r="L2090" t="s">
        <v>1947</v>
      </c>
      <c r="M2090" t="str">
        <f>"https://www.artic.edu/iiif/2/"&amp;Table9[[#This Row],[Image ID]]&amp;"/full/843,/0/default.jpg"</f>
        <v>https://www.artic.edu/iiif/2/6258d62d-e660-d090-f538-03e7f141fad2/full/843,/0/default.jpg</v>
      </c>
      <c r="N2090" s="3">
        <v>0.68300000000000005</v>
      </c>
      <c r="O2090" s="3">
        <v>4.9000000000000002E-2</v>
      </c>
      <c r="P2090" s="3">
        <v>0.63400000000000001</v>
      </c>
      <c r="Q2090" s="3">
        <v>0.89158391952514604</v>
      </c>
    </row>
    <row r="2091" spans="1:17" x14ac:dyDescent="0.45">
      <c r="A2091" s="3">
        <v>16490</v>
      </c>
      <c r="B2091" t="b">
        <v>0</v>
      </c>
      <c r="C2091" t="b">
        <v>1</v>
      </c>
      <c r="D2091" s="3">
        <v>1850</v>
      </c>
      <c r="E2091" s="3">
        <v>1860</v>
      </c>
      <c r="F2091" t="s">
        <v>4450</v>
      </c>
      <c r="G2091" t="s">
        <v>7</v>
      </c>
      <c r="H2091" s="3">
        <v>14.3393</v>
      </c>
      <c r="I2091" t="s">
        <v>3971</v>
      </c>
      <c r="J2091" t="s">
        <v>12458</v>
      </c>
      <c r="L2091" t="s">
        <v>4451</v>
      </c>
      <c r="M2091" t="str">
        <f>"https://www.artic.edu/iiif/2/"&amp;Table9[[#This Row],[Image ID]]&amp;"/full/843,/0/default.jpg"</f>
        <v>https://www.artic.edu/iiif/2/6575c354-8a4f-60d3-ad6f-06fa8d7f9ded/full/843,/0/default.jpg</v>
      </c>
      <c r="N2091" s="3">
        <v>0.68300000000000005</v>
      </c>
      <c r="O2091" s="3">
        <v>4.9000000000000002E-2</v>
      </c>
      <c r="P2091" s="3">
        <v>0.63400000000000001</v>
      </c>
      <c r="Q2091" s="3">
        <v>0.51773965358734098</v>
      </c>
    </row>
    <row r="2092" spans="1:17" x14ac:dyDescent="0.45">
      <c r="A2092" s="3">
        <v>16779</v>
      </c>
      <c r="B2092" t="b">
        <v>0</v>
      </c>
      <c r="C2092" t="b">
        <v>1</v>
      </c>
      <c r="D2092" s="3">
        <v>1894</v>
      </c>
      <c r="E2092" s="3">
        <v>1894</v>
      </c>
      <c r="F2092" t="s">
        <v>4568</v>
      </c>
      <c r="G2092" t="s">
        <v>4569</v>
      </c>
      <c r="H2092" s="3">
        <v>16.6692</v>
      </c>
      <c r="I2092" t="s">
        <v>1337</v>
      </c>
      <c r="J2092" t="s">
        <v>12270</v>
      </c>
      <c r="L2092" t="s">
        <v>4570</v>
      </c>
      <c r="M2092" t="str">
        <f>"https://www.artic.edu/iiif/2/"&amp;Table9[[#This Row],[Image ID]]&amp;"/full/843,/0/default.jpg"</f>
        <v>https://www.artic.edu/iiif/2/6794f986-98db-4e2e-9b38-8d13b7201d10/full/843,/0/default.jpg</v>
      </c>
      <c r="N2092" s="3">
        <v>0.73199999999999998</v>
      </c>
      <c r="O2092" s="3">
        <v>9.8000000000000004E-2</v>
      </c>
      <c r="P2092" s="3">
        <v>0.63400000000000001</v>
      </c>
      <c r="Q2092" s="3">
        <v>0.52710896730422896</v>
      </c>
    </row>
    <row r="2093" spans="1:17" x14ac:dyDescent="0.45">
      <c r="A2093" s="3">
        <v>74025</v>
      </c>
      <c r="B2093" t="b">
        <v>0</v>
      </c>
      <c r="C2093" t="b">
        <v>1</v>
      </c>
      <c r="D2093" s="3">
        <v>1800</v>
      </c>
      <c r="E2093" s="3">
        <v>1899</v>
      </c>
      <c r="F2093" t="s">
        <v>9662</v>
      </c>
      <c r="G2093" t="s">
        <v>9663</v>
      </c>
      <c r="H2093" s="3">
        <v>26.4862</v>
      </c>
      <c r="I2093" t="s">
        <v>16</v>
      </c>
      <c r="J2093" t="s">
        <v>12508</v>
      </c>
      <c r="L2093" t="s">
        <v>9664</v>
      </c>
      <c r="M2093" t="str">
        <f>"https://www.artic.edu/iiif/2/"&amp;Table9[[#This Row],[Image ID]]&amp;"/full/843,/0/default.jpg"</f>
        <v>https://www.artic.edu/iiif/2/6989854e-28d2-1e49-fc8a-db5c87599260/full/843,/0/default.jpg</v>
      </c>
      <c r="N2093" s="3">
        <v>0.73199999999999998</v>
      </c>
      <c r="O2093" s="3">
        <v>9.8000000000000004E-2</v>
      </c>
      <c r="P2093" s="3">
        <v>0.63400000000000001</v>
      </c>
      <c r="Q2093" s="3">
        <v>0.77334702014923096</v>
      </c>
    </row>
    <row r="2094" spans="1:17" x14ac:dyDescent="0.45">
      <c r="A2094" s="3">
        <v>5096</v>
      </c>
      <c r="B2094" t="b">
        <v>0</v>
      </c>
      <c r="C2094" t="b">
        <v>1</v>
      </c>
      <c r="D2094" s="3">
        <v>1565</v>
      </c>
      <c r="E2094" s="3">
        <v>1575</v>
      </c>
      <c r="F2094" t="s">
        <v>8135</v>
      </c>
      <c r="G2094" t="s">
        <v>7</v>
      </c>
      <c r="H2094" s="3">
        <v>28.6617</v>
      </c>
      <c r="I2094" t="s">
        <v>1692</v>
      </c>
      <c r="J2094" t="s">
        <v>12594</v>
      </c>
      <c r="L2094" t="s">
        <v>8136</v>
      </c>
      <c r="M2094" t="str">
        <f>"https://www.artic.edu/iiif/2/"&amp;Table9[[#This Row],[Image ID]]&amp;"/full/843,/0/default.jpg"</f>
        <v>https://www.artic.edu/iiif/2/6f67b87f-5e9c-3a35-143a-122ffeb0caee/full/843,/0/default.jpg</v>
      </c>
      <c r="N2094" s="3">
        <v>0.75600000000000001</v>
      </c>
      <c r="O2094" s="3">
        <v>0.122</v>
      </c>
      <c r="P2094" s="3">
        <v>0.63400000000000001</v>
      </c>
      <c r="Q2094" s="3">
        <v>0.86550992727279596</v>
      </c>
    </row>
    <row r="2095" spans="1:17" x14ac:dyDescent="0.45">
      <c r="A2095" s="3">
        <v>44886</v>
      </c>
      <c r="B2095" t="b">
        <v>0</v>
      </c>
      <c r="C2095" t="b">
        <v>1</v>
      </c>
      <c r="D2095" s="3">
        <v>1785</v>
      </c>
      <c r="E2095" s="3">
        <v>1795</v>
      </c>
      <c r="F2095" t="s">
        <v>7822</v>
      </c>
      <c r="G2095" t="s">
        <v>7</v>
      </c>
      <c r="H2095" s="3">
        <v>10.986499999999999</v>
      </c>
      <c r="I2095" t="s">
        <v>1007</v>
      </c>
      <c r="J2095" t="s">
        <v>13001</v>
      </c>
      <c r="L2095" t="s">
        <v>7823</v>
      </c>
      <c r="M2095" t="str">
        <f>"https://www.artic.edu/iiif/2/"&amp;Table9[[#This Row],[Image ID]]&amp;"/full/843,/0/default.jpg"</f>
        <v>https://www.artic.edu/iiif/2/8e096d6a-92c9-9e6c-d978-b5817d187f2d/full/843,/0/default.jpg</v>
      </c>
      <c r="N2095" s="3">
        <v>0.70699999999999996</v>
      </c>
      <c r="O2095" s="3">
        <v>7.2999999999999995E-2</v>
      </c>
      <c r="P2095" s="3">
        <v>0.63400000000000001</v>
      </c>
      <c r="Q2095" s="3">
        <v>0.86401319503784102</v>
      </c>
    </row>
    <row r="2096" spans="1:17" x14ac:dyDescent="0.45">
      <c r="A2096" s="3">
        <v>16197</v>
      </c>
      <c r="B2096" t="b">
        <v>0</v>
      </c>
      <c r="C2096" t="b">
        <v>1</v>
      </c>
      <c r="D2096" s="3">
        <v>1500</v>
      </c>
      <c r="E2096" s="3">
        <v>1505</v>
      </c>
      <c r="F2096" t="s">
        <v>4301</v>
      </c>
      <c r="G2096" t="s">
        <v>4302</v>
      </c>
      <c r="H2096" s="3">
        <v>34.606299999999997</v>
      </c>
      <c r="I2096" t="s">
        <v>2732</v>
      </c>
      <c r="J2096" t="s">
        <v>13119</v>
      </c>
      <c r="L2096" t="s">
        <v>4303</v>
      </c>
      <c r="M2096" t="str">
        <f>"https://www.artic.edu/iiif/2/"&amp;Table9[[#This Row],[Image ID]]&amp;"/full/843,/0/default.jpg"</f>
        <v>https://www.artic.edu/iiif/2/97bd32b0-1770-2765-b931-5fff463651d7/full/843,/0/default.jpg</v>
      </c>
      <c r="N2096" s="3">
        <v>0.78</v>
      </c>
      <c r="O2096" s="3">
        <v>0.14599999999999999</v>
      </c>
      <c r="P2096" s="3">
        <v>0.63400000000000001</v>
      </c>
      <c r="Q2096" s="3">
        <v>0.87559974193572998</v>
      </c>
    </row>
    <row r="2097" spans="1:17" x14ac:dyDescent="0.45">
      <c r="A2097" s="3">
        <v>16347</v>
      </c>
      <c r="B2097" t="b">
        <v>0</v>
      </c>
      <c r="C2097" t="b">
        <v>1</v>
      </c>
      <c r="D2097" s="3">
        <v>1632</v>
      </c>
      <c r="E2097" s="3">
        <v>1632</v>
      </c>
      <c r="F2097" t="s">
        <v>4377</v>
      </c>
      <c r="G2097" t="s">
        <v>75</v>
      </c>
      <c r="H2097" s="3">
        <v>29.845600000000001</v>
      </c>
      <c r="I2097" t="s">
        <v>4378</v>
      </c>
      <c r="J2097" t="s">
        <v>13145</v>
      </c>
      <c r="L2097" t="s">
        <v>4379</v>
      </c>
      <c r="M2097" t="str">
        <f>"https://www.artic.edu/iiif/2/"&amp;Table9[[#This Row],[Image ID]]&amp;"/full/843,/0/default.jpg"</f>
        <v>https://www.artic.edu/iiif/2/99adb7e5-88b6-c17c-850b-fcf3da4f1f40/full/843,/0/default.jpg</v>
      </c>
      <c r="N2097" s="3">
        <v>0.73199999999999998</v>
      </c>
      <c r="O2097" s="3">
        <v>9.8000000000000004E-2</v>
      </c>
      <c r="P2097" s="3">
        <v>0.63400000000000001</v>
      </c>
      <c r="Q2097" s="3">
        <v>0.65430408716201705</v>
      </c>
    </row>
    <row r="2098" spans="1:17" x14ac:dyDescent="0.45">
      <c r="A2098" s="3">
        <v>93394</v>
      </c>
      <c r="B2098" t="b">
        <v>0</v>
      </c>
      <c r="C2098" t="b">
        <v>1</v>
      </c>
      <c r="D2098" s="3">
        <v>1820</v>
      </c>
      <c r="E2098" s="3">
        <v>1830</v>
      </c>
      <c r="F2098" t="s">
        <v>2760</v>
      </c>
      <c r="G2098" t="s">
        <v>7</v>
      </c>
      <c r="H2098" s="3">
        <v>32.301499999999997</v>
      </c>
      <c r="I2098" t="s">
        <v>14607</v>
      </c>
      <c r="J2098" t="s">
        <v>13302</v>
      </c>
      <c r="L2098" t="s">
        <v>10586</v>
      </c>
      <c r="M2098" t="str">
        <f>"https://www.artic.edu/iiif/2/"&amp;Table9[[#This Row],[Image ID]]&amp;"/full/843,/0/default.jpg"</f>
        <v>https://www.artic.edu/iiif/2/a5274397-409c-1f76-866f-17d55cf31933/full/843,/0/default.jpg</v>
      </c>
      <c r="N2098" s="3">
        <v>0.75600000000000001</v>
      </c>
      <c r="O2098" s="3">
        <v>0.122</v>
      </c>
      <c r="P2098" s="3">
        <v>0.63400000000000001</v>
      </c>
      <c r="Q2098" s="3">
        <v>0.65770894289016701</v>
      </c>
    </row>
    <row r="2099" spans="1:17" x14ac:dyDescent="0.45">
      <c r="A2099" s="3">
        <v>114886</v>
      </c>
      <c r="B2099" t="b">
        <v>0</v>
      </c>
      <c r="C2099" t="b">
        <v>1</v>
      </c>
      <c r="D2099" s="3">
        <v>1825</v>
      </c>
      <c r="E2099" s="3">
        <v>1877</v>
      </c>
      <c r="F2099" t="s">
        <v>1753</v>
      </c>
      <c r="G2099" t="s">
        <v>1754</v>
      </c>
      <c r="H2099" s="3">
        <v>18.576599999999999</v>
      </c>
      <c r="I2099" t="s">
        <v>1751</v>
      </c>
      <c r="J2099" t="s">
        <v>13303</v>
      </c>
      <c r="L2099" t="s">
        <v>1755</v>
      </c>
      <c r="M2099" t="str">
        <f>"https://www.artic.edu/iiif/2/"&amp;Table9[[#This Row],[Image ID]]&amp;"/full/843,/0/default.jpg"</f>
        <v>https://www.artic.edu/iiif/2/a5346df5-e982-59dc-701d-682466680c59/full/843,/0/default.jpg</v>
      </c>
      <c r="N2099" s="3">
        <v>0.70699999999999996</v>
      </c>
      <c r="O2099" s="3">
        <v>7.2999999999999995E-2</v>
      </c>
      <c r="P2099" s="3">
        <v>0.63400000000000001</v>
      </c>
      <c r="Q2099" s="3">
        <v>0.71306121349334695</v>
      </c>
    </row>
    <row r="2100" spans="1:17" x14ac:dyDescent="0.45">
      <c r="A2100" s="3">
        <v>38984</v>
      </c>
      <c r="B2100" t="b">
        <v>0</v>
      </c>
      <c r="C2100" t="b">
        <v>1</v>
      </c>
      <c r="D2100" s="3">
        <v>1820</v>
      </c>
      <c r="E2100" s="3">
        <v>1850</v>
      </c>
      <c r="F2100" t="s">
        <v>7352</v>
      </c>
      <c r="G2100" t="s">
        <v>7353</v>
      </c>
      <c r="H2100" s="3">
        <v>51.847499999999997</v>
      </c>
      <c r="I2100" t="s">
        <v>7354</v>
      </c>
      <c r="J2100" t="s">
        <v>13576</v>
      </c>
      <c r="L2100" t="s">
        <v>7355</v>
      </c>
      <c r="M2100" t="str">
        <f>"https://www.artic.edu/iiif/2/"&amp;Table9[[#This Row],[Image ID]]&amp;"/full/843,/0/default.jpg"</f>
        <v>https://www.artic.edu/iiif/2/ba709ea4-81aa-0832-1e0c-e0e565113aeb/full/843,/0/default.jpg</v>
      </c>
      <c r="N2100" s="3">
        <v>0.73199999999999998</v>
      </c>
      <c r="O2100" s="3">
        <v>9.8000000000000004E-2</v>
      </c>
      <c r="P2100" s="3">
        <v>0.63400000000000001</v>
      </c>
      <c r="Q2100" s="3">
        <v>0.55625659227371205</v>
      </c>
    </row>
    <row r="2101" spans="1:17" x14ac:dyDescent="0.45">
      <c r="A2101" s="3">
        <v>115114</v>
      </c>
      <c r="B2101" t="b">
        <v>0</v>
      </c>
      <c r="C2101" t="b">
        <v>1</v>
      </c>
      <c r="D2101" s="3">
        <v>1843</v>
      </c>
      <c r="E2101" s="3">
        <v>1843</v>
      </c>
      <c r="F2101" t="s">
        <v>1768</v>
      </c>
      <c r="G2101" t="s">
        <v>1769</v>
      </c>
      <c r="H2101" s="3">
        <v>42.134799999999998</v>
      </c>
      <c r="I2101" t="s">
        <v>1555</v>
      </c>
      <c r="J2101" t="s">
        <v>14084</v>
      </c>
      <c r="L2101" t="s">
        <v>1770</v>
      </c>
      <c r="M2101" t="str">
        <f>"https://www.artic.edu/iiif/2/"&amp;Table9[[#This Row],[Image ID]]&amp;"/full/843,/0/default.jpg"</f>
        <v>https://www.artic.edu/iiif/2/e126da42-22fc-3f85-b99b-17d6b8e29900/full/843,/0/default.jpg</v>
      </c>
      <c r="N2101" s="3">
        <v>0.73199999999999998</v>
      </c>
      <c r="O2101" s="3">
        <v>9.8000000000000004E-2</v>
      </c>
      <c r="P2101" s="3">
        <v>0.63400000000000001</v>
      </c>
      <c r="Q2101" s="3">
        <v>0.65358781814575195</v>
      </c>
    </row>
    <row r="2102" spans="1:17" x14ac:dyDescent="0.45">
      <c r="A2102" s="3">
        <v>898</v>
      </c>
      <c r="B2102" t="b">
        <v>0</v>
      </c>
      <c r="C2102" t="b">
        <v>1</v>
      </c>
      <c r="D2102" s="3">
        <v>1845</v>
      </c>
      <c r="E2102" s="3">
        <v>1855</v>
      </c>
      <c r="F2102" t="s">
        <v>10475</v>
      </c>
      <c r="G2102" t="s">
        <v>7</v>
      </c>
      <c r="H2102" s="3">
        <v>36.736499999999999</v>
      </c>
      <c r="I2102" t="s">
        <v>1157</v>
      </c>
      <c r="J2102" t="s">
        <v>14101</v>
      </c>
      <c r="L2102" t="s">
        <v>10476</v>
      </c>
      <c r="M2102" t="str">
        <f>"https://www.artic.edu/iiif/2/"&amp;Table9[[#This Row],[Image ID]]&amp;"/full/843,/0/default.jpg"</f>
        <v>https://www.artic.edu/iiif/2/e204d686-0e19-c10c-cf72-1000aae5be4a/full/843,/0/default.jpg</v>
      </c>
      <c r="N2102" s="3">
        <v>0.68300000000000005</v>
      </c>
      <c r="O2102" s="3">
        <v>4.9000000000000002E-2</v>
      </c>
      <c r="P2102" s="3">
        <v>0.63400000000000001</v>
      </c>
      <c r="Q2102" s="3">
        <v>0.59764415025711004</v>
      </c>
    </row>
    <row r="2103" spans="1:17" x14ac:dyDescent="0.45">
      <c r="A2103" s="3">
        <v>115517</v>
      </c>
      <c r="B2103" t="b">
        <v>0</v>
      </c>
      <c r="C2103" t="b">
        <v>1</v>
      </c>
      <c r="D2103" s="3">
        <v>1719</v>
      </c>
      <c r="E2103" s="3">
        <v>1769</v>
      </c>
      <c r="F2103" t="s">
        <v>1999</v>
      </c>
      <c r="G2103" t="s">
        <v>1952</v>
      </c>
      <c r="H2103" s="3">
        <v>18.428000000000001</v>
      </c>
      <c r="I2103" t="s">
        <v>1922</v>
      </c>
      <c r="J2103" t="s">
        <v>14227</v>
      </c>
      <c r="L2103" t="s">
        <v>2000</v>
      </c>
      <c r="M2103" t="str">
        <f>"https://www.artic.edu/iiif/2/"&amp;Table9[[#This Row],[Image ID]]&amp;"/full/843,/0/default.jpg"</f>
        <v>https://www.artic.edu/iiif/2/ea400f8b-2c6b-2d96-fa53-4407e4e64f34/full/843,/0/default.jpg</v>
      </c>
      <c r="N2103" s="3">
        <v>0.73199999999999998</v>
      </c>
      <c r="O2103" s="3">
        <v>9.8000000000000004E-2</v>
      </c>
      <c r="P2103" s="3">
        <v>0.63400000000000001</v>
      </c>
      <c r="Q2103" s="3">
        <v>0.85658240318298295</v>
      </c>
    </row>
    <row r="2104" spans="1:17" x14ac:dyDescent="0.45">
      <c r="A2104" s="3">
        <v>21756</v>
      </c>
      <c r="B2104" t="b">
        <v>0</v>
      </c>
      <c r="C2104" t="b">
        <v>1</v>
      </c>
      <c r="D2104" s="3">
        <v>1776</v>
      </c>
      <c r="E2104" s="3">
        <v>1827</v>
      </c>
      <c r="F2104" t="s">
        <v>5716</v>
      </c>
      <c r="G2104" t="s">
        <v>5690</v>
      </c>
      <c r="H2104" s="3">
        <v>25.8033</v>
      </c>
      <c r="I2104" t="s">
        <v>1266</v>
      </c>
      <c r="J2104" t="s">
        <v>14511</v>
      </c>
      <c r="L2104" t="s">
        <v>5717</v>
      </c>
      <c r="M2104" t="str">
        <f>"https://www.artic.edu/iiif/2/"&amp;Table9[[#This Row],[Image ID]]&amp;"/full/843,/0/default.jpg"</f>
        <v>https://www.artic.edu/iiif/2/fe2dbc62-96ec-d923-9aee-09b909b7d6f3/full/843,/0/default.jpg</v>
      </c>
      <c r="N2104" s="3">
        <v>0.75600000000000001</v>
      </c>
      <c r="O2104" s="3">
        <v>0.122</v>
      </c>
      <c r="P2104" s="3">
        <v>0.63400000000000001</v>
      </c>
      <c r="Q2104" s="3">
        <v>0.73806780576705899</v>
      </c>
    </row>
    <row r="2105" spans="1:17" x14ac:dyDescent="0.45">
      <c r="A2105" s="3">
        <v>111616</v>
      </c>
      <c r="B2105" t="b">
        <v>0</v>
      </c>
      <c r="C2105" t="b">
        <v>1</v>
      </c>
      <c r="D2105" s="3">
        <v>1730</v>
      </c>
      <c r="E2105" s="3">
        <v>1750</v>
      </c>
      <c r="F2105" t="s">
        <v>1142</v>
      </c>
      <c r="G2105" t="s">
        <v>7</v>
      </c>
      <c r="H2105" s="3">
        <v>0</v>
      </c>
      <c r="I2105" t="s">
        <v>1143</v>
      </c>
      <c r="J2105" t="s">
        <v>12068</v>
      </c>
      <c r="L2105" t="s">
        <v>1144</v>
      </c>
      <c r="M2105" t="str">
        <f>"https://www.artic.edu/iiif/2/"&amp;Table9[[#This Row],[Image ID]]&amp;"/full/843,/0/default.jpg"</f>
        <v>https://www.artic.edu/iiif/2/4b0bff90-1cb5-0b51-272b-0a0726f36537/full/843,/0/default.jpg</v>
      </c>
      <c r="N2105" s="3">
        <v>0.82899999999999996</v>
      </c>
      <c r="O2105" s="3">
        <v>0.19500000000000001</v>
      </c>
      <c r="P2105" s="3">
        <v>0.6339999999999999</v>
      </c>
      <c r="Q2105" s="3">
        <v>0.65980815887451105</v>
      </c>
    </row>
    <row r="2106" spans="1:17" x14ac:dyDescent="0.45">
      <c r="A2106" s="3">
        <v>115179</v>
      </c>
      <c r="B2106" t="b">
        <v>0</v>
      </c>
      <c r="C2106" t="b">
        <v>1</v>
      </c>
      <c r="D2106" s="3">
        <v>1845</v>
      </c>
      <c r="E2106" s="3">
        <v>1845</v>
      </c>
      <c r="F2106" t="s">
        <v>1810</v>
      </c>
      <c r="G2106" t="s">
        <v>1774</v>
      </c>
      <c r="H2106" s="3">
        <v>26.314800000000002</v>
      </c>
      <c r="I2106" t="s">
        <v>1555</v>
      </c>
      <c r="J2106" t="s">
        <v>11688</v>
      </c>
      <c r="L2106" t="s">
        <v>1811</v>
      </c>
      <c r="M2106" t="str">
        <f>"https://www.artic.edu/iiif/2/"&amp;Table9[[#This Row],[Image ID]]&amp;"/full/843,/0/default.jpg"</f>
        <v>https://www.artic.edu/iiif/2/30a518b2-c67f-4109-53b1-40dc0b7077ea/full/843,/0/default.jpg</v>
      </c>
      <c r="N2106" s="3">
        <v>0.85</v>
      </c>
      <c r="O2106" s="3">
        <v>0.22</v>
      </c>
      <c r="P2106" s="3">
        <v>0.63</v>
      </c>
      <c r="Q2106" s="3">
        <v>0.62371897697448697</v>
      </c>
    </row>
    <row r="2107" spans="1:17" x14ac:dyDescent="0.45">
      <c r="A2107" s="3">
        <v>12879</v>
      </c>
      <c r="B2107" t="b">
        <v>0</v>
      </c>
      <c r="C2107" t="b">
        <v>1</v>
      </c>
      <c r="D2107" s="3">
        <v>1690</v>
      </c>
      <c r="E2107" s="3">
        <v>1695</v>
      </c>
      <c r="F2107" t="s">
        <v>2837</v>
      </c>
      <c r="G2107" t="s">
        <v>7</v>
      </c>
      <c r="H2107" s="3">
        <v>26.722999999999999</v>
      </c>
      <c r="I2107" t="s">
        <v>2833</v>
      </c>
      <c r="J2107" t="s">
        <v>12067</v>
      </c>
      <c r="L2107" t="s">
        <v>2838</v>
      </c>
      <c r="M2107" t="str">
        <f>"https://www.artic.edu/iiif/2/"&amp;Table9[[#This Row],[Image ID]]&amp;"/full/843,/0/default.jpg"</f>
        <v>https://www.artic.edu/iiif/2/59ce4cb2-beae-5492-0d83-345cbc0745c2/full/843,/0/default.jpg</v>
      </c>
      <c r="N2107" s="3">
        <v>0.82499999999999996</v>
      </c>
      <c r="O2107" s="3">
        <v>0.19500000000000001</v>
      </c>
      <c r="P2107" s="3">
        <v>0.62999999999999989</v>
      </c>
      <c r="Q2107" s="3">
        <v>0.692521452903747</v>
      </c>
    </row>
    <row r="2108" spans="1:17" x14ac:dyDescent="0.45">
      <c r="A2108" s="3">
        <v>16622</v>
      </c>
      <c r="B2108" t="b">
        <v>0</v>
      </c>
      <c r="C2108" t="b">
        <v>1</v>
      </c>
      <c r="D2108" s="3">
        <v>1883</v>
      </c>
      <c r="E2108" s="3">
        <v>1883</v>
      </c>
      <c r="F2108" t="s">
        <v>14609</v>
      </c>
      <c r="G2108" t="s">
        <v>7</v>
      </c>
      <c r="H2108" s="3">
        <v>31.344200000000001</v>
      </c>
      <c r="I2108" t="s">
        <v>8</v>
      </c>
      <c r="J2108" t="s">
        <v>13340</v>
      </c>
      <c r="K2108" s="5" t="s">
        <v>9</v>
      </c>
      <c r="L2108" t="s">
        <v>4506</v>
      </c>
      <c r="M2108" t="str">
        <f>"https://www.artic.edu/iiif/2/"&amp;Table9[[#This Row],[Image ID]]&amp;"/full/843,/0/default.jpg"</f>
        <v>https://www.artic.edu/iiif/2/a7af09dc-5743-062e-4802-b6435e67eaa5/full/843,/0/default.jpg</v>
      </c>
      <c r="N2108" s="3">
        <v>0.77500000000000002</v>
      </c>
      <c r="O2108" s="3">
        <v>0.14599999999999999</v>
      </c>
      <c r="P2108" s="3">
        <v>0.629</v>
      </c>
      <c r="Q2108" s="3">
        <v>0.83998435735702504</v>
      </c>
    </row>
    <row r="2109" spans="1:17" x14ac:dyDescent="0.45">
      <c r="A2109" s="3">
        <v>96624</v>
      </c>
      <c r="B2109" t="b">
        <v>0</v>
      </c>
      <c r="C2109" t="b">
        <v>1</v>
      </c>
      <c r="D2109" s="3">
        <v>1795</v>
      </c>
      <c r="E2109" s="3">
        <v>1851</v>
      </c>
      <c r="F2109" t="s">
        <v>10802</v>
      </c>
      <c r="G2109" t="s">
        <v>10803</v>
      </c>
      <c r="H2109" s="3">
        <v>22.766300000000001</v>
      </c>
      <c r="I2109" t="s">
        <v>868</v>
      </c>
      <c r="J2109" t="s">
        <v>11242</v>
      </c>
      <c r="L2109" t="s">
        <v>10804</v>
      </c>
      <c r="M2109" t="str">
        <f>"https://www.artic.edu/iiif/2/"&amp;Table9[[#This Row],[Image ID]]&amp;"/full/843,/0/default.jpg"</f>
        <v>https://www.artic.edu/iiif/2/13a6ed93-5da8-36a2-b9bc-5d42cdfd2103/full/843,/0/default.jpg</v>
      </c>
      <c r="N2109" s="3">
        <v>0.75</v>
      </c>
      <c r="O2109" s="3">
        <v>0.122</v>
      </c>
      <c r="P2109" s="3">
        <v>0.628</v>
      </c>
      <c r="Q2109" s="3">
        <v>0.57427608966827304</v>
      </c>
    </row>
    <row r="2110" spans="1:17" x14ac:dyDescent="0.45">
      <c r="A2110" s="3">
        <v>47588</v>
      </c>
      <c r="B2110" t="b">
        <v>0</v>
      </c>
      <c r="C2110" t="b">
        <v>1</v>
      </c>
      <c r="D2110" s="3">
        <v>1817</v>
      </c>
      <c r="E2110" s="3">
        <v>1827</v>
      </c>
      <c r="F2110" t="s">
        <v>7956</v>
      </c>
      <c r="G2110" t="s">
        <v>7</v>
      </c>
      <c r="H2110" s="3">
        <v>0</v>
      </c>
      <c r="I2110" t="s">
        <v>3831</v>
      </c>
      <c r="J2110" t="s">
        <v>14536</v>
      </c>
      <c r="L2110" t="s">
        <v>7957</v>
      </c>
      <c r="M2110" t="str">
        <f>"https://www.artic.edu/iiif/2/"&amp;Table9[[#This Row],[Image ID]]&amp;"/full/843,/0/default.jpg"</f>
        <v>https://www.artic.edu/iiif/2/ff77b16c-b8d7-00fe-abc5-d8290f7b26eb/full/843,/0/default.jpg</v>
      </c>
      <c r="N2110" s="3">
        <v>0.72099999999999997</v>
      </c>
      <c r="O2110" s="3">
        <v>9.2999999999999999E-2</v>
      </c>
      <c r="P2110" s="3">
        <v>0.628</v>
      </c>
      <c r="Q2110" s="3">
        <v>0.81124788522720304</v>
      </c>
    </row>
    <row r="2111" spans="1:17" x14ac:dyDescent="0.45">
      <c r="A2111" s="3">
        <v>16649</v>
      </c>
      <c r="B2111" t="b">
        <v>0</v>
      </c>
      <c r="C2111" t="b">
        <v>0</v>
      </c>
      <c r="D2111" s="3">
        <v>1915</v>
      </c>
      <c r="E2111" s="3">
        <v>1915</v>
      </c>
      <c r="F2111" t="s">
        <v>4518</v>
      </c>
      <c r="G2111" t="s">
        <v>7</v>
      </c>
      <c r="H2111" s="3">
        <v>32.081000000000003</v>
      </c>
      <c r="I2111" t="s">
        <v>3468</v>
      </c>
      <c r="J2111" t="s">
        <v>11084</v>
      </c>
      <c r="K2111" s="5" t="s">
        <v>9</v>
      </c>
      <c r="L2111" t="s">
        <v>4519</v>
      </c>
      <c r="M2111" t="str">
        <f>"https://www.artic.edu/iiif/2/"&amp;Table9[[#This Row],[Image ID]]&amp;"/full/843,/0/default.jpg"</f>
        <v>https://www.artic.edu/iiif/2/07fca744-4d4b-0fbb-ee9c-02e36b7ec928/full/843,/0/default.jpg</v>
      </c>
      <c r="N2111" s="3">
        <v>0.74399999999999999</v>
      </c>
      <c r="O2111" s="3">
        <v>0.11600000000000001</v>
      </c>
      <c r="P2111" s="3">
        <v>0.628</v>
      </c>
      <c r="Q2111" s="3">
        <v>0.62896931171417203</v>
      </c>
    </row>
    <row r="2112" spans="1:17" x14ac:dyDescent="0.45">
      <c r="A2112" s="3">
        <v>117700</v>
      </c>
      <c r="B2112" t="b">
        <v>0</v>
      </c>
      <c r="C2112" t="b">
        <v>0</v>
      </c>
      <c r="D2112" s="3">
        <v>1915</v>
      </c>
      <c r="E2112" s="3">
        <v>1915</v>
      </c>
      <c r="F2112" t="s">
        <v>2406</v>
      </c>
      <c r="G2112" t="s">
        <v>7</v>
      </c>
      <c r="H2112" s="3">
        <v>27.034199999999998</v>
      </c>
      <c r="I2112" t="s">
        <v>2407</v>
      </c>
      <c r="J2112" t="s">
        <v>13624</v>
      </c>
      <c r="K2112" s="5" t="s">
        <v>9</v>
      </c>
      <c r="L2112" t="s">
        <v>2408</v>
      </c>
      <c r="M2112" t="str">
        <f>"https://www.artic.edu/iiif/2/"&amp;Table9[[#This Row],[Image ID]]&amp;"/full/843,/0/default.jpg"</f>
        <v>https://www.artic.edu/iiif/2/be266c25-27f7-38fd-69fa-8efd1b985af2/full/843,/0/default.jpg</v>
      </c>
      <c r="N2112" s="3">
        <v>0.72099999999999997</v>
      </c>
      <c r="O2112" s="3">
        <v>9.2999999999999999E-2</v>
      </c>
      <c r="P2112" s="3">
        <v>0.628</v>
      </c>
      <c r="Q2112" s="3">
        <v>0.79799664020538297</v>
      </c>
    </row>
    <row r="2113" spans="1:17" x14ac:dyDescent="0.45">
      <c r="A2113" s="3">
        <v>31620</v>
      </c>
      <c r="B2113" t="b">
        <v>0</v>
      </c>
      <c r="C2113" t="b">
        <v>0</v>
      </c>
      <c r="D2113" s="3">
        <v>1858</v>
      </c>
      <c r="E2113" s="3">
        <v>1909</v>
      </c>
      <c r="F2113" t="s">
        <v>7005</v>
      </c>
      <c r="G2113" t="s">
        <v>7006</v>
      </c>
      <c r="H2113" s="3">
        <v>33.311</v>
      </c>
      <c r="I2113" t="s">
        <v>876</v>
      </c>
      <c r="J2113" t="s">
        <v>13769</v>
      </c>
      <c r="L2113" t="s">
        <v>7007</v>
      </c>
      <c r="M2113" t="str">
        <f>"https://www.artic.edu/iiif/2/"&amp;Table9[[#This Row],[Image ID]]&amp;"/full/843,/0/default.jpg"</f>
        <v>https://www.artic.edu/iiif/2/c9338edc-7b2a-59d5-c8bb-59b133eaa568/full/843,/0/default.jpg</v>
      </c>
      <c r="N2113" s="3">
        <v>0.72099999999999997</v>
      </c>
      <c r="O2113" s="3">
        <v>9.2999999999999999E-2</v>
      </c>
      <c r="P2113" s="3">
        <v>0.628</v>
      </c>
      <c r="Q2113" s="3">
        <v>0.69400548934936501</v>
      </c>
    </row>
    <row r="2114" spans="1:17" x14ac:dyDescent="0.45">
      <c r="A2114" s="3">
        <v>158376</v>
      </c>
      <c r="B2114" t="b">
        <v>0</v>
      </c>
      <c r="C2114" t="b">
        <v>0</v>
      </c>
      <c r="D2114" s="3">
        <v>1957</v>
      </c>
      <c r="E2114" s="3">
        <v>1967</v>
      </c>
      <c r="F2114" t="s">
        <v>4124</v>
      </c>
      <c r="G2114" t="s">
        <v>4125</v>
      </c>
      <c r="H2114" s="3">
        <v>21.023099999999999</v>
      </c>
      <c r="I2114" t="s">
        <v>4122</v>
      </c>
      <c r="J2114" t="s">
        <v>13940</v>
      </c>
      <c r="L2114" t="s">
        <v>4126</v>
      </c>
      <c r="M2114" t="str">
        <f>"https://www.artic.edu/iiif/2/"&amp;Table9[[#This Row],[Image ID]]&amp;"/full/843,/0/default.jpg"</f>
        <v>https://www.artic.edu/iiif/2/d70a6546-dfd0-344c-31bd-1f82e0142540/full/843,/0/default.jpg</v>
      </c>
      <c r="N2114" s="3">
        <v>0.75</v>
      </c>
      <c r="O2114" s="3">
        <v>0.122</v>
      </c>
      <c r="P2114" s="3">
        <v>0.628</v>
      </c>
      <c r="Q2114" s="3">
        <v>0.85108923912048295</v>
      </c>
    </row>
    <row r="2115" spans="1:17" x14ac:dyDescent="0.45">
      <c r="A2115" s="3">
        <v>52180</v>
      </c>
      <c r="B2115" t="b">
        <v>0</v>
      </c>
      <c r="C2115" t="b">
        <v>1</v>
      </c>
      <c r="D2115" s="3">
        <v>1875</v>
      </c>
      <c r="E2115" s="3">
        <v>1885</v>
      </c>
      <c r="F2115" t="s">
        <v>8181</v>
      </c>
      <c r="G2115" t="s">
        <v>75</v>
      </c>
      <c r="H2115" s="3">
        <v>26.788</v>
      </c>
      <c r="I2115" t="s">
        <v>14680</v>
      </c>
      <c r="J2115" t="s">
        <v>11691</v>
      </c>
      <c r="K2115" s="5" t="s">
        <v>9</v>
      </c>
      <c r="L2115" t="s">
        <v>8182</v>
      </c>
      <c r="M2115" t="str">
        <f>"https://www.artic.edu/iiif/2/"&amp;Table9[[#This Row],[Image ID]]&amp;"/full/843,/0/default.jpg"</f>
        <v>https://www.artic.edu/iiif/2/30f72d2d-0771-981a-b5e7-5848513aeb42/full/843,/0/default.jpg</v>
      </c>
      <c r="N2115" s="3">
        <v>0.69799999999999995</v>
      </c>
      <c r="O2115" s="3">
        <v>7.0000000000000007E-2</v>
      </c>
      <c r="P2115" s="3">
        <v>0.62799999999999989</v>
      </c>
      <c r="Q2115" s="3">
        <v>0.56087219715118397</v>
      </c>
    </row>
    <row r="2116" spans="1:17" x14ac:dyDescent="0.45">
      <c r="A2116" s="3">
        <v>115493</v>
      </c>
      <c r="B2116" t="b">
        <v>0</v>
      </c>
      <c r="C2116" t="b">
        <v>1</v>
      </c>
      <c r="D2116" s="3">
        <v>1719</v>
      </c>
      <c r="E2116" s="3">
        <v>1769</v>
      </c>
      <c r="F2116" t="s">
        <v>1951</v>
      </c>
      <c r="G2116" t="s">
        <v>1952</v>
      </c>
      <c r="H2116" s="3">
        <v>35.1995</v>
      </c>
      <c r="I2116" t="s">
        <v>1922</v>
      </c>
      <c r="J2116" t="s">
        <v>11944</v>
      </c>
      <c r="L2116" t="s">
        <v>1953</v>
      </c>
      <c r="M2116" t="str">
        <f>"https://www.artic.edu/iiif/2/"&amp;Table9[[#This Row],[Image ID]]&amp;"/full/843,/0/default.jpg"</f>
        <v>https://www.artic.edu/iiif/2/41ae0193-666d-b0da-ee26-5f9771035018/full/843,/0/default.jpg</v>
      </c>
      <c r="N2116" s="3">
        <v>0.69799999999999995</v>
      </c>
      <c r="O2116" s="3">
        <v>7.0000000000000007E-2</v>
      </c>
      <c r="P2116" s="3">
        <v>0.62799999999999989</v>
      </c>
      <c r="Q2116" s="3">
        <v>0.89868867397308305</v>
      </c>
    </row>
    <row r="2117" spans="1:17" x14ac:dyDescent="0.45">
      <c r="A2117" s="3">
        <v>39210</v>
      </c>
      <c r="B2117" t="b">
        <v>0</v>
      </c>
      <c r="C2117" t="b">
        <v>1</v>
      </c>
      <c r="D2117" s="3">
        <v>1835</v>
      </c>
      <c r="E2117" s="3">
        <v>1882</v>
      </c>
      <c r="F2117" t="s">
        <v>7506</v>
      </c>
      <c r="G2117" t="s">
        <v>7507</v>
      </c>
      <c r="H2117" s="3">
        <v>22.144300000000001</v>
      </c>
      <c r="I2117" t="s">
        <v>5317</v>
      </c>
      <c r="J2117" t="s">
        <v>11274</v>
      </c>
      <c r="L2117" t="s">
        <v>7508</v>
      </c>
      <c r="M2117" t="str">
        <f>"https://www.artic.edu/iiif/2/"&amp;Table9[[#This Row],[Image ID]]&amp;"/full/843,/0/default.jpg"</f>
        <v>https://www.artic.edu/iiif/2/16009086-2c51-87c4-244b-07fb07b8e4f9/full/843,/0/default.jpg</v>
      </c>
      <c r="N2117" s="3">
        <v>0.76700000000000002</v>
      </c>
      <c r="O2117" s="3">
        <v>0.14000000000000001</v>
      </c>
      <c r="P2117" s="3">
        <v>0.627</v>
      </c>
      <c r="Q2117" s="3">
        <v>0.80372190475463801</v>
      </c>
    </row>
    <row r="2118" spans="1:17" x14ac:dyDescent="0.45">
      <c r="A2118" s="3">
        <v>39165</v>
      </c>
      <c r="B2118" t="b">
        <v>0</v>
      </c>
      <c r="C2118" t="b">
        <v>1</v>
      </c>
      <c r="D2118" s="3">
        <v>1850</v>
      </c>
      <c r="E2118" s="3">
        <v>1860</v>
      </c>
      <c r="F2118" t="s">
        <v>7477</v>
      </c>
      <c r="G2118" t="s">
        <v>1374</v>
      </c>
      <c r="H2118" s="3">
        <v>25.0853</v>
      </c>
      <c r="I2118" t="s">
        <v>1295</v>
      </c>
      <c r="J2118" t="s">
        <v>11310</v>
      </c>
      <c r="L2118" t="s">
        <v>7478</v>
      </c>
      <c r="M2118" t="str">
        <f>"https://www.artic.edu/iiif/2/"&amp;Table9[[#This Row],[Image ID]]&amp;"/full/843,/0/default.jpg"</f>
        <v>https://www.artic.edu/iiif/2/18b80a84-0d11-becd-d6f2-e0ee0dc9c839/full/843,/0/default.jpg</v>
      </c>
      <c r="N2118" s="3">
        <v>0.72499999999999998</v>
      </c>
      <c r="O2118" s="3">
        <v>9.8000000000000004E-2</v>
      </c>
      <c r="P2118" s="3">
        <v>0.627</v>
      </c>
      <c r="Q2118" s="3">
        <v>0.68546450138091997</v>
      </c>
    </row>
    <row r="2119" spans="1:17" ht="99.75" x14ac:dyDescent="0.45">
      <c r="A2119" s="3">
        <v>25787</v>
      </c>
      <c r="B2119" t="b">
        <v>0</v>
      </c>
      <c r="C2119" t="b">
        <v>1</v>
      </c>
      <c r="D2119" s="3">
        <v>1510</v>
      </c>
      <c r="E2119" s="3">
        <v>1530</v>
      </c>
      <c r="F2119" t="s">
        <v>6601</v>
      </c>
      <c r="G2119" t="s">
        <v>75</v>
      </c>
      <c r="H2119" s="3">
        <v>45.7438</v>
      </c>
      <c r="I2119" t="s">
        <v>82</v>
      </c>
      <c r="J2119" s="1" t="s">
        <v>12057</v>
      </c>
      <c r="L2119" t="s">
        <v>6602</v>
      </c>
      <c r="M2119" t="str">
        <f>"https://www.artic.edu/iiif/2/"&amp;Table9[[#This Row],[Image ID]]&amp;"/full/843,/0/default.jpg"</f>
        <v>https://www.artic.edu/iiif/2/4a17bb4f-36a8-e032-506f-77f8a214877b/full/843,/0/default.jpg</v>
      </c>
      <c r="N2119" s="3">
        <v>0.7</v>
      </c>
      <c r="O2119" s="3">
        <v>7.2999999999999995E-2</v>
      </c>
      <c r="P2119" s="3">
        <v>0.627</v>
      </c>
      <c r="Q2119" s="3">
        <v>0.73617112636566095</v>
      </c>
    </row>
    <row r="2120" spans="1:17" x14ac:dyDescent="0.45">
      <c r="A2120" s="3">
        <v>69538</v>
      </c>
      <c r="B2120" t="b">
        <v>0</v>
      </c>
      <c r="C2120" t="b">
        <v>1</v>
      </c>
      <c r="D2120" s="3">
        <v>1817</v>
      </c>
      <c r="E2120" s="3">
        <v>1820</v>
      </c>
      <c r="F2120" t="s">
        <v>9402</v>
      </c>
      <c r="G2120" t="s">
        <v>7</v>
      </c>
      <c r="H2120" s="3">
        <v>44.3748</v>
      </c>
      <c r="I2120" t="s">
        <v>9403</v>
      </c>
      <c r="J2120" t="s">
        <v>12090</v>
      </c>
      <c r="L2120" t="s">
        <v>9404</v>
      </c>
      <c r="M2120" t="str">
        <f>"https://www.artic.edu/iiif/2/"&amp;Table9[[#This Row],[Image ID]]&amp;"/full/843,/0/default.jpg"</f>
        <v>https://www.artic.edu/iiif/2/4cdc7a89-3bd3-704c-1c16-c35576a8615a/full/843,/0/default.jpg</v>
      </c>
      <c r="N2120" s="3">
        <v>0.72499999999999998</v>
      </c>
      <c r="O2120" s="3">
        <v>9.8000000000000004E-2</v>
      </c>
      <c r="P2120" s="3">
        <v>0.627</v>
      </c>
      <c r="Q2120" s="3">
        <v>0.42529883980750999</v>
      </c>
    </row>
    <row r="2121" spans="1:17" x14ac:dyDescent="0.45">
      <c r="A2121" s="3">
        <v>55621</v>
      </c>
      <c r="B2121" t="b">
        <v>0</v>
      </c>
      <c r="C2121" t="b">
        <v>1</v>
      </c>
      <c r="D2121" s="3">
        <v>1740</v>
      </c>
      <c r="E2121" s="3">
        <v>1741</v>
      </c>
      <c r="F2121" t="s">
        <v>8354</v>
      </c>
      <c r="G2121" t="s">
        <v>7</v>
      </c>
      <c r="H2121" s="3">
        <v>28.7652</v>
      </c>
      <c r="I2121" t="s">
        <v>8355</v>
      </c>
      <c r="J2121" t="s">
        <v>12622</v>
      </c>
      <c r="L2121" t="s">
        <v>8356</v>
      </c>
      <c r="M2121" t="str">
        <f>"https://www.artic.edu/iiif/2/"&amp;Table9[[#This Row],[Image ID]]&amp;"/full/843,/0/default.jpg"</f>
        <v>https://www.artic.edu/iiif/2/70ebfef5-7a98-2834-1be7-cc95e038fe82/full/843,/0/default.jpg</v>
      </c>
      <c r="N2121" s="3">
        <v>0.7</v>
      </c>
      <c r="O2121" s="3">
        <v>7.2999999999999995E-2</v>
      </c>
      <c r="P2121" s="3">
        <v>0.627</v>
      </c>
      <c r="Q2121" s="3">
        <v>0.53107827901840199</v>
      </c>
    </row>
    <row r="2122" spans="1:17" x14ac:dyDescent="0.45">
      <c r="A2122" s="3">
        <v>114843</v>
      </c>
      <c r="B2122" t="b">
        <v>0</v>
      </c>
      <c r="C2122" t="b">
        <v>1</v>
      </c>
      <c r="D2122" s="3">
        <v>1735</v>
      </c>
      <c r="E2122" s="3">
        <v>1765</v>
      </c>
      <c r="F2122" t="s">
        <v>1739</v>
      </c>
      <c r="G2122" t="s">
        <v>1740</v>
      </c>
      <c r="H2122" s="3">
        <v>31.028400000000001</v>
      </c>
      <c r="I2122" t="s">
        <v>1725</v>
      </c>
      <c r="J2122" t="s">
        <v>14391</v>
      </c>
      <c r="L2122" t="s">
        <v>1741</v>
      </c>
      <c r="M2122" t="str">
        <f>"https://www.artic.edu/iiif/2/"&amp;Table9[[#This Row],[Image ID]]&amp;"/full/843,/0/default.jpg"</f>
        <v>https://www.artic.edu/iiif/2/f5f0bd2d-3db3-3441-a358-e5d621cef3c4/full/843,/0/default.jpg</v>
      </c>
      <c r="N2122" s="3">
        <v>0.72499999999999998</v>
      </c>
      <c r="O2122" s="3">
        <v>9.8000000000000004E-2</v>
      </c>
      <c r="P2122" s="3">
        <v>0.627</v>
      </c>
      <c r="Q2122" s="3">
        <v>0.82215702533721902</v>
      </c>
    </row>
    <row r="2123" spans="1:17" x14ac:dyDescent="0.45">
      <c r="A2123" s="3">
        <v>151898</v>
      </c>
      <c r="B2123" t="b">
        <v>0</v>
      </c>
      <c r="C2123" t="b">
        <v>1</v>
      </c>
      <c r="D2123" s="3">
        <v>1300</v>
      </c>
      <c r="E2123" s="3">
        <v>1500</v>
      </c>
      <c r="F2123" t="s">
        <v>3870</v>
      </c>
      <c r="G2123" t="s">
        <v>3852</v>
      </c>
      <c r="H2123" s="3">
        <v>41.182400000000001</v>
      </c>
      <c r="J2123" t="s">
        <v>14404</v>
      </c>
      <c r="L2123" t="s">
        <v>3871</v>
      </c>
      <c r="M2123" t="str">
        <f>"https://www.artic.edu/iiif/2/"&amp;Table9[[#This Row],[Image ID]]&amp;"/full/843,/0/default.jpg"</f>
        <v>https://www.artic.edu/iiif/2/f67e9c12-f84a-2043-65f1-611533352fce/full/843,/0/default.jpg</v>
      </c>
      <c r="N2123" s="3">
        <v>0.7</v>
      </c>
      <c r="O2123" s="3">
        <v>7.2999999999999995E-2</v>
      </c>
      <c r="P2123" s="3">
        <v>0.627</v>
      </c>
      <c r="Q2123" s="3">
        <v>0.88164520263671797</v>
      </c>
    </row>
    <row r="2124" spans="1:17" x14ac:dyDescent="0.45">
      <c r="A2124" s="3">
        <v>133364</v>
      </c>
      <c r="B2124" t="b">
        <v>0</v>
      </c>
      <c r="C2124" t="b">
        <v>0</v>
      </c>
      <c r="D2124" s="3">
        <v>1945</v>
      </c>
      <c r="E2124" s="3">
        <v>1955</v>
      </c>
      <c r="F2124" t="s">
        <v>3027</v>
      </c>
      <c r="G2124" t="s">
        <v>3028</v>
      </c>
      <c r="H2124" s="3">
        <v>13.2735</v>
      </c>
      <c r="I2124" t="s">
        <v>3029</v>
      </c>
      <c r="J2124" t="s">
        <v>12341</v>
      </c>
      <c r="K2124" s="5" t="s">
        <v>130</v>
      </c>
      <c r="L2124" t="s">
        <v>3031</v>
      </c>
      <c r="M2124" t="str">
        <f>"https://www.artic.edu/iiif/2/"&amp;Table9[[#This Row],[Image ID]]&amp;"/full/843,/0/default.jpg"</f>
        <v>https://www.artic.edu/iiif/2/5d1e201c-71f9-4304-261c-a335d6d3a78f/full/843,/0/default.jpg</v>
      </c>
      <c r="N2124" s="3">
        <v>0.67500000000000004</v>
      </c>
      <c r="O2124" s="3">
        <v>4.8000000000000001E-2</v>
      </c>
      <c r="P2124" s="3">
        <v>0.627</v>
      </c>
      <c r="Q2124" s="3">
        <v>0.81877195835113503</v>
      </c>
    </row>
    <row r="2125" spans="1:17" x14ac:dyDescent="0.45">
      <c r="A2125" s="3">
        <v>118702</v>
      </c>
      <c r="B2125" t="b">
        <v>0</v>
      </c>
      <c r="C2125" t="b">
        <v>0</v>
      </c>
      <c r="D2125" s="3">
        <v>1955</v>
      </c>
      <c r="E2125" s="3">
        <v>1957</v>
      </c>
      <c r="F2125" t="s">
        <v>2539</v>
      </c>
      <c r="G2125" t="s">
        <v>2540</v>
      </c>
      <c r="H2125" s="3">
        <v>24.454799999999999</v>
      </c>
      <c r="I2125" t="s">
        <v>2538</v>
      </c>
      <c r="J2125" t="s">
        <v>12468</v>
      </c>
      <c r="L2125" t="s">
        <v>2541</v>
      </c>
      <c r="M2125" t="str">
        <f>"https://www.artic.edu/iiif/2/"&amp;Table9[[#This Row],[Image ID]]&amp;"/full/843,/0/default.jpg"</f>
        <v>https://www.artic.edu/iiif/2/662a3250-6d28-6e5f-2d33-026204c965d0/full/843,/0/default.jpg</v>
      </c>
      <c r="N2125" s="3">
        <v>0.72499999999999998</v>
      </c>
      <c r="O2125" s="3">
        <v>9.8000000000000004E-2</v>
      </c>
      <c r="P2125" s="3">
        <v>0.627</v>
      </c>
      <c r="Q2125" s="3">
        <v>0.81520962715148904</v>
      </c>
    </row>
    <row r="2126" spans="1:17" x14ac:dyDescent="0.45">
      <c r="A2126" s="3">
        <v>135521</v>
      </c>
      <c r="B2126" t="b">
        <v>0</v>
      </c>
      <c r="C2126" t="b">
        <v>0</v>
      </c>
      <c r="D2126" s="3">
        <v>1945</v>
      </c>
      <c r="E2126" s="3">
        <v>1955</v>
      </c>
      <c r="F2126" t="s">
        <v>11</v>
      </c>
      <c r="G2126" t="s">
        <v>2356</v>
      </c>
      <c r="H2126" s="3">
        <v>33.249299999999998</v>
      </c>
      <c r="I2126" t="s">
        <v>2952</v>
      </c>
      <c r="J2126" t="s">
        <v>13092</v>
      </c>
      <c r="L2126" t="s">
        <v>3144</v>
      </c>
      <c r="M2126" t="str">
        <f>"https://www.artic.edu/iiif/2/"&amp;Table9[[#This Row],[Image ID]]&amp;"/full/843,/0/default.jpg"</f>
        <v>https://www.artic.edu/iiif/2/95b528e9-74ec-862e-7c67-54e6cb4feac0/full/843,/0/default.jpg</v>
      </c>
      <c r="N2126" s="3">
        <v>0.72499999999999998</v>
      </c>
      <c r="O2126" s="3">
        <v>9.8000000000000004E-2</v>
      </c>
      <c r="P2126" s="3">
        <v>0.627</v>
      </c>
      <c r="Q2126" s="3">
        <v>0.89036464691162098</v>
      </c>
    </row>
    <row r="2127" spans="1:17" x14ac:dyDescent="0.45">
      <c r="A2127" s="3">
        <v>20103</v>
      </c>
      <c r="B2127" t="b">
        <v>0</v>
      </c>
      <c r="C2127" t="b">
        <v>0</v>
      </c>
      <c r="D2127" s="3">
        <v>1911</v>
      </c>
      <c r="E2127" s="3">
        <v>1914</v>
      </c>
      <c r="F2127" t="s">
        <v>5331</v>
      </c>
      <c r="G2127" t="s">
        <v>5332</v>
      </c>
      <c r="H2127" s="3">
        <v>12.807</v>
      </c>
      <c r="I2127" t="s">
        <v>510</v>
      </c>
      <c r="J2127" t="s">
        <v>13210</v>
      </c>
      <c r="L2127" t="s">
        <v>5333</v>
      </c>
      <c r="M2127" t="str">
        <f>"https://www.artic.edu/iiif/2/"&amp;Table9[[#This Row],[Image ID]]&amp;"/full/843,/0/default.jpg"</f>
        <v>https://www.artic.edu/iiif/2/9e294116-ac23-860e-4231-c956c18cd11a/full/843,/0/default.jpg</v>
      </c>
      <c r="N2127" s="3">
        <v>0.72499999999999998</v>
      </c>
      <c r="O2127" s="3">
        <v>9.8000000000000004E-2</v>
      </c>
      <c r="P2127" s="3">
        <v>0.627</v>
      </c>
      <c r="Q2127" s="3">
        <v>0.56232422590255704</v>
      </c>
    </row>
    <row r="2128" spans="1:17" x14ac:dyDescent="0.45">
      <c r="A2128" s="3">
        <v>116014</v>
      </c>
      <c r="B2128" t="b">
        <v>0</v>
      </c>
      <c r="C2128" t="b">
        <v>0</v>
      </c>
      <c r="D2128" s="3">
        <v>1930</v>
      </c>
      <c r="E2128" s="3">
        <v>1960</v>
      </c>
      <c r="F2128" t="s">
        <v>2227</v>
      </c>
      <c r="G2128" t="s">
        <v>2228</v>
      </c>
      <c r="H2128" s="3">
        <v>26.9255</v>
      </c>
      <c r="I2128" t="s">
        <v>900</v>
      </c>
      <c r="J2128" t="s">
        <v>13337</v>
      </c>
      <c r="L2128" t="s">
        <v>2229</v>
      </c>
      <c r="M2128" t="str">
        <f>"https://www.artic.edu/iiif/2/"&amp;Table9[[#This Row],[Image ID]]&amp;"/full/843,/0/default.jpg"</f>
        <v>https://www.artic.edu/iiif/2/a78ecefd-cd2e-b987-62df-0d4c23f1f53a/full/843,/0/default.jpg</v>
      </c>
      <c r="N2128" s="3">
        <v>0.7</v>
      </c>
      <c r="O2128" s="3">
        <v>7.2999999999999995E-2</v>
      </c>
      <c r="P2128" s="3">
        <v>0.627</v>
      </c>
      <c r="Q2128" s="3">
        <v>0.70726001262664795</v>
      </c>
    </row>
    <row r="2129" spans="1:17" x14ac:dyDescent="0.45">
      <c r="A2129" s="3">
        <v>70305</v>
      </c>
      <c r="B2129" t="b">
        <v>0</v>
      </c>
      <c r="C2129" t="b">
        <v>0</v>
      </c>
      <c r="D2129" s="3">
        <v>1979</v>
      </c>
      <c r="E2129" s="3">
        <v>1979</v>
      </c>
      <c r="F2129" t="s">
        <v>9456</v>
      </c>
      <c r="G2129" t="s">
        <v>642</v>
      </c>
      <c r="H2129" s="3">
        <v>29.091699999999999</v>
      </c>
      <c r="I2129" t="s">
        <v>9457</v>
      </c>
      <c r="L2129" t="s">
        <v>9458</v>
      </c>
      <c r="M2129" t="str">
        <f>"https://www.artic.edu/iiif/2/"&amp;Table9[[#This Row],[Image ID]]&amp;"/full/843,/0/default.jpg"</f>
        <v>https://www.artic.edu/iiif/2/aa3d400f-1871-01d1-5c9d-8541b9d0704e/full/843,/0/default.jpg</v>
      </c>
      <c r="N2129" s="3">
        <v>0.7</v>
      </c>
      <c r="O2129" s="3">
        <v>7.2999999999999995E-2</v>
      </c>
      <c r="P2129" s="3">
        <v>0.627</v>
      </c>
      <c r="Q2129" s="3">
        <v>0.79985892772674505</v>
      </c>
    </row>
    <row r="2130" spans="1:17" x14ac:dyDescent="0.45">
      <c r="A2130" s="3">
        <v>257350</v>
      </c>
      <c r="B2130" t="b">
        <v>0</v>
      </c>
      <c r="C2130" t="b">
        <v>0</v>
      </c>
      <c r="D2130" s="3">
        <v>2019</v>
      </c>
      <c r="E2130" s="3">
        <v>2019</v>
      </c>
      <c r="F2130" t="s">
        <v>6556</v>
      </c>
      <c r="G2130" t="s">
        <v>6557</v>
      </c>
      <c r="H2130" s="3">
        <v>5.4600999999999997</v>
      </c>
      <c r="I2130" t="s">
        <v>6558</v>
      </c>
      <c r="J2130" t="s">
        <v>14269</v>
      </c>
      <c r="L2130" t="s">
        <v>6559</v>
      </c>
      <c r="M2130" t="str">
        <f>"https://www.artic.edu/iiif/2/"&amp;Table9[[#This Row],[Image ID]]&amp;"/full/843,/0/default.jpg"</f>
        <v>https://www.artic.edu/iiif/2/ef503b09-c475-44b3-20c7-c9d7b257c06d/full/843,/0/default.jpg</v>
      </c>
      <c r="N2130" s="3">
        <v>0.7</v>
      </c>
      <c r="O2130" s="3">
        <v>7.2999999999999995E-2</v>
      </c>
      <c r="P2130" s="3">
        <v>0.627</v>
      </c>
      <c r="Q2130" s="3">
        <v>0.81077104806900002</v>
      </c>
    </row>
    <row r="2131" spans="1:17" x14ac:dyDescent="0.45">
      <c r="A2131" s="3">
        <v>115456</v>
      </c>
      <c r="B2131" t="b">
        <v>0</v>
      </c>
      <c r="C2131" t="b">
        <v>1</v>
      </c>
      <c r="D2131" s="3">
        <v>1800</v>
      </c>
      <c r="E2131" s="3">
        <v>1899</v>
      </c>
      <c r="F2131" t="s">
        <v>1917</v>
      </c>
      <c r="G2131" t="s">
        <v>1918</v>
      </c>
      <c r="H2131" s="3">
        <v>29.762699999999999</v>
      </c>
      <c r="I2131" t="s">
        <v>1868</v>
      </c>
      <c r="J2131" t="s">
        <v>13042</v>
      </c>
      <c r="L2131" t="s">
        <v>1919</v>
      </c>
      <c r="M2131" t="str">
        <f>"https://www.artic.edu/iiif/2/"&amp;Table9[[#This Row],[Image ID]]&amp;"/full/843,/0/default.jpg"</f>
        <v>https://www.artic.edu/iiif/2/917fc505-5262-64d5-3f6b-5d1f7f6e1f5c/full/843,/0/default.jpg</v>
      </c>
      <c r="N2131" s="3">
        <v>0.65</v>
      </c>
      <c r="O2131" s="3">
        <v>2.4E-2</v>
      </c>
      <c r="P2131" s="3">
        <v>0.626</v>
      </c>
      <c r="Q2131" s="3">
        <v>0.74216419458389205</v>
      </c>
    </row>
    <row r="2132" spans="1:17" x14ac:dyDescent="0.45">
      <c r="A2132" s="3">
        <v>212300</v>
      </c>
      <c r="B2132" t="b">
        <v>0</v>
      </c>
      <c r="C2132" t="b">
        <v>1</v>
      </c>
      <c r="D2132" s="3">
        <v>1890</v>
      </c>
      <c r="E2132" s="3">
        <v>1890</v>
      </c>
      <c r="F2132" t="s">
        <v>5598</v>
      </c>
      <c r="G2132" t="s">
        <v>7</v>
      </c>
      <c r="H2132" s="3">
        <v>63.506300000000003</v>
      </c>
      <c r="I2132" t="s">
        <v>14580</v>
      </c>
      <c r="J2132" t="s">
        <v>14302</v>
      </c>
      <c r="L2132" t="s">
        <v>5599</v>
      </c>
      <c r="M2132" t="str">
        <f>"https://www.artic.edu/iiif/2/"&amp;Table9[[#This Row],[Image ID]]&amp;"/full/843,/0/default.jpg"</f>
        <v>https://www.artic.edu/iiif/2/ef637785-df55-adaf-b907-e3e8f59f08d6/full/843,/0/default.jpg</v>
      </c>
      <c r="N2132" s="3">
        <v>0.67500000000000004</v>
      </c>
      <c r="O2132" s="3">
        <v>4.9000000000000002E-2</v>
      </c>
      <c r="P2132" s="3">
        <v>0.626</v>
      </c>
      <c r="Q2132" s="3">
        <v>0.49901276826858498</v>
      </c>
    </row>
    <row r="2133" spans="1:17" x14ac:dyDescent="0.45">
      <c r="A2133" s="3">
        <v>254237</v>
      </c>
      <c r="B2133" t="b">
        <v>0</v>
      </c>
      <c r="C2133" t="b">
        <v>0</v>
      </c>
      <c r="D2133" s="3">
        <v>1961</v>
      </c>
      <c r="E2133" s="3">
        <v>1961</v>
      </c>
      <c r="F2133" t="s">
        <v>6515</v>
      </c>
      <c r="G2133" t="s">
        <v>272</v>
      </c>
      <c r="H2133" s="3">
        <v>61.136099999999999</v>
      </c>
      <c r="I2133" t="s">
        <v>6516</v>
      </c>
      <c r="J2133" t="s">
        <v>6518</v>
      </c>
      <c r="L2133" t="s">
        <v>6517</v>
      </c>
      <c r="M2133" t="str">
        <f>"https://www.artic.edu/iiif/2/"&amp;Table9[[#This Row],[Image ID]]&amp;"/full/843,/0/default.jpg"</f>
        <v>https://www.artic.edu/iiif/2/184e13cf-f4c9-d0ae-e2d2-f8f50f105f56/full/843,/0/default.jpg</v>
      </c>
      <c r="N2133" s="3">
        <v>0.65</v>
      </c>
      <c r="O2133" s="3">
        <v>2.4E-2</v>
      </c>
      <c r="P2133" s="3">
        <v>0.626</v>
      </c>
      <c r="Q2133" s="3">
        <v>0.67895442247390703</v>
      </c>
    </row>
    <row r="2134" spans="1:17" x14ac:dyDescent="0.45">
      <c r="A2134" s="3">
        <v>90838</v>
      </c>
      <c r="B2134" t="b">
        <v>0</v>
      </c>
      <c r="C2134" t="b">
        <v>0</v>
      </c>
      <c r="D2134" s="3">
        <v>1980</v>
      </c>
      <c r="E2134" s="3">
        <v>1980</v>
      </c>
      <c r="F2134" t="s">
        <v>10544</v>
      </c>
      <c r="G2134" t="s">
        <v>10545</v>
      </c>
      <c r="H2134" s="3">
        <v>30.806899999999999</v>
      </c>
      <c r="I2134" t="s">
        <v>10546</v>
      </c>
      <c r="J2134" t="s">
        <v>12582</v>
      </c>
      <c r="L2134" t="s">
        <v>10547</v>
      </c>
      <c r="M2134" t="str">
        <f>"https://www.artic.edu/iiif/2/"&amp;Table9[[#This Row],[Image ID]]&amp;"/full/843,/0/default.jpg"</f>
        <v>https://www.artic.edu/iiif/2/6ed53540-3060-1653-610f-7721aeeb51c1/full/843,/0/default.jpg</v>
      </c>
      <c r="N2134" s="3">
        <v>0.65</v>
      </c>
      <c r="O2134" s="3">
        <v>2.4E-2</v>
      </c>
      <c r="P2134" s="3">
        <v>0.626</v>
      </c>
      <c r="Q2134" s="3">
        <v>0.50307095050811701</v>
      </c>
    </row>
    <row r="2135" spans="1:17" x14ac:dyDescent="0.45">
      <c r="A2135" s="3">
        <v>225750</v>
      </c>
      <c r="B2135" t="b">
        <v>0</v>
      </c>
      <c r="C2135" t="b">
        <v>0</v>
      </c>
      <c r="D2135" s="3">
        <v>1959</v>
      </c>
      <c r="E2135" s="3">
        <v>1959</v>
      </c>
      <c r="F2135" t="s">
        <v>5960</v>
      </c>
      <c r="G2135" t="s">
        <v>5917</v>
      </c>
      <c r="H2135" s="3">
        <v>44.746899999999997</v>
      </c>
      <c r="I2135" t="s">
        <v>5918</v>
      </c>
      <c r="J2135" t="s">
        <v>11203</v>
      </c>
      <c r="L2135" t="s">
        <v>5961</v>
      </c>
      <c r="M2135" t="str">
        <f>"https://www.artic.edu/iiif/2/"&amp;Table9[[#This Row],[Image ID]]&amp;"/full/843,/0/default.jpg"</f>
        <v>https://www.artic.edu/iiif/2/bcccc625-7a69-adee-9bf5-b6083718d679/full/843,/0/default.jpg</v>
      </c>
      <c r="N2135" s="3">
        <v>0.67500000000000004</v>
      </c>
      <c r="O2135" s="3">
        <v>4.9000000000000002E-2</v>
      </c>
      <c r="P2135" s="3">
        <v>0.626</v>
      </c>
      <c r="Q2135" s="3">
        <v>0.76150155067443803</v>
      </c>
    </row>
    <row r="2136" spans="1:17" x14ac:dyDescent="0.45">
      <c r="A2136" s="3">
        <v>158457</v>
      </c>
      <c r="B2136" t="b">
        <v>0</v>
      </c>
      <c r="C2136" t="b">
        <v>0</v>
      </c>
      <c r="D2136" s="3">
        <v>1999</v>
      </c>
      <c r="E2136" s="3">
        <v>1999</v>
      </c>
      <c r="F2136" t="s">
        <v>4144</v>
      </c>
      <c r="G2136" t="s">
        <v>7</v>
      </c>
      <c r="H2136" s="3">
        <v>27.799099999999999</v>
      </c>
      <c r="I2136" t="s">
        <v>4145</v>
      </c>
      <c r="J2136" t="s">
        <v>13952</v>
      </c>
      <c r="L2136" t="s">
        <v>4146</v>
      </c>
      <c r="M2136" t="str">
        <f>"https://www.artic.edu/iiif/2/"&amp;Table9[[#This Row],[Image ID]]&amp;"/full/843,/0/default.jpg"</f>
        <v>https://www.artic.edu/iiif/2/d81709f5-5bd8-7711-a244-64cb72daa0fa/full/843,/0/default.jpg</v>
      </c>
      <c r="N2136" s="3">
        <v>0.67500000000000004</v>
      </c>
      <c r="O2136" s="3">
        <v>4.9000000000000002E-2</v>
      </c>
      <c r="P2136" s="3">
        <v>0.626</v>
      </c>
      <c r="Q2136" s="3">
        <v>0.67697733640670699</v>
      </c>
    </row>
    <row r="2137" spans="1:17" x14ac:dyDescent="0.45">
      <c r="A2137" s="3">
        <v>111651</v>
      </c>
      <c r="B2137" t="b">
        <v>0</v>
      </c>
      <c r="C2137" t="b">
        <v>1</v>
      </c>
      <c r="D2137" s="3">
        <v>1867</v>
      </c>
      <c r="E2137" s="3">
        <v>1867</v>
      </c>
      <c r="F2137" t="s">
        <v>1203</v>
      </c>
      <c r="G2137" t="s">
        <v>7</v>
      </c>
      <c r="H2137" s="3">
        <v>37.159300000000002</v>
      </c>
      <c r="I2137" t="s">
        <v>14681</v>
      </c>
      <c r="J2137" t="s">
        <v>11073</v>
      </c>
      <c r="L2137" t="s">
        <v>1204</v>
      </c>
      <c r="M2137" t="str">
        <f>"https://www.artic.edu/iiif/2/"&amp;Table9[[#This Row],[Image ID]]&amp;"/full/843,/0/default.jpg"</f>
        <v>https://www.artic.edu/iiif/2/076e378b-cb96-74af-49f0-48d958d9d8ed/full/843,/0/default.jpg</v>
      </c>
      <c r="N2137" s="3">
        <v>0.7</v>
      </c>
      <c r="O2137" s="3">
        <v>7.4999999999999997E-2</v>
      </c>
      <c r="P2137" s="3">
        <v>0.625</v>
      </c>
      <c r="Q2137" s="3">
        <v>0.50356149673461903</v>
      </c>
    </row>
    <row r="2138" spans="1:17" x14ac:dyDescent="0.45">
      <c r="A2138" s="3">
        <v>16174</v>
      </c>
      <c r="B2138" t="b">
        <v>0</v>
      </c>
      <c r="C2138" t="b">
        <v>1</v>
      </c>
      <c r="D2138" s="3">
        <v>1505</v>
      </c>
      <c r="E2138" s="3">
        <v>1515</v>
      </c>
      <c r="F2138" t="s">
        <v>4287</v>
      </c>
      <c r="G2138" t="s">
        <v>103</v>
      </c>
      <c r="H2138" s="3">
        <v>42.805199999999999</v>
      </c>
      <c r="I2138" t="s">
        <v>4288</v>
      </c>
      <c r="J2138" t="s">
        <v>11104</v>
      </c>
      <c r="L2138" t="s">
        <v>4289</v>
      </c>
      <c r="M2138" t="str">
        <f>"https://www.artic.edu/iiif/2/"&amp;Table9[[#This Row],[Image ID]]&amp;"/full/843,/0/default.jpg"</f>
        <v>https://www.artic.edu/iiif/2/092be13d-bd52-6125-fe90-56ce21128ab9/full/843,/0/default.jpg</v>
      </c>
      <c r="N2138" s="3">
        <v>0.75</v>
      </c>
      <c r="O2138" s="3">
        <v>0.125</v>
      </c>
      <c r="P2138" s="3">
        <v>0.625</v>
      </c>
      <c r="Q2138" s="3">
        <v>0.75201719999313299</v>
      </c>
    </row>
    <row r="2139" spans="1:17" x14ac:dyDescent="0.45">
      <c r="A2139" s="3">
        <v>64740</v>
      </c>
      <c r="B2139" t="b">
        <v>0</v>
      </c>
      <c r="C2139" t="b">
        <v>1</v>
      </c>
      <c r="D2139" s="3">
        <v>1887</v>
      </c>
      <c r="E2139" s="3">
        <v>1889</v>
      </c>
      <c r="F2139" t="s">
        <v>8481</v>
      </c>
      <c r="G2139" t="s">
        <v>7</v>
      </c>
      <c r="H2139" s="3">
        <v>42.5578</v>
      </c>
      <c r="I2139" t="s">
        <v>908</v>
      </c>
      <c r="J2139" t="s">
        <v>11129</v>
      </c>
      <c r="L2139" t="s">
        <v>9002</v>
      </c>
      <c r="M2139" t="str">
        <f>"https://www.artic.edu/iiif/2/"&amp;Table9[[#This Row],[Image ID]]&amp;"/full/843,/0/default.jpg"</f>
        <v>https://www.artic.edu/iiif/2/0b66bb30-3170-f7d1-543a-93e02ffe194f/full/843,/0/default.jpg</v>
      </c>
      <c r="N2139" s="3">
        <v>0.65</v>
      </c>
      <c r="O2139" s="3">
        <v>2.5000000000000001E-2</v>
      </c>
      <c r="P2139" s="3">
        <v>0.625</v>
      </c>
      <c r="Q2139" s="3">
        <v>0.61457741260528498</v>
      </c>
    </row>
    <row r="2140" spans="1:17" x14ac:dyDescent="0.45">
      <c r="A2140" s="3">
        <v>72358</v>
      </c>
      <c r="B2140" t="b">
        <v>0</v>
      </c>
      <c r="C2140" t="b">
        <v>1</v>
      </c>
      <c r="D2140" s="3">
        <v>1435</v>
      </c>
      <c r="E2140" s="3">
        <v>1465</v>
      </c>
      <c r="F2140" t="s">
        <v>9559</v>
      </c>
      <c r="G2140" t="s">
        <v>9560</v>
      </c>
      <c r="H2140" s="3">
        <v>33.783000000000001</v>
      </c>
      <c r="I2140" t="s">
        <v>9561</v>
      </c>
      <c r="J2140" t="s">
        <v>11136</v>
      </c>
      <c r="K2140" s="5" t="s">
        <v>278</v>
      </c>
      <c r="L2140" t="s">
        <v>9562</v>
      </c>
      <c r="M2140" t="str">
        <f>"https://www.artic.edu/iiif/2/"&amp;Table9[[#This Row],[Image ID]]&amp;"/full/843,/0/default.jpg"</f>
        <v>https://www.artic.edu/iiif/2/0c225238-b5e2-0556-80df-a23c45dc3a3b/full/843,/0/default.jpg</v>
      </c>
      <c r="N2140" s="3">
        <v>0.7</v>
      </c>
      <c r="O2140" s="3">
        <v>7.4999999999999997E-2</v>
      </c>
      <c r="P2140" s="3">
        <v>0.625</v>
      </c>
      <c r="Q2140" s="3">
        <v>0.77576071023940996</v>
      </c>
    </row>
    <row r="2141" spans="1:17" x14ac:dyDescent="0.45">
      <c r="A2141" s="3">
        <v>97442</v>
      </c>
      <c r="B2141" t="b">
        <v>0</v>
      </c>
      <c r="C2141" t="b">
        <v>1</v>
      </c>
      <c r="D2141" s="3">
        <v>1572</v>
      </c>
      <c r="E2141" s="3">
        <v>1572</v>
      </c>
      <c r="F2141" t="s">
        <v>10839</v>
      </c>
      <c r="G2141" t="s">
        <v>10840</v>
      </c>
      <c r="H2141" s="3">
        <v>62.181899999999999</v>
      </c>
      <c r="I2141" t="s">
        <v>10313</v>
      </c>
      <c r="J2141" t="s">
        <v>11156</v>
      </c>
      <c r="K2141" s="5" t="s">
        <v>278</v>
      </c>
      <c r="L2141" t="s">
        <v>10841</v>
      </c>
      <c r="M2141" t="str">
        <f>"https://www.artic.edu/iiif/2/"&amp;Table9[[#This Row],[Image ID]]&amp;"/full/843,/0/default.jpg"</f>
        <v>https://www.artic.edu/iiif/2/0de8cbff-d420-2efd-9cc1-3a59c34ef44e/full/843,/0/default.jpg</v>
      </c>
      <c r="N2141" s="3">
        <v>0.72499999999999998</v>
      </c>
      <c r="O2141" s="3">
        <v>0.1</v>
      </c>
      <c r="P2141" s="3">
        <v>0.625</v>
      </c>
      <c r="Q2141" s="3">
        <v>0.64821612834930398</v>
      </c>
    </row>
    <row r="2142" spans="1:17" x14ac:dyDescent="0.45">
      <c r="A2142" s="3">
        <v>50306</v>
      </c>
      <c r="B2142" t="b">
        <v>0</v>
      </c>
      <c r="C2142" t="b">
        <v>1</v>
      </c>
      <c r="D2142" s="3">
        <v>1715</v>
      </c>
      <c r="E2142" s="3">
        <v>1725</v>
      </c>
      <c r="F2142" t="s">
        <v>8092</v>
      </c>
      <c r="G2142" t="s">
        <v>7</v>
      </c>
      <c r="H2142" s="3">
        <v>0</v>
      </c>
      <c r="J2142" t="s">
        <v>11170</v>
      </c>
      <c r="L2142" t="s">
        <v>8093</v>
      </c>
      <c r="M2142" t="str">
        <f>"https://www.artic.edu/iiif/2/"&amp;Table9[[#This Row],[Image ID]]&amp;"/full/843,/0/default.jpg"</f>
        <v>https://www.artic.edu/iiif/2/0f16b763-7dd4-8c2f-3fde-321729f6c552/full/843,/0/default.jpg</v>
      </c>
      <c r="N2142" s="3">
        <v>0.8</v>
      </c>
      <c r="O2142" s="3">
        <v>0.17499999999999999</v>
      </c>
      <c r="P2142" s="3">
        <v>0.625</v>
      </c>
      <c r="Q2142" s="3">
        <v>0.81973916292190496</v>
      </c>
    </row>
    <row r="2143" spans="1:17" x14ac:dyDescent="0.45">
      <c r="A2143" s="3">
        <v>27309</v>
      </c>
      <c r="B2143" t="b">
        <v>0</v>
      </c>
      <c r="C2143" t="b">
        <v>1</v>
      </c>
      <c r="D2143" s="3">
        <v>1640</v>
      </c>
      <c r="E2143" s="3">
        <v>1650</v>
      </c>
      <c r="F2143" t="s">
        <v>6718</v>
      </c>
      <c r="G2143" t="s">
        <v>7</v>
      </c>
      <c r="H2143" s="3">
        <v>31.5258</v>
      </c>
      <c r="J2143" t="s">
        <v>11172</v>
      </c>
      <c r="L2143" t="s">
        <v>6719</v>
      </c>
      <c r="M2143" t="str">
        <f>"https://www.artic.edu/iiif/2/"&amp;Table9[[#This Row],[Image ID]]&amp;"/full/843,/0/default.jpg"</f>
        <v>https://www.artic.edu/iiif/2/0f1d3bfb-cbd3-80cb-dfb9-d157e77d1542/full/843,/0/default.jpg</v>
      </c>
      <c r="N2143" s="3">
        <v>0.7</v>
      </c>
      <c r="O2143" s="3">
        <v>7.4999999999999997E-2</v>
      </c>
      <c r="P2143" s="3">
        <v>0.625</v>
      </c>
      <c r="Q2143" s="3">
        <v>0.63156354427337602</v>
      </c>
    </row>
    <row r="2144" spans="1:17" x14ac:dyDescent="0.45">
      <c r="A2144" s="3">
        <v>109487</v>
      </c>
      <c r="B2144" t="b">
        <v>0</v>
      </c>
      <c r="C2144" t="b">
        <v>1</v>
      </c>
      <c r="D2144" s="3">
        <v>1562</v>
      </c>
      <c r="E2144" s="3">
        <v>1562</v>
      </c>
      <c r="F2144" t="s">
        <v>564</v>
      </c>
      <c r="G2144" t="s">
        <v>75</v>
      </c>
      <c r="H2144" s="3">
        <v>16.086500000000001</v>
      </c>
      <c r="I2144" t="s">
        <v>814</v>
      </c>
      <c r="J2144" t="s">
        <v>11207</v>
      </c>
      <c r="L2144" t="s">
        <v>815</v>
      </c>
      <c r="M2144" t="str">
        <f>"https://www.artic.edu/iiif/2/"&amp;Table9[[#This Row],[Image ID]]&amp;"/full/843,/0/default.jpg"</f>
        <v>https://www.artic.edu/iiif/2/11d1c6e6-f051-0a5e-5c7b-57f935b6d181/full/843,/0/default.jpg</v>
      </c>
      <c r="N2144" s="3">
        <v>0.77500000000000002</v>
      </c>
      <c r="O2144" s="3">
        <v>0.15</v>
      </c>
      <c r="P2144" s="3">
        <v>0.625</v>
      </c>
      <c r="Q2144" s="3">
        <v>0.785869181156158</v>
      </c>
    </row>
    <row r="2145" spans="1:17" x14ac:dyDescent="0.45">
      <c r="A2145" s="3">
        <v>44742</v>
      </c>
      <c r="B2145" t="b">
        <v>0</v>
      </c>
      <c r="C2145" t="b">
        <v>1</v>
      </c>
      <c r="D2145" s="3">
        <v>1747</v>
      </c>
      <c r="E2145" s="3">
        <v>1747</v>
      </c>
      <c r="F2145" t="s">
        <v>7788</v>
      </c>
      <c r="G2145" t="s">
        <v>7</v>
      </c>
      <c r="H2145" s="3">
        <v>28.718599999999999</v>
      </c>
      <c r="I2145" t="s">
        <v>14667</v>
      </c>
      <c r="J2145" t="s">
        <v>11220</v>
      </c>
      <c r="L2145" t="s">
        <v>7789</v>
      </c>
      <c r="M2145" t="str">
        <f>"https://www.artic.edu/iiif/2/"&amp;Table9[[#This Row],[Image ID]]&amp;"/full/843,/0/default.jpg"</f>
        <v>https://www.artic.edu/iiif/2/12662645-5164-4bb1-cfec-3517a4c9779c/full/843,/0/default.jpg</v>
      </c>
      <c r="N2145" s="3">
        <v>0.67500000000000004</v>
      </c>
      <c r="O2145" s="3">
        <v>0.05</v>
      </c>
      <c r="P2145" s="3">
        <v>0.625</v>
      </c>
      <c r="Q2145" s="3">
        <v>0.67060863971710205</v>
      </c>
    </row>
    <row r="2146" spans="1:17" x14ac:dyDescent="0.45">
      <c r="A2146" s="3">
        <v>20556</v>
      </c>
      <c r="B2146" t="b">
        <v>0</v>
      </c>
      <c r="C2146" t="b">
        <v>1</v>
      </c>
      <c r="D2146" s="3">
        <v>1887</v>
      </c>
      <c r="E2146" s="3">
        <v>1895</v>
      </c>
      <c r="F2146" t="s">
        <v>5471</v>
      </c>
      <c r="G2146" t="s">
        <v>7</v>
      </c>
      <c r="H2146" s="3">
        <v>25.9315</v>
      </c>
      <c r="I2146" t="s">
        <v>442</v>
      </c>
      <c r="J2146" t="s">
        <v>11223</v>
      </c>
      <c r="L2146" t="s">
        <v>5472</v>
      </c>
      <c r="M2146" t="str">
        <f>"https://www.artic.edu/iiif/2/"&amp;Table9[[#This Row],[Image ID]]&amp;"/full/843,/0/default.jpg"</f>
        <v>https://www.artic.edu/iiif/2/12731595-67a3-dc3c-efa8-29d75b9cd315/full/843,/0/default.jpg</v>
      </c>
      <c r="N2146" s="3">
        <v>0.7</v>
      </c>
      <c r="O2146" s="3">
        <v>7.4999999999999997E-2</v>
      </c>
      <c r="P2146" s="3">
        <v>0.625</v>
      </c>
      <c r="Q2146" s="3">
        <v>0.85885220766067505</v>
      </c>
    </row>
    <row r="2147" spans="1:17" ht="228" x14ac:dyDescent="0.45">
      <c r="A2147" s="3">
        <v>16241</v>
      </c>
      <c r="B2147" t="b">
        <v>0</v>
      </c>
      <c r="C2147" t="b">
        <v>1</v>
      </c>
      <c r="D2147" s="3">
        <v>1275</v>
      </c>
      <c r="E2147" s="3">
        <v>1280</v>
      </c>
      <c r="F2147" t="s">
        <v>4323</v>
      </c>
      <c r="G2147" t="s">
        <v>103</v>
      </c>
      <c r="H2147" s="3">
        <v>54.6813</v>
      </c>
      <c r="J2147" s="1" t="s">
        <v>11265</v>
      </c>
      <c r="L2147" t="s">
        <v>4324</v>
      </c>
      <c r="M2147" t="str">
        <f>"https://www.artic.edu/iiif/2/"&amp;Table9[[#This Row],[Image ID]]&amp;"/full/843,/0/default.jpg"</f>
        <v>https://www.artic.edu/iiif/2/158bdd65-2dd1-7def-98a7-d5671decdf62/full/843,/0/default.jpg</v>
      </c>
      <c r="N2147" s="3">
        <v>0.72499999999999998</v>
      </c>
      <c r="O2147" s="3">
        <v>0.1</v>
      </c>
      <c r="P2147" s="3">
        <v>0.625</v>
      </c>
      <c r="Q2147" s="3">
        <v>0.82171499729156405</v>
      </c>
    </row>
    <row r="2148" spans="1:17" x14ac:dyDescent="0.45">
      <c r="A2148" s="3">
        <v>114131</v>
      </c>
      <c r="B2148" t="b">
        <v>0</v>
      </c>
      <c r="C2148" t="b">
        <v>1</v>
      </c>
      <c r="D2148" s="3">
        <v>1805</v>
      </c>
      <c r="E2148" s="3">
        <v>1825</v>
      </c>
      <c r="F2148" t="s">
        <v>1564</v>
      </c>
      <c r="G2148" t="s">
        <v>1565</v>
      </c>
      <c r="H2148" s="3">
        <v>33.097999999999999</v>
      </c>
      <c r="I2148" t="s">
        <v>1562</v>
      </c>
      <c r="J2148" t="s">
        <v>11282</v>
      </c>
      <c r="L2148" t="s">
        <v>1566</v>
      </c>
      <c r="M2148" t="str">
        <f>"https://www.artic.edu/iiif/2/"&amp;Table9[[#This Row],[Image ID]]&amp;"/full/843,/0/default.jpg"</f>
        <v>https://www.artic.edu/iiif/2/16ab880d-b7ec-1712-bb35-e484f5ad6a4a/full/843,/0/default.jpg</v>
      </c>
      <c r="N2148" s="3">
        <v>0.67500000000000004</v>
      </c>
      <c r="O2148" s="3">
        <v>0.05</v>
      </c>
      <c r="P2148" s="3">
        <v>0.625</v>
      </c>
      <c r="Q2148" s="3">
        <v>0.59405314922332697</v>
      </c>
    </row>
    <row r="2149" spans="1:17" x14ac:dyDescent="0.45">
      <c r="A2149" s="3">
        <v>22495</v>
      </c>
      <c r="B2149" t="b">
        <v>0</v>
      </c>
      <c r="C2149" t="b">
        <v>1</v>
      </c>
      <c r="D2149" s="3">
        <v>1887</v>
      </c>
      <c r="E2149" s="3">
        <v>1887</v>
      </c>
      <c r="F2149" t="s">
        <v>5898</v>
      </c>
      <c r="G2149" t="s">
        <v>5899</v>
      </c>
      <c r="H2149" s="3">
        <v>12.716100000000001</v>
      </c>
      <c r="I2149" t="s">
        <v>527</v>
      </c>
      <c r="J2149" t="s">
        <v>11461</v>
      </c>
      <c r="L2149" t="s">
        <v>5900</v>
      </c>
      <c r="M2149" t="str">
        <f>"https://www.artic.edu/iiif/2/"&amp;Table9[[#This Row],[Image ID]]&amp;"/full/843,/0/default.jpg"</f>
        <v>https://www.artic.edu/iiif/2/2233093c-3a03-5e51-c709-eae4611d7cca/full/843,/0/default.jpg</v>
      </c>
      <c r="N2149" s="3">
        <v>0.77500000000000002</v>
      </c>
      <c r="O2149" s="3">
        <v>0.15</v>
      </c>
      <c r="P2149" s="3">
        <v>0.625</v>
      </c>
      <c r="Q2149" s="3">
        <v>0.61543673276901201</v>
      </c>
    </row>
    <row r="2150" spans="1:17" x14ac:dyDescent="0.45">
      <c r="A2150" s="3">
        <v>210893</v>
      </c>
      <c r="B2150" t="b">
        <v>0</v>
      </c>
      <c r="C2150" t="b">
        <v>1</v>
      </c>
      <c r="D2150" s="3">
        <v>1894</v>
      </c>
      <c r="E2150" s="3">
        <v>1894</v>
      </c>
      <c r="F2150" t="s">
        <v>5572</v>
      </c>
      <c r="G2150" t="s">
        <v>7</v>
      </c>
      <c r="H2150" s="3">
        <v>25.240300000000001</v>
      </c>
      <c r="I2150" t="s">
        <v>14663</v>
      </c>
      <c r="J2150" t="s">
        <v>11491</v>
      </c>
      <c r="L2150" t="s">
        <v>5573</v>
      </c>
      <c r="M2150" t="str">
        <f>"https://www.artic.edu/iiif/2/"&amp;Table9[[#This Row],[Image ID]]&amp;"/full/843,/0/default.jpg"</f>
        <v>https://www.artic.edu/iiif/2/2479fd9c-a90e-2f5a-b418-6ed505ab2bb9/full/843,/0/default.jpg</v>
      </c>
      <c r="N2150" s="3">
        <v>0.7</v>
      </c>
      <c r="O2150" s="3">
        <v>7.4999999999999997E-2</v>
      </c>
      <c r="P2150" s="3">
        <v>0.625</v>
      </c>
      <c r="Q2150" s="3">
        <v>0.79898917675018299</v>
      </c>
    </row>
    <row r="2151" spans="1:17" x14ac:dyDescent="0.45">
      <c r="A2151" s="3">
        <v>131815</v>
      </c>
      <c r="B2151" t="b">
        <v>0</v>
      </c>
      <c r="C2151" t="b">
        <v>1</v>
      </c>
      <c r="D2151" s="3">
        <v>1750</v>
      </c>
      <c r="E2151" s="3">
        <v>1800</v>
      </c>
      <c r="F2151" t="s">
        <v>2979</v>
      </c>
      <c r="G2151" t="s">
        <v>2980</v>
      </c>
      <c r="H2151" s="3">
        <v>47.848199999999999</v>
      </c>
      <c r="J2151" t="s">
        <v>11535</v>
      </c>
      <c r="K2151" s="5" t="s">
        <v>2981</v>
      </c>
      <c r="L2151" t="s">
        <v>2982</v>
      </c>
      <c r="M2151" t="str">
        <f>"https://www.artic.edu/iiif/2/"&amp;Table9[[#This Row],[Image ID]]&amp;"/full/843,/0/default.jpg"</f>
        <v>https://www.artic.edu/iiif/2/26dffbf4-b8b4-889a-8faf-a9366d8114dd/full/843,/0/default.jpg</v>
      </c>
      <c r="N2151" s="3">
        <v>0.75</v>
      </c>
      <c r="O2151" s="3">
        <v>0.125</v>
      </c>
      <c r="P2151" s="3">
        <v>0.625</v>
      </c>
      <c r="Q2151" s="3">
        <v>0.70048230886459295</v>
      </c>
    </row>
    <row r="2152" spans="1:17" x14ac:dyDescent="0.45">
      <c r="A2152" s="3">
        <v>59989</v>
      </c>
      <c r="B2152" t="b">
        <v>0</v>
      </c>
      <c r="C2152" t="b">
        <v>1</v>
      </c>
      <c r="D2152" s="3">
        <v>1779</v>
      </c>
      <c r="E2152" s="3">
        <v>1779</v>
      </c>
      <c r="F2152" t="s">
        <v>8676</v>
      </c>
      <c r="G2152" t="s">
        <v>7</v>
      </c>
      <c r="H2152" s="3">
        <v>68.9679</v>
      </c>
      <c r="I2152" t="s">
        <v>1312</v>
      </c>
      <c r="J2152" t="s">
        <v>11557</v>
      </c>
      <c r="L2152" t="s">
        <v>8677</v>
      </c>
      <c r="M2152" t="str">
        <f>"https://www.artic.edu/iiif/2/"&amp;Table9[[#This Row],[Image ID]]&amp;"/full/843,/0/default.jpg"</f>
        <v>https://www.artic.edu/iiif/2/2838cff5-9ea3-0101-3f34-193d49416101/full/843,/0/default.jpg</v>
      </c>
      <c r="N2152" s="3">
        <v>0.625</v>
      </c>
      <c r="O2152" s="3">
        <v>0</v>
      </c>
      <c r="P2152" s="3">
        <v>0.625</v>
      </c>
      <c r="Q2152" s="3">
        <v>0.82139688730239802</v>
      </c>
    </row>
    <row r="2153" spans="1:17" x14ac:dyDescent="0.45">
      <c r="A2153" s="3">
        <v>18947</v>
      </c>
      <c r="B2153" t="b">
        <v>0</v>
      </c>
      <c r="C2153" t="b">
        <v>1</v>
      </c>
      <c r="D2153" s="3">
        <v>1845</v>
      </c>
      <c r="E2153" s="3">
        <v>1894</v>
      </c>
      <c r="F2153" t="s">
        <v>2056</v>
      </c>
      <c r="G2153" t="s">
        <v>5152</v>
      </c>
      <c r="H2153" s="3">
        <v>27.476700000000001</v>
      </c>
      <c r="I2153" t="s">
        <v>908</v>
      </c>
      <c r="J2153" t="s">
        <v>11592</v>
      </c>
      <c r="L2153" t="s">
        <v>5153</v>
      </c>
      <c r="M2153" t="str">
        <f>"https://www.artic.edu/iiif/2/"&amp;Table9[[#This Row],[Image ID]]&amp;"/full/843,/0/default.jpg"</f>
        <v>https://www.artic.edu/iiif/2/2a54a2f1-bb38-d5a1-f8b4-84b5c1c29e2d/full/843,/0/default.jpg</v>
      </c>
      <c r="N2153" s="3">
        <v>0.72499999999999998</v>
      </c>
      <c r="O2153" s="3">
        <v>0.1</v>
      </c>
      <c r="P2153" s="3">
        <v>0.625</v>
      </c>
      <c r="Q2153" s="3">
        <v>0.53616201877593905</v>
      </c>
    </row>
    <row r="2154" spans="1:17" x14ac:dyDescent="0.45">
      <c r="A2154" s="3">
        <v>114662</v>
      </c>
      <c r="B2154" t="b">
        <v>0</v>
      </c>
      <c r="C2154" t="b">
        <v>1</v>
      </c>
      <c r="D2154" s="3">
        <v>1714</v>
      </c>
      <c r="E2154" s="3">
        <v>1714</v>
      </c>
      <c r="F2154" t="s">
        <v>1687</v>
      </c>
      <c r="G2154" t="s">
        <v>1688</v>
      </c>
      <c r="H2154" s="3">
        <v>33.080300000000001</v>
      </c>
      <c r="I2154" t="s">
        <v>334</v>
      </c>
      <c r="J2154" t="s">
        <v>11609</v>
      </c>
      <c r="L2154" t="s">
        <v>1689</v>
      </c>
      <c r="M2154" t="str">
        <f>"https://www.artic.edu/iiif/2/"&amp;Table9[[#This Row],[Image ID]]&amp;"/full/843,/0/default.jpg"</f>
        <v>https://www.artic.edu/iiif/2/2b4993b8-6ee2-219e-9246-795e9ce03806/full/843,/0/default.jpg</v>
      </c>
      <c r="N2154" s="3">
        <v>0.65</v>
      </c>
      <c r="O2154" s="3">
        <v>2.5000000000000001E-2</v>
      </c>
      <c r="P2154" s="3">
        <v>0.625</v>
      </c>
      <c r="Q2154" s="3">
        <v>0.69294470548629705</v>
      </c>
    </row>
    <row r="2155" spans="1:17" x14ac:dyDescent="0.45">
      <c r="A2155" s="3">
        <v>61665</v>
      </c>
      <c r="B2155" t="b">
        <v>0</v>
      </c>
      <c r="C2155" t="b">
        <v>1</v>
      </c>
      <c r="D2155" s="3">
        <v>1638</v>
      </c>
      <c r="E2155" s="3">
        <v>1638</v>
      </c>
      <c r="F2155" t="s">
        <v>8820</v>
      </c>
      <c r="G2155" t="s">
        <v>7</v>
      </c>
      <c r="H2155" s="3">
        <v>26.8733</v>
      </c>
      <c r="I2155" t="s">
        <v>14651</v>
      </c>
      <c r="J2155" t="s">
        <v>11664</v>
      </c>
      <c r="L2155" t="s">
        <v>8821</v>
      </c>
      <c r="M2155" t="str">
        <f>"https://www.artic.edu/iiif/2/"&amp;Table9[[#This Row],[Image ID]]&amp;"/full/843,/0/default.jpg"</f>
        <v>https://www.artic.edu/iiif/2/2f047ef8-34c1-4fcf-37ee-6f433ff9091f/full/843,/0/default.jpg</v>
      </c>
      <c r="N2155" s="3">
        <v>0.75</v>
      </c>
      <c r="O2155" s="3">
        <v>0.125</v>
      </c>
      <c r="P2155" s="3">
        <v>0.625</v>
      </c>
      <c r="Q2155" s="3">
        <v>0.77857255935668901</v>
      </c>
    </row>
    <row r="2156" spans="1:17" x14ac:dyDescent="0.45">
      <c r="A2156" s="3">
        <v>26650</v>
      </c>
      <c r="B2156" t="b">
        <v>0</v>
      </c>
      <c r="C2156" t="b">
        <v>1</v>
      </c>
      <c r="D2156" s="3">
        <v>1878</v>
      </c>
      <c r="E2156" s="3">
        <v>1879</v>
      </c>
      <c r="F2156" t="s">
        <v>6684</v>
      </c>
      <c r="G2156" t="s">
        <v>7</v>
      </c>
      <c r="H2156" s="3">
        <v>19.076499999999999</v>
      </c>
      <c r="I2156" t="s">
        <v>440</v>
      </c>
      <c r="J2156" t="s">
        <v>11844</v>
      </c>
      <c r="K2156" s="5" t="s">
        <v>9</v>
      </c>
      <c r="L2156" t="s">
        <v>6685</v>
      </c>
      <c r="M2156" t="str">
        <f>"https://www.artic.edu/iiif/2/"&amp;Table9[[#This Row],[Image ID]]&amp;"/full/843,/0/default.jpg"</f>
        <v>https://www.artic.edu/iiif/2/3b404ec5-bef6-2614-570c-37d2c2386826/full/843,/0/default.jpg</v>
      </c>
      <c r="N2156" s="3">
        <v>0.72499999999999998</v>
      </c>
      <c r="O2156" s="3">
        <v>0.1</v>
      </c>
      <c r="P2156" s="3">
        <v>0.625</v>
      </c>
      <c r="Q2156" s="3">
        <v>0.78042912483215299</v>
      </c>
    </row>
    <row r="2157" spans="1:17" x14ac:dyDescent="0.45">
      <c r="A2157" s="3">
        <v>93342</v>
      </c>
      <c r="B2157" t="b">
        <v>0</v>
      </c>
      <c r="C2157" t="b">
        <v>1</v>
      </c>
      <c r="D2157" s="3">
        <v>1862</v>
      </c>
      <c r="E2157" s="3">
        <v>1862</v>
      </c>
      <c r="F2157" t="s">
        <v>14700</v>
      </c>
      <c r="G2157" t="s">
        <v>505</v>
      </c>
      <c r="H2157" s="3">
        <v>18.079999999999998</v>
      </c>
      <c r="I2157" t="s">
        <v>3971</v>
      </c>
      <c r="J2157" t="s">
        <v>11930</v>
      </c>
      <c r="L2157" t="s">
        <v>10574</v>
      </c>
      <c r="M2157" t="str">
        <f>"https://www.artic.edu/iiif/2/"&amp;Table9[[#This Row],[Image ID]]&amp;"/full/843,/0/default.jpg"</f>
        <v>https://www.artic.edu/iiif/2/40d69445-feb4-d6d5-bcad-bb142856f0a6/full/843,/0/default.jpg</v>
      </c>
      <c r="N2157" s="3">
        <v>0.82499999999999996</v>
      </c>
      <c r="O2157" s="3">
        <v>0.2</v>
      </c>
      <c r="P2157" s="3">
        <v>0.625</v>
      </c>
      <c r="Q2157" s="3">
        <v>0.81688708066940297</v>
      </c>
    </row>
    <row r="2158" spans="1:17" x14ac:dyDescent="0.45">
      <c r="A2158" s="3">
        <v>7582</v>
      </c>
      <c r="B2158" t="b">
        <v>0</v>
      </c>
      <c r="C2158" t="b">
        <v>1</v>
      </c>
      <c r="D2158" s="3">
        <v>1485</v>
      </c>
      <c r="E2158" s="3">
        <v>1515</v>
      </c>
      <c r="F2158" t="s">
        <v>9758</v>
      </c>
      <c r="G2158" t="s">
        <v>9756</v>
      </c>
      <c r="H2158" s="3">
        <v>40.164999999999999</v>
      </c>
      <c r="I2158" t="s">
        <v>14671</v>
      </c>
      <c r="J2158" t="s">
        <v>11946</v>
      </c>
      <c r="K2158" s="5" t="s">
        <v>278</v>
      </c>
      <c r="L2158" t="s">
        <v>9759</v>
      </c>
      <c r="M2158" t="str">
        <f>"https://www.artic.edu/iiif/2/"&amp;Table9[[#This Row],[Image ID]]&amp;"/full/843,/0/default.jpg"</f>
        <v>https://www.artic.edu/iiif/2/41e63141-5319-d003-d1da-59381113f742/full/843,/0/default.jpg</v>
      </c>
      <c r="N2158" s="3">
        <v>0.77500000000000002</v>
      </c>
      <c r="O2158" s="3">
        <v>0.15</v>
      </c>
      <c r="P2158" s="3">
        <v>0.625</v>
      </c>
      <c r="Q2158" s="3">
        <v>0.76043170690536499</v>
      </c>
    </row>
    <row r="2159" spans="1:17" x14ac:dyDescent="0.45">
      <c r="A2159" s="3">
        <v>5355</v>
      </c>
      <c r="B2159" t="b">
        <v>0</v>
      </c>
      <c r="C2159" t="b">
        <v>1</v>
      </c>
      <c r="D2159" s="3">
        <v>1844</v>
      </c>
      <c r="E2159" s="3">
        <v>1844</v>
      </c>
      <c r="F2159" t="s">
        <v>8277</v>
      </c>
      <c r="G2159" t="s">
        <v>3642</v>
      </c>
      <c r="H2159" s="3">
        <v>0</v>
      </c>
      <c r="I2159" t="s">
        <v>14669</v>
      </c>
      <c r="J2159" t="s">
        <v>11971</v>
      </c>
      <c r="L2159" t="s">
        <v>8278</v>
      </c>
      <c r="M2159" t="str">
        <f>"https://www.artic.edu/iiif/2/"&amp;Table9[[#This Row],[Image ID]]&amp;"/full/843,/0/default.jpg"</f>
        <v>https://www.artic.edu/iiif/2/43642ffb-2bd7-3f70-d6e6-3c0bee12d83c/full/843,/0/default.jpg</v>
      </c>
      <c r="N2159" s="3">
        <v>0.7</v>
      </c>
      <c r="O2159" s="3">
        <v>7.4999999999999997E-2</v>
      </c>
      <c r="P2159" s="3">
        <v>0.625</v>
      </c>
      <c r="Q2159" s="3">
        <v>0.59470313787460305</v>
      </c>
    </row>
    <row r="2160" spans="1:17" x14ac:dyDescent="0.45">
      <c r="A2160" s="3">
        <v>2156</v>
      </c>
      <c r="B2160" t="b">
        <v>0</v>
      </c>
      <c r="C2160" t="b">
        <v>1</v>
      </c>
      <c r="D2160" s="3">
        <v>1906</v>
      </c>
      <c r="E2160" s="3">
        <v>1906</v>
      </c>
      <c r="F2160" t="s">
        <v>5629</v>
      </c>
      <c r="G2160" t="s">
        <v>7</v>
      </c>
      <c r="H2160" s="3">
        <v>27.552299999999999</v>
      </c>
      <c r="I2160" t="s">
        <v>5630</v>
      </c>
      <c r="J2160" t="s">
        <v>11976</v>
      </c>
      <c r="K2160" s="5" t="s">
        <v>284</v>
      </c>
      <c r="L2160" t="s">
        <v>5631</v>
      </c>
      <c r="M2160" t="str">
        <f>"https://www.artic.edu/iiif/2/"&amp;Table9[[#This Row],[Image ID]]&amp;"/full/843,/0/default.jpg"</f>
        <v>https://www.artic.edu/iiif/2/438fbefa-e576-bd5f-983f-1c9626cd4a60/full/843,/0/default.jpg</v>
      </c>
      <c r="N2160" s="3">
        <v>0.7</v>
      </c>
      <c r="O2160" s="3">
        <v>7.4999999999999997E-2</v>
      </c>
      <c r="P2160" s="3">
        <v>0.625</v>
      </c>
      <c r="Q2160" s="3">
        <v>0.58994615077972401</v>
      </c>
    </row>
    <row r="2161" spans="1:17" x14ac:dyDescent="0.45">
      <c r="A2161" s="3">
        <v>78506</v>
      </c>
      <c r="B2161" t="b">
        <v>0</v>
      </c>
      <c r="C2161" t="b">
        <v>1</v>
      </c>
      <c r="D2161" s="3">
        <v>1790</v>
      </c>
      <c r="E2161" s="3">
        <v>1790</v>
      </c>
      <c r="F2161" t="s">
        <v>9837</v>
      </c>
      <c r="G2161" t="s">
        <v>7</v>
      </c>
      <c r="H2161" s="3">
        <v>24.929200000000002</v>
      </c>
      <c r="I2161" t="s">
        <v>9838</v>
      </c>
      <c r="J2161" t="s">
        <v>12002</v>
      </c>
      <c r="L2161" t="s">
        <v>9839</v>
      </c>
      <c r="M2161" t="str">
        <f>"https://www.artic.edu/iiif/2/"&amp;Table9[[#This Row],[Image ID]]&amp;"/full/843,/0/default.jpg"</f>
        <v>https://www.artic.edu/iiif/2/458eeba4-a37b-2fc1-e458-3a95f57f4f1c/full/843,/0/default.jpg</v>
      </c>
      <c r="N2161" s="3">
        <v>0.8</v>
      </c>
      <c r="O2161" s="3">
        <v>0.17499999999999999</v>
      </c>
      <c r="P2161" s="3">
        <v>0.625</v>
      </c>
      <c r="Q2161" s="3">
        <v>0.75326222181320102</v>
      </c>
    </row>
    <row r="2162" spans="1:17" x14ac:dyDescent="0.45">
      <c r="A2162" s="3">
        <v>35720</v>
      </c>
      <c r="B2162" t="b">
        <v>0</v>
      </c>
      <c r="C2162" t="b">
        <v>1</v>
      </c>
      <c r="D2162" s="3">
        <v>1895</v>
      </c>
      <c r="E2162" s="3">
        <v>1895</v>
      </c>
      <c r="F2162" t="s">
        <v>2791</v>
      </c>
      <c r="G2162" t="s">
        <v>7202</v>
      </c>
      <c r="H2162" s="3">
        <v>40.164000000000001</v>
      </c>
      <c r="I2162" t="s">
        <v>2842</v>
      </c>
      <c r="J2162" t="s">
        <v>12006</v>
      </c>
      <c r="L2162" t="s">
        <v>7203</v>
      </c>
      <c r="M2162" t="str">
        <f>"https://www.artic.edu/iiif/2/"&amp;Table9[[#This Row],[Image ID]]&amp;"/full/843,/0/default.jpg"</f>
        <v>https://www.artic.edu/iiif/2/461c0069-45a9-c67e-7210-bfb512c3ea58/full/843,/0/default.jpg</v>
      </c>
      <c r="N2162" s="3">
        <v>0.67500000000000004</v>
      </c>
      <c r="O2162" s="3">
        <v>0.05</v>
      </c>
      <c r="P2162" s="3">
        <v>0.625</v>
      </c>
      <c r="Q2162" s="3">
        <v>0.79523199796676602</v>
      </c>
    </row>
    <row r="2163" spans="1:17" x14ac:dyDescent="0.45">
      <c r="A2163" s="3">
        <v>10281</v>
      </c>
      <c r="B2163" t="b">
        <v>0</v>
      </c>
      <c r="C2163" t="b">
        <v>1</v>
      </c>
      <c r="D2163" s="3">
        <v>1501</v>
      </c>
      <c r="E2163" s="3">
        <v>1600</v>
      </c>
      <c r="F2163" t="s">
        <v>297</v>
      </c>
      <c r="G2163" t="s">
        <v>75</v>
      </c>
      <c r="H2163" s="3">
        <v>25.103999999999999</v>
      </c>
      <c r="I2163" t="s">
        <v>298</v>
      </c>
      <c r="J2163" t="s">
        <v>12026</v>
      </c>
      <c r="L2163" t="s">
        <v>299</v>
      </c>
      <c r="M2163" t="str">
        <f>"https://www.artic.edu/iiif/2/"&amp;Table9[[#This Row],[Image ID]]&amp;"/full/843,/0/default.jpg"</f>
        <v>https://www.artic.edu/iiif/2/47a54a0c-99c2-7aa9-db29-8fbccac5f1e1/full/843,/0/default.jpg</v>
      </c>
      <c r="N2163" s="3">
        <v>0.77500000000000002</v>
      </c>
      <c r="O2163" s="3">
        <v>0.15</v>
      </c>
      <c r="P2163" s="3">
        <v>0.625</v>
      </c>
      <c r="Q2163" s="3">
        <v>0.79840230941772405</v>
      </c>
    </row>
    <row r="2164" spans="1:17" x14ac:dyDescent="0.45">
      <c r="A2164" s="3">
        <v>16410</v>
      </c>
      <c r="B2164" t="b">
        <v>0</v>
      </c>
      <c r="C2164" t="b">
        <v>1</v>
      </c>
      <c r="D2164" s="3">
        <v>1657</v>
      </c>
      <c r="E2164" s="3">
        <v>1657</v>
      </c>
      <c r="F2164" t="s">
        <v>4414</v>
      </c>
      <c r="G2164" t="s">
        <v>75</v>
      </c>
      <c r="H2164" s="3">
        <v>0</v>
      </c>
      <c r="I2164" t="s">
        <v>4415</v>
      </c>
      <c r="J2164" t="s">
        <v>12054</v>
      </c>
      <c r="L2164" t="s">
        <v>4416</v>
      </c>
      <c r="M2164" t="str">
        <f>"https://www.artic.edu/iiif/2/"&amp;Table9[[#This Row],[Image ID]]&amp;"/full/843,/0/default.jpg"</f>
        <v>https://www.artic.edu/iiif/2/49e860ae-5d35-3ee1-1b14-79d1dc9268d9/full/843,/0/default.jpg</v>
      </c>
      <c r="N2164" s="3">
        <v>0.7</v>
      </c>
      <c r="O2164" s="3">
        <v>7.4999999999999997E-2</v>
      </c>
      <c r="P2164" s="3">
        <v>0.625</v>
      </c>
      <c r="Q2164" s="3">
        <v>0.64390116930007901</v>
      </c>
    </row>
    <row r="2165" spans="1:17" x14ac:dyDescent="0.45">
      <c r="A2165" s="3">
        <v>16376</v>
      </c>
      <c r="B2165" t="b">
        <v>0</v>
      </c>
      <c r="C2165" t="b">
        <v>1</v>
      </c>
      <c r="D2165" s="3">
        <v>1775</v>
      </c>
      <c r="E2165" s="3">
        <v>1793</v>
      </c>
      <c r="F2165" t="s">
        <v>4401</v>
      </c>
      <c r="G2165" t="s">
        <v>7</v>
      </c>
      <c r="H2165" s="3">
        <v>22.382400000000001</v>
      </c>
      <c r="I2165" t="s">
        <v>1024</v>
      </c>
      <c r="J2165" t="s">
        <v>12137</v>
      </c>
      <c r="L2165" t="s">
        <v>4402</v>
      </c>
      <c r="M2165" t="str">
        <f>"https://www.artic.edu/iiif/2/"&amp;Table9[[#This Row],[Image ID]]&amp;"/full/843,/0/default.jpg"</f>
        <v>https://www.artic.edu/iiif/2/5070bb97-208f-6aa5-777b-e58d8e0c8802/full/843,/0/default.jpg</v>
      </c>
      <c r="N2165" s="3">
        <v>0.7</v>
      </c>
      <c r="O2165" s="3">
        <v>7.4999999999999997E-2</v>
      </c>
      <c r="P2165" s="3">
        <v>0.625</v>
      </c>
      <c r="Q2165" s="3">
        <v>0.68327271938323897</v>
      </c>
    </row>
    <row r="2166" spans="1:17" x14ac:dyDescent="0.45">
      <c r="A2166" s="3">
        <v>258490</v>
      </c>
      <c r="B2166" t="b">
        <v>0</v>
      </c>
      <c r="C2166" t="b">
        <v>1</v>
      </c>
      <c r="D2166" s="3">
        <v>1662</v>
      </c>
      <c r="E2166" s="3">
        <v>1662</v>
      </c>
      <c r="F2166" t="s">
        <v>6636</v>
      </c>
      <c r="G2166" t="s">
        <v>7</v>
      </c>
      <c r="H2166" s="3">
        <v>23.198499999999999</v>
      </c>
      <c r="I2166" t="s">
        <v>6637</v>
      </c>
      <c r="J2166" t="s">
        <v>6639</v>
      </c>
      <c r="K2166" s="5" t="s">
        <v>46</v>
      </c>
      <c r="L2166" t="s">
        <v>6638</v>
      </c>
      <c r="M2166" t="str">
        <f>"https://www.artic.edu/iiif/2/"&amp;Table9[[#This Row],[Image ID]]&amp;"/full/843,/0/default.jpg"</f>
        <v>https://www.artic.edu/iiif/2/56e1a594-eb9e-c8cb-bc53-7965237accd1/full/843,/0/default.jpg</v>
      </c>
      <c r="N2166" s="3">
        <v>0.65</v>
      </c>
      <c r="O2166" s="3">
        <v>2.5000000000000001E-2</v>
      </c>
      <c r="P2166" s="3">
        <v>0.625</v>
      </c>
      <c r="Q2166" s="3">
        <v>0.75111663341522195</v>
      </c>
    </row>
    <row r="2167" spans="1:17" x14ac:dyDescent="0.45">
      <c r="A2167" s="3">
        <v>181702</v>
      </c>
      <c r="B2167" t="b">
        <v>0</v>
      </c>
      <c r="C2167" t="b">
        <v>1</v>
      </c>
      <c r="D2167" s="3">
        <v>1640</v>
      </c>
      <c r="E2167" s="3">
        <v>1648</v>
      </c>
      <c r="F2167" t="s">
        <v>4729</v>
      </c>
      <c r="G2167" t="s">
        <v>75</v>
      </c>
      <c r="H2167" s="3">
        <v>27.881799999999998</v>
      </c>
      <c r="I2167" t="s">
        <v>4241</v>
      </c>
      <c r="J2167" t="s">
        <v>12254</v>
      </c>
      <c r="L2167" t="s">
        <v>4730</v>
      </c>
      <c r="M2167" t="str">
        <f>"https://www.artic.edu/iiif/2/"&amp;Table9[[#This Row],[Image ID]]&amp;"/full/843,/0/default.jpg"</f>
        <v>https://www.artic.edu/iiif/2/571dac0d-3f2e-3463-814a-e56951bbe722/full/843,/0/default.jpg</v>
      </c>
      <c r="N2167" s="3">
        <v>0.67500000000000004</v>
      </c>
      <c r="O2167" s="3">
        <v>0.05</v>
      </c>
      <c r="P2167" s="3">
        <v>0.625</v>
      </c>
      <c r="Q2167" s="3">
        <v>0.41824302077293302</v>
      </c>
    </row>
    <row r="2168" spans="1:17" x14ac:dyDescent="0.45">
      <c r="A2168" s="3">
        <v>114726</v>
      </c>
      <c r="B2168" t="b">
        <v>0</v>
      </c>
      <c r="C2168" t="b">
        <v>1</v>
      </c>
      <c r="D2168" s="3">
        <v>1815</v>
      </c>
      <c r="E2168" s="3">
        <v>1820</v>
      </c>
      <c r="F2168" t="s">
        <v>1710</v>
      </c>
      <c r="G2168" t="s">
        <v>1711</v>
      </c>
      <c r="H2168" s="3">
        <v>31.125499999999999</v>
      </c>
      <c r="I2168" t="s">
        <v>1266</v>
      </c>
      <c r="J2168" t="s">
        <v>12309</v>
      </c>
      <c r="L2168" t="s">
        <v>1712</v>
      </c>
      <c r="M2168" t="str">
        <f>"https://www.artic.edu/iiif/2/"&amp;Table9[[#This Row],[Image ID]]&amp;"/full/843,/0/default.jpg"</f>
        <v>https://www.artic.edu/iiif/2/5b2a1eac-75a7-65b4-f60c-ea65cbd974e4/full/843,/0/default.jpg</v>
      </c>
      <c r="N2168" s="3">
        <v>0.75</v>
      </c>
      <c r="O2168" s="3">
        <v>0.125</v>
      </c>
      <c r="P2168" s="3">
        <v>0.625</v>
      </c>
      <c r="Q2168" s="3">
        <v>0.69652682542800903</v>
      </c>
    </row>
    <row r="2169" spans="1:17" x14ac:dyDescent="0.45">
      <c r="A2169" s="3">
        <v>160031</v>
      </c>
      <c r="B2169" t="b">
        <v>0</v>
      </c>
      <c r="C2169" t="b">
        <v>1</v>
      </c>
      <c r="D2169" s="3">
        <v>1875</v>
      </c>
      <c r="E2169" s="3">
        <v>1875</v>
      </c>
      <c r="F2169" t="s">
        <v>4235</v>
      </c>
      <c r="G2169" t="s">
        <v>7</v>
      </c>
      <c r="H2169" s="3">
        <v>31.3797</v>
      </c>
      <c r="I2169" t="s">
        <v>2749</v>
      </c>
      <c r="J2169" t="s">
        <v>12312</v>
      </c>
      <c r="L2169" t="s">
        <v>4236</v>
      </c>
      <c r="M2169" t="str">
        <f>"https://www.artic.edu/iiif/2/"&amp;Table9[[#This Row],[Image ID]]&amp;"/full/843,/0/default.jpg"</f>
        <v>https://www.artic.edu/iiif/2/5b4ab4f3-0d51-584d-afd3-833e42392c81/full/843,/0/default.jpg</v>
      </c>
      <c r="N2169" s="3">
        <v>0.7</v>
      </c>
      <c r="O2169" s="3">
        <v>7.4999999999999997E-2</v>
      </c>
      <c r="P2169" s="3">
        <v>0.625</v>
      </c>
      <c r="Q2169" s="3">
        <v>0.80228370428085305</v>
      </c>
    </row>
    <row r="2170" spans="1:17" x14ac:dyDescent="0.45">
      <c r="A2170" s="3">
        <v>84085</v>
      </c>
      <c r="B2170" t="b">
        <v>0</v>
      </c>
      <c r="C2170" t="b">
        <v>1</v>
      </c>
      <c r="D2170" s="3">
        <v>1877</v>
      </c>
      <c r="E2170" s="3">
        <v>1887</v>
      </c>
      <c r="F2170" t="s">
        <v>10245</v>
      </c>
      <c r="G2170" t="s">
        <v>10246</v>
      </c>
      <c r="H2170" s="3">
        <v>18.905100000000001</v>
      </c>
      <c r="I2170" t="s">
        <v>14670</v>
      </c>
      <c r="J2170" t="s">
        <v>12404</v>
      </c>
      <c r="L2170" t="s">
        <v>10247</v>
      </c>
      <c r="M2170" t="str">
        <f>"https://www.artic.edu/iiif/2/"&amp;Table9[[#This Row],[Image ID]]&amp;"/full/843,/0/default.jpg"</f>
        <v>https://www.artic.edu/iiif/2/622494bc-53b2-d530-ef9d-ce97e0f34076/full/843,/0/default.jpg</v>
      </c>
      <c r="N2170" s="3">
        <v>0.7</v>
      </c>
      <c r="O2170" s="3">
        <v>7.4999999999999997E-2</v>
      </c>
      <c r="P2170" s="3">
        <v>0.625</v>
      </c>
      <c r="Q2170" s="3">
        <v>0.59903192520141602</v>
      </c>
    </row>
    <row r="2171" spans="1:17" ht="85.5" x14ac:dyDescent="0.45">
      <c r="A2171" s="3">
        <v>111455</v>
      </c>
      <c r="B2171" t="b">
        <v>0</v>
      </c>
      <c r="C2171" t="b">
        <v>1</v>
      </c>
      <c r="D2171" s="3">
        <v>1401</v>
      </c>
      <c r="E2171" s="3">
        <v>1500</v>
      </c>
      <c r="F2171" t="s">
        <v>1112</v>
      </c>
      <c r="G2171" t="s">
        <v>75</v>
      </c>
      <c r="H2171" s="3">
        <v>41.014299999999999</v>
      </c>
      <c r="I2171" t="s">
        <v>1113</v>
      </c>
      <c r="J2171" s="1" t="s">
        <v>12511</v>
      </c>
      <c r="L2171" t="s">
        <v>1114</v>
      </c>
      <c r="M2171" t="str">
        <f>"https://www.artic.edu/iiif/2/"&amp;Table9[[#This Row],[Image ID]]&amp;"/full/843,/0/default.jpg"</f>
        <v>https://www.artic.edu/iiif/2/69b38965-4ccf-05bf-6601-5cd1af9684a8/full/843,/0/default.jpg</v>
      </c>
      <c r="N2171" s="3">
        <v>0.72499999999999998</v>
      </c>
      <c r="O2171" s="3">
        <v>0.1</v>
      </c>
      <c r="P2171" s="3">
        <v>0.625</v>
      </c>
      <c r="Q2171" s="3">
        <v>0.74059861898422197</v>
      </c>
    </row>
    <row r="2172" spans="1:17" x14ac:dyDescent="0.45">
      <c r="A2172" s="3">
        <v>896</v>
      </c>
      <c r="B2172" t="b">
        <v>0</v>
      </c>
      <c r="C2172" t="b">
        <v>1</v>
      </c>
      <c r="D2172" s="3">
        <v>1858</v>
      </c>
      <c r="E2172" s="3">
        <v>1859</v>
      </c>
      <c r="F2172" t="s">
        <v>10460</v>
      </c>
      <c r="G2172" t="s">
        <v>7</v>
      </c>
      <c r="H2172" s="3">
        <v>30.708300000000001</v>
      </c>
      <c r="I2172" t="s">
        <v>1157</v>
      </c>
      <c r="J2172" t="s">
        <v>12527</v>
      </c>
      <c r="L2172" t="s">
        <v>10461</v>
      </c>
      <c r="M2172" t="str">
        <f>"https://www.artic.edu/iiif/2/"&amp;Table9[[#This Row],[Image ID]]&amp;"/full/843,/0/default.jpg"</f>
        <v>https://www.artic.edu/iiif/2/6aaa3537-abbf-f49e-877f-4d8e8e4d50c2/full/843,/0/default.jpg</v>
      </c>
      <c r="N2172" s="3">
        <v>0.72499999999999998</v>
      </c>
      <c r="O2172" s="3">
        <v>0.1</v>
      </c>
      <c r="P2172" s="3">
        <v>0.625</v>
      </c>
      <c r="Q2172" s="3">
        <v>0.58800649642944303</v>
      </c>
    </row>
    <row r="2173" spans="1:17" x14ac:dyDescent="0.45">
      <c r="A2173" s="3">
        <v>39053</v>
      </c>
      <c r="B2173" t="b">
        <v>0</v>
      </c>
      <c r="C2173" t="b">
        <v>1</v>
      </c>
      <c r="D2173" s="3">
        <v>1843</v>
      </c>
      <c r="E2173" s="3">
        <v>1843</v>
      </c>
      <c r="F2173" t="s">
        <v>7402</v>
      </c>
      <c r="G2173" t="s">
        <v>7403</v>
      </c>
      <c r="H2173" s="3">
        <v>16.667100000000001</v>
      </c>
      <c r="I2173" t="s">
        <v>923</v>
      </c>
      <c r="J2173" t="s">
        <v>12529</v>
      </c>
      <c r="L2173" t="s">
        <v>7404</v>
      </c>
      <c r="M2173" t="str">
        <f>"https://www.artic.edu/iiif/2/"&amp;Table9[[#This Row],[Image ID]]&amp;"/full/843,/0/default.jpg"</f>
        <v>https://www.artic.edu/iiif/2/6ac122aa-7c77-7ca2-1ff1-550afbe3bd26/full/843,/0/default.jpg</v>
      </c>
      <c r="N2173" s="3">
        <v>0.72499999999999998</v>
      </c>
      <c r="O2173" s="3">
        <v>0.1</v>
      </c>
      <c r="P2173" s="3">
        <v>0.625</v>
      </c>
      <c r="Q2173" s="3">
        <v>0.72782248258590698</v>
      </c>
    </row>
    <row r="2174" spans="1:17" ht="99.75" x14ac:dyDescent="0.45">
      <c r="A2174" s="3">
        <v>16257</v>
      </c>
      <c r="B2174" t="b">
        <v>0</v>
      </c>
      <c r="C2174" t="b">
        <v>1</v>
      </c>
      <c r="D2174" s="3">
        <v>1490</v>
      </c>
      <c r="E2174" s="3">
        <v>1495</v>
      </c>
      <c r="F2174" t="s">
        <v>4331</v>
      </c>
      <c r="G2174" t="s">
        <v>75</v>
      </c>
      <c r="H2174" s="3">
        <v>48.368299999999998</v>
      </c>
      <c r="I2174" t="s">
        <v>4332</v>
      </c>
      <c r="J2174" s="1" t="s">
        <v>12601</v>
      </c>
      <c r="L2174" t="s">
        <v>4333</v>
      </c>
      <c r="M2174" t="str">
        <f>"https://www.artic.edu/iiif/2/"&amp;Table9[[#This Row],[Image ID]]&amp;"/full/843,/0/default.jpg"</f>
        <v>https://www.artic.edu/iiif/2/6fce7ae8-25e8-d7d9-7f36-0aee3703abea/full/843,/0/default.jpg</v>
      </c>
      <c r="N2174" s="3">
        <v>0.65</v>
      </c>
      <c r="O2174" s="3">
        <v>2.5000000000000001E-2</v>
      </c>
      <c r="P2174" s="3">
        <v>0.625</v>
      </c>
      <c r="Q2174" s="3">
        <v>0.771290123462677</v>
      </c>
    </row>
    <row r="2175" spans="1:17" x14ac:dyDescent="0.45">
      <c r="A2175" s="3">
        <v>16837</v>
      </c>
      <c r="B2175" t="b">
        <v>0</v>
      </c>
      <c r="C2175" t="b">
        <v>1</v>
      </c>
      <c r="D2175" s="3">
        <v>1881</v>
      </c>
      <c r="E2175" s="3">
        <v>1881</v>
      </c>
      <c r="F2175" t="s">
        <v>4613</v>
      </c>
      <c r="G2175" t="s">
        <v>4614</v>
      </c>
      <c r="H2175" s="3">
        <v>20.5944</v>
      </c>
      <c r="I2175" t="s">
        <v>1337</v>
      </c>
      <c r="J2175" t="s">
        <v>12707</v>
      </c>
      <c r="L2175" t="s">
        <v>4615</v>
      </c>
      <c r="M2175" t="str">
        <f>"https://www.artic.edu/iiif/2/"&amp;Table9[[#This Row],[Image ID]]&amp;"/full/843,/0/default.jpg"</f>
        <v>https://www.artic.edu/iiif/2/7799cb5b-69ae-77ca-b69c-f56a629eab99/full/843,/0/default.jpg</v>
      </c>
      <c r="N2175" s="3">
        <v>0.7</v>
      </c>
      <c r="O2175" s="3">
        <v>7.4999999999999997E-2</v>
      </c>
      <c r="P2175" s="3">
        <v>0.625</v>
      </c>
      <c r="Q2175" s="3">
        <v>0.80457574129104603</v>
      </c>
    </row>
    <row r="2176" spans="1:17" x14ac:dyDescent="0.45">
      <c r="A2176" s="3">
        <v>115215</v>
      </c>
      <c r="B2176" t="b">
        <v>0</v>
      </c>
      <c r="C2176" t="b">
        <v>1</v>
      </c>
      <c r="D2176" s="3">
        <v>1841</v>
      </c>
      <c r="E2176" s="3">
        <v>1841</v>
      </c>
      <c r="F2176" t="s">
        <v>1872</v>
      </c>
      <c r="G2176" t="s">
        <v>1837</v>
      </c>
      <c r="H2176" s="3">
        <v>18.878499999999999</v>
      </c>
      <c r="I2176" t="s">
        <v>1555</v>
      </c>
      <c r="J2176" t="s">
        <v>12750</v>
      </c>
      <c r="L2176" t="s">
        <v>1873</v>
      </c>
      <c r="M2176" t="str">
        <f>"https://www.artic.edu/iiif/2/"&amp;Table9[[#This Row],[Image ID]]&amp;"/full/843,/0/default.jpg"</f>
        <v>https://www.artic.edu/iiif/2/7a96ca20-b857-0ea4-4dd8-7dbc1986f7c3/full/843,/0/default.jpg</v>
      </c>
      <c r="N2176" s="3">
        <v>0.82499999999999996</v>
      </c>
      <c r="O2176" s="3">
        <v>0.2</v>
      </c>
      <c r="P2176" s="3">
        <v>0.625</v>
      </c>
      <c r="Q2176" s="3">
        <v>0.47119450569152799</v>
      </c>
    </row>
    <row r="2177" spans="1:17" x14ac:dyDescent="0.45">
      <c r="A2177" s="3">
        <v>77036</v>
      </c>
      <c r="B2177" t="b">
        <v>0</v>
      </c>
      <c r="C2177" t="b">
        <v>1</v>
      </c>
      <c r="D2177" s="3">
        <v>1401</v>
      </c>
      <c r="E2177" s="3">
        <v>1530</v>
      </c>
      <c r="F2177" t="s">
        <v>9823</v>
      </c>
      <c r="G2177" t="s">
        <v>584</v>
      </c>
      <c r="H2177" s="3">
        <v>43.083500000000001</v>
      </c>
      <c r="J2177" t="s">
        <v>12751</v>
      </c>
      <c r="K2177" s="5" t="s">
        <v>278</v>
      </c>
      <c r="L2177" t="s">
        <v>9824</v>
      </c>
      <c r="M2177" t="str">
        <f>"https://www.artic.edu/iiif/2/"&amp;Table9[[#This Row],[Image ID]]&amp;"/full/843,/0/default.jpg"</f>
        <v>https://www.artic.edu/iiif/2/7aa2ea59-9e28-bea0-b792-e8106a6512ad/full/843,/0/default.jpg</v>
      </c>
      <c r="N2177" s="3">
        <v>0.8</v>
      </c>
      <c r="O2177" s="3">
        <v>0.17499999999999999</v>
      </c>
      <c r="P2177" s="3">
        <v>0.625</v>
      </c>
      <c r="Q2177" s="3">
        <v>0.79180800914764404</v>
      </c>
    </row>
    <row r="2178" spans="1:17" x14ac:dyDescent="0.45">
      <c r="A2178" s="3">
        <v>114862</v>
      </c>
      <c r="B2178" t="b">
        <v>0</v>
      </c>
      <c r="C2178" t="b">
        <v>1</v>
      </c>
      <c r="D2178" s="3">
        <v>1648</v>
      </c>
      <c r="E2178" s="3">
        <v>1719</v>
      </c>
      <c r="F2178" t="s">
        <v>1746</v>
      </c>
      <c r="G2178" t="s">
        <v>1747</v>
      </c>
      <c r="H2178" s="3">
        <v>27.001000000000001</v>
      </c>
      <c r="I2178" t="s">
        <v>1303</v>
      </c>
      <c r="J2178" t="s">
        <v>12465</v>
      </c>
      <c r="L2178" t="s">
        <v>1748</v>
      </c>
      <c r="M2178" t="str">
        <f>"https://www.artic.edu/iiif/2/"&amp;Table9[[#This Row],[Image ID]]&amp;"/full/843,/0/default.jpg"</f>
        <v>https://www.artic.edu/iiif/2/7c27b410-a1cb-7343-ffb9-1d92d4f52946/full/843,/0/default.jpg</v>
      </c>
      <c r="N2178" s="3">
        <v>0.75</v>
      </c>
      <c r="O2178" s="3">
        <v>0.125</v>
      </c>
      <c r="P2178" s="3">
        <v>0.625</v>
      </c>
      <c r="Q2178" s="3">
        <v>0.85281246900558405</v>
      </c>
    </row>
    <row r="2179" spans="1:17" x14ac:dyDescent="0.45">
      <c r="A2179" s="3">
        <v>114763</v>
      </c>
      <c r="B2179" t="b">
        <v>0</v>
      </c>
      <c r="C2179" t="b">
        <v>1</v>
      </c>
      <c r="D2179" s="3">
        <v>1601</v>
      </c>
      <c r="E2179" s="3">
        <v>1899</v>
      </c>
      <c r="F2179" t="s">
        <v>1727</v>
      </c>
      <c r="G2179" t="s">
        <v>1728</v>
      </c>
      <c r="H2179" s="3">
        <v>33.491300000000003</v>
      </c>
      <c r="I2179" t="s">
        <v>1302</v>
      </c>
      <c r="J2179" t="s">
        <v>12770</v>
      </c>
      <c r="L2179" t="s">
        <v>1729</v>
      </c>
      <c r="M2179" t="str">
        <f>"https://www.artic.edu/iiif/2/"&amp;Table9[[#This Row],[Image ID]]&amp;"/full/843,/0/default.jpg"</f>
        <v>https://www.artic.edu/iiif/2/7c9bb8d0-fd7d-99c5-dc91-557e15161b8f/full/843,/0/default.jpg</v>
      </c>
      <c r="N2179" s="3">
        <v>0.65</v>
      </c>
      <c r="O2179" s="3">
        <v>2.5000000000000001E-2</v>
      </c>
      <c r="P2179" s="3">
        <v>0.625</v>
      </c>
      <c r="Q2179" s="3">
        <v>0.74058055877685502</v>
      </c>
    </row>
    <row r="2180" spans="1:17" x14ac:dyDescent="0.45">
      <c r="A2180" s="3">
        <v>11809</v>
      </c>
      <c r="B2180" t="b">
        <v>0</v>
      </c>
      <c r="C2180" t="b">
        <v>1</v>
      </c>
      <c r="D2180" s="3">
        <v>1800</v>
      </c>
      <c r="E2180" s="3">
        <v>1908</v>
      </c>
      <c r="F2180" t="s">
        <v>2473</v>
      </c>
      <c r="G2180" t="s">
        <v>2474</v>
      </c>
      <c r="H2180" s="3">
        <v>39.136000000000003</v>
      </c>
      <c r="J2180" t="s">
        <v>12793</v>
      </c>
      <c r="K2180" s="5" t="s">
        <v>278</v>
      </c>
      <c r="L2180" t="s">
        <v>2475</v>
      </c>
      <c r="M2180" t="str">
        <f>"https://www.artic.edu/iiif/2/"&amp;Table9[[#This Row],[Image ID]]&amp;"/full/843,/0/default.jpg"</f>
        <v>https://www.artic.edu/iiif/2/7ea102ee-3e37-2931-8c55-028ffb4dc68b/full/843,/0/default.jpg</v>
      </c>
      <c r="N2180" s="3">
        <v>0.77500000000000002</v>
      </c>
      <c r="O2180" s="3">
        <v>0.15</v>
      </c>
      <c r="P2180" s="3">
        <v>0.625</v>
      </c>
      <c r="Q2180" s="3">
        <v>0.76702219247817904</v>
      </c>
    </row>
    <row r="2181" spans="1:17" x14ac:dyDescent="0.45">
      <c r="A2181" s="3">
        <v>115201</v>
      </c>
      <c r="B2181" t="b">
        <v>0</v>
      </c>
      <c r="C2181" t="b">
        <v>1</v>
      </c>
      <c r="D2181" s="3">
        <v>1844</v>
      </c>
      <c r="E2181" s="3">
        <v>1844</v>
      </c>
      <c r="F2181" t="s">
        <v>1845</v>
      </c>
      <c r="G2181" t="s">
        <v>1846</v>
      </c>
      <c r="H2181" s="3">
        <v>17.009</v>
      </c>
      <c r="I2181" t="s">
        <v>1555</v>
      </c>
      <c r="J2181" t="s">
        <v>11010</v>
      </c>
      <c r="L2181" t="s">
        <v>1847</v>
      </c>
      <c r="M2181" t="str">
        <f>"https://www.artic.edu/iiif/2/"&amp;Table9[[#This Row],[Image ID]]&amp;"/full/843,/0/default.jpg"</f>
        <v>https://www.artic.edu/iiif/2/7f6452f9-a0c8-0cb3-193a-b2a5e16b797c/full/843,/0/default.jpg</v>
      </c>
      <c r="N2181" s="3">
        <v>0.85</v>
      </c>
      <c r="O2181" s="3">
        <v>0.22500000000000001</v>
      </c>
      <c r="P2181" s="3">
        <v>0.625</v>
      </c>
      <c r="Q2181" s="3">
        <v>0.57366019487380904</v>
      </c>
    </row>
    <row r="2182" spans="1:17" x14ac:dyDescent="0.45">
      <c r="A2182" s="3">
        <v>5571</v>
      </c>
      <c r="B2182" t="b">
        <v>0</v>
      </c>
      <c r="C2182" t="b">
        <v>1</v>
      </c>
      <c r="D2182" s="3">
        <v>1465</v>
      </c>
      <c r="E2182" s="3">
        <v>1475</v>
      </c>
      <c r="F2182" t="s">
        <v>8385</v>
      </c>
      <c r="G2182" t="s">
        <v>14711</v>
      </c>
      <c r="H2182" s="3">
        <v>0</v>
      </c>
      <c r="I2182" t="s">
        <v>2723</v>
      </c>
      <c r="J2182" t="s">
        <v>12869</v>
      </c>
      <c r="K2182" s="5" t="s">
        <v>278</v>
      </c>
      <c r="L2182" t="s">
        <v>8386</v>
      </c>
      <c r="M2182" t="str">
        <f>"https://www.artic.edu/iiif/2/"&amp;Table9[[#This Row],[Image ID]]&amp;"/full/843,/0/default.jpg"</f>
        <v>https://www.artic.edu/iiif/2/836a64e8-ba94-c0c0-407b-1a5dabd66f79/full/843,/0/default.jpg</v>
      </c>
      <c r="N2182" s="3">
        <v>0.67500000000000004</v>
      </c>
      <c r="O2182" s="3">
        <v>0.05</v>
      </c>
      <c r="P2182" s="3">
        <v>0.625</v>
      </c>
      <c r="Q2182" s="3">
        <v>0.85454809665679898</v>
      </c>
    </row>
    <row r="2183" spans="1:17" x14ac:dyDescent="0.45">
      <c r="A2183" s="3">
        <v>81501</v>
      </c>
      <c r="B2183" t="b">
        <v>0</v>
      </c>
      <c r="C2183" t="b">
        <v>1</v>
      </c>
      <c r="D2183" s="3">
        <v>1835</v>
      </c>
      <c r="E2183" s="3">
        <v>1865</v>
      </c>
      <c r="F2183" t="s">
        <v>10098</v>
      </c>
      <c r="G2183" t="s">
        <v>7</v>
      </c>
      <c r="H2183" s="3">
        <v>38.759300000000003</v>
      </c>
      <c r="I2183" t="s">
        <v>14686</v>
      </c>
      <c r="J2183" t="s">
        <v>12893</v>
      </c>
      <c r="L2183" t="s">
        <v>10099</v>
      </c>
      <c r="M2183" t="str">
        <f>"https://www.artic.edu/iiif/2/"&amp;Table9[[#This Row],[Image ID]]&amp;"/full/843,/0/default.jpg"</f>
        <v>https://www.artic.edu/iiif/2/85491753-2af1-475a-c492-1b73c882a33e/full/843,/0/default.jpg</v>
      </c>
      <c r="N2183" s="3">
        <v>0.67500000000000004</v>
      </c>
      <c r="O2183" s="3">
        <v>0.05</v>
      </c>
      <c r="P2183" s="3">
        <v>0.625</v>
      </c>
      <c r="Q2183" s="3">
        <v>0.741813063621521</v>
      </c>
    </row>
    <row r="2184" spans="1:17" x14ac:dyDescent="0.45">
      <c r="A2184" s="3">
        <v>561</v>
      </c>
      <c r="B2184" t="b">
        <v>0</v>
      </c>
      <c r="C2184" t="b">
        <v>1</v>
      </c>
      <c r="D2184" s="3">
        <v>1666</v>
      </c>
      <c r="E2184" s="3">
        <v>1666</v>
      </c>
      <c r="F2184" t="s">
        <v>8452</v>
      </c>
      <c r="G2184" t="s">
        <v>7</v>
      </c>
      <c r="H2184" s="3">
        <v>24.986799999999999</v>
      </c>
      <c r="I2184" t="s">
        <v>8453</v>
      </c>
      <c r="J2184" t="s">
        <v>12914</v>
      </c>
      <c r="L2184" t="s">
        <v>8454</v>
      </c>
      <c r="M2184" t="str">
        <f>"https://www.artic.edu/iiif/2/"&amp;Table9[[#This Row],[Image ID]]&amp;"/full/843,/0/default.jpg"</f>
        <v>https://www.artic.edu/iiif/2/87433360-2578-5b1b-c0b7-67921dc226fa/full/843,/0/default.jpg</v>
      </c>
      <c r="N2184" s="3">
        <v>0.82499999999999996</v>
      </c>
      <c r="O2184" s="3">
        <v>0.2</v>
      </c>
      <c r="P2184" s="3">
        <v>0.625</v>
      </c>
      <c r="Q2184" s="3">
        <v>0.70277941226959195</v>
      </c>
    </row>
    <row r="2185" spans="1:17" x14ac:dyDescent="0.45">
      <c r="A2185" s="3">
        <v>80091</v>
      </c>
      <c r="B2185" t="b">
        <v>0</v>
      </c>
      <c r="C2185" t="b">
        <v>1</v>
      </c>
      <c r="D2185" s="3">
        <v>1893</v>
      </c>
      <c r="E2185" s="3">
        <v>1901</v>
      </c>
      <c r="F2185" t="s">
        <v>9930</v>
      </c>
      <c r="G2185" t="s">
        <v>9931</v>
      </c>
      <c r="H2185" s="3">
        <v>50.290900000000001</v>
      </c>
      <c r="I2185" t="s">
        <v>259</v>
      </c>
      <c r="J2185" t="s">
        <v>12998</v>
      </c>
      <c r="L2185" t="s">
        <v>9932</v>
      </c>
      <c r="M2185" t="str">
        <f>"https://www.artic.edu/iiif/2/"&amp;Table9[[#This Row],[Image ID]]&amp;"/full/843,/0/default.jpg"</f>
        <v>https://www.artic.edu/iiif/2/8decb8d3-aa6d-ec2b-0175-9afd2d8591d8/full/843,/0/default.jpg</v>
      </c>
      <c r="N2185" s="3">
        <v>0.7</v>
      </c>
      <c r="O2185" s="3">
        <v>7.4999999999999997E-2</v>
      </c>
      <c r="P2185" s="3">
        <v>0.625</v>
      </c>
      <c r="Q2185" s="3">
        <v>0.88369327783584595</v>
      </c>
    </row>
    <row r="2186" spans="1:17" x14ac:dyDescent="0.45">
      <c r="A2186" s="3">
        <v>51686</v>
      </c>
      <c r="B2186" t="b">
        <v>0</v>
      </c>
      <c r="C2186" t="b">
        <v>1</v>
      </c>
      <c r="D2186" s="3">
        <v>1825</v>
      </c>
      <c r="E2186" s="3">
        <v>1883</v>
      </c>
      <c r="F2186" t="s">
        <v>8160</v>
      </c>
      <c r="G2186" t="s">
        <v>642</v>
      </c>
      <c r="H2186" s="3">
        <v>19.901800000000001</v>
      </c>
      <c r="I2186" t="s">
        <v>3033</v>
      </c>
      <c r="J2186" t="s">
        <v>13050</v>
      </c>
      <c r="L2186" t="s">
        <v>8161</v>
      </c>
      <c r="M2186" t="str">
        <f>"https://www.artic.edu/iiif/2/"&amp;Table9[[#This Row],[Image ID]]&amp;"/full/843,/0/default.jpg"</f>
        <v>https://www.artic.edu/iiif/2/92272a75-e704-6a0b-fb04-88a21bdc4581/full/843,/0/default.jpg</v>
      </c>
      <c r="N2186" s="3">
        <v>0.75</v>
      </c>
      <c r="O2186" s="3">
        <v>0.125</v>
      </c>
      <c r="P2186" s="3">
        <v>0.625</v>
      </c>
      <c r="Q2186" s="3">
        <v>0.59040546417236295</v>
      </c>
    </row>
    <row r="2187" spans="1:17" x14ac:dyDescent="0.45">
      <c r="A2187" s="3">
        <v>111174</v>
      </c>
      <c r="B2187" t="b">
        <v>0</v>
      </c>
      <c r="C2187" t="b">
        <v>1</v>
      </c>
      <c r="D2187" s="3">
        <v>1820</v>
      </c>
      <c r="E2187" s="3">
        <v>1830</v>
      </c>
      <c r="F2187" t="s">
        <v>1043</v>
      </c>
      <c r="G2187" t="s">
        <v>75</v>
      </c>
      <c r="H2187" s="3">
        <v>49.988900000000001</v>
      </c>
      <c r="I2187" t="s">
        <v>1044</v>
      </c>
      <c r="J2187" t="s">
        <v>13067</v>
      </c>
      <c r="L2187" t="s">
        <v>1045</v>
      </c>
      <c r="M2187" t="str">
        <f>"https://www.artic.edu/iiif/2/"&amp;Table9[[#This Row],[Image ID]]&amp;"/full/843,/0/default.jpg"</f>
        <v>https://www.artic.edu/iiif/2/93d95655-0b4e-b5b4-36b5-5fe8f84d5549/full/843,/0/default.jpg</v>
      </c>
      <c r="N2187" s="3">
        <v>0.65</v>
      </c>
      <c r="O2187" s="3">
        <v>2.5000000000000001E-2</v>
      </c>
      <c r="P2187" s="3">
        <v>0.625</v>
      </c>
      <c r="Q2187" s="3">
        <v>0.71148997545242298</v>
      </c>
    </row>
    <row r="2188" spans="1:17" x14ac:dyDescent="0.45">
      <c r="A2188" s="3">
        <v>72180</v>
      </c>
      <c r="B2188" t="b">
        <v>0</v>
      </c>
      <c r="C2188" t="b">
        <v>1</v>
      </c>
      <c r="D2188" s="3">
        <v>1881</v>
      </c>
      <c r="E2188" s="3">
        <v>1881</v>
      </c>
      <c r="F2188" t="s">
        <v>985</v>
      </c>
      <c r="G2188" t="s">
        <v>7</v>
      </c>
      <c r="H2188" s="3">
        <v>31.848600000000001</v>
      </c>
      <c r="I2188" t="s">
        <v>1269</v>
      </c>
      <c r="J2188" t="s">
        <v>11863</v>
      </c>
      <c r="K2188" s="5" t="s">
        <v>9</v>
      </c>
      <c r="L2188" t="s">
        <v>9536</v>
      </c>
      <c r="M2188" t="str">
        <f>"https://www.artic.edu/iiif/2/"&amp;Table9[[#This Row],[Image ID]]&amp;"/full/843,/0/default.jpg"</f>
        <v>https://www.artic.edu/iiif/2/94245750-c169-eb03-673e-cd03f718f885/full/843,/0/default.jpg</v>
      </c>
      <c r="N2188" s="3">
        <v>0.7</v>
      </c>
      <c r="O2188" s="3">
        <v>7.4999999999999997E-2</v>
      </c>
      <c r="P2188" s="3">
        <v>0.625</v>
      </c>
      <c r="Q2188" s="3">
        <v>0.63979148864746005</v>
      </c>
    </row>
    <row r="2189" spans="1:17" x14ac:dyDescent="0.45">
      <c r="A2189" s="3">
        <v>76881</v>
      </c>
      <c r="B2189" t="b">
        <v>0</v>
      </c>
      <c r="C2189" t="b">
        <v>1</v>
      </c>
      <c r="D2189" s="3">
        <v>1575</v>
      </c>
      <c r="E2189" s="3">
        <v>1600</v>
      </c>
      <c r="F2189" t="s">
        <v>9801</v>
      </c>
      <c r="G2189" t="s">
        <v>9802</v>
      </c>
      <c r="H2189" s="3">
        <v>38.058700000000002</v>
      </c>
      <c r="J2189" t="s">
        <v>13102</v>
      </c>
      <c r="L2189" t="s">
        <v>9803</v>
      </c>
      <c r="M2189" t="str">
        <f>"https://www.artic.edu/iiif/2/"&amp;Table9[[#This Row],[Image ID]]&amp;"/full/843,/0/default.jpg"</f>
        <v>https://www.artic.edu/iiif/2/969309e2-15a1-a933-43cd-c233d2075a26/full/843,/0/default.jpg</v>
      </c>
      <c r="N2189" s="3">
        <v>0.65</v>
      </c>
      <c r="O2189" s="3">
        <v>2.5000000000000001E-2</v>
      </c>
      <c r="P2189" s="3">
        <v>0.625</v>
      </c>
      <c r="Q2189" s="3">
        <v>0.77342945337295499</v>
      </c>
    </row>
    <row r="2190" spans="1:17" x14ac:dyDescent="0.45">
      <c r="A2190" s="3">
        <v>881</v>
      </c>
      <c r="B2190" t="b">
        <v>0</v>
      </c>
      <c r="C2190" t="b">
        <v>1</v>
      </c>
      <c r="D2190" s="3">
        <v>1850</v>
      </c>
      <c r="E2190" s="3">
        <v>1860</v>
      </c>
      <c r="F2190" t="s">
        <v>3071</v>
      </c>
      <c r="G2190" t="s">
        <v>7</v>
      </c>
      <c r="H2190" s="3">
        <v>0</v>
      </c>
      <c r="I2190" t="s">
        <v>373</v>
      </c>
      <c r="J2190" t="s">
        <v>13109</v>
      </c>
      <c r="L2190" t="s">
        <v>10409</v>
      </c>
      <c r="M2190" t="str">
        <f>"https://www.artic.edu/iiif/2/"&amp;Table9[[#This Row],[Image ID]]&amp;"/full/843,/0/default.jpg"</f>
        <v>https://www.artic.edu/iiif/2/96fe74e1-7085-09bc-407f-464d1524730b/full/843,/0/default.jpg</v>
      </c>
      <c r="N2190" s="3">
        <v>0.67500000000000004</v>
      </c>
      <c r="O2190" s="3">
        <v>0.05</v>
      </c>
      <c r="P2190" s="3">
        <v>0.625</v>
      </c>
      <c r="Q2190" s="3">
        <v>0.63093006610870295</v>
      </c>
    </row>
    <row r="2191" spans="1:17" x14ac:dyDescent="0.45">
      <c r="A2191" s="3">
        <v>151892</v>
      </c>
      <c r="B2191" t="b">
        <v>0</v>
      </c>
      <c r="C2191" t="b">
        <v>1</v>
      </c>
      <c r="D2191" s="3">
        <v>1300</v>
      </c>
      <c r="E2191" s="3">
        <v>1500</v>
      </c>
      <c r="F2191" t="s">
        <v>3854</v>
      </c>
      <c r="G2191" t="s">
        <v>3855</v>
      </c>
      <c r="H2191" s="3">
        <v>35.384</v>
      </c>
      <c r="J2191" t="s">
        <v>13110</v>
      </c>
      <c r="L2191" t="s">
        <v>3856</v>
      </c>
      <c r="M2191" t="str">
        <f>"https://www.artic.edu/iiif/2/"&amp;Table9[[#This Row],[Image ID]]&amp;"/full/843,/0/default.jpg"</f>
        <v>https://www.artic.edu/iiif/2/970d768e-9c29-67d7-3c0b-433e0b085b17/full/843,/0/default.jpg</v>
      </c>
      <c r="N2191" s="3">
        <v>0.77500000000000002</v>
      </c>
      <c r="O2191" s="3">
        <v>0.15</v>
      </c>
      <c r="P2191" s="3">
        <v>0.625</v>
      </c>
      <c r="Q2191" s="3">
        <v>0.82396060228347701</v>
      </c>
    </row>
    <row r="2192" spans="1:17" x14ac:dyDescent="0.45">
      <c r="A2192" s="3">
        <v>18686</v>
      </c>
      <c r="B2192" t="b">
        <v>0</v>
      </c>
      <c r="C2192" t="b">
        <v>1</v>
      </c>
      <c r="D2192" s="3">
        <v>1818</v>
      </c>
      <c r="E2192" s="3">
        <v>1863</v>
      </c>
      <c r="F2192" t="s">
        <v>5078</v>
      </c>
      <c r="G2192" t="s">
        <v>2222</v>
      </c>
      <c r="H2192" s="3">
        <v>26.392099999999999</v>
      </c>
      <c r="I2192" t="s">
        <v>14686</v>
      </c>
      <c r="J2192" t="s">
        <v>13128</v>
      </c>
      <c r="L2192" t="s">
        <v>5079</v>
      </c>
      <c r="M2192" t="str">
        <f>"https://www.artic.edu/iiif/2/"&amp;Table9[[#This Row],[Image ID]]&amp;"/full/843,/0/default.jpg"</f>
        <v>https://www.artic.edu/iiif/2/98979553-a768-8f25-df2c-8ead4206f015/full/843,/0/default.jpg</v>
      </c>
      <c r="N2192" s="3">
        <v>0.65</v>
      </c>
      <c r="O2192" s="3">
        <v>2.5000000000000001E-2</v>
      </c>
      <c r="P2192" s="3">
        <v>0.625</v>
      </c>
      <c r="Q2192" s="3">
        <v>0.86845517158508301</v>
      </c>
    </row>
    <row r="2193" spans="1:17" x14ac:dyDescent="0.45">
      <c r="A2193" s="3">
        <v>115878</v>
      </c>
      <c r="B2193" t="b">
        <v>0</v>
      </c>
      <c r="C2193" t="b">
        <v>1</v>
      </c>
      <c r="D2193" s="3">
        <v>1869</v>
      </c>
      <c r="E2193" s="3">
        <v>1869</v>
      </c>
      <c r="F2193" t="s">
        <v>2146</v>
      </c>
      <c r="G2193" t="s">
        <v>2147</v>
      </c>
      <c r="H2193" s="3">
        <v>28.500499999999999</v>
      </c>
      <c r="I2193" t="s">
        <v>2148</v>
      </c>
      <c r="J2193" t="s">
        <v>2150</v>
      </c>
      <c r="L2193" t="s">
        <v>2149</v>
      </c>
      <c r="M2193" t="str">
        <f>"https://www.artic.edu/iiif/2/"&amp;Table9[[#This Row],[Image ID]]&amp;"/full/843,/0/default.jpg"</f>
        <v>https://www.artic.edu/iiif/2/9bba1c7a-2db2-4ab0-c7a4-d73a1380f219/full/843,/0/default.jpg</v>
      </c>
      <c r="N2193" s="3">
        <v>0.75</v>
      </c>
      <c r="O2193" s="3">
        <v>0.125</v>
      </c>
      <c r="P2193" s="3">
        <v>0.625</v>
      </c>
      <c r="Q2193" s="3">
        <v>0.81259614229202204</v>
      </c>
    </row>
    <row r="2194" spans="1:17" x14ac:dyDescent="0.45">
      <c r="A2194" s="3">
        <v>66544</v>
      </c>
      <c r="B2194" t="b">
        <v>0</v>
      </c>
      <c r="C2194" t="b">
        <v>1</v>
      </c>
      <c r="D2194" s="3">
        <v>1885</v>
      </c>
      <c r="E2194" s="3">
        <v>1885</v>
      </c>
      <c r="F2194" t="s">
        <v>9301</v>
      </c>
      <c r="G2194" t="s">
        <v>9302</v>
      </c>
      <c r="H2194" s="3">
        <v>26.653199999999998</v>
      </c>
      <c r="I2194" t="s">
        <v>1527</v>
      </c>
      <c r="J2194" t="s">
        <v>13202</v>
      </c>
      <c r="L2194" t="s">
        <v>9303</v>
      </c>
      <c r="M2194" t="str">
        <f>"https://www.artic.edu/iiif/2/"&amp;Table9[[#This Row],[Image ID]]&amp;"/full/843,/0/default.jpg"</f>
        <v>https://www.artic.edu/iiif/2/9dd9f0bf-86dc-dabc-84b6-aa1f3ba4224a/full/843,/0/default.jpg</v>
      </c>
      <c r="N2194" s="3">
        <v>0.67500000000000004</v>
      </c>
      <c r="O2194" s="3">
        <v>0.05</v>
      </c>
      <c r="P2194" s="3">
        <v>0.625</v>
      </c>
      <c r="Q2194" s="3">
        <v>0.76582372188568104</v>
      </c>
    </row>
    <row r="2195" spans="1:17" x14ac:dyDescent="0.45">
      <c r="A2195" s="3">
        <v>129882</v>
      </c>
      <c r="B2195" t="b">
        <v>0</v>
      </c>
      <c r="C2195" t="b">
        <v>1</v>
      </c>
      <c r="D2195" s="3">
        <v>1745</v>
      </c>
      <c r="E2195" s="3">
        <v>1770</v>
      </c>
      <c r="F2195" t="s">
        <v>2963</v>
      </c>
      <c r="G2195" t="s">
        <v>723</v>
      </c>
      <c r="H2195" s="3">
        <v>89.915300000000002</v>
      </c>
      <c r="J2195" t="s">
        <v>13336</v>
      </c>
      <c r="K2195" s="5" t="s">
        <v>4</v>
      </c>
      <c r="L2195" t="s">
        <v>2964</v>
      </c>
      <c r="M2195" t="str">
        <f>"https://www.artic.edu/iiif/2/"&amp;Table9[[#This Row],[Image ID]]&amp;"/full/843,/0/default.jpg"</f>
        <v>https://www.artic.edu/iiif/2/a787b13e-6c41-1245-ecf4-d48a3cec6297/full/843,/0/default.jpg</v>
      </c>
      <c r="N2195" s="3">
        <v>0.65</v>
      </c>
      <c r="O2195" s="3">
        <v>2.5000000000000001E-2</v>
      </c>
      <c r="P2195" s="3">
        <v>0.625</v>
      </c>
      <c r="Q2195" s="3">
        <v>0.74134922027587802</v>
      </c>
    </row>
    <row r="2196" spans="1:17" x14ac:dyDescent="0.45">
      <c r="A2196" s="3">
        <v>115217</v>
      </c>
      <c r="B2196" t="b">
        <v>0</v>
      </c>
      <c r="C2196" t="b">
        <v>1</v>
      </c>
      <c r="D2196" s="3">
        <v>1855</v>
      </c>
      <c r="E2196" s="3">
        <v>1855</v>
      </c>
      <c r="F2196" t="s">
        <v>1876</v>
      </c>
      <c r="G2196" t="s">
        <v>1877</v>
      </c>
      <c r="H2196" s="3">
        <v>32.298699999999997</v>
      </c>
      <c r="I2196" t="s">
        <v>1555</v>
      </c>
      <c r="J2196" t="s">
        <v>13343</v>
      </c>
      <c r="L2196" t="s">
        <v>1878</v>
      </c>
      <c r="M2196" t="str">
        <f>"https://www.artic.edu/iiif/2/"&amp;Table9[[#This Row],[Image ID]]&amp;"/full/843,/0/default.jpg"</f>
        <v>https://www.artic.edu/iiif/2/a7e0bdca-2886-87ab-623a-4301ea4d3c5e/full/843,/0/default.jpg</v>
      </c>
      <c r="N2196" s="3">
        <v>0.82499999999999996</v>
      </c>
      <c r="O2196" s="3">
        <v>0.2</v>
      </c>
      <c r="P2196" s="3">
        <v>0.625</v>
      </c>
      <c r="Q2196" s="3">
        <v>0.65325671434402399</v>
      </c>
    </row>
    <row r="2197" spans="1:17" x14ac:dyDescent="0.45">
      <c r="A2197" s="3">
        <v>106736</v>
      </c>
      <c r="B2197" t="b">
        <v>0</v>
      </c>
      <c r="C2197" t="b">
        <v>1</v>
      </c>
      <c r="D2197" s="3">
        <v>1401</v>
      </c>
      <c r="E2197" s="3">
        <v>1500</v>
      </c>
      <c r="F2197" t="s">
        <v>586</v>
      </c>
      <c r="G2197" t="s">
        <v>584</v>
      </c>
      <c r="H2197" s="3">
        <v>38.550199999999997</v>
      </c>
      <c r="J2197" t="s">
        <v>13395</v>
      </c>
      <c r="K2197" s="5" t="s">
        <v>278</v>
      </c>
      <c r="L2197" t="s">
        <v>587</v>
      </c>
      <c r="M2197" t="str">
        <f>"https://www.artic.edu/iiif/2/"&amp;Table9[[#This Row],[Image ID]]&amp;"/full/843,/0/default.jpg"</f>
        <v>https://www.artic.edu/iiif/2/ac5803a0-aa72-3adc-26a6-5f8842c80b67/full/843,/0/default.jpg</v>
      </c>
      <c r="N2197" s="3">
        <v>0.7</v>
      </c>
      <c r="O2197" s="3">
        <v>7.4999999999999997E-2</v>
      </c>
      <c r="P2197" s="3">
        <v>0.625</v>
      </c>
      <c r="Q2197" s="3">
        <v>0.79326641559600797</v>
      </c>
    </row>
    <row r="2198" spans="1:17" x14ac:dyDescent="0.45">
      <c r="A2198" s="3">
        <v>15701</v>
      </c>
      <c r="B2198" t="b">
        <v>0</v>
      </c>
      <c r="C2198" t="b">
        <v>1</v>
      </c>
      <c r="D2198" s="3">
        <v>1750</v>
      </c>
      <c r="E2198" s="3">
        <v>1770</v>
      </c>
      <c r="F2198" t="s">
        <v>564</v>
      </c>
      <c r="G2198" t="s">
        <v>7</v>
      </c>
      <c r="H2198" s="3">
        <v>34.696899999999999</v>
      </c>
      <c r="I2198" t="s">
        <v>4080</v>
      </c>
      <c r="J2198" t="s">
        <v>13495</v>
      </c>
      <c r="L2198" t="s">
        <v>4081</v>
      </c>
      <c r="M2198" t="str">
        <f>"https://www.artic.edu/iiif/2/"&amp;Table9[[#This Row],[Image ID]]&amp;"/full/843,/0/default.jpg"</f>
        <v>https://www.artic.edu/iiif/2/b3a70994-e65c-9acf-c73f-46a602f101fd/full/843,/0/default.jpg</v>
      </c>
      <c r="N2198" s="3">
        <v>0.7</v>
      </c>
      <c r="O2198" s="3">
        <v>7.4999999999999997E-2</v>
      </c>
      <c r="P2198" s="3">
        <v>0.625</v>
      </c>
      <c r="Q2198" s="3">
        <v>0.778328597545623</v>
      </c>
    </row>
    <row r="2199" spans="1:17" x14ac:dyDescent="0.45">
      <c r="A2199" s="3">
        <v>228951</v>
      </c>
      <c r="B2199" t="b">
        <v>0</v>
      </c>
      <c r="C2199" t="b">
        <v>1</v>
      </c>
      <c r="D2199" s="3">
        <v>1605</v>
      </c>
      <c r="E2199" s="3">
        <v>1610</v>
      </c>
      <c r="F2199" t="s">
        <v>6047</v>
      </c>
      <c r="G2199" t="s">
        <v>6048</v>
      </c>
      <c r="H2199" s="3">
        <v>14.5022</v>
      </c>
      <c r="I2199" t="s">
        <v>14634</v>
      </c>
      <c r="J2199" t="s">
        <v>13585</v>
      </c>
      <c r="K2199" s="5" t="s">
        <v>13</v>
      </c>
      <c r="L2199" t="s">
        <v>6049</v>
      </c>
      <c r="M2199" t="str">
        <f>"https://www.artic.edu/iiif/2/"&amp;Table9[[#This Row],[Image ID]]&amp;"/full/843,/0/default.jpg"</f>
        <v>https://www.artic.edu/iiif/2/bb1a0453-7921-1edb-3128-5d8bed7d5a9f/full/843,/0/default.jpg</v>
      </c>
      <c r="N2199" s="3">
        <v>0.72499999999999998</v>
      </c>
      <c r="O2199" s="3">
        <v>0.1</v>
      </c>
      <c r="P2199" s="3">
        <v>0.625</v>
      </c>
      <c r="Q2199" s="3">
        <v>0.72328293323516801</v>
      </c>
    </row>
    <row r="2200" spans="1:17" x14ac:dyDescent="0.45">
      <c r="A2200" s="3">
        <v>68931</v>
      </c>
      <c r="B2200" t="b">
        <v>0</v>
      </c>
      <c r="C2200" t="b">
        <v>1</v>
      </c>
      <c r="D2200" s="3">
        <v>1871</v>
      </c>
      <c r="E2200" s="3">
        <v>1871</v>
      </c>
      <c r="F2200" t="s">
        <v>9373</v>
      </c>
      <c r="G2200" t="s">
        <v>7</v>
      </c>
      <c r="H2200" s="3">
        <v>40.365099999999998</v>
      </c>
      <c r="I2200" t="s">
        <v>9374</v>
      </c>
      <c r="J2200" t="s">
        <v>13628</v>
      </c>
      <c r="K2200" s="5" t="s">
        <v>125</v>
      </c>
      <c r="L2200" t="s">
        <v>9375</v>
      </c>
      <c r="M2200" t="str">
        <f>"https://www.artic.edu/iiif/2/"&amp;Table9[[#This Row],[Image ID]]&amp;"/full/843,/0/default.jpg"</f>
        <v>https://www.artic.edu/iiif/2/be55cb36-241c-0760-cb70-d4b87603defe/full/843,/0/default.jpg</v>
      </c>
      <c r="N2200" s="3">
        <v>0.75</v>
      </c>
      <c r="O2200" s="3">
        <v>0.125</v>
      </c>
      <c r="P2200" s="3">
        <v>0.625</v>
      </c>
      <c r="Q2200" s="3">
        <v>0.76325976848602295</v>
      </c>
    </row>
    <row r="2201" spans="1:17" x14ac:dyDescent="0.45">
      <c r="A2201" s="3">
        <v>11392</v>
      </c>
      <c r="B2201" t="b">
        <v>0</v>
      </c>
      <c r="C2201" t="b">
        <v>1</v>
      </c>
      <c r="D2201" s="3">
        <v>1650</v>
      </c>
      <c r="E2201" s="3">
        <v>1660</v>
      </c>
      <c r="F2201" t="s">
        <v>1522</v>
      </c>
      <c r="G2201" t="s">
        <v>7</v>
      </c>
      <c r="H2201" s="3">
        <v>29.2559</v>
      </c>
      <c r="I2201" t="s">
        <v>14615</v>
      </c>
      <c r="J2201" t="s">
        <v>13660</v>
      </c>
      <c r="L2201" t="s">
        <v>1523</v>
      </c>
      <c r="M2201" t="str">
        <f>"https://www.artic.edu/iiif/2/"&amp;Table9[[#This Row],[Image ID]]&amp;"/full/843,/0/default.jpg"</f>
        <v>https://www.artic.edu/iiif/2/c09e1324-a54a-ce55-96a0-dc66034bf570/full/843,/0/default.jpg</v>
      </c>
      <c r="N2201" s="3">
        <v>0.72499999999999998</v>
      </c>
      <c r="O2201" s="3">
        <v>0.1</v>
      </c>
      <c r="P2201" s="3">
        <v>0.625</v>
      </c>
      <c r="Q2201" s="3">
        <v>0.82915568351745605</v>
      </c>
    </row>
    <row r="2202" spans="1:17" x14ac:dyDescent="0.45">
      <c r="A2202" s="3">
        <v>28086</v>
      </c>
      <c r="B2202" t="b">
        <v>0</v>
      </c>
      <c r="C2202" t="b">
        <v>1</v>
      </c>
      <c r="D2202" s="3">
        <v>1869</v>
      </c>
      <c r="E2202" s="3">
        <v>1869</v>
      </c>
      <c r="F2202" t="s">
        <v>527</v>
      </c>
      <c r="G2202" t="s">
        <v>7</v>
      </c>
      <c r="H2202" s="3">
        <v>18.857399999999998</v>
      </c>
      <c r="I2202" t="s">
        <v>1077</v>
      </c>
      <c r="J2202" t="s">
        <v>13720</v>
      </c>
      <c r="L2202" t="s">
        <v>6781</v>
      </c>
      <c r="M2202" t="str">
        <f>"https://www.artic.edu/iiif/2/"&amp;Table9[[#This Row],[Image ID]]&amp;"/full/843,/0/default.jpg"</f>
        <v>https://www.artic.edu/iiif/2/c65c4d31-4c8e-0135-1271-433a10c8350a/full/843,/0/default.jpg</v>
      </c>
      <c r="N2202" s="3">
        <v>0.7</v>
      </c>
      <c r="O2202" s="3">
        <v>7.4999999999999997E-2</v>
      </c>
      <c r="P2202" s="3">
        <v>0.625</v>
      </c>
      <c r="Q2202" s="3">
        <v>0.78727811574935902</v>
      </c>
    </row>
    <row r="2203" spans="1:17" x14ac:dyDescent="0.45">
      <c r="A2203" s="3">
        <v>191183</v>
      </c>
      <c r="B2203" t="b">
        <v>0</v>
      </c>
      <c r="C2203" t="b">
        <v>1</v>
      </c>
      <c r="D2203" s="3">
        <v>1882</v>
      </c>
      <c r="E2203" s="3">
        <v>1882</v>
      </c>
      <c r="F2203" t="s">
        <v>5189</v>
      </c>
      <c r="G2203" t="s">
        <v>7</v>
      </c>
      <c r="H2203" s="3">
        <v>16.634899999999998</v>
      </c>
      <c r="I2203" t="s">
        <v>934</v>
      </c>
      <c r="J2203" t="s">
        <v>13730</v>
      </c>
      <c r="K2203" s="5" t="s">
        <v>9</v>
      </c>
      <c r="L2203" t="s">
        <v>5190</v>
      </c>
      <c r="M2203" t="str">
        <f>"https://www.artic.edu/iiif/2/"&amp;Table9[[#This Row],[Image ID]]&amp;"/full/843,/0/default.jpg"</f>
        <v>https://www.artic.edu/iiif/2/c6da9f8c-643b-f331-0f8f-a9b6a844caf6/full/843,/0/default.jpg</v>
      </c>
      <c r="N2203" s="3">
        <v>0.67500000000000004</v>
      </c>
      <c r="O2203" s="3">
        <v>0.05</v>
      </c>
      <c r="P2203" s="3">
        <v>0.625</v>
      </c>
      <c r="Q2203" s="3">
        <v>0.80438858270645097</v>
      </c>
    </row>
    <row r="2204" spans="1:17" x14ac:dyDescent="0.45">
      <c r="A2204" s="3">
        <v>16275</v>
      </c>
      <c r="B2204" t="b">
        <v>0</v>
      </c>
      <c r="C2204" t="b">
        <v>1</v>
      </c>
      <c r="D2204" s="3">
        <v>1475</v>
      </c>
      <c r="E2204" s="3">
        <v>1475</v>
      </c>
      <c r="F2204" t="s">
        <v>715</v>
      </c>
      <c r="G2204" t="s">
        <v>75</v>
      </c>
      <c r="H2204" s="3">
        <v>36.154800000000002</v>
      </c>
      <c r="I2204" t="s">
        <v>4337</v>
      </c>
      <c r="J2204" t="s">
        <v>13737</v>
      </c>
      <c r="L2204" t="s">
        <v>4339</v>
      </c>
      <c r="M2204" t="str">
        <f>"https://www.artic.edu/iiif/2/"&amp;Table9[[#This Row],[Image ID]]&amp;"/full/843,/0/default.jpg"</f>
        <v>https://www.artic.edu/iiif/2/c73db455-f14e-c32a-cf42-75b3572cb23c/full/843,/0/default.jpg</v>
      </c>
      <c r="N2204" s="3">
        <v>0.77500000000000002</v>
      </c>
      <c r="O2204" s="3">
        <v>0.15</v>
      </c>
      <c r="P2204" s="3">
        <v>0.625</v>
      </c>
      <c r="Q2204" s="3">
        <v>0.79124224185943604</v>
      </c>
    </row>
    <row r="2205" spans="1:17" x14ac:dyDescent="0.45">
      <c r="A2205" s="3">
        <v>38948</v>
      </c>
      <c r="B2205" t="b">
        <v>0</v>
      </c>
      <c r="C2205" t="b">
        <v>1</v>
      </c>
      <c r="D2205" s="3">
        <v>1776</v>
      </c>
      <c r="E2205" s="3">
        <v>1827</v>
      </c>
      <c r="F2205" t="s">
        <v>7340</v>
      </c>
      <c r="G2205" t="s">
        <v>7341</v>
      </c>
      <c r="H2205" s="3">
        <v>27.0702</v>
      </c>
      <c r="I2205" t="s">
        <v>1266</v>
      </c>
      <c r="J2205" t="s">
        <v>13752</v>
      </c>
      <c r="L2205" t="s">
        <v>7342</v>
      </c>
      <c r="M2205" t="str">
        <f>"https://www.artic.edu/iiif/2/"&amp;Table9[[#This Row],[Image ID]]&amp;"/full/843,/0/default.jpg"</f>
        <v>https://www.artic.edu/iiif/2/c816dae8-d4f2-a630-9d95-633a0fad3cb8/full/843,/0/default.jpg</v>
      </c>
      <c r="N2205" s="3">
        <v>0.77500000000000002</v>
      </c>
      <c r="O2205" s="3">
        <v>0.15</v>
      </c>
      <c r="P2205" s="3">
        <v>0.625</v>
      </c>
      <c r="Q2205" s="3">
        <v>0.77609175443649203</v>
      </c>
    </row>
    <row r="2206" spans="1:17" x14ac:dyDescent="0.45">
      <c r="A2206" s="3">
        <v>80463</v>
      </c>
      <c r="B2206" t="b">
        <v>0</v>
      </c>
      <c r="C2206" t="b">
        <v>1</v>
      </c>
      <c r="D2206" s="3">
        <v>1863</v>
      </c>
      <c r="E2206" s="3">
        <v>1863</v>
      </c>
      <c r="F2206" t="s">
        <v>564</v>
      </c>
      <c r="G2206" t="s">
        <v>7</v>
      </c>
      <c r="H2206" s="3">
        <v>21.2453</v>
      </c>
      <c r="I2206" t="s">
        <v>8750</v>
      </c>
      <c r="J2206" t="s">
        <v>13796</v>
      </c>
      <c r="L2206" t="s">
        <v>9974</v>
      </c>
      <c r="M2206" t="str">
        <f>"https://www.artic.edu/iiif/2/"&amp;Table9[[#This Row],[Image ID]]&amp;"/full/843,/0/default.jpg"</f>
        <v>https://www.artic.edu/iiif/2/cba37025-23eb-b55d-4e53-57a0a694eb37/full/843,/0/default.jpg</v>
      </c>
      <c r="N2206" s="3">
        <v>0.77500000000000002</v>
      </c>
      <c r="O2206" s="3">
        <v>0.15</v>
      </c>
      <c r="P2206" s="3">
        <v>0.625</v>
      </c>
      <c r="Q2206" s="3">
        <v>0.85526424646377497</v>
      </c>
    </row>
    <row r="2207" spans="1:17" x14ac:dyDescent="0.45">
      <c r="A2207" s="3">
        <v>90071</v>
      </c>
      <c r="B2207" t="b">
        <v>0</v>
      </c>
      <c r="C2207" t="b">
        <v>1</v>
      </c>
      <c r="D2207" s="3">
        <v>1390</v>
      </c>
      <c r="E2207" s="3">
        <v>1410</v>
      </c>
      <c r="F2207" t="s">
        <v>10505</v>
      </c>
      <c r="G2207" t="s">
        <v>10506</v>
      </c>
      <c r="H2207" s="3">
        <v>49.714500000000001</v>
      </c>
      <c r="J2207" t="s">
        <v>13801</v>
      </c>
      <c r="L2207" t="s">
        <v>10507</v>
      </c>
      <c r="M2207" t="str">
        <f>"https://www.artic.edu/iiif/2/"&amp;Table9[[#This Row],[Image ID]]&amp;"/full/843,/0/default.jpg"</f>
        <v>https://www.artic.edu/iiif/2/cc179e1f-83df-7ddb-7e3c-8816f0c446d9/full/843,/0/default.jpg</v>
      </c>
      <c r="N2207" s="3">
        <v>0.72499999999999998</v>
      </c>
      <c r="O2207" s="3">
        <v>0.1</v>
      </c>
      <c r="P2207" s="3">
        <v>0.625</v>
      </c>
      <c r="Q2207" s="3">
        <v>0.72735649347305298</v>
      </c>
    </row>
    <row r="2208" spans="1:17" x14ac:dyDescent="0.45">
      <c r="A2208" s="3">
        <v>34461</v>
      </c>
      <c r="B2208" t="b">
        <v>0</v>
      </c>
      <c r="C2208" t="b">
        <v>1</v>
      </c>
      <c r="D2208" s="3">
        <v>1901</v>
      </c>
      <c r="E2208" s="3">
        <v>1901</v>
      </c>
      <c r="F2208" t="s">
        <v>7125</v>
      </c>
      <c r="G2208" t="s">
        <v>3958</v>
      </c>
      <c r="H2208" s="3">
        <v>35.244599999999998</v>
      </c>
      <c r="I2208" t="s">
        <v>872</v>
      </c>
      <c r="J2208" t="s">
        <v>13804</v>
      </c>
      <c r="K2208" s="5" t="s">
        <v>115</v>
      </c>
      <c r="L2208" t="s">
        <v>7126</v>
      </c>
      <c r="M2208" t="str">
        <f>"https://www.artic.edu/iiif/2/"&amp;Table9[[#This Row],[Image ID]]&amp;"/full/843,/0/default.jpg"</f>
        <v>https://www.artic.edu/iiif/2/cc5cdb81-14cf-27e9-eda8-94c08244ebaa/full/843,/0/default.jpg</v>
      </c>
      <c r="N2208" s="3">
        <v>0.67500000000000004</v>
      </c>
      <c r="O2208" s="3">
        <v>0.05</v>
      </c>
      <c r="P2208" s="3">
        <v>0.625</v>
      </c>
      <c r="Q2208" s="3">
        <v>0.69920581579208296</v>
      </c>
    </row>
    <row r="2209" spans="1:17" x14ac:dyDescent="0.45">
      <c r="A2209" s="3">
        <v>11022</v>
      </c>
      <c r="B2209" t="b">
        <v>0</v>
      </c>
      <c r="C2209" t="b">
        <v>1</v>
      </c>
      <c r="D2209" s="3">
        <v>1645</v>
      </c>
      <c r="E2209" s="3">
        <v>1655</v>
      </c>
      <c r="F2209" t="s">
        <v>886</v>
      </c>
      <c r="G2209" t="s">
        <v>7</v>
      </c>
      <c r="H2209" s="3">
        <v>0</v>
      </c>
      <c r="I2209" t="s">
        <v>887</v>
      </c>
      <c r="J2209" t="s">
        <v>13854</v>
      </c>
      <c r="L2209" t="s">
        <v>888</v>
      </c>
      <c r="M2209" t="str">
        <f>"https://www.artic.edu/iiif/2/"&amp;Table9[[#This Row],[Image ID]]&amp;"/full/843,/0/default.jpg"</f>
        <v>https://www.artic.edu/iiif/2/d0cbcbff-7858-c6a4-e12a-4b691f21ca6d/full/843,/0/default.jpg</v>
      </c>
      <c r="N2209" s="3">
        <v>0.72499999999999998</v>
      </c>
      <c r="O2209" s="3">
        <v>0.1</v>
      </c>
      <c r="P2209" s="3">
        <v>0.625</v>
      </c>
      <c r="Q2209" s="3">
        <v>0.71495133638381902</v>
      </c>
    </row>
    <row r="2210" spans="1:17" x14ac:dyDescent="0.45">
      <c r="A2210" s="3">
        <v>80587</v>
      </c>
      <c r="B2210" t="b">
        <v>0</v>
      </c>
      <c r="C2210" t="b">
        <v>1</v>
      </c>
      <c r="D2210" s="3">
        <v>1873</v>
      </c>
      <c r="E2210" s="3">
        <v>1879</v>
      </c>
      <c r="F2210" t="s">
        <v>10035</v>
      </c>
      <c r="G2210" t="s">
        <v>7</v>
      </c>
      <c r="H2210" s="3">
        <v>43.766199999999998</v>
      </c>
      <c r="I2210" t="s">
        <v>309</v>
      </c>
      <c r="J2210" t="s">
        <v>13858</v>
      </c>
      <c r="L2210" t="s">
        <v>10036</v>
      </c>
      <c r="M2210" t="str">
        <f>"https://www.artic.edu/iiif/2/"&amp;Table9[[#This Row],[Image ID]]&amp;"/full/843,/0/default.jpg"</f>
        <v>https://www.artic.edu/iiif/2/d12a2ca4-02f7-e678-3c3f-5aed87096b6d/full/843,/0/default.jpg</v>
      </c>
      <c r="N2210" s="3">
        <v>0.7</v>
      </c>
      <c r="O2210" s="3">
        <v>7.4999999999999997E-2</v>
      </c>
      <c r="P2210" s="3">
        <v>0.625</v>
      </c>
      <c r="Q2210" s="3">
        <v>0.698394834995269</v>
      </c>
    </row>
    <row r="2211" spans="1:17" x14ac:dyDescent="0.45">
      <c r="A2211" s="3">
        <v>115638</v>
      </c>
      <c r="B2211" t="b">
        <v>0</v>
      </c>
      <c r="C2211" t="b">
        <v>1</v>
      </c>
      <c r="D2211" s="3">
        <v>1880</v>
      </c>
      <c r="E2211" s="3">
        <v>1900</v>
      </c>
      <c r="F2211" t="s">
        <v>2041</v>
      </c>
      <c r="G2211" t="s">
        <v>2042</v>
      </c>
      <c r="H2211" s="3">
        <v>22.968399999999999</v>
      </c>
      <c r="I2211" t="s">
        <v>2043</v>
      </c>
      <c r="J2211" t="s">
        <v>13949</v>
      </c>
      <c r="L2211" t="s">
        <v>2044</v>
      </c>
      <c r="M2211" t="str">
        <f>"https://www.artic.edu/iiif/2/"&amp;Table9[[#This Row],[Image ID]]&amp;"/full/843,/0/default.jpg"</f>
        <v>https://www.artic.edu/iiif/2/d7d4878c-d6cf-5c47-ee3c-6cee09cbf632/full/843,/0/default.jpg</v>
      </c>
      <c r="N2211" s="3">
        <v>0.7</v>
      </c>
      <c r="O2211" s="3">
        <v>7.4999999999999997E-2</v>
      </c>
      <c r="P2211" s="3">
        <v>0.625</v>
      </c>
      <c r="Q2211" s="3">
        <v>0.52218592166900601</v>
      </c>
    </row>
    <row r="2212" spans="1:17" x14ac:dyDescent="0.45">
      <c r="A2212" s="3">
        <v>115119</v>
      </c>
      <c r="B2212" t="b">
        <v>0</v>
      </c>
      <c r="C2212" t="b">
        <v>1</v>
      </c>
      <c r="D2212" s="3">
        <v>1850</v>
      </c>
      <c r="E2212" s="3">
        <v>1850</v>
      </c>
      <c r="F2212" t="s">
        <v>1776</v>
      </c>
      <c r="G2212" t="s">
        <v>1769</v>
      </c>
      <c r="H2212" s="3">
        <v>36.553600000000003</v>
      </c>
      <c r="I2212" t="s">
        <v>1555</v>
      </c>
      <c r="J2212" t="s">
        <v>13954</v>
      </c>
      <c r="L2212" t="s">
        <v>1777</v>
      </c>
      <c r="M2212" t="str">
        <f>"https://www.artic.edu/iiif/2/"&amp;Table9[[#This Row],[Image ID]]&amp;"/full/843,/0/default.jpg"</f>
        <v>https://www.artic.edu/iiif/2/d831540c-84cb-b080-fb1c-dfdec5ac9a70/full/843,/0/default.jpg</v>
      </c>
      <c r="N2212" s="3">
        <v>0.67500000000000004</v>
      </c>
      <c r="O2212" s="3">
        <v>0.05</v>
      </c>
      <c r="P2212" s="3">
        <v>0.625</v>
      </c>
      <c r="Q2212" s="3">
        <v>0.62152963876724199</v>
      </c>
    </row>
    <row r="2213" spans="1:17" x14ac:dyDescent="0.45">
      <c r="A2213" s="3">
        <v>49068</v>
      </c>
      <c r="B2213" t="b">
        <v>0</v>
      </c>
      <c r="C2213" t="b">
        <v>1</v>
      </c>
      <c r="D2213" s="3">
        <v>1655</v>
      </c>
      <c r="E2213" s="3">
        <v>1685</v>
      </c>
      <c r="F2213" t="s">
        <v>8039</v>
      </c>
      <c r="G2213" t="s">
        <v>7</v>
      </c>
      <c r="H2213" s="3">
        <v>0</v>
      </c>
      <c r="I2213" t="s">
        <v>8040</v>
      </c>
      <c r="J2213" t="s">
        <v>14003</v>
      </c>
      <c r="L2213" t="s">
        <v>8041</v>
      </c>
      <c r="M2213" t="str">
        <f>"https://www.artic.edu/iiif/2/"&amp;Table9[[#This Row],[Image ID]]&amp;"/full/843,/0/default.jpg"</f>
        <v>https://www.artic.edu/iiif/2/dbc7219b-0da0-6610-0fe8-da17fb2b2e1e/full/843,/0/default.jpg</v>
      </c>
      <c r="N2213" s="3">
        <v>0.8</v>
      </c>
      <c r="O2213" s="3">
        <v>0.17499999999999999</v>
      </c>
      <c r="P2213" s="3">
        <v>0.625</v>
      </c>
      <c r="Q2213" s="3">
        <v>0.64620625972747803</v>
      </c>
    </row>
    <row r="2214" spans="1:17" x14ac:dyDescent="0.45">
      <c r="A2214" s="3">
        <v>12535</v>
      </c>
      <c r="B2214" t="b">
        <v>0</v>
      </c>
      <c r="C2214" t="b">
        <v>1</v>
      </c>
      <c r="D2214" s="3">
        <v>1857</v>
      </c>
      <c r="E2214" s="3">
        <v>1857</v>
      </c>
      <c r="F2214" t="s">
        <v>2758</v>
      </c>
      <c r="G2214" t="s">
        <v>7</v>
      </c>
      <c r="H2214" s="3">
        <v>42.558900000000001</v>
      </c>
      <c r="I2214" t="s">
        <v>123</v>
      </c>
      <c r="J2214" t="s">
        <v>14015</v>
      </c>
      <c r="L2214" t="s">
        <v>2759</v>
      </c>
      <c r="M2214" t="str">
        <f>"https://www.artic.edu/iiif/2/"&amp;Table9[[#This Row],[Image ID]]&amp;"/full/843,/0/default.jpg"</f>
        <v>https://www.artic.edu/iiif/2/dcad8730-941b-a68e-0edb-fb60cef0d6a3/full/843,/0/default.jpg</v>
      </c>
      <c r="N2214" s="3">
        <v>0.75</v>
      </c>
      <c r="O2214" s="3">
        <v>0.125</v>
      </c>
      <c r="P2214" s="3">
        <v>0.625</v>
      </c>
      <c r="Q2214" s="3">
        <v>0.51808899641036898</v>
      </c>
    </row>
    <row r="2215" spans="1:17" x14ac:dyDescent="0.45">
      <c r="A2215" s="3">
        <v>115497</v>
      </c>
      <c r="B2215" t="b">
        <v>0</v>
      </c>
      <c r="C2215" t="b">
        <v>1</v>
      </c>
      <c r="D2215" s="3">
        <v>1719</v>
      </c>
      <c r="E2215" s="3">
        <v>1769</v>
      </c>
      <c r="F2215" t="s">
        <v>1962</v>
      </c>
      <c r="G2215" t="s">
        <v>1921</v>
      </c>
      <c r="H2215" s="3">
        <v>36.773000000000003</v>
      </c>
      <c r="I2215" t="s">
        <v>1922</v>
      </c>
      <c r="J2215" t="s">
        <v>14020</v>
      </c>
      <c r="L2215" t="s">
        <v>1963</v>
      </c>
      <c r="M2215" t="str">
        <f>"https://www.artic.edu/iiif/2/"&amp;Table9[[#This Row],[Image ID]]&amp;"/full/843,/0/default.jpg"</f>
        <v>https://www.artic.edu/iiif/2/dcef5284-d001-3037-6fc7-5101635c5322/full/843,/0/default.jpg</v>
      </c>
      <c r="N2215" s="3">
        <v>0.75</v>
      </c>
      <c r="O2215" s="3">
        <v>0.125</v>
      </c>
      <c r="P2215" s="3">
        <v>0.625</v>
      </c>
      <c r="Q2215" s="3">
        <v>0.77299845218658403</v>
      </c>
    </row>
    <row r="2216" spans="1:17" x14ac:dyDescent="0.45">
      <c r="A2216" s="3">
        <v>39022</v>
      </c>
      <c r="B2216" t="b">
        <v>0</v>
      </c>
      <c r="C2216" t="b">
        <v>1</v>
      </c>
      <c r="D2216" s="3">
        <v>1815</v>
      </c>
      <c r="E2216" s="3">
        <v>1820</v>
      </c>
      <c r="F2216" t="s">
        <v>7382</v>
      </c>
      <c r="G2216" t="s">
        <v>7378</v>
      </c>
      <c r="H2216" s="3">
        <v>46.387099999999997</v>
      </c>
      <c r="I2216" t="s">
        <v>7307</v>
      </c>
      <c r="J2216" t="s">
        <v>14056</v>
      </c>
      <c r="L2216" t="s">
        <v>7383</v>
      </c>
      <c r="M2216" t="str">
        <f>"https://www.artic.edu/iiif/2/"&amp;Table9[[#This Row],[Image ID]]&amp;"/full/843,/0/default.jpg"</f>
        <v>https://www.artic.edu/iiif/2/dfc6b8ff-6ad3-8f18-d586-61c29fb6ac5f/full/843,/0/default.jpg</v>
      </c>
      <c r="N2216" s="3">
        <v>0.7</v>
      </c>
      <c r="O2216" s="3">
        <v>7.4999999999999997E-2</v>
      </c>
      <c r="P2216" s="3">
        <v>0.625</v>
      </c>
      <c r="Q2216" s="3">
        <v>0.591064453125</v>
      </c>
    </row>
    <row r="2217" spans="1:17" x14ac:dyDescent="0.45">
      <c r="A2217" s="3">
        <v>55692</v>
      </c>
      <c r="B2217" t="b">
        <v>0</v>
      </c>
      <c r="C2217" t="b">
        <v>1</v>
      </c>
      <c r="D2217" s="3">
        <v>1800</v>
      </c>
      <c r="E2217" s="3">
        <v>1820</v>
      </c>
      <c r="F2217" t="s">
        <v>8377</v>
      </c>
      <c r="G2217" t="s">
        <v>2618</v>
      </c>
      <c r="H2217" s="3">
        <v>27.632300000000001</v>
      </c>
      <c r="I2217" t="s">
        <v>21</v>
      </c>
      <c r="J2217" t="s">
        <v>14080</v>
      </c>
      <c r="K2217" s="5" t="s">
        <v>125</v>
      </c>
      <c r="L2217" t="s">
        <v>8378</v>
      </c>
      <c r="M2217" t="str">
        <f>"https://www.artic.edu/iiif/2/"&amp;Table9[[#This Row],[Image ID]]&amp;"/full/843,/0/default.jpg"</f>
        <v>https://www.artic.edu/iiif/2/e10efc2c-b1a4-92c2-6180-813866c58c38/full/843,/0/default.jpg</v>
      </c>
      <c r="N2217" s="3">
        <v>0.7</v>
      </c>
      <c r="O2217" s="3">
        <v>7.4999999999999997E-2</v>
      </c>
      <c r="P2217" s="3">
        <v>0.625</v>
      </c>
      <c r="Q2217" s="3">
        <v>0.55509990453720004</v>
      </c>
    </row>
    <row r="2218" spans="1:17" x14ac:dyDescent="0.45">
      <c r="A2218" s="3">
        <v>43672</v>
      </c>
      <c r="B2218" t="b">
        <v>0</v>
      </c>
      <c r="C2218" t="b">
        <v>1</v>
      </c>
      <c r="D2218" s="3">
        <v>1852</v>
      </c>
      <c r="E2218" s="3">
        <v>1883</v>
      </c>
      <c r="F2218" t="s">
        <v>7727</v>
      </c>
      <c r="G2218" t="s">
        <v>7728</v>
      </c>
      <c r="H2218" s="3">
        <v>11.206200000000001</v>
      </c>
      <c r="I2218" t="s">
        <v>14553</v>
      </c>
      <c r="J2218" t="s">
        <v>14112</v>
      </c>
      <c r="L2218" t="s">
        <v>7729</v>
      </c>
      <c r="M2218" t="str">
        <f>"https://www.artic.edu/iiif/2/"&amp;Table9[[#This Row],[Image ID]]&amp;"/full/843,/0/default.jpg"</f>
        <v>https://www.artic.edu/iiif/2/e2a59ec2-2850-ad48-806a-cdc8557f47fe/full/843,/0/default.jpg</v>
      </c>
      <c r="N2218" s="3">
        <v>0.65</v>
      </c>
      <c r="O2218" s="3">
        <v>2.5000000000000001E-2</v>
      </c>
      <c r="P2218" s="3">
        <v>0.625</v>
      </c>
      <c r="Q2218" s="3">
        <v>0.55867755413055398</v>
      </c>
    </row>
    <row r="2219" spans="1:17" x14ac:dyDescent="0.45">
      <c r="A2219" s="3">
        <v>80906</v>
      </c>
      <c r="B2219" t="b">
        <v>0</v>
      </c>
      <c r="C2219" t="b">
        <v>1</v>
      </c>
      <c r="D2219" s="3">
        <v>1335</v>
      </c>
      <c r="E2219" s="3">
        <v>1400</v>
      </c>
      <c r="F2219" t="s">
        <v>10061</v>
      </c>
      <c r="G2219" t="s">
        <v>10062</v>
      </c>
      <c r="H2219" s="3">
        <v>44.692700000000002</v>
      </c>
      <c r="I2219" t="s">
        <v>6166</v>
      </c>
      <c r="J2219" t="s">
        <v>14115</v>
      </c>
      <c r="K2219" s="5" t="s">
        <v>278</v>
      </c>
      <c r="L2219" t="s">
        <v>10063</v>
      </c>
      <c r="M2219" t="str">
        <f>"https://www.artic.edu/iiif/2/"&amp;Table9[[#This Row],[Image ID]]&amp;"/full/843,/0/default.jpg"</f>
        <v>https://www.artic.edu/iiif/2/e2f5d569-d9bf-2497-b12f-f0748443e3be/full/843,/0/default.jpg</v>
      </c>
      <c r="N2219" s="3">
        <v>0.75</v>
      </c>
      <c r="O2219" s="3">
        <v>0.125</v>
      </c>
      <c r="P2219" s="3">
        <v>0.625</v>
      </c>
      <c r="Q2219" s="3">
        <v>0.86894541978836004</v>
      </c>
    </row>
    <row r="2220" spans="1:17" x14ac:dyDescent="0.45">
      <c r="A2220" s="3">
        <v>106735</v>
      </c>
      <c r="B2220" t="b">
        <v>0</v>
      </c>
      <c r="C2220" t="b">
        <v>1</v>
      </c>
      <c r="D2220" s="3">
        <v>1401</v>
      </c>
      <c r="E2220" s="3">
        <v>1500</v>
      </c>
      <c r="F2220" t="s">
        <v>583</v>
      </c>
      <c r="G2220" t="s">
        <v>584</v>
      </c>
      <c r="H2220" s="3">
        <v>34.440100000000001</v>
      </c>
      <c r="J2220" t="s">
        <v>14123</v>
      </c>
      <c r="K2220" s="5" t="s">
        <v>278</v>
      </c>
      <c r="L2220" t="s">
        <v>585</v>
      </c>
      <c r="M2220" t="str">
        <f>"https://www.artic.edu/iiif/2/"&amp;Table9[[#This Row],[Image ID]]&amp;"/full/843,/0/default.jpg"</f>
        <v>https://www.artic.edu/iiif/2/e36ddda3-4719-454f-2c39-28f566e2040f/full/843,/0/default.jpg</v>
      </c>
      <c r="N2220" s="3">
        <v>0.67500000000000004</v>
      </c>
      <c r="O2220" s="3">
        <v>0.05</v>
      </c>
      <c r="P2220" s="3">
        <v>0.625</v>
      </c>
      <c r="Q2220" s="3">
        <v>0.74994385242462103</v>
      </c>
    </row>
    <row r="2221" spans="1:17" x14ac:dyDescent="0.45">
      <c r="A2221" s="3">
        <v>81521</v>
      </c>
      <c r="B2221" t="b">
        <v>0</v>
      </c>
      <c r="C2221" t="b">
        <v>1</v>
      </c>
      <c r="D2221" s="3">
        <v>1858</v>
      </c>
      <c r="E2221" s="3">
        <v>1866</v>
      </c>
      <c r="F2221" t="s">
        <v>6807</v>
      </c>
      <c r="G2221" t="s">
        <v>7</v>
      </c>
      <c r="H2221" s="3">
        <v>19.633400000000002</v>
      </c>
      <c r="I2221" t="s">
        <v>14668</v>
      </c>
      <c r="J2221" t="s">
        <v>14181</v>
      </c>
      <c r="L2221" t="s">
        <v>10113</v>
      </c>
      <c r="M2221" t="str">
        <f>"https://www.artic.edu/iiif/2/"&amp;Table9[[#This Row],[Image ID]]&amp;"/full/843,/0/default.jpg"</f>
        <v>https://www.artic.edu/iiif/2/e7928f74-f52e-e7d5-77ab-8b3d93b8b727/full/843,/0/default.jpg</v>
      </c>
      <c r="N2221" s="3">
        <v>0.75</v>
      </c>
      <c r="O2221" s="3">
        <v>0.125</v>
      </c>
      <c r="P2221" s="3">
        <v>0.625</v>
      </c>
      <c r="Q2221" s="3">
        <v>0.75102239847183205</v>
      </c>
    </row>
    <row r="2222" spans="1:17" x14ac:dyDescent="0.45">
      <c r="A2222" s="3">
        <v>16439</v>
      </c>
      <c r="B2222" t="b">
        <v>0</v>
      </c>
      <c r="C2222" t="b">
        <v>1</v>
      </c>
      <c r="D2222" s="3">
        <v>1760</v>
      </c>
      <c r="E2222" s="3">
        <v>1760</v>
      </c>
      <c r="F2222" t="s">
        <v>4428</v>
      </c>
      <c r="G2222" t="s">
        <v>7</v>
      </c>
      <c r="H2222" s="3">
        <v>24.885100000000001</v>
      </c>
      <c r="I2222" t="s">
        <v>2887</v>
      </c>
      <c r="J2222" t="s">
        <v>14208</v>
      </c>
      <c r="L2222" t="s">
        <v>4429</v>
      </c>
      <c r="M2222" t="str">
        <f>"https://www.artic.edu/iiif/2/"&amp;Table9[[#This Row],[Image ID]]&amp;"/full/843,/0/default.jpg"</f>
        <v>https://www.artic.edu/iiif/2/e8f3fd3f-2098-1c68-1867-b5dccb21018e/full/843,/0/default.jpg</v>
      </c>
      <c r="N2222" s="3">
        <v>0.7</v>
      </c>
      <c r="O2222" s="3">
        <v>7.4999999999999997E-2</v>
      </c>
      <c r="P2222" s="3">
        <v>0.625</v>
      </c>
      <c r="Q2222" s="3">
        <v>0.58174955844879095</v>
      </c>
    </row>
    <row r="2223" spans="1:17" x14ac:dyDescent="0.45">
      <c r="A2223" s="3">
        <v>20362</v>
      </c>
      <c r="B2223" t="b">
        <v>0</v>
      </c>
      <c r="C2223" t="b">
        <v>1</v>
      </c>
      <c r="D2223" s="3">
        <v>1825</v>
      </c>
      <c r="E2223" s="3">
        <v>1835</v>
      </c>
      <c r="F2223" t="s">
        <v>5382</v>
      </c>
      <c r="G2223" t="s">
        <v>687</v>
      </c>
      <c r="H2223" s="3">
        <v>23.53</v>
      </c>
      <c r="I2223" t="s">
        <v>732</v>
      </c>
      <c r="J2223" t="s">
        <v>14274</v>
      </c>
      <c r="L2223" t="s">
        <v>5383</v>
      </c>
      <c r="M2223" t="str">
        <f>"https://www.artic.edu/iiif/2/"&amp;Table9[[#This Row],[Image ID]]&amp;"/full/843,/0/default.jpg"</f>
        <v>https://www.artic.edu/iiif/2/ed6ffa32-e4ea-5679-9c15-d7787a780f66/full/843,/0/default.jpg</v>
      </c>
      <c r="N2223" s="3">
        <v>0.65</v>
      </c>
      <c r="O2223" s="3">
        <v>2.5000000000000001E-2</v>
      </c>
      <c r="P2223" s="3">
        <v>0.625</v>
      </c>
      <c r="Q2223" s="3">
        <v>0.52649927139282204</v>
      </c>
    </row>
    <row r="2224" spans="1:17" x14ac:dyDescent="0.45">
      <c r="A2224" s="3">
        <v>45176</v>
      </c>
      <c r="B2224" t="b">
        <v>0</v>
      </c>
      <c r="C2224" t="b">
        <v>1</v>
      </c>
      <c r="D2224" s="3">
        <v>1837</v>
      </c>
      <c r="E2224" s="3">
        <v>1870</v>
      </c>
      <c r="F2224" t="s">
        <v>7826</v>
      </c>
      <c r="G2224" t="s">
        <v>7827</v>
      </c>
      <c r="H2224" s="3">
        <v>31.6706</v>
      </c>
      <c r="I2224" t="s">
        <v>7828</v>
      </c>
      <c r="J2224" t="s">
        <v>14282</v>
      </c>
      <c r="L2224" t="s">
        <v>7829</v>
      </c>
      <c r="M2224" t="str">
        <f>"https://www.artic.edu/iiif/2/"&amp;Table9[[#This Row],[Image ID]]&amp;"/full/843,/0/default.jpg"</f>
        <v>https://www.artic.edu/iiif/2/edccecb4-0ca4-a3e6-ab4b-3b9e2e20c97e/full/843,/0/default.jpg</v>
      </c>
      <c r="N2224" s="3">
        <v>0.75</v>
      </c>
      <c r="O2224" s="3">
        <v>0.125</v>
      </c>
      <c r="P2224" s="3">
        <v>0.625</v>
      </c>
      <c r="Q2224" s="3">
        <v>0.76812261343002297</v>
      </c>
    </row>
    <row r="2225" spans="1:17" x14ac:dyDescent="0.45">
      <c r="A2225" s="3">
        <v>142537</v>
      </c>
      <c r="B2225" t="b">
        <v>0</v>
      </c>
      <c r="C2225" t="b">
        <v>1</v>
      </c>
      <c r="D2225" s="3">
        <v>1830</v>
      </c>
      <c r="E2225" s="3">
        <v>1840</v>
      </c>
      <c r="F2225" t="s">
        <v>3285</v>
      </c>
      <c r="G2225" t="s">
        <v>3286</v>
      </c>
      <c r="H2225" s="3">
        <v>39.982300000000002</v>
      </c>
      <c r="I2225" t="s">
        <v>3287</v>
      </c>
      <c r="J2225" t="s">
        <v>14311</v>
      </c>
      <c r="L2225" t="s">
        <v>3288</v>
      </c>
      <c r="M2225" t="str">
        <f>"https://www.artic.edu/iiif/2/"&amp;Table9[[#This Row],[Image ID]]&amp;"/full/843,/0/default.jpg"</f>
        <v>https://www.artic.edu/iiif/2/eff4103f-4c20-51a2-f6ee-5f2f4af9dcd1/full/843,/0/default.jpg</v>
      </c>
      <c r="N2225" s="3">
        <v>0.65</v>
      </c>
      <c r="O2225" s="3">
        <v>2.5000000000000001E-2</v>
      </c>
      <c r="P2225" s="3">
        <v>0.625</v>
      </c>
      <c r="Q2225" s="3">
        <v>0.60510653257369995</v>
      </c>
    </row>
    <row r="2226" spans="1:17" x14ac:dyDescent="0.45">
      <c r="A2226" s="3">
        <v>83361</v>
      </c>
      <c r="B2226" t="b">
        <v>0</v>
      </c>
      <c r="C2226" t="b">
        <v>1</v>
      </c>
      <c r="D2226" s="3">
        <v>1802</v>
      </c>
      <c r="E2226" s="3">
        <v>1856</v>
      </c>
      <c r="F2226" t="s">
        <v>10219</v>
      </c>
      <c r="G2226" t="s">
        <v>10220</v>
      </c>
      <c r="H2226" s="3">
        <v>23.034800000000001</v>
      </c>
      <c r="I2226" t="s">
        <v>1562</v>
      </c>
      <c r="J2226" t="s">
        <v>14342</v>
      </c>
      <c r="L2226" t="s">
        <v>10221</v>
      </c>
      <c r="M2226" t="str">
        <f>"https://www.artic.edu/iiif/2/"&amp;Table9[[#This Row],[Image ID]]&amp;"/full/843,/0/default.jpg"</f>
        <v>https://www.artic.edu/iiif/2/f1f504de-e88f-47ff-52c5-74c2031dfada/full/843,/0/default.jpg</v>
      </c>
      <c r="N2226" s="3">
        <v>0.7</v>
      </c>
      <c r="O2226" s="3">
        <v>7.4999999999999997E-2</v>
      </c>
      <c r="P2226" s="3">
        <v>0.625</v>
      </c>
      <c r="Q2226" s="3">
        <v>0.64386749267578103</v>
      </c>
    </row>
    <row r="2227" spans="1:17" x14ac:dyDescent="0.45">
      <c r="A2227" s="3">
        <v>12683</v>
      </c>
      <c r="B2227" t="b">
        <v>0</v>
      </c>
      <c r="C2227" t="b">
        <v>1</v>
      </c>
      <c r="D2227" s="3">
        <v>1375</v>
      </c>
      <c r="E2227" s="3">
        <v>1400</v>
      </c>
      <c r="F2227" t="s">
        <v>2786</v>
      </c>
      <c r="G2227" t="s">
        <v>2787</v>
      </c>
      <c r="H2227" s="3">
        <v>57.523400000000002</v>
      </c>
      <c r="J2227" t="s">
        <v>14392</v>
      </c>
      <c r="L2227" t="s">
        <v>2788</v>
      </c>
      <c r="M2227" t="str">
        <f>"https://www.artic.edu/iiif/2/"&amp;Table9[[#This Row],[Image ID]]&amp;"/full/843,/0/default.jpg"</f>
        <v>https://www.artic.edu/iiif/2/f6103cb8-ee9b-2334-96f5-9ac8e07f8b78/full/843,/0/default.jpg</v>
      </c>
      <c r="N2227" s="3">
        <v>0.65</v>
      </c>
      <c r="O2227" s="3">
        <v>2.5000000000000001E-2</v>
      </c>
      <c r="P2227" s="3">
        <v>0.625</v>
      </c>
      <c r="Q2227" s="3">
        <v>0.78592491149902299</v>
      </c>
    </row>
    <row r="2228" spans="1:17" x14ac:dyDescent="0.45">
      <c r="A2228" s="3">
        <v>14686</v>
      </c>
      <c r="B2228" t="b">
        <v>0</v>
      </c>
      <c r="C2228" t="b">
        <v>1</v>
      </c>
      <c r="D2228" s="3">
        <v>1866</v>
      </c>
      <c r="E2228" s="3">
        <v>1866</v>
      </c>
      <c r="F2228" t="s">
        <v>3496</v>
      </c>
      <c r="G2228" t="s">
        <v>3497</v>
      </c>
      <c r="H2228" s="3">
        <v>22.5244</v>
      </c>
      <c r="I2228" t="s">
        <v>66</v>
      </c>
      <c r="J2228" t="s">
        <v>14436</v>
      </c>
      <c r="K2228" s="5" t="s">
        <v>9</v>
      </c>
      <c r="L2228" t="s">
        <v>3498</v>
      </c>
      <c r="M2228" t="str">
        <f>"https://www.artic.edu/iiif/2/"&amp;Table9[[#This Row],[Image ID]]&amp;"/full/843,/0/default.jpg"</f>
        <v>https://www.artic.edu/iiif/2/f8b4c4c9-535b-4e23-8de7-dbb5cc7d7b90/full/843,/0/default.jpg</v>
      </c>
      <c r="N2228" s="3">
        <v>0.8</v>
      </c>
      <c r="O2228" s="3">
        <v>0.17499999999999999</v>
      </c>
      <c r="P2228" s="3">
        <v>0.625</v>
      </c>
      <c r="Q2228" s="3">
        <v>0.81643670797348</v>
      </c>
    </row>
    <row r="2229" spans="1:17" x14ac:dyDescent="0.45">
      <c r="A2229" s="3">
        <v>16394</v>
      </c>
      <c r="B2229" t="b">
        <v>0</v>
      </c>
      <c r="C2229" t="b">
        <v>1</v>
      </c>
      <c r="D2229" s="3">
        <v>1680</v>
      </c>
      <c r="E2229" s="3">
        <v>1680</v>
      </c>
      <c r="F2229" t="s">
        <v>955</v>
      </c>
      <c r="G2229" t="s">
        <v>7</v>
      </c>
      <c r="H2229" s="3">
        <v>25.8858</v>
      </c>
      <c r="I2229" t="s">
        <v>2711</v>
      </c>
      <c r="J2229" t="s">
        <v>14473</v>
      </c>
      <c r="L2229" t="s">
        <v>4408</v>
      </c>
      <c r="M2229" t="str">
        <f>"https://www.artic.edu/iiif/2/"&amp;Table9[[#This Row],[Image ID]]&amp;"/full/843,/0/default.jpg"</f>
        <v>https://www.artic.edu/iiif/2/fb90c93c-3806-a2ea-3969-43376d090848/full/843,/0/default.jpg</v>
      </c>
      <c r="N2229" s="3">
        <v>0.8</v>
      </c>
      <c r="O2229" s="3">
        <v>0.17499999999999999</v>
      </c>
      <c r="P2229" s="3">
        <v>0.625</v>
      </c>
      <c r="Q2229" s="3">
        <v>0.78491580486297596</v>
      </c>
    </row>
    <row r="2230" spans="1:17" x14ac:dyDescent="0.45">
      <c r="A2230" s="3">
        <v>16192</v>
      </c>
      <c r="B2230" t="b">
        <v>0</v>
      </c>
      <c r="C2230" t="b">
        <v>1</v>
      </c>
      <c r="D2230" s="3">
        <v>1360</v>
      </c>
      <c r="E2230" s="3">
        <v>1370</v>
      </c>
      <c r="F2230" t="s">
        <v>4298</v>
      </c>
      <c r="G2230" t="s">
        <v>103</v>
      </c>
      <c r="H2230" s="3">
        <v>0</v>
      </c>
      <c r="I2230" t="s">
        <v>4299</v>
      </c>
      <c r="J2230" t="s">
        <v>14488</v>
      </c>
      <c r="L2230" t="s">
        <v>4300</v>
      </c>
      <c r="M2230" t="str">
        <f>"https://www.artic.edu/iiif/2/"&amp;Table9[[#This Row],[Image ID]]&amp;"/full/843,/0/default.jpg"</f>
        <v>https://www.artic.edu/iiif/2/fc76cfb3-dcc1-2ee7-17a9-6d706a0efd82/full/843,/0/default.jpg</v>
      </c>
      <c r="N2230" s="3">
        <v>0.67500000000000004</v>
      </c>
      <c r="O2230" s="3">
        <v>0.05</v>
      </c>
      <c r="P2230" s="3">
        <v>0.625</v>
      </c>
      <c r="Q2230" s="3">
        <v>0.87498927116393999</v>
      </c>
    </row>
    <row r="2231" spans="1:17" x14ac:dyDescent="0.45">
      <c r="A2231" s="3">
        <v>102089</v>
      </c>
      <c r="B2231" t="b">
        <v>0</v>
      </c>
      <c r="C2231" t="b">
        <v>1</v>
      </c>
      <c r="D2231" s="3">
        <v>1810</v>
      </c>
      <c r="E2231" s="3">
        <v>1810</v>
      </c>
      <c r="F2231" t="s">
        <v>208</v>
      </c>
      <c r="G2231" t="s">
        <v>75</v>
      </c>
      <c r="H2231" s="3">
        <v>0</v>
      </c>
      <c r="I2231" t="s">
        <v>209</v>
      </c>
      <c r="J2231" t="s">
        <v>14501</v>
      </c>
      <c r="L2231" t="s">
        <v>210</v>
      </c>
      <c r="M2231" t="str">
        <f>"https://www.artic.edu/iiif/2/"&amp;Table9[[#This Row],[Image ID]]&amp;"/full/843,/0/default.jpg"</f>
        <v>https://www.artic.edu/iiif/2/fd8ca91a-497c-6619-648c-f0f8fa116bfd/full/843,/0/default.jpg</v>
      </c>
      <c r="N2231" s="3">
        <v>0.82499999999999996</v>
      </c>
      <c r="O2231" s="3">
        <v>0.2</v>
      </c>
      <c r="P2231" s="3">
        <v>0.625</v>
      </c>
      <c r="Q2231" s="3">
        <v>0.65139955282211304</v>
      </c>
    </row>
    <row r="2232" spans="1:17" x14ac:dyDescent="0.45">
      <c r="A2232" s="3">
        <v>72353</v>
      </c>
      <c r="B2232" t="b">
        <v>0</v>
      </c>
      <c r="C2232" t="b">
        <v>0</v>
      </c>
      <c r="D2232" s="3">
        <v>1913</v>
      </c>
      <c r="E2232" s="3">
        <v>1913</v>
      </c>
      <c r="F2232" t="s">
        <v>3967</v>
      </c>
      <c r="G2232" t="s">
        <v>817</v>
      </c>
      <c r="H2232" s="3">
        <v>51.392200000000003</v>
      </c>
      <c r="I2232" t="s">
        <v>822</v>
      </c>
      <c r="J2232" t="s">
        <v>11049</v>
      </c>
      <c r="L2232" t="s">
        <v>9558</v>
      </c>
      <c r="M2232" t="str">
        <f>"https://www.artic.edu/iiif/2/"&amp;Table9[[#This Row],[Image ID]]&amp;"/full/843,/0/default.jpg"</f>
        <v>https://www.artic.edu/iiif/2/053a8243-2f86-1969-c1c3-032ce9b7ca06/full/843,/0/default.jpg</v>
      </c>
      <c r="N2232" s="3">
        <v>0.65</v>
      </c>
      <c r="O2232" s="3">
        <v>2.5000000000000001E-2</v>
      </c>
      <c r="P2232" s="3">
        <v>0.625</v>
      </c>
      <c r="Q2232" s="3">
        <v>0.78062391281127896</v>
      </c>
    </row>
    <row r="2233" spans="1:17" x14ac:dyDescent="0.45">
      <c r="A2233" s="3">
        <v>97398</v>
      </c>
      <c r="B2233" t="b">
        <v>0</v>
      </c>
      <c r="C2233" t="b">
        <v>0</v>
      </c>
      <c r="D2233" s="3">
        <v>1980</v>
      </c>
      <c r="E2233" s="3">
        <v>1980</v>
      </c>
      <c r="F2233" t="s">
        <v>10820</v>
      </c>
      <c r="G2233" t="s">
        <v>7</v>
      </c>
      <c r="H2233" s="3">
        <v>67.129900000000006</v>
      </c>
      <c r="I2233" t="s">
        <v>2439</v>
      </c>
      <c r="J2233" t="s">
        <v>11114</v>
      </c>
      <c r="L2233" t="s">
        <v>10821</v>
      </c>
      <c r="M2233" t="str">
        <f>"https://www.artic.edu/iiif/2/"&amp;Table9[[#This Row],[Image ID]]&amp;"/full/843,/0/default.jpg"</f>
        <v>https://www.artic.edu/iiif/2/09e69bea-c7c2-b957-56be-60597c13ce98/full/843,/0/default.jpg</v>
      </c>
      <c r="N2233" s="3">
        <v>0.72499999999999998</v>
      </c>
      <c r="O2233" s="3">
        <v>0.1</v>
      </c>
      <c r="P2233" s="3">
        <v>0.625</v>
      </c>
      <c r="Q2233" s="3">
        <v>0.80451297760009699</v>
      </c>
    </row>
    <row r="2234" spans="1:17" x14ac:dyDescent="0.45">
      <c r="A2234" s="3">
        <v>19327</v>
      </c>
      <c r="B2234" t="b">
        <v>0</v>
      </c>
      <c r="C2234" t="b">
        <v>0</v>
      </c>
      <c r="D2234" s="3">
        <v>1820</v>
      </c>
      <c r="E2234" s="3">
        <v>1830</v>
      </c>
      <c r="F2234" t="s">
        <v>5222</v>
      </c>
      <c r="G2234" t="s">
        <v>7</v>
      </c>
      <c r="H2234" s="3">
        <v>36.194800000000001</v>
      </c>
      <c r="I2234" t="s">
        <v>5223</v>
      </c>
      <c r="J2234" t="s">
        <v>5225</v>
      </c>
      <c r="L2234" t="s">
        <v>5224</v>
      </c>
      <c r="M2234" t="str">
        <f>"https://www.artic.edu/iiif/2/"&amp;Table9[[#This Row],[Image ID]]&amp;"/full/843,/0/default.jpg"</f>
        <v>https://www.artic.edu/iiif/2/0e2ab31c-b60d-7739-63c2-083dcbdbc5f9/full/843,/0/default.jpg</v>
      </c>
      <c r="N2234" s="3">
        <v>0.72499999999999998</v>
      </c>
      <c r="O2234" s="3">
        <v>0.1</v>
      </c>
      <c r="P2234" s="3">
        <v>0.625</v>
      </c>
      <c r="Q2234" s="3">
        <v>0.79784744977951005</v>
      </c>
    </row>
    <row r="2235" spans="1:17" x14ac:dyDescent="0.45">
      <c r="A2235" s="3">
        <v>66149</v>
      </c>
      <c r="B2235" t="b">
        <v>0</v>
      </c>
      <c r="C2235" t="b">
        <v>0</v>
      </c>
      <c r="D2235" s="3">
        <v>1869</v>
      </c>
      <c r="E2235" s="3">
        <v>1952</v>
      </c>
      <c r="F2235" t="s">
        <v>9197</v>
      </c>
      <c r="G2235" t="s">
        <v>93</v>
      </c>
      <c r="H2235" s="3">
        <v>42.207099999999997</v>
      </c>
      <c r="I2235" t="s">
        <v>2326</v>
      </c>
      <c r="J2235" t="s">
        <v>11185</v>
      </c>
      <c r="L2235" t="s">
        <v>9198</v>
      </c>
      <c r="M2235" t="str">
        <f>"https://www.artic.edu/iiif/2/"&amp;Table9[[#This Row],[Image ID]]&amp;"/full/843,/0/default.jpg"</f>
        <v>https://www.artic.edu/iiif/2/101be232-0ec8-c69c-f2de-c15bf46d6bb9/full/843,/0/default.jpg</v>
      </c>
      <c r="N2235" s="3">
        <v>0.67500000000000004</v>
      </c>
      <c r="O2235" s="3">
        <v>0.05</v>
      </c>
      <c r="P2235" s="3">
        <v>0.625</v>
      </c>
      <c r="Q2235" s="3">
        <v>0.70689642429351796</v>
      </c>
    </row>
    <row r="2236" spans="1:17" x14ac:dyDescent="0.45">
      <c r="A2236" s="3">
        <v>66386</v>
      </c>
      <c r="B2236" t="b">
        <v>0</v>
      </c>
      <c r="C2236" t="b">
        <v>0</v>
      </c>
      <c r="D2236" s="3">
        <v>1956</v>
      </c>
      <c r="E2236" s="3">
        <v>1957</v>
      </c>
      <c r="F2236" t="s">
        <v>9246</v>
      </c>
      <c r="G2236" t="s">
        <v>9247</v>
      </c>
      <c r="H2236" s="3">
        <v>21.525500000000001</v>
      </c>
      <c r="I2236" t="s">
        <v>1091</v>
      </c>
      <c r="J2236" t="s">
        <v>11226</v>
      </c>
      <c r="L2236" t="s">
        <v>9248</v>
      </c>
      <c r="M2236" t="str">
        <f>"https://www.artic.edu/iiif/2/"&amp;Table9[[#This Row],[Image ID]]&amp;"/full/843,/0/default.jpg"</f>
        <v>https://www.artic.edu/iiif/2/1293f088-7618-3dd7-8bbf-b0280ff04d48/full/843,/0/default.jpg</v>
      </c>
      <c r="N2236" s="3">
        <v>0.72499999999999998</v>
      </c>
      <c r="O2236" s="3">
        <v>0.1</v>
      </c>
      <c r="P2236" s="3">
        <v>0.625</v>
      </c>
      <c r="Q2236" s="3">
        <v>0.844318628311157</v>
      </c>
    </row>
    <row r="2237" spans="1:17" x14ac:dyDescent="0.45">
      <c r="A2237" s="3">
        <v>36354</v>
      </c>
      <c r="B2237" t="b">
        <v>0</v>
      </c>
      <c r="C2237" t="b">
        <v>0</v>
      </c>
      <c r="D2237" s="3">
        <v>1890</v>
      </c>
      <c r="E2237" s="3">
        <v>1900</v>
      </c>
      <c r="F2237" t="s">
        <v>7222</v>
      </c>
      <c r="G2237" t="s">
        <v>7223</v>
      </c>
      <c r="H2237" s="3">
        <v>20.281700000000001</v>
      </c>
      <c r="I2237" t="s">
        <v>7224</v>
      </c>
      <c r="J2237" t="s">
        <v>10975</v>
      </c>
      <c r="L2237" t="s">
        <v>7225</v>
      </c>
      <c r="M2237" t="str">
        <f>"https://www.artic.edu/iiif/2/"&amp;Table9[[#This Row],[Image ID]]&amp;"/full/843,/0/default.jpg"</f>
        <v>https://www.artic.edu/iiif/2/13e81d0c-5e61-dc13-4c9a-739c00bf4bec/full/843,/0/default.jpg</v>
      </c>
      <c r="N2237" s="3">
        <v>0.67500000000000004</v>
      </c>
      <c r="O2237" s="3">
        <v>0.05</v>
      </c>
      <c r="P2237" s="3">
        <v>0.625</v>
      </c>
      <c r="Q2237" s="3">
        <v>0.55972528457641602</v>
      </c>
    </row>
    <row r="2238" spans="1:17" x14ac:dyDescent="0.45">
      <c r="A2238" s="3">
        <v>21255</v>
      </c>
      <c r="B2238" t="b">
        <v>0</v>
      </c>
      <c r="C2238" t="b">
        <v>0</v>
      </c>
      <c r="D2238" s="3">
        <v>1904</v>
      </c>
      <c r="E2238" s="3">
        <v>1935</v>
      </c>
      <c r="F2238" t="s">
        <v>5600</v>
      </c>
      <c r="G2238" t="s">
        <v>5601</v>
      </c>
      <c r="H2238" s="3">
        <v>35.488799999999998</v>
      </c>
      <c r="I2238" t="s">
        <v>14560</v>
      </c>
      <c r="J2238" t="s">
        <v>11253</v>
      </c>
      <c r="L2238" t="s">
        <v>5602</v>
      </c>
      <c r="M2238" t="str">
        <f>"https://www.artic.edu/iiif/2/"&amp;Table9[[#This Row],[Image ID]]&amp;"/full/843,/0/default.jpg"</f>
        <v>https://www.artic.edu/iiif/2/1497a21e-0b13-e10f-a23f-d4d083a1fbce/full/843,/0/default.jpg</v>
      </c>
      <c r="N2238" s="3">
        <v>0.77500000000000002</v>
      </c>
      <c r="O2238" s="3">
        <v>0.15</v>
      </c>
      <c r="P2238" s="3">
        <v>0.625</v>
      </c>
      <c r="Q2238" s="3">
        <v>0.68346476554870605</v>
      </c>
    </row>
    <row r="2239" spans="1:17" x14ac:dyDescent="0.45">
      <c r="A2239" s="3">
        <v>86796</v>
      </c>
      <c r="B2239" t="b">
        <v>0</v>
      </c>
      <c r="C2239" t="b">
        <v>0</v>
      </c>
      <c r="D2239" s="3">
        <v>1925</v>
      </c>
      <c r="E2239" s="3">
        <v>1925</v>
      </c>
      <c r="F2239" t="s">
        <v>10351</v>
      </c>
      <c r="G2239" t="s">
        <v>10352</v>
      </c>
      <c r="H2239" s="3">
        <v>28.981300000000001</v>
      </c>
      <c r="I2239" t="s">
        <v>2882</v>
      </c>
      <c r="J2239" t="s">
        <v>11269</v>
      </c>
      <c r="L2239" t="s">
        <v>10353</v>
      </c>
      <c r="M2239" t="str">
        <f>"https://www.artic.edu/iiif/2/"&amp;Table9[[#This Row],[Image ID]]&amp;"/full/843,/0/default.jpg"</f>
        <v>https://www.artic.edu/iiif/2/15d7c9b3-898e-d769-1b58-399898df79bf/full/843,/0/default.jpg</v>
      </c>
      <c r="N2239" s="3">
        <v>0.65</v>
      </c>
      <c r="O2239" s="3">
        <v>2.5000000000000001E-2</v>
      </c>
      <c r="P2239" s="3">
        <v>0.625</v>
      </c>
      <c r="Q2239" s="3">
        <v>0.68810850381851196</v>
      </c>
    </row>
    <row r="2240" spans="1:17" x14ac:dyDescent="0.45">
      <c r="A2240" s="3">
        <v>23376</v>
      </c>
      <c r="B2240" t="b">
        <v>0</v>
      </c>
      <c r="C2240" t="b">
        <v>0</v>
      </c>
      <c r="D2240" s="3">
        <v>1907</v>
      </c>
      <c r="E2240" s="3">
        <v>1907</v>
      </c>
      <c r="F2240" t="s">
        <v>6184</v>
      </c>
      <c r="G2240" t="s">
        <v>7</v>
      </c>
      <c r="H2240" s="3">
        <v>23.665199999999999</v>
      </c>
      <c r="I2240" t="s">
        <v>6185</v>
      </c>
      <c r="J2240" t="s">
        <v>11373</v>
      </c>
      <c r="L2240" t="s">
        <v>6186</v>
      </c>
      <c r="M2240" t="str">
        <f>"https://www.artic.edu/iiif/2/"&amp;Table9[[#This Row],[Image ID]]&amp;"/full/843,/0/default.jpg"</f>
        <v>https://www.artic.edu/iiif/2/1cfe59ef-5b54-f766-20f8-ca72d39b0f41/full/843,/0/default.jpg</v>
      </c>
      <c r="N2240" s="3">
        <v>0.7</v>
      </c>
      <c r="O2240" s="3">
        <v>7.4999999999999997E-2</v>
      </c>
      <c r="P2240" s="3">
        <v>0.625</v>
      </c>
      <c r="Q2240" s="3">
        <v>0.79000645875930697</v>
      </c>
    </row>
    <row r="2241" spans="1:17" x14ac:dyDescent="0.45">
      <c r="A2241" s="3">
        <v>236822</v>
      </c>
      <c r="B2241" t="b">
        <v>0</v>
      </c>
      <c r="C2241" t="b">
        <v>0</v>
      </c>
      <c r="D2241" s="3">
        <v>2015</v>
      </c>
      <c r="E2241" s="3">
        <v>2015</v>
      </c>
      <c r="F2241" t="s">
        <v>6290</v>
      </c>
      <c r="G2241" t="s">
        <v>6291</v>
      </c>
      <c r="H2241" s="3">
        <v>48.312100000000001</v>
      </c>
      <c r="I2241" t="s">
        <v>6045</v>
      </c>
      <c r="J2241" t="s">
        <v>11405</v>
      </c>
      <c r="K2241" s="5" t="s">
        <v>15</v>
      </c>
      <c r="L2241" t="s">
        <v>6292</v>
      </c>
      <c r="M2241" t="str">
        <f>"https://www.artic.edu/iiif/2/"&amp;Table9[[#This Row],[Image ID]]&amp;"/full/843,/0/default.jpg"</f>
        <v>https://www.artic.edu/iiif/2/1eedcd63-b085-275a-b0d2-7263648b99dc/full/843,/0/default.jpg</v>
      </c>
      <c r="N2241" s="3">
        <v>0.67500000000000004</v>
      </c>
      <c r="O2241" s="3">
        <v>0.05</v>
      </c>
      <c r="P2241" s="3">
        <v>0.625</v>
      </c>
      <c r="Q2241" s="3">
        <v>0.79002863168716397</v>
      </c>
    </row>
    <row r="2242" spans="1:17" x14ac:dyDescent="0.45">
      <c r="A2242" s="3">
        <v>24661</v>
      </c>
      <c r="B2242" t="b">
        <v>0</v>
      </c>
      <c r="C2242" t="b">
        <v>0</v>
      </c>
      <c r="D2242" s="3">
        <v>1930</v>
      </c>
      <c r="E2242" s="3">
        <v>1930</v>
      </c>
      <c r="F2242" t="s">
        <v>2056</v>
      </c>
      <c r="G2242" t="s">
        <v>7</v>
      </c>
      <c r="H2242" s="3">
        <v>47.823799999999999</v>
      </c>
      <c r="I2242" t="s">
        <v>1032</v>
      </c>
      <c r="J2242" t="s">
        <v>11443</v>
      </c>
      <c r="K2242" s="5" t="s">
        <v>45</v>
      </c>
      <c r="L2242" t="s">
        <v>6413</v>
      </c>
      <c r="M2242" t="str">
        <f>"https://www.artic.edu/iiif/2/"&amp;Table9[[#This Row],[Image ID]]&amp;"/full/843,/0/default.jpg"</f>
        <v>https://www.artic.edu/iiif/2/211741c9-8c08-9f9f-f8be-80db7b28b211/full/843,/0/default.jpg</v>
      </c>
      <c r="N2242" s="3">
        <v>0.77500000000000002</v>
      </c>
      <c r="O2242" s="3">
        <v>0.15</v>
      </c>
      <c r="P2242" s="3">
        <v>0.625</v>
      </c>
      <c r="Q2242" s="3">
        <v>0.61683088541030795</v>
      </c>
    </row>
    <row r="2243" spans="1:17" x14ac:dyDescent="0.45">
      <c r="A2243" s="3">
        <v>221810</v>
      </c>
      <c r="B2243" t="b">
        <v>0</v>
      </c>
      <c r="C2243" t="b">
        <v>0</v>
      </c>
      <c r="D2243" s="3">
        <v>1989</v>
      </c>
      <c r="E2243" s="3">
        <v>1990</v>
      </c>
      <c r="F2243" t="s">
        <v>11</v>
      </c>
      <c r="G2243" t="s">
        <v>5812</v>
      </c>
      <c r="H2243" s="3">
        <v>13.1973</v>
      </c>
      <c r="I2243" t="s">
        <v>2665</v>
      </c>
      <c r="J2243" t="s">
        <v>11451</v>
      </c>
      <c r="L2243" t="s">
        <v>5813</v>
      </c>
      <c r="M2243" t="str">
        <f>"https://www.artic.edu/iiif/2/"&amp;Table9[[#This Row],[Image ID]]&amp;"/full/843,/0/default.jpg"</f>
        <v>https://www.artic.edu/iiif/2/21b72cfc-bc23-8eb3-8ed9-66102a887245/full/843,/0/default.jpg</v>
      </c>
      <c r="N2243" s="3">
        <v>0.67500000000000004</v>
      </c>
      <c r="O2243" s="3">
        <v>0.05</v>
      </c>
      <c r="P2243" s="3">
        <v>0.625</v>
      </c>
      <c r="Q2243" s="3">
        <v>0.81532341241836503</v>
      </c>
    </row>
    <row r="2244" spans="1:17" x14ac:dyDescent="0.45">
      <c r="A2244" s="3">
        <v>58618</v>
      </c>
      <c r="B2244" t="b">
        <v>0</v>
      </c>
      <c r="C2244" t="b">
        <v>0</v>
      </c>
      <c r="D2244" s="3">
        <v>1897</v>
      </c>
      <c r="E2244" s="3">
        <v>1953</v>
      </c>
      <c r="F2244" t="s">
        <v>8523</v>
      </c>
      <c r="G2244" t="s">
        <v>1552</v>
      </c>
      <c r="H2244" s="3">
        <v>33.528500000000001</v>
      </c>
      <c r="I2244" t="s">
        <v>184</v>
      </c>
      <c r="J2244" t="s">
        <v>11508</v>
      </c>
      <c r="L2244" t="s">
        <v>8524</v>
      </c>
      <c r="M2244" t="str">
        <f>"https://www.artic.edu/iiif/2/"&amp;Table9[[#This Row],[Image ID]]&amp;"/full/843,/0/default.jpg"</f>
        <v>https://www.artic.edu/iiif/2/25bf73e5-3275-125f-48f6-6b9cb0e2704a/full/843,/0/default.jpg</v>
      </c>
      <c r="N2244" s="3">
        <v>0.75</v>
      </c>
      <c r="O2244" s="3">
        <v>0.125</v>
      </c>
      <c r="P2244" s="3">
        <v>0.625</v>
      </c>
      <c r="Q2244" s="3">
        <v>0.69472527503967196</v>
      </c>
    </row>
    <row r="2245" spans="1:17" x14ac:dyDescent="0.45">
      <c r="A2245" s="3">
        <v>12127</v>
      </c>
      <c r="B2245" t="b">
        <v>0</v>
      </c>
      <c r="C2245" t="b">
        <v>0</v>
      </c>
      <c r="D2245" s="3">
        <v>1930</v>
      </c>
      <c r="E2245" s="3">
        <v>1951</v>
      </c>
      <c r="F2245" t="s">
        <v>2669</v>
      </c>
      <c r="G2245" t="s">
        <v>2670</v>
      </c>
      <c r="H2245" s="3">
        <v>25.848199999999999</v>
      </c>
      <c r="I2245" t="s">
        <v>2395</v>
      </c>
      <c r="J2245" t="s">
        <v>11510</v>
      </c>
      <c r="L2245" t="s">
        <v>2671</v>
      </c>
      <c r="M2245" t="str">
        <f>"https://www.artic.edu/iiif/2/"&amp;Table9[[#This Row],[Image ID]]&amp;"/full/843,/0/default.jpg"</f>
        <v>https://www.artic.edu/iiif/2/25cee84d-b035-336b-b5b5-a1be8b2ec8b0/full/843,/0/default.jpg</v>
      </c>
      <c r="N2245" s="3">
        <v>0.65</v>
      </c>
      <c r="O2245" s="3">
        <v>2.5000000000000001E-2</v>
      </c>
      <c r="P2245" s="3">
        <v>0.625</v>
      </c>
      <c r="Q2245" s="3">
        <v>0.80650299787521296</v>
      </c>
    </row>
    <row r="2246" spans="1:17" x14ac:dyDescent="0.45">
      <c r="A2246" s="3">
        <v>12894</v>
      </c>
      <c r="B2246" t="b">
        <v>0</v>
      </c>
      <c r="C2246" t="b">
        <v>0</v>
      </c>
      <c r="D2246" s="3">
        <v>1897</v>
      </c>
      <c r="E2246" s="3">
        <v>1924</v>
      </c>
      <c r="F2246" t="s">
        <v>2846</v>
      </c>
      <c r="G2246" t="s">
        <v>2847</v>
      </c>
      <c r="H2246" s="3">
        <v>41.619100000000003</v>
      </c>
      <c r="I2246" t="s">
        <v>2848</v>
      </c>
      <c r="J2246" t="s">
        <v>11581</v>
      </c>
      <c r="L2246" t="s">
        <v>2849</v>
      </c>
      <c r="M2246" t="str">
        <f>"https://www.artic.edu/iiif/2/"&amp;Table9[[#This Row],[Image ID]]&amp;"/full/843,/0/default.jpg"</f>
        <v>https://www.artic.edu/iiif/2/29ce6ab8-6f9a-d496-d6b1-d8f193af0c6f/full/843,/0/default.jpg</v>
      </c>
      <c r="N2246" s="3">
        <v>0.67500000000000004</v>
      </c>
      <c r="O2246" s="3">
        <v>0.05</v>
      </c>
      <c r="P2246" s="3">
        <v>0.625</v>
      </c>
      <c r="Q2246" s="3">
        <v>0.63263744115829401</v>
      </c>
    </row>
    <row r="2247" spans="1:17" x14ac:dyDescent="0.45">
      <c r="A2247" s="3">
        <v>182382</v>
      </c>
      <c r="B2247" t="b">
        <v>0</v>
      </c>
      <c r="C2247" t="b">
        <v>0</v>
      </c>
      <c r="D2247" s="3">
        <v>1898</v>
      </c>
      <c r="E2247" s="3">
        <v>1898</v>
      </c>
      <c r="F2247" t="s">
        <v>4745</v>
      </c>
      <c r="G2247" t="s">
        <v>75</v>
      </c>
      <c r="H2247" s="3">
        <v>36.031700000000001</v>
      </c>
      <c r="I2247" t="s">
        <v>4746</v>
      </c>
      <c r="J2247" t="s">
        <v>11590</v>
      </c>
      <c r="L2247" t="s">
        <v>4747</v>
      </c>
      <c r="M2247" t="str">
        <f>"https://www.artic.edu/iiif/2/"&amp;Table9[[#This Row],[Image ID]]&amp;"/full/843,/0/default.jpg"</f>
        <v>https://www.artic.edu/iiif/2/2a3caa42-4f7a-7ecf-9c8f-91c3c5648a3e/full/843,/0/default.jpg</v>
      </c>
      <c r="N2247" s="3">
        <v>0.72499999999999998</v>
      </c>
      <c r="O2247" s="3">
        <v>0.1</v>
      </c>
      <c r="P2247" s="3">
        <v>0.625</v>
      </c>
      <c r="Q2247" s="3">
        <v>0.71501153707504195</v>
      </c>
    </row>
    <row r="2248" spans="1:17" x14ac:dyDescent="0.45">
      <c r="A2248" s="3">
        <v>211092</v>
      </c>
      <c r="B2248" t="b">
        <v>0</v>
      </c>
      <c r="C2248" t="b">
        <v>0</v>
      </c>
      <c r="D2248" s="3">
        <v>1867</v>
      </c>
      <c r="E2248" s="3">
        <v>1926</v>
      </c>
      <c r="F2248" t="s">
        <v>5578</v>
      </c>
      <c r="G2248" t="s">
        <v>5579</v>
      </c>
      <c r="H2248" s="3">
        <v>8.2253000000000007</v>
      </c>
      <c r="I2248" t="s">
        <v>3637</v>
      </c>
      <c r="J2248" t="s">
        <v>11662</v>
      </c>
      <c r="L2248" t="s">
        <v>5580</v>
      </c>
      <c r="M2248" t="str">
        <f>"https://www.artic.edu/iiif/2/"&amp;Table9[[#This Row],[Image ID]]&amp;"/full/843,/0/default.jpg"</f>
        <v>https://www.artic.edu/iiif/2/2efe1d81-9222-3777-07e9-cd328151db23/full/843,/0/default.jpg</v>
      </c>
      <c r="N2248" s="3">
        <v>0.67500000000000004</v>
      </c>
      <c r="O2248" s="3">
        <v>0.05</v>
      </c>
      <c r="P2248" s="3">
        <v>0.625</v>
      </c>
      <c r="Q2248" s="3">
        <v>0.59923052787780695</v>
      </c>
    </row>
    <row r="2249" spans="1:17" x14ac:dyDescent="0.45">
      <c r="A2249" s="3">
        <v>28074</v>
      </c>
      <c r="B2249" t="b">
        <v>0</v>
      </c>
      <c r="C2249" t="b">
        <v>0</v>
      </c>
      <c r="D2249" s="3">
        <v>1907</v>
      </c>
      <c r="E2249" s="3">
        <v>1914</v>
      </c>
      <c r="F2249" t="s">
        <v>6775</v>
      </c>
      <c r="G2249" t="s">
        <v>14571</v>
      </c>
      <c r="H2249" s="3">
        <v>33.2729</v>
      </c>
      <c r="I2249" t="s">
        <v>6776</v>
      </c>
      <c r="J2249" t="s">
        <v>11717</v>
      </c>
      <c r="L2249" t="s">
        <v>6777</v>
      </c>
      <c r="M2249" t="str">
        <f>"https://www.artic.edu/iiif/2/"&amp;Table9[[#This Row],[Image ID]]&amp;"/full/843,/0/default.jpg"</f>
        <v>https://www.artic.edu/iiif/2/32c5ff42-bb51-acef-ae5a-27df326ef9dc/full/843,/0/default.jpg</v>
      </c>
      <c r="N2249" s="3">
        <v>0.72499999999999998</v>
      </c>
      <c r="O2249" s="3">
        <v>0.1</v>
      </c>
      <c r="P2249" s="3">
        <v>0.625</v>
      </c>
      <c r="Q2249" s="3">
        <v>0.65839248895645097</v>
      </c>
    </row>
    <row r="2250" spans="1:17" x14ac:dyDescent="0.45">
      <c r="A2250" s="3">
        <v>46323</v>
      </c>
      <c r="B2250" t="b">
        <v>0</v>
      </c>
      <c r="C2250" t="b">
        <v>0</v>
      </c>
      <c r="D2250" s="3">
        <v>1941</v>
      </c>
      <c r="E2250" s="3">
        <v>1941</v>
      </c>
      <c r="F2250" t="s">
        <v>7896</v>
      </c>
      <c r="G2250" t="s">
        <v>7897</v>
      </c>
      <c r="H2250" s="3">
        <v>31.632899999999999</v>
      </c>
      <c r="I2250" t="s">
        <v>949</v>
      </c>
      <c r="J2250" t="s">
        <v>11818</v>
      </c>
      <c r="L2250" t="s">
        <v>7898</v>
      </c>
      <c r="M2250" t="str">
        <f>"https://www.artic.edu/iiif/2/"&amp;Table9[[#This Row],[Image ID]]&amp;"/full/843,/0/default.jpg"</f>
        <v>https://www.artic.edu/iiif/2/39c493e4-4952-6591-674f-00af5c67b3d2/full/843,/0/default.jpg</v>
      </c>
      <c r="N2250" s="3">
        <v>0.65</v>
      </c>
      <c r="O2250" s="3">
        <v>2.5000000000000001E-2</v>
      </c>
      <c r="P2250" s="3">
        <v>0.625</v>
      </c>
      <c r="Q2250" s="3">
        <v>0.67822605371475198</v>
      </c>
    </row>
    <row r="2251" spans="1:17" x14ac:dyDescent="0.45">
      <c r="A2251" s="3">
        <v>27314</v>
      </c>
      <c r="B2251" t="b">
        <v>0</v>
      </c>
      <c r="C2251" t="b">
        <v>0</v>
      </c>
      <c r="D2251" s="3">
        <v>1934</v>
      </c>
      <c r="E2251" s="3">
        <v>1934</v>
      </c>
      <c r="F2251" t="s">
        <v>317</v>
      </c>
      <c r="G2251" t="s">
        <v>6723</v>
      </c>
      <c r="H2251" s="3">
        <v>28.167000000000002</v>
      </c>
      <c r="I2251" t="s">
        <v>5316</v>
      </c>
      <c r="J2251" t="s">
        <v>11837</v>
      </c>
      <c r="L2251" t="s">
        <v>6724</v>
      </c>
      <c r="M2251" t="str">
        <f>"https://www.artic.edu/iiif/2/"&amp;Table9[[#This Row],[Image ID]]&amp;"/full/843,/0/default.jpg"</f>
        <v>https://www.artic.edu/iiif/2/3abcd6ed-f46b-ce19-ea1c-74d4a7bdded6/full/843,/0/default.jpg</v>
      </c>
      <c r="N2251" s="3">
        <v>0.72499999999999998</v>
      </c>
      <c r="O2251" s="3">
        <v>0.1</v>
      </c>
      <c r="P2251" s="3">
        <v>0.625</v>
      </c>
      <c r="Q2251" s="3">
        <v>0.87036216259002597</v>
      </c>
    </row>
    <row r="2252" spans="1:17" x14ac:dyDescent="0.45">
      <c r="A2252" s="3">
        <v>234101</v>
      </c>
      <c r="B2252" t="b">
        <v>0</v>
      </c>
      <c r="C2252" t="b">
        <v>0</v>
      </c>
      <c r="D2252" s="3">
        <v>1974</v>
      </c>
      <c r="E2252" s="3">
        <v>1974</v>
      </c>
      <c r="F2252" t="s">
        <v>6192</v>
      </c>
      <c r="G2252" t="s">
        <v>6127</v>
      </c>
      <c r="H2252" s="3">
        <v>14.991099999999999</v>
      </c>
      <c r="I2252" t="s">
        <v>6193</v>
      </c>
      <c r="J2252" t="s">
        <v>11850</v>
      </c>
      <c r="L2252" t="s">
        <v>6194</v>
      </c>
      <c r="M2252" t="str">
        <f>"https://www.artic.edu/iiif/2/"&amp;Table9[[#This Row],[Image ID]]&amp;"/full/843,/0/default.jpg"</f>
        <v>https://www.artic.edu/iiif/2/3ba59be6-618e-4914-601d-d16f77b87485/full/843,/0/default.jpg</v>
      </c>
      <c r="N2252" s="3">
        <v>0.7</v>
      </c>
      <c r="O2252" s="3">
        <v>7.4999999999999997E-2</v>
      </c>
      <c r="P2252" s="3">
        <v>0.625</v>
      </c>
      <c r="Q2252" s="3">
        <v>0.80165594816207797</v>
      </c>
    </row>
    <row r="2253" spans="1:17" x14ac:dyDescent="0.45">
      <c r="A2253" s="3">
        <v>80238</v>
      </c>
      <c r="B2253" t="b">
        <v>0</v>
      </c>
      <c r="C2253" t="b">
        <v>0</v>
      </c>
      <c r="D2253" s="3">
        <v>1953</v>
      </c>
      <c r="E2253" s="3">
        <v>1953</v>
      </c>
      <c r="F2253" t="s">
        <v>1002</v>
      </c>
      <c r="G2253" t="s">
        <v>9936</v>
      </c>
      <c r="H2253" s="3">
        <v>21.309200000000001</v>
      </c>
      <c r="I2253" t="s">
        <v>6542</v>
      </c>
      <c r="J2253" t="s">
        <v>11988</v>
      </c>
      <c r="L2253" t="s">
        <v>9937</v>
      </c>
      <c r="M2253" t="str">
        <f>"https://www.artic.edu/iiif/2/"&amp;Table9[[#This Row],[Image ID]]&amp;"/full/843,/0/default.jpg"</f>
        <v>https://www.artic.edu/iiif/2/449c553b-44dd-838a-1034-a3b66d6d58bb/full/843,/0/default.jpg</v>
      </c>
      <c r="N2253" s="3">
        <v>0.67500000000000004</v>
      </c>
      <c r="O2253" s="3">
        <v>0.05</v>
      </c>
      <c r="P2253" s="3">
        <v>0.625</v>
      </c>
      <c r="Q2253" s="3">
        <v>0.822534620761871</v>
      </c>
    </row>
    <row r="2254" spans="1:17" x14ac:dyDescent="0.45">
      <c r="A2254" s="3">
        <v>13474</v>
      </c>
      <c r="B2254" t="b">
        <v>0</v>
      </c>
      <c r="C2254" t="b">
        <v>0</v>
      </c>
      <c r="D2254" s="3">
        <v>1948</v>
      </c>
      <c r="E2254" s="3">
        <v>1961</v>
      </c>
      <c r="F2254" t="s">
        <v>3095</v>
      </c>
      <c r="G2254" t="s">
        <v>3096</v>
      </c>
      <c r="H2254" s="3">
        <v>49.057899999999997</v>
      </c>
      <c r="I2254" t="s">
        <v>3097</v>
      </c>
      <c r="J2254" t="s">
        <v>12023</v>
      </c>
      <c r="L2254" t="s">
        <v>3098</v>
      </c>
      <c r="M2254" t="str">
        <f>"https://www.artic.edu/iiif/2/"&amp;Table9[[#This Row],[Image ID]]&amp;"/full/843,/0/default.jpg"</f>
        <v>https://www.artic.edu/iiif/2/475973ac-4b39-e46d-b869-a64ba99ae24b/full/843,/0/default.jpg</v>
      </c>
      <c r="N2254" s="3">
        <v>0.67500000000000004</v>
      </c>
      <c r="O2254" s="3">
        <v>0.05</v>
      </c>
      <c r="P2254" s="3">
        <v>0.625</v>
      </c>
      <c r="Q2254" s="3">
        <v>0.83454006910324097</v>
      </c>
    </row>
    <row r="2255" spans="1:17" x14ac:dyDescent="0.45">
      <c r="A2255" s="3">
        <v>60257</v>
      </c>
      <c r="B2255" t="b">
        <v>0</v>
      </c>
      <c r="C2255" t="b">
        <v>0</v>
      </c>
      <c r="D2255" s="3">
        <v>1948</v>
      </c>
      <c r="E2255" s="3">
        <v>1948</v>
      </c>
      <c r="F2255" t="s">
        <v>8692</v>
      </c>
      <c r="G2255" t="s">
        <v>272</v>
      </c>
      <c r="H2255" s="3">
        <v>66.389099999999999</v>
      </c>
      <c r="I2255" t="s">
        <v>5986</v>
      </c>
      <c r="J2255" t="s">
        <v>12035</v>
      </c>
      <c r="K2255" s="5" t="s">
        <v>8693</v>
      </c>
      <c r="L2255" t="s">
        <v>8694</v>
      </c>
      <c r="M2255" t="str">
        <f>"https://www.artic.edu/iiif/2/"&amp;Table9[[#This Row],[Image ID]]&amp;"/full/843,/0/default.jpg"</f>
        <v>https://www.artic.edu/iiif/2/484231b1-94a4-16d8-0bb1-72945fef0d50/full/843,/0/default.jpg</v>
      </c>
      <c r="N2255" s="3">
        <v>0.75</v>
      </c>
      <c r="O2255" s="3">
        <v>0.125</v>
      </c>
      <c r="P2255" s="3">
        <v>0.625</v>
      </c>
      <c r="Q2255" s="3">
        <v>0.75393295288085904</v>
      </c>
    </row>
    <row r="2256" spans="1:17" x14ac:dyDescent="0.45">
      <c r="A2256" s="3">
        <v>184881</v>
      </c>
      <c r="B2256" t="b">
        <v>0</v>
      </c>
      <c r="C2256" t="b">
        <v>0</v>
      </c>
      <c r="D2256" s="3">
        <v>2003</v>
      </c>
      <c r="E2256" s="3">
        <v>2003</v>
      </c>
      <c r="F2256" t="s">
        <v>4868</v>
      </c>
      <c r="G2256" t="s">
        <v>4823</v>
      </c>
      <c r="H2256" s="3">
        <v>9.3260000000000005</v>
      </c>
      <c r="I2256" t="s">
        <v>293</v>
      </c>
      <c r="J2256" t="s">
        <v>10977</v>
      </c>
      <c r="K2256" s="5" t="s">
        <v>15</v>
      </c>
      <c r="L2256" t="s">
        <v>4869</v>
      </c>
      <c r="M2256" t="str">
        <f>"https://www.artic.edu/iiif/2/"&amp;Table9[[#This Row],[Image ID]]&amp;"/full/843,/0/default.jpg"</f>
        <v>https://www.artic.edu/iiif/2/48a76089-2f0d-c83a-7b9c-3d772adca829/full/843,/0/default.jpg</v>
      </c>
      <c r="N2256" s="3">
        <v>0.72499999999999998</v>
      </c>
      <c r="O2256" s="3">
        <v>0.1</v>
      </c>
      <c r="P2256" s="3">
        <v>0.625</v>
      </c>
      <c r="Q2256" s="3">
        <v>0.76197189092636097</v>
      </c>
    </row>
    <row r="2257" spans="1:17" x14ac:dyDescent="0.45">
      <c r="A2257" s="3">
        <v>60631</v>
      </c>
      <c r="B2257" t="b">
        <v>0</v>
      </c>
      <c r="C2257" t="b">
        <v>0</v>
      </c>
      <c r="D2257" s="3">
        <v>1891</v>
      </c>
      <c r="E2257" s="3">
        <v>1958</v>
      </c>
      <c r="F2257" t="s">
        <v>8736</v>
      </c>
      <c r="G2257" t="s">
        <v>8737</v>
      </c>
      <c r="H2257" s="3">
        <v>31.1342</v>
      </c>
      <c r="I2257" t="s">
        <v>748</v>
      </c>
      <c r="J2257" t="s">
        <v>12100</v>
      </c>
      <c r="L2257" t="s">
        <v>8738</v>
      </c>
      <c r="M2257" t="str">
        <f>"https://www.artic.edu/iiif/2/"&amp;Table9[[#This Row],[Image ID]]&amp;"/full/843,/0/default.jpg"</f>
        <v>https://www.artic.edu/iiif/2/4d438892-b7b5-c017-3ed2-945af5a5e91c/full/843,/0/default.jpg</v>
      </c>
      <c r="N2257" s="3">
        <v>0.67500000000000004</v>
      </c>
      <c r="O2257" s="3">
        <v>0.05</v>
      </c>
      <c r="P2257" s="3">
        <v>0.625</v>
      </c>
      <c r="Q2257" s="3">
        <v>0.83586847782134999</v>
      </c>
    </row>
    <row r="2258" spans="1:17" x14ac:dyDescent="0.45">
      <c r="A2258" s="3">
        <v>8427</v>
      </c>
      <c r="B2258" t="b">
        <v>0</v>
      </c>
      <c r="C2258" t="b">
        <v>0</v>
      </c>
      <c r="D2258" s="3">
        <v>1908</v>
      </c>
      <c r="E2258" s="3">
        <v>1923</v>
      </c>
      <c r="F2258" t="s">
        <v>10287</v>
      </c>
      <c r="G2258" t="s">
        <v>608</v>
      </c>
      <c r="H2258" s="3">
        <v>36.535800000000002</v>
      </c>
      <c r="I2258" t="s">
        <v>7269</v>
      </c>
      <c r="J2258" t="s">
        <v>12101</v>
      </c>
      <c r="L2258" t="s">
        <v>10288</v>
      </c>
      <c r="M2258" t="str">
        <f>"https://www.artic.edu/iiif/2/"&amp;Table9[[#This Row],[Image ID]]&amp;"/full/843,/0/default.jpg"</f>
        <v>https://www.artic.edu/iiif/2/4d47d2ca-5e09-c3c1-f8dc-cb7409b401cd/full/843,/0/default.jpg</v>
      </c>
      <c r="N2258" s="3">
        <v>0.72499999999999998</v>
      </c>
      <c r="O2258" s="3">
        <v>0.1</v>
      </c>
      <c r="P2258" s="3">
        <v>0.625</v>
      </c>
      <c r="Q2258" s="3">
        <v>0.76464158296585005</v>
      </c>
    </row>
    <row r="2259" spans="1:17" x14ac:dyDescent="0.45">
      <c r="A2259" s="3">
        <v>14642</v>
      </c>
      <c r="B2259" t="b">
        <v>0</v>
      </c>
      <c r="C2259" t="b">
        <v>0</v>
      </c>
      <c r="D2259" s="3">
        <v>1905</v>
      </c>
      <c r="E2259" s="3">
        <v>1915</v>
      </c>
      <c r="F2259" t="s">
        <v>3446</v>
      </c>
      <c r="G2259" t="s">
        <v>75</v>
      </c>
      <c r="H2259" s="3">
        <v>41.188000000000002</v>
      </c>
      <c r="I2259" t="s">
        <v>525</v>
      </c>
      <c r="J2259" t="s">
        <v>3448</v>
      </c>
      <c r="L2259" t="s">
        <v>3447</v>
      </c>
      <c r="M2259" t="str">
        <f>"https://www.artic.edu/iiif/2/"&amp;Table9[[#This Row],[Image ID]]&amp;"/full/843,/0/default.jpg"</f>
        <v>https://www.artic.edu/iiif/2/4da243b6-0c0c-3721-cecd-b70675df23e3/full/843,/0/default.jpg</v>
      </c>
      <c r="N2259" s="3">
        <v>0.7</v>
      </c>
      <c r="O2259" s="3">
        <v>7.4999999999999997E-2</v>
      </c>
      <c r="P2259" s="3">
        <v>0.625</v>
      </c>
      <c r="Q2259" s="3">
        <v>0.68947327136993397</v>
      </c>
    </row>
    <row r="2260" spans="1:17" x14ac:dyDescent="0.45">
      <c r="A2260" s="3">
        <v>135459</v>
      </c>
      <c r="B2260" t="b">
        <v>0</v>
      </c>
      <c r="C2260" t="b">
        <v>0</v>
      </c>
      <c r="D2260" s="3">
        <v>1969</v>
      </c>
      <c r="E2260" s="3">
        <v>1970</v>
      </c>
      <c r="F2260" t="s">
        <v>2701</v>
      </c>
      <c r="G2260" t="s">
        <v>3112</v>
      </c>
      <c r="H2260" s="3">
        <v>84.759399999999999</v>
      </c>
      <c r="I2260" t="s">
        <v>461</v>
      </c>
      <c r="J2260" t="s">
        <v>12111</v>
      </c>
      <c r="L2260" t="s">
        <v>3113</v>
      </c>
      <c r="M2260" t="str">
        <f>"https://www.artic.edu/iiif/2/"&amp;Table9[[#This Row],[Image ID]]&amp;"/full/843,/0/default.jpg"</f>
        <v>https://www.artic.edu/iiif/2/4e4a8116-d407-3f1c-5f79-eed88a965655/full/843,/0/default.jpg</v>
      </c>
      <c r="N2260" s="3">
        <v>0.72499999999999998</v>
      </c>
      <c r="O2260" s="3">
        <v>0.1</v>
      </c>
      <c r="P2260" s="3">
        <v>0.625</v>
      </c>
      <c r="Q2260" s="3">
        <v>0.78481775522232</v>
      </c>
    </row>
    <row r="2261" spans="1:17" x14ac:dyDescent="0.45">
      <c r="A2261" s="3">
        <v>10946</v>
      </c>
      <c r="B2261" t="b">
        <v>0</v>
      </c>
      <c r="C2261" t="b">
        <v>0</v>
      </c>
      <c r="D2261" s="3">
        <v>1927</v>
      </c>
      <c r="E2261" s="3">
        <v>1927</v>
      </c>
      <c r="F2261" t="s">
        <v>807</v>
      </c>
      <c r="G2261" t="s">
        <v>808</v>
      </c>
      <c r="H2261" s="3">
        <v>40.895800000000001</v>
      </c>
      <c r="I2261" t="s">
        <v>809</v>
      </c>
      <c r="J2261" t="s">
        <v>12142</v>
      </c>
      <c r="L2261" t="s">
        <v>810</v>
      </c>
      <c r="M2261" t="str">
        <f>"https://www.artic.edu/iiif/2/"&amp;Table9[[#This Row],[Image ID]]&amp;"/full/843,/0/default.jpg"</f>
        <v>https://www.artic.edu/iiif/2/50ab50a3-a2d5-4a4a-1582-c4ace207542c/full/843,/0/default.jpg</v>
      </c>
      <c r="N2261" s="3">
        <v>0.75</v>
      </c>
      <c r="O2261" s="3">
        <v>0.125</v>
      </c>
      <c r="P2261" s="3">
        <v>0.625</v>
      </c>
      <c r="Q2261" s="3">
        <v>0.63443124294280995</v>
      </c>
    </row>
    <row r="2262" spans="1:17" x14ac:dyDescent="0.45">
      <c r="A2262" s="3">
        <v>190834</v>
      </c>
      <c r="B2262" t="b">
        <v>0</v>
      </c>
      <c r="C2262" t="b">
        <v>0</v>
      </c>
      <c r="D2262" s="3">
        <v>1989</v>
      </c>
      <c r="E2262" s="3">
        <v>1989</v>
      </c>
      <c r="F2262" t="s">
        <v>5182</v>
      </c>
      <c r="G2262" t="s">
        <v>5174</v>
      </c>
      <c r="H2262" s="3">
        <v>4.7504999999999997</v>
      </c>
      <c r="I2262" t="s">
        <v>2254</v>
      </c>
      <c r="J2262" t="s">
        <v>11202</v>
      </c>
      <c r="L2262" t="s">
        <v>5183</v>
      </c>
      <c r="M2262" t="str">
        <f>"https://www.artic.edu/iiif/2/"&amp;Table9[[#This Row],[Image ID]]&amp;"/full/843,/0/default.jpg"</f>
        <v>https://www.artic.edu/iiif/2/52d48b28-5e49-d078-61a7-01281060cbcb/full/843,/0/default.jpg</v>
      </c>
      <c r="N2262" s="3">
        <v>0.8</v>
      </c>
      <c r="O2262" s="3">
        <v>0.17499999999999999</v>
      </c>
      <c r="P2262" s="3">
        <v>0.625</v>
      </c>
      <c r="Q2262" s="3">
        <v>0.87454825639724698</v>
      </c>
    </row>
    <row r="2263" spans="1:17" x14ac:dyDescent="0.45">
      <c r="A2263" s="3">
        <v>117717</v>
      </c>
      <c r="B2263" t="b">
        <v>0</v>
      </c>
      <c r="C2263" t="b">
        <v>0</v>
      </c>
      <c r="D2263" s="3">
        <v>1975</v>
      </c>
      <c r="E2263" s="3">
        <v>1975</v>
      </c>
      <c r="F2263" t="s">
        <v>2415</v>
      </c>
      <c r="G2263" t="s">
        <v>2416</v>
      </c>
      <c r="H2263" s="3">
        <v>42.561799999999998</v>
      </c>
      <c r="I2263" t="s">
        <v>374</v>
      </c>
      <c r="J2263" t="s">
        <v>12224</v>
      </c>
      <c r="L2263" t="s">
        <v>2417</v>
      </c>
      <c r="M2263" t="str">
        <f>"https://www.artic.edu/iiif/2/"&amp;Table9[[#This Row],[Image ID]]&amp;"/full/843,/0/default.jpg"</f>
        <v>https://www.artic.edu/iiif/2/554d9d5b-aa7c-66d1-48d0-2999c30fe2ee/full/843,/0/default.jpg</v>
      </c>
      <c r="N2263" s="3">
        <v>0.85</v>
      </c>
      <c r="O2263" s="3">
        <v>0.22500000000000001</v>
      </c>
      <c r="P2263" s="3">
        <v>0.625</v>
      </c>
      <c r="Q2263" s="3">
        <v>0.76119375228881803</v>
      </c>
    </row>
    <row r="2264" spans="1:17" x14ac:dyDescent="0.45">
      <c r="A2264" s="3">
        <v>62444</v>
      </c>
      <c r="B2264" t="b">
        <v>0</v>
      </c>
      <c r="C2264" t="b">
        <v>0</v>
      </c>
      <c r="D2264" s="3">
        <v>1948</v>
      </c>
      <c r="E2264" s="3">
        <v>1948</v>
      </c>
      <c r="F2264" t="s">
        <v>8907</v>
      </c>
      <c r="G2264" t="s">
        <v>8908</v>
      </c>
      <c r="H2264" s="3">
        <v>25.4345</v>
      </c>
      <c r="I2264" t="s">
        <v>3164</v>
      </c>
      <c r="J2264" t="s">
        <v>11373</v>
      </c>
      <c r="K2264" s="5" t="s">
        <v>45</v>
      </c>
      <c r="L2264" t="s">
        <v>8909</v>
      </c>
      <c r="M2264" t="str">
        <f>"https://www.artic.edu/iiif/2/"&amp;Table9[[#This Row],[Image ID]]&amp;"/full/843,/0/default.jpg"</f>
        <v>https://www.artic.edu/iiif/2/55e19e15-ad9f-9207-b44d-a6ad640c7260/full/843,/0/default.jpg</v>
      </c>
      <c r="N2264" s="3">
        <v>0.67500000000000004</v>
      </c>
      <c r="O2264" s="3">
        <v>0.05</v>
      </c>
      <c r="P2264" s="3">
        <v>0.625</v>
      </c>
      <c r="Q2264" s="3">
        <v>0.72939395904541005</v>
      </c>
    </row>
    <row r="2265" spans="1:17" x14ac:dyDescent="0.45">
      <c r="A2265" s="3">
        <v>238515</v>
      </c>
      <c r="B2265" t="b">
        <v>0</v>
      </c>
      <c r="C2265" t="b">
        <v>0</v>
      </c>
      <c r="D2265" s="3">
        <v>1966</v>
      </c>
      <c r="E2265" s="3">
        <v>1966</v>
      </c>
      <c r="F2265" t="s">
        <v>6325</v>
      </c>
      <c r="G2265" t="s">
        <v>4957</v>
      </c>
      <c r="H2265" s="3">
        <v>81.559200000000004</v>
      </c>
      <c r="I2265" t="s">
        <v>6326</v>
      </c>
      <c r="J2265" t="s">
        <v>12269</v>
      </c>
      <c r="L2265" t="s">
        <v>6327</v>
      </c>
      <c r="M2265" t="str">
        <f>"https://www.artic.edu/iiif/2/"&amp;Table9[[#This Row],[Image ID]]&amp;"/full/843,/0/default.jpg"</f>
        <v>https://www.artic.edu/iiif/2/584dba11-d691-db46-ceec-be498b9bf66c/full/843,/0/default.jpg</v>
      </c>
      <c r="N2265" s="3">
        <v>0.77500000000000002</v>
      </c>
      <c r="O2265" s="3">
        <v>0.15</v>
      </c>
      <c r="P2265" s="3">
        <v>0.625</v>
      </c>
      <c r="Q2265" s="3">
        <v>0.918803811073303</v>
      </c>
    </row>
    <row r="2266" spans="1:17" x14ac:dyDescent="0.45">
      <c r="A2266" s="3">
        <v>184892</v>
      </c>
      <c r="B2266" t="b">
        <v>0</v>
      </c>
      <c r="C2266" t="b">
        <v>0</v>
      </c>
      <c r="D2266" s="3">
        <v>2003</v>
      </c>
      <c r="E2266" s="3">
        <v>2003</v>
      </c>
      <c r="F2266" t="s">
        <v>4878</v>
      </c>
      <c r="G2266" t="s">
        <v>4823</v>
      </c>
      <c r="H2266" s="3">
        <v>6.8151999999999999</v>
      </c>
      <c r="I2266" t="s">
        <v>293</v>
      </c>
      <c r="J2266" t="s">
        <v>10977</v>
      </c>
      <c r="K2266" s="5" t="s">
        <v>15</v>
      </c>
      <c r="L2266" t="s">
        <v>4879</v>
      </c>
      <c r="M2266" t="str">
        <f>"https://www.artic.edu/iiif/2/"&amp;Table9[[#This Row],[Image ID]]&amp;"/full/843,/0/default.jpg"</f>
        <v>https://www.artic.edu/iiif/2/59756760-9fbd-ff32-e13d-625c720c3994/full/843,/0/default.jpg</v>
      </c>
      <c r="N2266" s="3">
        <v>0.67500000000000004</v>
      </c>
      <c r="O2266" s="3">
        <v>0.05</v>
      </c>
      <c r="P2266" s="3">
        <v>0.625</v>
      </c>
      <c r="Q2266" s="3">
        <v>0.85541522502899103</v>
      </c>
    </row>
    <row r="2267" spans="1:17" x14ac:dyDescent="0.45">
      <c r="A2267" s="3">
        <v>225748</v>
      </c>
      <c r="B2267" t="b">
        <v>0</v>
      </c>
      <c r="C2267" t="b">
        <v>0</v>
      </c>
      <c r="D2267" s="3">
        <v>1959</v>
      </c>
      <c r="E2267" s="3">
        <v>1959</v>
      </c>
      <c r="F2267" t="s">
        <v>5956</v>
      </c>
      <c r="G2267" t="s">
        <v>5917</v>
      </c>
      <c r="H2267" s="3">
        <v>31.003399999999999</v>
      </c>
      <c r="I2267" t="s">
        <v>5918</v>
      </c>
      <c r="J2267" t="s">
        <v>11203</v>
      </c>
      <c r="L2267" t="s">
        <v>5957</v>
      </c>
      <c r="M2267" t="str">
        <f>"https://www.artic.edu/iiif/2/"&amp;Table9[[#This Row],[Image ID]]&amp;"/full/843,/0/default.jpg"</f>
        <v>https://www.artic.edu/iiif/2/5a818b2a-7f53-4497-7cb9-d5347a48c470/full/843,/0/default.jpg</v>
      </c>
      <c r="N2267" s="3">
        <v>0.77500000000000002</v>
      </c>
      <c r="O2267" s="3">
        <v>0.15</v>
      </c>
      <c r="P2267" s="3">
        <v>0.625</v>
      </c>
      <c r="Q2267" s="3">
        <v>0.76385086774826005</v>
      </c>
    </row>
    <row r="2268" spans="1:17" x14ac:dyDescent="0.45">
      <c r="A2268" s="3">
        <v>215706</v>
      </c>
      <c r="B2268" t="b">
        <v>0</v>
      </c>
      <c r="C2268" t="b">
        <v>0</v>
      </c>
      <c r="D2268" s="3">
        <v>1932</v>
      </c>
      <c r="E2268" s="3">
        <v>1937</v>
      </c>
      <c r="F2268" t="s">
        <v>5635</v>
      </c>
      <c r="G2268" t="s">
        <v>5636</v>
      </c>
      <c r="H2268" s="3">
        <v>62.136000000000003</v>
      </c>
      <c r="I2268" t="s">
        <v>5637</v>
      </c>
      <c r="J2268" t="s">
        <v>12365</v>
      </c>
      <c r="L2268" t="s">
        <v>5638</v>
      </c>
      <c r="M2268" t="str">
        <f>"https://www.artic.edu/iiif/2/"&amp;Table9[[#This Row],[Image ID]]&amp;"/full/843,/0/default.jpg"</f>
        <v>https://www.artic.edu/iiif/2/5f020057-8263-579e-16fb-c26e695ba4d6/full/843,/0/default.jpg</v>
      </c>
      <c r="N2268" s="3">
        <v>0.7</v>
      </c>
      <c r="O2268" s="3">
        <v>7.4999999999999997E-2</v>
      </c>
      <c r="P2268" s="3">
        <v>0.625</v>
      </c>
      <c r="Q2268" s="3">
        <v>0.81942379474639804</v>
      </c>
    </row>
    <row r="2269" spans="1:17" x14ac:dyDescent="0.45">
      <c r="A2269" s="3">
        <v>65925</v>
      </c>
      <c r="B2269" t="b">
        <v>0</v>
      </c>
      <c r="C2269" t="b">
        <v>0</v>
      </c>
      <c r="D2269" s="3">
        <v>1918</v>
      </c>
      <c r="E2269" s="3">
        <v>1919</v>
      </c>
      <c r="F2269" t="s">
        <v>9100</v>
      </c>
      <c r="G2269" t="s">
        <v>434</v>
      </c>
      <c r="H2269" s="3">
        <v>29.507899999999999</v>
      </c>
      <c r="I2269" t="s">
        <v>1019</v>
      </c>
      <c r="J2269" t="s">
        <v>12424</v>
      </c>
      <c r="K2269" s="5" t="s">
        <v>45</v>
      </c>
      <c r="L2269" t="s">
        <v>9101</v>
      </c>
      <c r="M2269" t="str">
        <f>"https://www.artic.edu/iiif/2/"&amp;Table9[[#This Row],[Image ID]]&amp;"/full/843,/0/default.jpg"</f>
        <v>https://www.artic.edu/iiif/2/63692198-8ab4-4747-7038-6d5278cff867/full/843,/0/default.jpg</v>
      </c>
      <c r="N2269" s="3">
        <v>0.67500000000000004</v>
      </c>
      <c r="O2269" s="3">
        <v>0.05</v>
      </c>
      <c r="P2269" s="3">
        <v>0.625</v>
      </c>
      <c r="Q2269" s="3">
        <v>0.73607122898101796</v>
      </c>
    </row>
    <row r="2270" spans="1:17" x14ac:dyDescent="0.45">
      <c r="A2270" s="3">
        <v>97424</v>
      </c>
      <c r="B2270" t="b">
        <v>0</v>
      </c>
      <c r="C2270" t="b">
        <v>0</v>
      </c>
      <c r="D2270" s="3">
        <v>1914</v>
      </c>
      <c r="E2270" s="3">
        <v>1915</v>
      </c>
      <c r="F2270" t="s">
        <v>10836</v>
      </c>
      <c r="G2270" t="s">
        <v>10837</v>
      </c>
      <c r="H2270" s="3">
        <v>24.2394</v>
      </c>
      <c r="I2270" t="s">
        <v>2881</v>
      </c>
      <c r="J2270" t="s">
        <v>12437</v>
      </c>
      <c r="L2270" t="s">
        <v>10838</v>
      </c>
      <c r="M2270" t="str">
        <f>"https://www.artic.edu/iiif/2/"&amp;Table9[[#This Row],[Image ID]]&amp;"/full/843,/0/default.jpg"</f>
        <v>https://www.artic.edu/iiif/2/64850caf-7d68-5674-21ad-01c4a829c227/full/843,/0/default.jpg</v>
      </c>
      <c r="N2270" s="3">
        <v>0.67500000000000004</v>
      </c>
      <c r="O2270" s="3">
        <v>0.05</v>
      </c>
      <c r="P2270" s="3">
        <v>0.625</v>
      </c>
      <c r="Q2270" s="3">
        <v>0.91029661893844604</v>
      </c>
    </row>
    <row r="2271" spans="1:17" x14ac:dyDescent="0.45">
      <c r="A2271" s="3">
        <v>129851</v>
      </c>
      <c r="B2271" t="b">
        <v>0</v>
      </c>
      <c r="C2271" t="b">
        <v>0</v>
      </c>
      <c r="D2271" s="3">
        <v>1950</v>
      </c>
      <c r="E2271" s="3">
        <v>1950</v>
      </c>
      <c r="F2271" t="s">
        <v>2959</v>
      </c>
      <c r="G2271" t="s">
        <v>7</v>
      </c>
      <c r="H2271" s="3">
        <v>58.987900000000003</v>
      </c>
      <c r="I2271" t="s">
        <v>14565</v>
      </c>
      <c r="J2271" t="s">
        <v>12470</v>
      </c>
      <c r="L2271" t="s">
        <v>2960</v>
      </c>
      <c r="M2271" t="str">
        <f>"https://www.artic.edu/iiif/2/"&amp;Table9[[#This Row],[Image ID]]&amp;"/full/843,/0/default.jpg"</f>
        <v>https://www.artic.edu/iiif/2/66493773-b3e5-38f8-87f2-fbcc54c8ba64/full/843,/0/default.jpg</v>
      </c>
      <c r="N2271" s="3">
        <v>0.65</v>
      </c>
      <c r="O2271" s="3">
        <v>2.5000000000000001E-2</v>
      </c>
      <c r="P2271" s="3">
        <v>0.625</v>
      </c>
      <c r="Q2271" s="3">
        <v>0.84429442882537797</v>
      </c>
    </row>
    <row r="2272" spans="1:17" x14ac:dyDescent="0.45">
      <c r="A2272" s="3">
        <v>117359</v>
      </c>
      <c r="B2272" t="b">
        <v>0</v>
      </c>
      <c r="C2272" t="b">
        <v>0</v>
      </c>
      <c r="D2272" s="3">
        <v>1937</v>
      </c>
      <c r="E2272" s="3">
        <v>1992</v>
      </c>
      <c r="F2272" t="s">
        <v>2304</v>
      </c>
      <c r="G2272" t="s">
        <v>2305</v>
      </c>
      <c r="H2272" s="3">
        <v>29.789899999999999</v>
      </c>
      <c r="I2272" t="s">
        <v>2306</v>
      </c>
      <c r="J2272" t="s">
        <v>12530</v>
      </c>
      <c r="K2272" s="5" t="s">
        <v>2</v>
      </c>
      <c r="L2272" t="s">
        <v>2307</v>
      </c>
      <c r="M2272" t="str">
        <f>"https://www.artic.edu/iiif/2/"&amp;Table9[[#This Row],[Image ID]]&amp;"/full/843,/0/default.jpg"</f>
        <v>https://www.artic.edu/iiif/2/6afdd4d9-c511-6d5b-02e9-22f6985e21fc/full/843,/0/default.jpg</v>
      </c>
      <c r="N2272" s="3">
        <v>0.65</v>
      </c>
      <c r="O2272" s="3">
        <v>2.5000000000000001E-2</v>
      </c>
      <c r="P2272" s="3">
        <v>0.625</v>
      </c>
      <c r="Q2272" s="3">
        <v>0.66455602645874001</v>
      </c>
    </row>
    <row r="2273" spans="1:17" ht="99.75" x14ac:dyDescent="0.45">
      <c r="A2273" s="3">
        <v>61120</v>
      </c>
      <c r="B2273" t="b">
        <v>0</v>
      </c>
      <c r="C2273" t="b">
        <v>0</v>
      </c>
      <c r="D2273" s="3">
        <v>1825</v>
      </c>
      <c r="E2273" s="3">
        <v>1850</v>
      </c>
      <c r="F2273" t="s">
        <v>8766</v>
      </c>
      <c r="G2273" t="s">
        <v>7</v>
      </c>
      <c r="H2273" s="3">
        <v>20.178100000000001</v>
      </c>
      <c r="J2273" s="1" t="s">
        <v>12531</v>
      </c>
      <c r="L2273" t="s">
        <v>8767</v>
      </c>
      <c r="M2273" t="str">
        <f>"https://www.artic.edu/iiif/2/"&amp;Table9[[#This Row],[Image ID]]&amp;"/full/843,/0/default.jpg"</f>
        <v>https://www.artic.edu/iiif/2/6b0b401b-afad-86c1-47fa-16bcf76c4c0b/full/843,/0/default.jpg</v>
      </c>
      <c r="N2273" s="3">
        <v>0.8</v>
      </c>
      <c r="O2273" s="3">
        <v>0.17499999999999999</v>
      </c>
      <c r="P2273" s="3">
        <v>0.625</v>
      </c>
      <c r="Q2273" s="3">
        <v>0.87637954950332597</v>
      </c>
    </row>
    <row r="2274" spans="1:17" x14ac:dyDescent="0.45">
      <c r="A2274" s="3">
        <v>13726</v>
      </c>
      <c r="B2274" t="b">
        <v>0</v>
      </c>
      <c r="C2274" t="b">
        <v>0</v>
      </c>
      <c r="D2274" s="3">
        <v>1921</v>
      </c>
      <c r="E2274" s="3">
        <v>1921</v>
      </c>
      <c r="F2274" t="s">
        <v>3189</v>
      </c>
      <c r="G2274" t="s">
        <v>7</v>
      </c>
      <c r="H2274" s="3">
        <v>19.116599999999998</v>
      </c>
      <c r="I2274" t="s">
        <v>3190</v>
      </c>
      <c r="J2274" t="s">
        <v>12562</v>
      </c>
      <c r="L2274" t="s">
        <v>3191</v>
      </c>
      <c r="M2274" t="str">
        <f>"https://www.artic.edu/iiif/2/"&amp;Table9[[#This Row],[Image ID]]&amp;"/full/843,/0/default.jpg"</f>
        <v>https://www.artic.edu/iiif/2/6cc65b55-b8d0-2ee0-f37a-7cf6e9797162/full/843,/0/default.jpg</v>
      </c>
      <c r="N2274" s="3">
        <v>0.65</v>
      </c>
      <c r="O2274" s="3">
        <v>2.5000000000000001E-2</v>
      </c>
      <c r="P2274" s="3">
        <v>0.625</v>
      </c>
      <c r="Q2274" s="3">
        <v>0.68244808912277199</v>
      </c>
    </row>
    <row r="2275" spans="1:17" x14ac:dyDescent="0.45">
      <c r="A2275" s="3">
        <v>52986</v>
      </c>
      <c r="B2275" t="b">
        <v>0</v>
      </c>
      <c r="C2275" t="b">
        <v>0</v>
      </c>
      <c r="D2275" s="3">
        <v>1974</v>
      </c>
      <c r="E2275" s="3">
        <v>1974</v>
      </c>
      <c r="F2275" t="s">
        <v>11</v>
      </c>
      <c r="G2275" t="s">
        <v>58</v>
      </c>
      <c r="H2275" s="3">
        <v>22.9239</v>
      </c>
      <c r="I2275" t="s">
        <v>3389</v>
      </c>
      <c r="J2275" t="s">
        <v>12260</v>
      </c>
      <c r="L2275" t="s">
        <v>8210</v>
      </c>
      <c r="M2275" t="str">
        <f>"https://www.artic.edu/iiif/2/"&amp;Table9[[#This Row],[Image ID]]&amp;"/full/843,/0/default.jpg"</f>
        <v>https://www.artic.edu/iiif/2/6fb1366a-1228-c0a4-01cd-00f087830219/full/843,/0/default.jpg</v>
      </c>
      <c r="N2275" s="3">
        <v>0.72499999999999998</v>
      </c>
      <c r="O2275" s="3">
        <v>0.1</v>
      </c>
      <c r="P2275" s="3">
        <v>0.625</v>
      </c>
      <c r="Q2275" s="3">
        <v>0.92280524969100897</v>
      </c>
    </row>
    <row r="2276" spans="1:17" x14ac:dyDescent="0.45">
      <c r="A2276" s="3">
        <v>228841</v>
      </c>
      <c r="B2276" t="b">
        <v>0</v>
      </c>
      <c r="C2276" t="b">
        <v>0</v>
      </c>
      <c r="D2276" s="3">
        <v>2006</v>
      </c>
      <c r="E2276" s="3">
        <v>2006</v>
      </c>
      <c r="F2276" t="s">
        <v>6028</v>
      </c>
      <c r="G2276" t="s">
        <v>141</v>
      </c>
      <c r="H2276" s="3">
        <v>3.7574000000000001</v>
      </c>
      <c r="I2276" t="s">
        <v>6016</v>
      </c>
      <c r="J2276" t="s">
        <v>11455</v>
      </c>
      <c r="K2276" s="5" t="s">
        <v>15</v>
      </c>
      <c r="L2276" t="s">
        <v>6029</v>
      </c>
      <c r="M2276" t="str">
        <f>"https://www.artic.edu/iiif/2/"&amp;Table9[[#This Row],[Image ID]]&amp;"/full/843,/0/default.jpg"</f>
        <v>https://www.artic.edu/iiif/2/7200abbe-fe0f-6609-f2ea-8c04d84d8bb2/full/843,/0/default.jpg</v>
      </c>
      <c r="N2276" s="3">
        <v>0.82499999999999996</v>
      </c>
      <c r="O2276" s="3">
        <v>0.2</v>
      </c>
      <c r="P2276" s="3">
        <v>0.625</v>
      </c>
      <c r="Q2276" s="3">
        <v>0.84649789333343495</v>
      </c>
    </row>
    <row r="2277" spans="1:17" x14ac:dyDescent="0.45">
      <c r="A2277" s="3">
        <v>25798</v>
      </c>
      <c r="B2277" t="b">
        <v>0</v>
      </c>
      <c r="C2277" t="b">
        <v>0</v>
      </c>
      <c r="D2277" s="3">
        <v>1959</v>
      </c>
      <c r="E2277" s="3">
        <v>1959</v>
      </c>
      <c r="F2277" t="s">
        <v>6611</v>
      </c>
      <c r="G2277" t="s">
        <v>7</v>
      </c>
      <c r="H2277" s="3">
        <v>65.4816</v>
      </c>
      <c r="I2277" t="s">
        <v>6612</v>
      </c>
      <c r="J2277" t="s">
        <v>12674</v>
      </c>
      <c r="L2277" t="s">
        <v>6613</v>
      </c>
      <c r="M2277" t="str">
        <f>"https://www.artic.edu/iiif/2/"&amp;Table9[[#This Row],[Image ID]]&amp;"/full/843,/0/default.jpg"</f>
        <v>https://www.artic.edu/iiif/2/751fe63c-9e4c-32e8-2e21-e32cb3c9f3de/full/843,/0/default.jpg</v>
      </c>
      <c r="N2277" s="3">
        <v>0.67500000000000004</v>
      </c>
      <c r="O2277" s="3">
        <v>0.05</v>
      </c>
      <c r="P2277" s="3">
        <v>0.625</v>
      </c>
      <c r="Q2277" s="3">
        <v>0.723272204399108</v>
      </c>
    </row>
    <row r="2278" spans="1:17" x14ac:dyDescent="0.45">
      <c r="A2278" s="3">
        <v>56037</v>
      </c>
      <c r="B2278" t="b">
        <v>0</v>
      </c>
      <c r="C2278" t="b">
        <v>0</v>
      </c>
      <c r="D2278" s="3">
        <v>1952</v>
      </c>
      <c r="E2278" s="3">
        <v>1952</v>
      </c>
      <c r="F2278" t="s">
        <v>8436</v>
      </c>
      <c r="G2278" t="s">
        <v>8437</v>
      </c>
      <c r="H2278" s="3">
        <v>12.212899999999999</v>
      </c>
      <c r="I2278" t="s">
        <v>172</v>
      </c>
      <c r="J2278" t="s">
        <v>12748</v>
      </c>
      <c r="L2278" t="s">
        <v>8438</v>
      </c>
      <c r="M2278" t="str">
        <f>"https://www.artic.edu/iiif/2/"&amp;Table9[[#This Row],[Image ID]]&amp;"/full/843,/0/default.jpg"</f>
        <v>https://www.artic.edu/iiif/2/7a657728-2a7d-aef1-0a50-70c9516b3a4f/full/843,/0/default.jpg</v>
      </c>
      <c r="N2278" s="3">
        <v>0.7</v>
      </c>
      <c r="O2278" s="3">
        <v>7.4999999999999997E-2</v>
      </c>
      <c r="P2278" s="3">
        <v>0.625</v>
      </c>
      <c r="Q2278" s="3">
        <v>0.75863713026046697</v>
      </c>
    </row>
    <row r="2279" spans="1:17" x14ac:dyDescent="0.45">
      <c r="A2279" s="3">
        <v>54757</v>
      </c>
      <c r="B2279" t="b">
        <v>0</v>
      </c>
      <c r="C2279" t="b">
        <v>0</v>
      </c>
      <c r="D2279" s="3">
        <v>1945</v>
      </c>
      <c r="E2279" s="3">
        <v>1945</v>
      </c>
      <c r="F2279" t="s">
        <v>8303</v>
      </c>
      <c r="G2279" t="s">
        <v>8304</v>
      </c>
      <c r="H2279" s="3">
        <v>59.9313</v>
      </c>
      <c r="I2279" t="s">
        <v>5205</v>
      </c>
      <c r="J2279" t="s">
        <v>12827</v>
      </c>
      <c r="K2279" s="5" t="s">
        <v>45</v>
      </c>
      <c r="L2279" t="s">
        <v>8305</v>
      </c>
      <c r="M2279" t="str">
        <f>"https://www.artic.edu/iiif/2/"&amp;Table9[[#This Row],[Image ID]]&amp;"/full/843,/0/default.jpg"</f>
        <v>https://www.artic.edu/iiif/2/8077c8ff-93f5-de61-edb9-10185ea85429/full/843,/0/default.jpg</v>
      </c>
      <c r="N2279" s="3">
        <v>0.65</v>
      </c>
      <c r="O2279" s="3">
        <v>2.5000000000000001E-2</v>
      </c>
      <c r="P2279" s="3">
        <v>0.625</v>
      </c>
      <c r="Q2279" s="3">
        <v>0.77636337280273404</v>
      </c>
    </row>
    <row r="2280" spans="1:17" x14ac:dyDescent="0.45">
      <c r="A2280" s="3">
        <v>117808</v>
      </c>
      <c r="B2280" t="b">
        <v>0</v>
      </c>
      <c r="C2280" t="b">
        <v>0</v>
      </c>
      <c r="D2280" s="3">
        <v>1960</v>
      </c>
      <c r="E2280" s="3">
        <v>1965</v>
      </c>
      <c r="F2280" t="s">
        <v>2441</v>
      </c>
      <c r="G2280" t="s">
        <v>1536</v>
      </c>
      <c r="H2280" s="3">
        <v>29.432099999999998</v>
      </c>
      <c r="I2280" t="s">
        <v>2442</v>
      </c>
      <c r="J2280" t="s">
        <v>12864</v>
      </c>
      <c r="L2280" t="s">
        <v>2443</v>
      </c>
      <c r="M2280" t="str">
        <f>"https://www.artic.edu/iiif/2/"&amp;Table9[[#This Row],[Image ID]]&amp;"/full/843,/0/default.jpg"</f>
        <v>https://www.artic.edu/iiif/2/8339810a-2ebb-5aea-4a86-9f777e4ff2c3/full/843,/0/default.jpg</v>
      </c>
      <c r="N2280" s="3">
        <v>0.7</v>
      </c>
      <c r="O2280" s="3">
        <v>7.4999999999999997E-2</v>
      </c>
      <c r="P2280" s="3">
        <v>0.625</v>
      </c>
      <c r="Q2280" s="3">
        <v>0.66910755634307795</v>
      </c>
    </row>
    <row r="2281" spans="1:17" x14ac:dyDescent="0.45">
      <c r="A2281" s="3">
        <v>238193</v>
      </c>
      <c r="B2281" t="b">
        <v>0</v>
      </c>
      <c r="C2281" t="b">
        <v>0</v>
      </c>
      <c r="D2281" s="3">
        <v>1969</v>
      </c>
      <c r="E2281" s="3">
        <v>1969</v>
      </c>
      <c r="F2281" t="s">
        <v>11</v>
      </c>
      <c r="G2281" t="s">
        <v>6315</v>
      </c>
      <c r="H2281" s="3">
        <v>32.303800000000003</v>
      </c>
      <c r="I2281" t="s">
        <v>6316</v>
      </c>
      <c r="J2281" t="s">
        <v>12910</v>
      </c>
      <c r="L2281" t="s">
        <v>6317</v>
      </c>
      <c r="M2281" t="str">
        <f>"https://www.artic.edu/iiif/2/"&amp;Table9[[#This Row],[Image ID]]&amp;"/full/843,/0/default.jpg"</f>
        <v>https://www.artic.edu/iiif/2/86f5c1bb-c642-7339-5061-c5f210c0ae19/full/843,/0/default.jpg</v>
      </c>
      <c r="N2281" s="3">
        <v>0.8</v>
      </c>
      <c r="O2281" s="3">
        <v>0.17499999999999999</v>
      </c>
      <c r="P2281" s="3">
        <v>0.625</v>
      </c>
      <c r="Q2281" s="3">
        <v>0.90329867601394598</v>
      </c>
    </row>
    <row r="2282" spans="1:17" x14ac:dyDescent="0.45">
      <c r="A2282" s="3">
        <v>225749</v>
      </c>
      <c r="B2282" t="b">
        <v>0</v>
      </c>
      <c r="C2282" t="b">
        <v>0</v>
      </c>
      <c r="D2282" s="3">
        <v>1959</v>
      </c>
      <c r="E2282" s="3">
        <v>1959</v>
      </c>
      <c r="F2282" t="s">
        <v>5958</v>
      </c>
      <c r="G2282" t="s">
        <v>5917</v>
      </c>
      <c r="H2282" s="3">
        <v>46.520099999999999</v>
      </c>
      <c r="I2282" t="s">
        <v>5918</v>
      </c>
      <c r="J2282" t="s">
        <v>11203</v>
      </c>
      <c r="L2282" t="s">
        <v>5959</v>
      </c>
      <c r="M2282" t="str">
        <f>"https://www.artic.edu/iiif/2/"&amp;Table9[[#This Row],[Image ID]]&amp;"/full/843,/0/default.jpg"</f>
        <v>https://www.artic.edu/iiif/2/87268626-9333-b778-9076-d7e04e7179a8/full/843,/0/default.jpg</v>
      </c>
      <c r="N2282" s="3">
        <v>0.65</v>
      </c>
      <c r="O2282" s="3">
        <v>2.5000000000000001E-2</v>
      </c>
      <c r="P2282" s="3">
        <v>0.625</v>
      </c>
      <c r="Q2282" s="3">
        <v>0.83823913335800104</v>
      </c>
    </row>
    <row r="2283" spans="1:17" ht="42.75" x14ac:dyDescent="0.45">
      <c r="A2283" s="3">
        <v>45932</v>
      </c>
      <c r="B2283" t="b">
        <v>0</v>
      </c>
      <c r="C2283" t="b">
        <v>0</v>
      </c>
      <c r="D2283" s="3">
        <v>1930</v>
      </c>
      <c r="E2283" s="3">
        <v>1932</v>
      </c>
      <c r="F2283" t="s">
        <v>7875</v>
      </c>
      <c r="G2283" t="s">
        <v>2857</v>
      </c>
      <c r="H2283" s="3">
        <v>80.86</v>
      </c>
      <c r="I2283" t="s">
        <v>4708</v>
      </c>
      <c r="J2283" s="1" t="s">
        <v>12918</v>
      </c>
      <c r="L2283" t="s">
        <v>7876</v>
      </c>
      <c r="M2283" t="str">
        <f>"https://www.artic.edu/iiif/2/"&amp;Table9[[#This Row],[Image ID]]&amp;"/full/843,/0/default.jpg"</f>
        <v>https://www.artic.edu/iiif/2/87d041cf-17e8-9847-2416-34baee59fe6d/full/843,/0/default.jpg</v>
      </c>
      <c r="N2283" s="3">
        <v>0.67500000000000004</v>
      </c>
      <c r="O2283" s="3">
        <v>0.05</v>
      </c>
      <c r="P2283" s="3">
        <v>0.625</v>
      </c>
      <c r="Q2283" s="3">
        <v>0.78175842761993397</v>
      </c>
    </row>
    <row r="2284" spans="1:17" x14ac:dyDescent="0.45">
      <c r="A2284" s="3">
        <v>113958</v>
      </c>
      <c r="B2284" t="b">
        <v>0</v>
      </c>
      <c r="C2284" t="b">
        <v>0</v>
      </c>
      <c r="D2284" s="3">
        <v>1956</v>
      </c>
      <c r="E2284" s="3">
        <v>1966</v>
      </c>
      <c r="F2284" t="s">
        <v>1528</v>
      </c>
      <c r="G2284" t="s">
        <v>1529</v>
      </c>
      <c r="H2284" s="3">
        <v>24.508400000000002</v>
      </c>
      <c r="I2284" t="s">
        <v>1530</v>
      </c>
      <c r="J2284" t="s">
        <v>12920</v>
      </c>
      <c r="L2284" t="s">
        <v>1531</v>
      </c>
      <c r="M2284" t="str">
        <f>"https://www.artic.edu/iiif/2/"&amp;Table9[[#This Row],[Image ID]]&amp;"/full/843,/0/default.jpg"</f>
        <v>https://www.artic.edu/iiif/2/87eb2d5a-0f6a-d288-8018-6e5166d2b475/full/843,/0/default.jpg</v>
      </c>
      <c r="N2284" s="3">
        <v>0.75</v>
      </c>
      <c r="O2284" s="3">
        <v>0.125</v>
      </c>
      <c r="P2284" s="3">
        <v>0.625</v>
      </c>
      <c r="Q2284" s="3">
        <v>0.87749880552291804</v>
      </c>
    </row>
    <row r="2285" spans="1:17" x14ac:dyDescent="0.45">
      <c r="A2285" s="3">
        <v>111112</v>
      </c>
      <c r="B2285" t="b">
        <v>0</v>
      </c>
      <c r="C2285" t="b">
        <v>0</v>
      </c>
      <c r="D2285" s="3">
        <v>1955</v>
      </c>
      <c r="E2285" s="3">
        <v>1955</v>
      </c>
      <c r="F2285" t="s">
        <v>1034</v>
      </c>
      <c r="G2285" t="s">
        <v>1035</v>
      </c>
      <c r="H2285" s="3">
        <v>21.9621</v>
      </c>
      <c r="I2285" t="s">
        <v>1036</v>
      </c>
      <c r="J2285" t="s">
        <v>12927</v>
      </c>
      <c r="L2285" t="s">
        <v>1037</v>
      </c>
      <c r="M2285" t="str">
        <f>"https://www.artic.edu/iiif/2/"&amp;Table9[[#This Row],[Image ID]]&amp;"/full/843,/0/default.jpg"</f>
        <v>https://www.artic.edu/iiif/2/88613176-b818-40b0-fc55-840a6e8f7de7/full/843,/0/default.jpg</v>
      </c>
      <c r="N2285" s="3">
        <v>0.625</v>
      </c>
      <c r="O2285" s="3">
        <v>0</v>
      </c>
      <c r="P2285" s="3">
        <v>0.625</v>
      </c>
      <c r="Q2285" s="3">
        <v>0.88577497005462602</v>
      </c>
    </row>
    <row r="2286" spans="1:17" x14ac:dyDescent="0.45">
      <c r="A2286" s="3">
        <v>156331</v>
      </c>
      <c r="B2286" t="b">
        <v>0</v>
      </c>
      <c r="C2286" t="b">
        <v>0</v>
      </c>
      <c r="D2286" s="3">
        <v>1929</v>
      </c>
      <c r="E2286" s="3">
        <v>1929</v>
      </c>
      <c r="F2286" t="s">
        <v>14</v>
      </c>
      <c r="G2286" t="s">
        <v>4062</v>
      </c>
      <c r="H2286" s="3">
        <v>17.091799999999999</v>
      </c>
      <c r="I2286" t="s">
        <v>2555</v>
      </c>
      <c r="J2286" t="s">
        <v>12936</v>
      </c>
      <c r="L2286" t="s">
        <v>4063</v>
      </c>
      <c r="M2286" t="str">
        <f>"https://www.artic.edu/iiif/2/"&amp;Table9[[#This Row],[Image ID]]&amp;"/full/843,/0/default.jpg"</f>
        <v>https://www.artic.edu/iiif/2/898ed618-1736-83b0-551b-c838f8362d4e/full/843,/0/default.jpg</v>
      </c>
      <c r="N2286" s="3">
        <v>0.7</v>
      </c>
      <c r="O2286" s="3">
        <v>7.4999999999999997E-2</v>
      </c>
      <c r="P2286" s="3">
        <v>0.625</v>
      </c>
      <c r="Q2286" s="3">
        <v>0.77366983890533403</v>
      </c>
    </row>
    <row r="2287" spans="1:17" x14ac:dyDescent="0.45">
      <c r="A2287" s="3">
        <v>58344</v>
      </c>
      <c r="B2287" t="b">
        <v>0</v>
      </c>
      <c r="C2287" t="b">
        <v>0</v>
      </c>
      <c r="D2287" s="3">
        <v>1932</v>
      </c>
      <c r="E2287" s="3">
        <v>1932</v>
      </c>
      <c r="F2287" t="s">
        <v>131</v>
      </c>
      <c r="G2287" t="s">
        <v>6981</v>
      </c>
      <c r="H2287" s="3">
        <v>12.819900000000001</v>
      </c>
      <c r="I2287" t="s">
        <v>1512</v>
      </c>
      <c r="J2287" t="s">
        <v>11740</v>
      </c>
      <c r="L2287" t="s">
        <v>8517</v>
      </c>
      <c r="M2287" t="str">
        <f>"https://www.artic.edu/iiif/2/"&amp;Table9[[#This Row],[Image ID]]&amp;"/full/843,/0/default.jpg"</f>
        <v>https://www.artic.edu/iiif/2/8a729d33-3f04-6858-3d77-fbb642c7457d/full/843,/0/default.jpg</v>
      </c>
      <c r="N2287" s="3">
        <v>0.67500000000000004</v>
      </c>
      <c r="O2287" s="3">
        <v>0.05</v>
      </c>
      <c r="P2287" s="3">
        <v>0.625</v>
      </c>
      <c r="Q2287" s="3">
        <v>0.64627254009246804</v>
      </c>
    </row>
    <row r="2288" spans="1:17" x14ac:dyDescent="0.45">
      <c r="A2288" s="3">
        <v>16119</v>
      </c>
      <c r="B2288" t="b">
        <v>0</v>
      </c>
      <c r="C2288" t="b">
        <v>0</v>
      </c>
      <c r="D2288" s="3">
        <v>1940</v>
      </c>
      <c r="E2288" s="3">
        <v>1950</v>
      </c>
      <c r="F2288" t="s">
        <v>4253</v>
      </c>
      <c r="G2288" t="s">
        <v>4254</v>
      </c>
      <c r="H2288" s="3">
        <v>37.461500000000001</v>
      </c>
      <c r="I2288" t="s">
        <v>563</v>
      </c>
      <c r="J2288" t="s">
        <v>12982</v>
      </c>
      <c r="L2288" t="s">
        <v>4255</v>
      </c>
      <c r="M2288" t="str">
        <f>"https://www.artic.edu/iiif/2/"&amp;Table9[[#This Row],[Image ID]]&amp;"/full/843,/0/default.jpg"</f>
        <v>https://www.artic.edu/iiif/2/8c5f71a0-1342-3a8a-58b9-a49225d87cd9/full/843,/0/default.jpg</v>
      </c>
      <c r="N2288" s="3">
        <v>0.7</v>
      </c>
      <c r="O2288" s="3">
        <v>7.4999999999999997E-2</v>
      </c>
      <c r="P2288" s="3">
        <v>0.625</v>
      </c>
      <c r="Q2288" s="3">
        <v>0.74431949853897095</v>
      </c>
    </row>
    <row r="2289" spans="1:17" x14ac:dyDescent="0.45">
      <c r="A2289" s="3">
        <v>153699</v>
      </c>
      <c r="B2289" t="b">
        <v>0</v>
      </c>
      <c r="C2289" t="b">
        <v>0</v>
      </c>
      <c r="D2289" s="3">
        <v>1936</v>
      </c>
      <c r="E2289" s="3">
        <v>1936</v>
      </c>
      <c r="F2289" t="s">
        <v>3947</v>
      </c>
      <c r="G2289" t="s">
        <v>7</v>
      </c>
      <c r="H2289" s="3">
        <v>36.438299999999998</v>
      </c>
      <c r="I2289" t="s">
        <v>523</v>
      </c>
      <c r="J2289" t="s">
        <v>13036</v>
      </c>
      <c r="L2289" t="s">
        <v>3948</v>
      </c>
      <c r="M2289" t="str">
        <f>"https://www.artic.edu/iiif/2/"&amp;Table9[[#This Row],[Image ID]]&amp;"/full/843,/0/default.jpg"</f>
        <v>https://www.artic.edu/iiif/2/90cb302e-5f3a-75d5-9d3a-ee157516b4be/full/843,/0/default.jpg</v>
      </c>
      <c r="N2289" s="3">
        <v>0.7</v>
      </c>
      <c r="O2289" s="3">
        <v>7.4999999999999997E-2</v>
      </c>
      <c r="P2289" s="3">
        <v>0.625</v>
      </c>
      <c r="Q2289" s="3">
        <v>0.71208095550537098</v>
      </c>
    </row>
    <row r="2290" spans="1:17" x14ac:dyDescent="0.45">
      <c r="A2290" s="3">
        <v>16165</v>
      </c>
      <c r="B2290" t="b">
        <v>0</v>
      </c>
      <c r="C2290" t="b">
        <v>0</v>
      </c>
      <c r="D2290" s="3">
        <v>1889</v>
      </c>
      <c r="E2290" s="3">
        <v>1941</v>
      </c>
      <c r="F2290" t="s">
        <v>4280</v>
      </c>
      <c r="G2290" t="s">
        <v>4281</v>
      </c>
      <c r="H2290" s="3">
        <v>25.4788</v>
      </c>
      <c r="I2290" t="s">
        <v>4278</v>
      </c>
      <c r="J2290" t="s">
        <v>13040</v>
      </c>
      <c r="L2290" t="s">
        <v>4282</v>
      </c>
      <c r="M2290" t="str">
        <f>"https://www.artic.edu/iiif/2/"&amp;Table9[[#This Row],[Image ID]]&amp;"/full/843,/0/default.jpg"</f>
        <v>https://www.artic.edu/iiif/2/915cacaf-8134-c1d6-eee4-199dd524d0e9/full/843,/0/default.jpg</v>
      </c>
      <c r="N2290" s="3">
        <v>0.65</v>
      </c>
      <c r="O2290" s="3">
        <v>2.5000000000000001E-2</v>
      </c>
      <c r="P2290" s="3">
        <v>0.625</v>
      </c>
      <c r="Q2290" s="3">
        <v>0.836561620235443</v>
      </c>
    </row>
    <row r="2291" spans="1:17" x14ac:dyDescent="0.45">
      <c r="A2291" s="3">
        <v>229357</v>
      </c>
      <c r="B2291" t="b">
        <v>0</v>
      </c>
      <c r="C2291" t="b">
        <v>0</v>
      </c>
      <c r="D2291" s="3">
        <v>1964</v>
      </c>
      <c r="E2291" s="3">
        <v>1964</v>
      </c>
      <c r="F2291" t="s">
        <v>6071</v>
      </c>
      <c r="G2291" t="s">
        <v>6072</v>
      </c>
      <c r="H2291" s="3">
        <v>53.719299999999997</v>
      </c>
      <c r="I2291" t="s">
        <v>2666</v>
      </c>
      <c r="J2291" t="s">
        <v>13053</v>
      </c>
      <c r="K2291" s="5" t="s">
        <v>149</v>
      </c>
      <c r="L2291" t="s">
        <v>6073</v>
      </c>
      <c r="M2291" t="str">
        <f>"https://www.artic.edu/iiif/2/"&amp;Table9[[#This Row],[Image ID]]&amp;"/full/843,/0/default.jpg"</f>
        <v>https://www.artic.edu/iiif/2/92392b95-81f3-c1bc-e137-95a0963fae05/full/843,/0/default.jpg</v>
      </c>
      <c r="N2291" s="3">
        <v>0.75</v>
      </c>
      <c r="O2291" s="3">
        <v>0.125</v>
      </c>
      <c r="P2291" s="3">
        <v>0.625</v>
      </c>
      <c r="Q2291" s="3">
        <v>0.81291693449020297</v>
      </c>
    </row>
    <row r="2292" spans="1:17" x14ac:dyDescent="0.45">
      <c r="A2292" s="3">
        <v>185410</v>
      </c>
      <c r="B2292" t="b">
        <v>0</v>
      </c>
      <c r="C2292" t="b">
        <v>0</v>
      </c>
      <c r="D2292" s="3">
        <v>1973</v>
      </c>
      <c r="E2292" s="3">
        <v>1983</v>
      </c>
      <c r="F2292" t="s">
        <v>4993</v>
      </c>
      <c r="G2292" t="s">
        <v>4991</v>
      </c>
      <c r="H2292" s="3">
        <v>26.225300000000001</v>
      </c>
      <c r="I2292" t="s">
        <v>1001</v>
      </c>
      <c r="J2292" t="s">
        <v>12592</v>
      </c>
      <c r="K2292" s="5" t="s">
        <v>13</v>
      </c>
      <c r="L2292" t="s">
        <v>4994</v>
      </c>
      <c r="M2292" t="str">
        <f>"https://www.artic.edu/iiif/2/"&amp;Table9[[#This Row],[Image ID]]&amp;"/full/843,/0/default.jpg"</f>
        <v>https://www.artic.edu/iiif/2/940198d2-4b7b-5f59-cbff-036f31d56918/full/843,/0/default.jpg</v>
      </c>
      <c r="N2292" s="3">
        <v>0.72499999999999998</v>
      </c>
      <c r="O2292" s="3">
        <v>0.1</v>
      </c>
      <c r="P2292" s="3">
        <v>0.625</v>
      </c>
      <c r="Q2292" s="3">
        <v>0.76227676868438698</v>
      </c>
    </row>
    <row r="2293" spans="1:17" x14ac:dyDescent="0.45">
      <c r="A2293" s="3">
        <v>53448</v>
      </c>
      <c r="B2293" t="b">
        <v>0</v>
      </c>
      <c r="C2293" t="b">
        <v>0</v>
      </c>
      <c r="D2293" s="3">
        <v>1538</v>
      </c>
      <c r="E2293" s="3">
        <v>1538</v>
      </c>
      <c r="F2293" t="s">
        <v>8258</v>
      </c>
      <c r="G2293" t="s">
        <v>75</v>
      </c>
      <c r="H2293" s="3">
        <v>19.0122</v>
      </c>
      <c r="I2293" t="s">
        <v>1240</v>
      </c>
      <c r="J2293" t="s">
        <v>8260</v>
      </c>
      <c r="L2293" t="s">
        <v>8259</v>
      </c>
      <c r="M2293" t="str">
        <f>"https://www.artic.edu/iiif/2/"&amp;Table9[[#This Row],[Image ID]]&amp;"/full/843,/0/default.jpg"</f>
        <v>https://www.artic.edu/iiif/2/97211e61-5f3d-19e9-279d-61e8eefdefe0/full/843,/0/default.jpg</v>
      </c>
      <c r="N2293" s="3">
        <v>0.82499999999999996</v>
      </c>
      <c r="O2293" s="3">
        <v>0.2</v>
      </c>
      <c r="P2293" s="3">
        <v>0.625</v>
      </c>
      <c r="Q2293" s="3">
        <v>0.82961690425872803</v>
      </c>
    </row>
    <row r="2294" spans="1:17" x14ac:dyDescent="0.45">
      <c r="A2294" s="3">
        <v>99750</v>
      </c>
      <c r="B2294" t="b">
        <v>0</v>
      </c>
      <c r="C2294" t="b">
        <v>0</v>
      </c>
      <c r="D2294" s="3">
        <v>1916</v>
      </c>
      <c r="E2294" s="3">
        <v>1916</v>
      </c>
      <c r="F2294" t="s">
        <v>10950</v>
      </c>
      <c r="G2294" t="s">
        <v>10951</v>
      </c>
      <c r="H2294" s="3">
        <v>21.508400000000002</v>
      </c>
      <c r="I2294" t="s">
        <v>510</v>
      </c>
      <c r="J2294" t="s">
        <v>13116</v>
      </c>
      <c r="L2294" t="s">
        <v>10952</v>
      </c>
      <c r="M2294" t="str">
        <f>"https://www.artic.edu/iiif/2/"&amp;Table9[[#This Row],[Image ID]]&amp;"/full/843,/0/default.jpg"</f>
        <v>https://www.artic.edu/iiif/2/974cfe72-6d5f-3e47-4958-a2c64afa3224/full/843,/0/default.jpg</v>
      </c>
      <c r="N2294" s="3">
        <v>0.8</v>
      </c>
      <c r="O2294" s="3">
        <v>0.17499999999999999</v>
      </c>
      <c r="P2294" s="3">
        <v>0.625</v>
      </c>
      <c r="Q2294" s="3">
        <v>0.68292886018752996</v>
      </c>
    </row>
    <row r="2295" spans="1:17" x14ac:dyDescent="0.45">
      <c r="A2295" s="3">
        <v>103414</v>
      </c>
      <c r="B2295" t="b">
        <v>0</v>
      </c>
      <c r="C2295" t="b">
        <v>0</v>
      </c>
      <c r="D2295" s="3">
        <v>1968</v>
      </c>
      <c r="E2295" s="3">
        <v>1968</v>
      </c>
      <c r="F2295" t="s">
        <v>318</v>
      </c>
      <c r="G2295" t="s">
        <v>319</v>
      </c>
      <c r="H2295" s="3">
        <v>17.930399999999999</v>
      </c>
      <c r="I2295" t="s">
        <v>29</v>
      </c>
      <c r="J2295" t="s">
        <v>12247</v>
      </c>
      <c r="L2295" t="s">
        <v>320</v>
      </c>
      <c r="M2295" t="str">
        <f>"https://www.artic.edu/iiif/2/"&amp;Table9[[#This Row],[Image ID]]&amp;"/full/843,/0/default.jpg"</f>
        <v>https://www.artic.edu/iiif/2/98cc3601-0c57-fcb5-1230-c06a780ec195/full/843,/0/default.jpg</v>
      </c>
      <c r="N2295" s="3">
        <v>0.7</v>
      </c>
      <c r="O2295" s="3">
        <v>7.4999999999999997E-2</v>
      </c>
      <c r="P2295" s="3">
        <v>0.625</v>
      </c>
      <c r="Q2295" s="3">
        <v>0.93600535392761197</v>
      </c>
    </row>
    <row r="2296" spans="1:17" x14ac:dyDescent="0.45">
      <c r="A2296" s="3">
        <v>25870</v>
      </c>
      <c r="B2296" t="b">
        <v>0</v>
      </c>
      <c r="C2296" t="b">
        <v>0</v>
      </c>
      <c r="D2296" s="3">
        <v>1906</v>
      </c>
      <c r="E2296" s="3">
        <v>1917</v>
      </c>
      <c r="F2296" t="s">
        <v>6651</v>
      </c>
      <c r="G2296" t="s">
        <v>6652</v>
      </c>
      <c r="H2296" s="3">
        <v>53.620600000000003</v>
      </c>
      <c r="I2296" t="s">
        <v>4338</v>
      </c>
      <c r="J2296" t="s">
        <v>13159</v>
      </c>
      <c r="L2296" t="s">
        <v>6653</v>
      </c>
      <c r="M2296" t="str">
        <f>"https://www.artic.edu/iiif/2/"&amp;Table9[[#This Row],[Image ID]]&amp;"/full/843,/0/default.jpg"</f>
        <v>https://www.artic.edu/iiif/2/9a8134c1-6e15-dd15-b832-7242c31c71d8/full/843,/0/default.jpg</v>
      </c>
      <c r="N2296" s="3">
        <v>0.67500000000000004</v>
      </c>
      <c r="O2296" s="3">
        <v>0.05</v>
      </c>
      <c r="P2296" s="3">
        <v>0.625</v>
      </c>
      <c r="Q2296" s="3">
        <v>0.65758389234542802</v>
      </c>
    </row>
    <row r="2297" spans="1:17" x14ac:dyDescent="0.45">
      <c r="A2297" s="3">
        <v>105535</v>
      </c>
      <c r="B2297" t="b">
        <v>0</v>
      </c>
      <c r="C2297" t="b">
        <v>0</v>
      </c>
      <c r="D2297" s="3">
        <v>1940</v>
      </c>
      <c r="E2297" s="3">
        <v>1940</v>
      </c>
      <c r="F2297" t="s">
        <v>538</v>
      </c>
      <c r="G2297" t="s">
        <v>7</v>
      </c>
      <c r="H2297" s="3">
        <v>52.658900000000003</v>
      </c>
      <c r="I2297" t="s">
        <v>539</v>
      </c>
      <c r="J2297" t="s">
        <v>13268</v>
      </c>
      <c r="L2297" t="s">
        <v>540</v>
      </c>
      <c r="M2297" t="str">
        <f>"https://www.artic.edu/iiif/2/"&amp;Table9[[#This Row],[Image ID]]&amp;"/full/843,/0/default.jpg"</f>
        <v>https://www.artic.edu/iiif/2/a2b2f2c1-ee0a-e2fc-9f8b-bcd96de9d42e/full/843,/0/default.jpg</v>
      </c>
      <c r="N2297" s="3">
        <v>0.67500000000000004</v>
      </c>
      <c r="O2297" s="3">
        <v>0.05</v>
      </c>
      <c r="P2297" s="3">
        <v>0.625</v>
      </c>
      <c r="Q2297" s="3">
        <v>0.81218844652175903</v>
      </c>
    </row>
    <row r="2298" spans="1:17" x14ac:dyDescent="0.45">
      <c r="A2298" s="3">
        <v>44868</v>
      </c>
      <c r="B2298" t="b">
        <v>0</v>
      </c>
      <c r="C2298" t="b">
        <v>0</v>
      </c>
      <c r="D2298" s="3">
        <v>1942</v>
      </c>
      <c r="E2298" s="3">
        <v>1942</v>
      </c>
      <c r="F2298" t="s">
        <v>7812</v>
      </c>
      <c r="G2298" t="s">
        <v>238</v>
      </c>
      <c r="H2298" s="3">
        <v>47.505200000000002</v>
      </c>
      <c r="I2298" t="s">
        <v>2385</v>
      </c>
      <c r="J2298" t="s">
        <v>13315</v>
      </c>
      <c r="L2298" t="s">
        <v>7813</v>
      </c>
      <c r="M2298" t="str">
        <f>"https://www.artic.edu/iiif/2/"&amp;Table9[[#This Row],[Image ID]]&amp;"/full/843,/0/default.jpg"</f>
        <v>https://www.artic.edu/iiif/2/a60a8cce-bfd2-c344-5e11-b67e660f5e84/full/843,/0/default.jpg</v>
      </c>
      <c r="N2298" s="3">
        <v>0.67500000000000004</v>
      </c>
      <c r="O2298" s="3">
        <v>0.05</v>
      </c>
      <c r="P2298" s="3">
        <v>0.625</v>
      </c>
      <c r="Q2298" s="3">
        <v>0.74977368116378695</v>
      </c>
    </row>
    <row r="2299" spans="1:17" x14ac:dyDescent="0.45">
      <c r="A2299" s="3">
        <v>193869</v>
      </c>
      <c r="B2299" t="b">
        <v>0</v>
      </c>
      <c r="C2299" t="b">
        <v>0</v>
      </c>
      <c r="D2299" s="3">
        <v>1922</v>
      </c>
      <c r="E2299" s="3">
        <v>1925</v>
      </c>
      <c r="F2299" t="s">
        <v>5240</v>
      </c>
      <c r="G2299" t="s">
        <v>7</v>
      </c>
      <c r="H2299" s="3">
        <v>15.816599999999999</v>
      </c>
      <c r="I2299" t="s">
        <v>5241</v>
      </c>
      <c r="J2299" t="s">
        <v>12037</v>
      </c>
      <c r="K2299" s="5" t="s">
        <v>45</v>
      </c>
      <c r="L2299" t="s">
        <v>5242</v>
      </c>
      <c r="M2299" t="str">
        <f>"https://www.artic.edu/iiif/2/"&amp;Table9[[#This Row],[Image ID]]&amp;"/full/843,/0/default.jpg"</f>
        <v>https://www.artic.edu/iiif/2/a8e8b0d2-9e40-0d5d-7747-93f12d5811fe/full/843,/0/default.jpg</v>
      </c>
      <c r="N2299" s="3">
        <v>0.67500000000000004</v>
      </c>
      <c r="O2299" s="3">
        <v>0.05</v>
      </c>
      <c r="P2299" s="3">
        <v>0.625</v>
      </c>
      <c r="Q2299" s="3">
        <v>0.56784838438034002</v>
      </c>
    </row>
    <row r="2300" spans="1:17" x14ac:dyDescent="0.45">
      <c r="A2300" s="3">
        <v>60513</v>
      </c>
      <c r="B2300" t="b">
        <v>0</v>
      </c>
      <c r="C2300" t="b">
        <v>0</v>
      </c>
      <c r="D2300" s="3">
        <v>1891</v>
      </c>
      <c r="E2300" s="3">
        <v>1892</v>
      </c>
      <c r="F2300" t="s">
        <v>14</v>
      </c>
      <c r="G2300" t="s">
        <v>8710</v>
      </c>
      <c r="H2300" s="3">
        <v>22.768000000000001</v>
      </c>
      <c r="I2300" t="s">
        <v>2674</v>
      </c>
      <c r="J2300" t="s">
        <v>13369</v>
      </c>
      <c r="L2300" t="s">
        <v>8711</v>
      </c>
      <c r="M2300" t="str">
        <f>"https://www.artic.edu/iiif/2/"&amp;Table9[[#This Row],[Image ID]]&amp;"/full/843,/0/default.jpg"</f>
        <v>https://www.artic.edu/iiif/2/a99d1e6e-8c3d-be27-4a00-4fa868f54673/full/843,/0/default.jpg</v>
      </c>
      <c r="N2300" s="3">
        <v>0.72499999999999998</v>
      </c>
      <c r="O2300" s="3">
        <v>0.1</v>
      </c>
      <c r="P2300" s="3">
        <v>0.625</v>
      </c>
      <c r="Q2300" s="3">
        <v>0.86246854066848699</v>
      </c>
    </row>
    <row r="2301" spans="1:17" x14ac:dyDescent="0.45">
      <c r="A2301" s="3">
        <v>115873</v>
      </c>
      <c r="B2301" t="b">
        <v>0</v>
      </c>
      <c r="C2301" t="b">
        <v>0</v>
      </c>
      <c r="D2301" s="3">
        <v>1887</v>
      </c>
      <c r="E2301" s="3">
        <v>1955</v>
      </c>
      <c r="F2301" t="s">
        <v>2122</v>
      </c>
      <c r="G2301" t="s">
        <v>2123</v>
      </c>
      <c r="H2301" s="3">
        <v>31.582599999999999</v>
      </c>
      <c r="I2301" t="s">
        <v>2124</v>
      </c>
      <c r="J2301" t="s">
        <v>2126</v>
      </c>
      <c r="L2301" t="s">
        <v>2125</v>
      </c>
      <c r="M2301" t="str">
        <f>"https://www.artic.edu/iiif/2/"&amp;Table9[[#This Row],[Image ID]]&amp;"/full/843,/0/default.jpg"</f>
        <v>https://www.artic.edu/iiif/2/aa249e60-1eb6-cf55-4d75-bda59ca58f61/full/843,/0/default.jpg</v>
      </c>
      <c r="N2301" s="3">
        <v>0.72499999999999998</v>
      </c>
      <c r="O2301" s="3">
        <v>0.1</v>
      </c>
      <c r="P2301" s="3">
        <v>0.625</v>
      </c>
      <c r="Q2301" s="3">
        <v>0.82513874769210804</v>
      </c>
    </row>
    <row r="2302" spans="1:17" x14ac:dyDescent="0.45">
      <c r="A2302" s="3">
        <v>9535</v>
      </c>
      <c r="B2302" t="b">
        <v>0</v>
      </c>
      <c r="C2302" t="b">
        <v>0</v>
      </c>
      <c r="D2302" s="3">
        <v>1929</v>
      </c>
      <c r="E2302" s="3">
        <v>1929</v>
      </c>
      <c r="F2302" t="s">
        <v>10764</v>
      </c>
      <c r="G2302" t="s">
        <v>7</v>
      </c>
      <c r="H2302" s="3">
        <v>19.0472</v>
      </c>
      <c r="I2302" t="s">
        <v>378</v>
      </c>
      <c r="J2302" t="s">
        <v>13381</v>
      </c>
      <c r="K2302" s="5" t="s">
        <v>45</v>
      </c>
      <c r="L2302" t="s">
        <v>10765</v>
      </c>
      <c r="M2302" t="str">
        <f>"https://www.artic.edu/iiif/2/"&amp;Table9[[#This Row],[Image ID]]&amp;"/full/843,/0/default.jpg"</f>
        <v>https://www.artic.edu/iiif/2/aab879bf-4a41-7984-101a-61d6712d333c/full/843,/0/default.jpg</v>
      </c>
      <c r="N2302" s="3">
        <v>0.7</v>
      </c>
      <c r="O2302" s="3">
        <v>7.4999999999999997E-2</v>
      </c>
      <c r="P2302" s="3">
        <v>0.625</v>
      </c>
      <c r="Q2302" s="3">
        <v>0.75332850217819203</v>
      </c>
    </row>
    <row r="2303" spans="1:17" x14ac:dyDescent="0.45">
      <c r="A2303" s="3">
        <v>157159</v>
      </c>
      <c r="B2303" t="b">
        <v>0</v>
      </c>
      <c r="C2303" t="b">
        <v>0</v>
      </c>
      <c r="D2303" s="3">
        <v>1976</v>
      </c>
      <c r="E2303" s="3">
        <v>1976</v>
      </c>
      <c r="F2303" t="s">
        <v>4099</v>
      </c>
      <c r="G2303" t="s">
        <v>7</v>
      </c>
      <c r="H2303" s="3">
        <v>51.539000000000001</v>
      </c>
      <c r="I2303" t="s">
        <v>2439</v>
      </c>
      <c r="J2303" t="s">
        <v>13388</v>
      </c>
      <c r="L2303" t="s">
        <v>4100</v>
      </c>
      <c r="M2303" t="str">
        <f>"https://www.artic.edu/iiif/2/"&amp;Table9[[#This Row],[Image ID]]&amp;"/full/843,/0/default.jpg"</f>
        <v>https://www.artic.edu/iiif/2/ab716df2-5969-611c-2703-8e139afbe07c/full/843,/0/default.jpg</v>
      </c>
      <c r="N2303" s="3">
        <v>0.65</v>
      </c>
      <c r="O2303" s="3">
        <v>2.5000000000000001E-2</v>
      </c>
      <c r="P2303" s="3">
        <v>0.625</v>
      </c>
      <c r="Q2303" s="3">
        <v>0.93548113107681197</v>
      </c>
    </row>
    <row r="2304" spans="1:17" x14ac:dyDescent="0.45">
      <c r="A2304" s="3">
        <v>66023</v>
      </c>
      <c r="B2304" t="b">
        <v>0</v>
      </c>
      <c r="C2304" t="b">
        <v>0</v>
      </c>
      <c r="D2304" s="3">
        <v>1909</v>
      </c>
      <c r="E2304" s="3">
        <v>1909</v>
      </c>
      <c r="F2304" t="s">
        <v>438</v>
      </c>
      <c r="G2304" t="s">
        <v>9169</v>
      </c>
      <c r="H2304" s="3">
        <v>20.6722</v>
      </c>
      <c r="I2304" t="s">
        <v>133</v>
      </c>
      <c r="J2304" t="s">
        <v>13474</v>
      </c>
      <c r="K2304" s="5" t="s">
        <v>134</v>
      </c>
      <c r="L2304" t="s">
        <v>9170</v>
      </c>
      <c r="M2304" t="str">
        <f>"https://www.artic.edu/iiif/2/"&amp;Table9[[#This Row],[Image ID]]&amp;"/full/843,/0/default.jpg"</f>
        <v>https://www.artic.edu/iiif/2/b1ae51a8-b4ce-7c89-fcf6-ad918569c864/full/843,/0/default.jpg</v>
      </c>
      <c r="N2304" s="3">
        <v>0.67500000000000004</v>
      </c>
      <c r="O2304" s="3">
        <v>0.05</v>
      </c>
      <c r="P2304" s="3">
        <v>0.625</v>
      </c>
      <c r="Q2304" s="3">
        <v>0.83526492118835405</v>
      </c>
    </row>
    <row r="2305" spans="1:17" x14ac:dyDescent="0.45">
      <c r="A2305" s="3">
        <v>42953</v>
      </c>
      <c r="B2305" t="b">
        <v>0</v>
      </c>
      <c r="C2305" t="b">
        <v>0</v>
      </c>
      <c r="D2305" s="3">
        <v>1901</v>
      </c>
      <c r="E2305" s="3">
        <v>1901</v>
      </c>
      <c r="F2305" t="s">
        <v>7714</v>
      </c>
      <c r="G2305" t="s">
        <v>7</v>
      </c>
      <c r="H2305" s="3">
        <v>14.9101</v>
      </c>
      <c r="I2305" t="s">
        <v>3648</v>
      </c>
      <c r="J2305" t="s">
        <v>13511</v>
      </c>
      <c r="K2305" s="5" t="s">
        <v>284</v>
      </c>
      <c r="L2305" t="s">
        <v>7715</v>
      </c>
      <c r="M2305" t="str">
        <f>"https://www.artic.edu/iiif/2/"&amp;Table9[[#This Row],[Image ID]]&amp;"/full/843,/0/default.jpg"</f>
        <v>https://www.artic.edu/iiif/2/b50c59a4-bd4d-b549-8c38-c20a1b30e0df/full/843,/0/default.jpg</v>
      </c>
      <c r="N2305" s="3">
        <v>0.67500000000000004</v>
      </c>
      <c r="O2305" s="3">
        <v>0.05</v>
      </c>
      <c r="P2305" s="3">
        <v>0.625</v>
      </c>
      <c r="Q2305" s="3">
        <v>0.56387960910797097</v>
      </c>
    </row>
    <row r="2306" spans="1:17" x14ac:dyDescent="0.45">
      <c r="A2306" s="3">
        <v>72187</v>
      </c>
      <c r="B2306" t="b">
        <v>0</v>
      </c>
      <c r="C2306" t="b">
        <v>0</v>
      </c>
      <c r="D2306" s="3">
        <v>1888</v>
      </c>
      <c r="E2306" s="3">
        <v>1888</v>
      </c>
      <c r="F2306" t="s">
        <v>9541</v>
      </c>
      <c r="G2306" t="s">
        <v>7</v>
      </c>
      <c r="H2306" s="3">
        <v>22.833600000000001</v>
      </c>
      <c r="I2306" t="s">
        <v>14637</v>
      </c>
      <c r="J2306" t="s">
        <v>13570</v>
      </c>
      <c r="L2306" t="s">
        <v>9542</v>
      </c>
      <c r="M2306" t="str">
        <f>"https://www.artic.edu/iiif/2/"&amp;Table9[[#This Row],[Image ID]]&amp;"/full/843,/0/default.jpg"</f>
        <v>https://www.artic.edu/iiif/2/ba44b949-8cd7-6aa2-6335-710e0f176315/full/843,/0/default.jpg</v>
      </c>
      <c r="N2306" s="3">
        <v>0.72499999999999998</v>
      </c>
      <c r="O2306" s="3">
        <v>0.1</v>
      </c>
      <c r="P2306" s="3">
        <v>0.625</v>
      </c>
      <c r="Q2306" s="3">
        <v>0.77388864755630404</v>
      </c>
    </row>
    <row r="2307" spans="1:17" x14ac:dyDescent="0.45">
      <c r="A2307" s="3">
        <v>75104</v>
      </c>
      <c r="B2307" t="b">
        <v>0</v>
      </c>
      <c r="C2307" t="b">
        <v>0</v>
      </c>
      <c r="D2307" s="3">
        <v>1950</v>
      </c>
      <c r="E2307" s="3">
        <v>1950</v>
      </c>
      <c r="F2307" t="s">
        <v>9372</v>
      </c>
      <c r="G2307" t="s">
        <v>7</v>
      </c>
      <c r="H2307" s="3">
        <v>59.262500000000003</v>
      </c>
      <c r="I2307" t="s">
        <v>316</v>
      </c>
      <c r="J2307" t="s">
        <v>13582</v>
      </c>
      <c r="L2307" t="s">
        <v>9719</v>
      </c>
      <c r="M2307" t="str">
        <f>"https://www.artic.edu/iiif/2/"&amp;Table9[[#This Row],[Image ID]]&amp;"/full/843,/0/default.jpg"</f>
        <v>https://www.artic.edu/iiif/2/bafd9aa2-340c-bbfa-cfda-742937cbf922/full/843,/0/default.jpg</v>
      </c>
      <c r="N2307" s="3">
        <v>0.7</v>
      </c>
      <c r="O2307" s="3">
        <v>7.4999999999999997E-2</v>
      </c>
      <c r="P2307" s="3">
        <v>0.625</v>
      </c>
      <c r="Q2307" s="3">
        <v>0.72119033336639404</v>
      </c>
    </row>
    <row r="2308" spans="1:17" x14ac:dyDescent="0.45">
      <c r="A2308" s="3">
        <v>122691</v>
      </c>
      <c r="B2308" t="b">
        <v>0</v>
      </c>
      <c r="C2308" t="b">
        <v>0</v>
      </c>
      <c r="D2308" s="3">
        <v>1955</v>
      </c>
      <c r="E2308" s="3">
        <v>1955</v>
      </c>
      <c r="F2308" t="s">
        <v>11</v>
      </c>
      <c r="G2308" t="s">
        <v>2702</v>
      </c>
      <c r="H2308" s="3">
        <v>21.948899999999998</v>
      </c>
      <c r="I2308" t="s">
        <v>2274</v>
      </c>
      <c r="J2308" t="s">
        <v>13586</v>
      </c>
      <c r="L2308" t="s">
        <v>2703</v>
      </c>
      <c r="M2308" t="str">
        <f>"https://www.artic.edu/iiif/2/"&amp;Table9[[#This Row],[Image ID]]&amp;"/full/843,/0/default.jpg"</f>
        <v>https://www.artic.edu/iiif/2/bb1e0eb4-251e-8ae6-ff37-043073104886/full/843,/0/default.jpg</v>
      </c>
      <c r="N2308" s="3">
        <v>0.7</v>
      </c>
      <c r="O2308" s="3">
        <v>7.4999999999999997E-2</v>
      </c>
      <c r="P2308" s="3">
        <v>0.625</v>
      </c>
      <c r="Q2308" s="3">
        <v>0.79665470123291005</v>
      </c>
    </row>
    <row r="2309" spans="1:17" x14ac:dyDescent="0.45">
      <c r="A2309" s="3">
        <v>135853</v>
      </c>
      <c r="B2309" t="b">
        <v>0</v>
      </c>
      <c r="C2309" t="b">
        <v>0</v>
      </c>
      <c r="D2309" s="3">
        <v>1894</v>
      </c>
      <c r="E2309" s="3">
        <v>1894</v>
      </c>
      <c r="F2309" t="s">
        <v>3145</v>
      </c>
      <c r="G2309" t="s">
        <v>7</v>
      </c>
      <c r="H2309" s="3">
        <v>27.793500000000002</v>
      </c>
      <c r="I2309" t="s">
        <v>3146</v>
      </c>
      <c r="J2309" t="s">
        <v>3148</v>
      </c>
      <c r="L2309" t="s">
        <v>3147</v>
      </c>
      <c r="M2309" t="str">
        <f>"https://www.artic.edu/iiif/2/"&amp;Table9[[#This Row],[Image ID]]&amp;"/full/843,/0/default.jpg"</f>
        <v>https://www.artic.edu/iiif/2/bf94bb5f-5140-9f70-e97a-597fc7522133/full/843,/0/default.jpg</v>
      </c>
      <c r="N2309" s="3">
        <v>0.7</v>
      </c>
      <c r="O2309" s="3">
        <v>7.4999999999999997E-2</v>
      </c>
      <c r="P2309" s="3">
        <v>0.625</v>
      </c>
      <c r="Q2309" s="3">
        <v>0.77088606357574396</v>
      </c>
    </row>
    <row r="2310" spans="1:17" x14ac:dyDescent="0.45">
      <c r="A2310" s="3">
        <v>78504</v>
      </c>
      <c r="B2310" t="b">
        <v>0</v>
      </c>
      <c r="C2310" t="b">
        <v>0</v>
      </c>
      <c r="D2310" s="3">
        <v>1951</v>
      </c>
      <c r="E2310" s="3">
        <v>1951</v>
      </c>
      <c r="F2310" t="s">
        <v>14617</v>
      </c>
      <c r="G2310" t="s">
        <v>7</v>
      </c>
      <c r="H2310" s="3">
        <v>21.258600000000001</v>
      </c>
      <c r="I2310" t="s">
        <v>3100</v>
      </c>
      <c r="J2310" t="s">
        <v>13712</v>
      </c>
      <c r="L2310" t="s">
        <v>9836</v>
      </c>
      <c r="M2310" t="str">
        <f>"https://www.artic.edu/iiif/2/"&amp;Table9[[#This Row],[Image ID]]&amp;"/full/843,/0/default.jpg"</f>
        <v>https://www.artic.edu/iiif/2/c55eda44-4613-9e40-eb94-416667483e76/full/843,/0/default.jpg</v>
      </c>
      <c r="N2310" s="3">
        <v>0.625</v>
      </c>
      <c r="O2310" s="3">
        <v>0</v>
      </c>
      <c r="P2310" s="3">
        <v>0.625</v>
      </c>
      <c r="Q2310" s="3">
        <v>0.68853276968002297</v>
      </c>
    </row>
    <row r="2311" spans="1:17" x14ac:dyDescent="0.45">
      <c r="A2311" s="3">
        <v>64329</v>
      </c>
      <c r="B2311" t="b">
        <v>0</v>
      </c>
      <c r="C2311" t="b">
        <v>0</v>
      </c>
      <c r="D2311" s="3">
        <v>1917</v>
      </c>
      <c r="E2311" s="3">
        <v>1983</v>
      </c>
      <c r="F2311" t="s">
        <v>8970</v>
      </c>
      <c r="G2311" t="s">
        <v>3041</v>
      </c>
      <c r="H2311" s="3">
        <v>43.747500000000002</v>
      </c>
      <c r="I2311" t="s">
        <v>378</v>
      </c>
      <c r="J2311" t="s">
        <v>13732</v>
      </c>
      <c r="L2311" t="s">
        <v>8971</v>
      </c>
      <c r="M2311" t="str">
        <f>"https://www.artic.edu/iiif/2/"&amp;Table9[[#This Row],[Image ID]]&amp;"/full/843,/0/default.jpg"</f>
        <v>https://www.artic.edu/iiif/2/c7312d29-c06c-1b0d-dfaf-a685f84f7b84/full/843,/0/default.jpg</v>
      </c>
      <c r="N2311" s="3">
        <v>0.77500000000000002</v>
      </c>
      <c r="O2311" s="3">
        <v>0.15</v>
      </c>
      <c r="P2311" s="3">
        <v>0.625</v>
      </c>
      <c r="Q2311" s="3">
        <v>0.796306252479553</v>
      </c>
    </row>
    <row r="2312" spans="1:17" x14ac:dyDescent="0.45">
      <c r="A2312" s="3">
        <v>110865</v>
      </c>
      <c r="B2312" t="b">
        <v>0</v>
      </c>
      <c r="C2312" t="b">
        <v>0</v>
      </c>
      <c r="D2312" s="3">
        <v>1926</v>
      </c>
      <c r="E2312" s="3">
        <v>1926</v>
      </c>
      <c r="F2312" t="s">
        <v>947</v>
      </c>
      <c r="G2312" t="s">
        <v>948</v>
      </c>
      <c r="H2312" s="3">
        <v>39.246600000000001</v>
      </c>
      <c r="I2312" t="s">
        <v>949</v>
      </c>
      <c r="J2312" t="s">
        <v>13740</v>
      </c>
      <c r="L2312" t="s">
        <v>950</v>
      </c>
      <c r="M2312" t="str">
        <f>"https://www.artic.edu/iiif/2/"&amp;Table9[[#This Row],[Image ID]]&amp;"/full/843,/0/default.jpg"</f>
        <v>https://www.artic.edu/iiif/2/c7683e10-efea-7769-4b81-8a9a90d8deef/full/843,/0/default.jpg</v>
      </c>
      <c r="N2312" s="3">
        <v>0.67500000000000004</v>
      </c>
      <c r="O2312" s="3">
        <v>0.05</v>
      </c>
      <c r="P2312" s="3">
        <v>0.625</v>
      </c>
      <c r="Q2312" s="3">
        <v>0.70920026302337602</v>
      </c>
    </row>
    <row r="2313" spans="1:17" x14ac:dyDescent="0.45">
      <c r="A2313" s="3">
        <v>155864</v>
      </c>
      <c r="B2313" t="b">
        <v>0</v>
      </c>
      <c r="C2313" t="b">
        <v>0</v>
      </c>
      <c r="D2313" s="3">
        <v>1989</v>
      </c>
      <c r="E2313" s="3">
        <v>1989</v>
      </c>
      <c r="F2313" t="s">
        <v>4031</v>
      </c>
      <c r="G2313" t="s">
        <v>4032</v>
      </c>
      <c r="H2313" s="3">
        <v>46.339100000000002</v>
      </c>
      <c r="I2313" t="s">
        <v>4033</v>
      </c>
      <c r="J2313" t="s">
        <v>13793</v>
      </c>
      <c r="L2313" t="s">
        <v>4034</v>
      </c>
      <c r="M2313" t="str">
        <f>"https://www.artic.edu/iiif/2/"&amp;Table9[[#This Row],[Image ID]]&amp;"/full/843,/0/default.jpg"</f>
        <v>https://www.artic.edu/iiif/2/cb5863df-744b-aa9c-7186-eb645bda6d1e/full/843,/0/default.jpg</v>
      </c>
      <c r="N2313" s="3">
        <v>0.67500000000000004</v>
      </c>
      <c r="O2313" s="3">
        <v>0.05</v>
      </c>
      <c r="P2313" s="3">
        <v>0.625</v>
      </c>
      <c r="Q2313" s="3">
        <v>0.73509609699249201</v>
      </c>
    </row>
    <row r="2314" spans="1:17" x14ac:dyDescent="0.45">
      <c r="A2314" s="3">
        <v>145806</v>
      </c>
      <c r="B2314" t="b">
        <v>0</v>
      </c>
      <c r="C2314" t="b">
        <v>0</v>
      </c>
      <c r="D2314" s="3">
        <v>1925</v>
      </c>
      <c r="E2314" s="3">
        <v>1935</v>
      </c>
      <c r="F2314" t="s">
        <v>2672</v>
      </c>
      <c r="G2314" t="s">
        <v>3371</v>
      </c>
      <c r="H2314" s="3">
        <v>16.431100000000001</v>
      </c>
      <c r="I2314" t="s">
        <v>3372</v>
      </c>
      <c r="J2314" t="s">
        <v>3374</v>
      </c>
      <c r="L2314" t="s">
        <v>3373</v>
      </c>
      <c r="M2314" t="str">
        <f>"https://www.artic.edu/iiif/2/"&amp;Table9[[#This Row],[Image ID]]&amp;"/full/843,/0/default.jpg"</f>
        <v>https://www.artic.edu/iiif/2/cd2cc69c-4f4d-7b51-e5d4-0308cb5520f8/full/843,/0/default.jpg</v>
      </c>
      <c r="N2314" s="3">
        <v>0.77500000000000002</v>
      </c>
      <c r="O2314" s="3">
        <v>0.15</v>
      </c>
      <c r="P2314" s="3">
        <v>0.625</v>
      </c>
      <c r="Q2314" s="3">
        <v>0.59786778688430697</v>
      </c>
    </row>
    <row r="2315" spans="1:17" x14ac:dyDescent="0.45">
      <c r="A2315" s="3">
        <v>66432</v>
      </c>
      <c r="B2315" t="b">
        <v>0</v>
      </c>
      <c r="C2315" t="b">
        <v>0</v>
      </c>
      <c r="D2315" s="3">
        <v>1956</v>
      </c>
      <c r="E2315" s="3">
        <v>1957</v>
      </c>
      <c r="F2315" t="s">
        <v>9276</v>
      </c>
      <c r="G2315" t="s">
        <v>9277</v>
      </c>
      <c r="H2315" s="3">
        <v>25.328099999999999</v>
      </c>
      <c r="I2315" t="s">
        <v>1091</v>
      </c>
      <c r="J2315" t="s">
        <v>13852</v>
      </c>
      <c r="L2315" t="s">
        <v>9278</v>
      </c>
      <c r="M2315" t="str">
        <f>"https://www.artic.edu/iiif/2/"&amp;Table9[[#This Row],[Image ID]]&amp;"/full/843,/0/default.jpg"</f>
        <v>https://www.artic.edu/iiif/2/d0882321-97e0-b190-46f4-11f59d992764/full/843,/0/default.jpg</v>
      </c>
      <c r="N2315" s="3">
        <v>0.67500000000000004</v>
      </c>
      <c r="O2315" s="3">
        <v>0.05</v>
      </c>
      <c r="P2315" s="3">
        <v>0.625</v>
      </c>
      <c r="Q2315" s="3">
        <v>0.77347707748412997</v>
      </c>
    </row>
    <row r="2316" spans="1:17" x14ac:dyDescent="0.45">
      <c r="A2316" s="3">
        <v>185866</v>
      </c>
      <c r="B2316" t="b">
        <v>0</v>
      </c>
      <c r="C2316" t="b">
        <v>0</v>
      </c>
      <c r="D2316" s="3">
        <v>1998</v>
      </c>
      <c r="E2316" s="3">
        <v>1998</v>
      </c>
      <c r="F2316" t="s">
        <v>5034</v>
      </c>
      <c r="G2316" t="s">
        <v>7</v>
      </c>
      <c r="H2316" s="3">
        <v>15.2879</v>
      </c>
      <c r="I2316" t="s">
        <v>2941</v>
      </c>
      <c r="J2316" t="s">
        <v>13897</v>
      </c>
      <c r="L2316" t="s">
        <v>5035</v>
      </c>
      <c r="M2316" t="str">
        <f>"https://www.artic.edu/iiif/2/"&amp;Table9[[#This Row],[Image ID]]&amp;"/full/843,/0/default.jpg"</f>
        <v>https://www.artic.edu/iiif/2/d4c3c1c2-c7e9-bbe4-d1f5-621fe8e5d3d1/full/843,/0/default.jpg</v>
      </c>
      <c r="N2316" s="3">
        <v>0.77500000000000002</v>
      </c>
      <c r="O2316" s="3">
        <v>0.15</v>
      </c>
      <c r="P2316" s="3">
        <v>0.625</v>
      </c>
      <c r="Q2316" s="3">
        <v>0.81310969591140703</v>
      </c>
    </row>
    <row r="2317" spans="1:17" x14ac:dyDescent="0.45">
      <c r="A2317" s="3">
        <v>114638</v>
      </c>
      <c r="B2317" t="b">
        <v>0</v>
      </c>
      <c r="C2317" t="b">
        <v>0</v>
      </c>
      <c r="D2317" s="3">
        <v>1905</v>
      </c>
      <c r="E2317" s="3">
        <v>1910</v>
      </c>
      <c r="F2317" t="s">
        <v>1684</v>
      </c>
      <c r="G2317" t="s">
        <v>1685</v>
      </c>
      <c r="H2317" s="3">
        <v>23.811599999999999</v>
      </c>
      <c r="I2317" t="s">
        <v>1682</v>
      </c>
      <c r="J2317" t="s">
        <v>13917</v>
      </c>
      <c r="L2317" t="s">
        <v>1686</v>
      </c>
      <c r="M2317" t="str">
        <f>"https://www.artic.edu/iiif/2/"&amp;Table9[[#This Row],[Image ID]]&amp;"/full/843,/0/default.jpg"</f>
        <v>https://www.artic.edu/iiif/2/d5e5ae76-9cd2-ee83-f956-e8c4f1dbd28b/full/843,/0/default.jpg</v>
      </c>
      <c r="N2317" s="3">
        <v>0.65</v>
      </c>
      <c r="O2317" s="3">
        <v>2.5000000000000001E-2</v>
      </c>
      <c r="P2317" s="3">
        <v>0.625</v>
      </c>
      <c r="Q2317" s="3">
        <v>0.44895088672637901</v>
      </c>
    </row>
    <row r="2318" spans="1:17" x14ac:dyDescent="0.45">
      <c r="A2318" s="3">
        <v>9013</v>
      </c>
      <c r="B2318" t="b">
        <v>0</v>
      </c>
      <c r="C2318" t="b">
        <v>0</v>
      </c>
      <c r="D2318" s="3">
        <v>1910</v>
      </c>
      <c r="E2318" s="3">
        <v>1911</v>
      </c>
      <c r="F2318" t="s">
        <v>5801</v>
      </c>
      <c r="G2318" t="s">
        <v>7</v>
      </c>
      <c r="H2318" s="3">
        <v>38.923699999999997</v>
      </c>
      <c r="I2318" t="s">
        <v>14696</v>
      </c>
      <c r="J2318" t="s">
        <v>13979</v>
      </c>
      <c r="L2318" t="s">
        <v>10508</v>
      </c>
      <c r="M2318" t="str">
        <f>"https://www.artic.edu/iiif/2/"&amp;Table9[[#This Row],[Image ID]]&amp;"/full/843,/0/default.jpg"</f>
        <v>https://www.artic.edu/iiif/2/da220459-d944-f705-3043-53ffa210f586/full/843,/0/default.jpg</v>
      </c>
      <c r="N2318" s="3">
        <v>0.75</v>
      </c>
      <c r="O2318" s="3">
        <v>0.125</v>
      </c>
      <c r="P2318" s="3">
        <v>0.625</v>
      </c>
      <c r="Q2318" s="3">
        <v>0.89808982610702504</v>
      </c>
    </row>
    <row r="2319" spans="1:17" x14ac:dyDescent="0.45">
      <c r="A2319" s="3">
        <v>40700</v>
      </c>
      <c r="B2319" t="b">
        <v>0</v>
      </c>
      <c r="C2319" t="b">
        <v>0</v>
      </c>
      <c r="D2319" s="3">
        <v>1925</v>
      </c>
      <c r="E2319" s="3">
        <v>1940</v>
      </c>
      <c r="F2319" t="s">
        <v>7666</v>
      </c>
      <c r="G2319" t="s">
        <v>7667</v>
      </c>
      <c r="H2319" s="3">
        <v>31.255600000000001</v>
      </c>
      <c r="I2319" t="s">
        <v>7668</v>
      </c>
      <c r="J2319" t="s">
        <v>14024</v>
      </c>
      <c r="L2319" t="s">
        <v>7669</v>
      </c>
      <c r="M2319" t="str">
        <f>"https://www.artic.edu/iiif/2/"&amp;Table9[[#This Row],[Image ID]]&amp;"/full/843,/0/default.jpg"</f>
        <v>https://www.artic.edu/iiif/2/dd4f5aed-da59-ee11-98b7-a862a07ff3a5/full/843,/0/default.jpg</v>
      </c>
      <c r="N2319" s="3">
        <v>0.7</v>
      </c>
      <c r="O2319" s="3">
        <v>7.4999999999999997E-2</v>
      </c>
      <c r="P2319" s="3">
        <v>0.625</v>
      </c>
      <c r="Q2319" s="3">
        <v>0.745347380638122</v>
      </c>
    </row>
    <row r="2320" spans="1:17" x14ac:dyDescent="0.45">
      <c r="A2320" s="3">
        <v>55209</v>
      </c>
      <c r="B2320" t="b">
        <v>0</v>
      </c>
      <c r="C2320" t="b">
        <v>0</v>
      </c>
      <c r="D2320" s="3">
        <v>1870</v>
      </c>
      <c r="E2320" s="3">
        <v>1870</v>
      </c>
      <c r="F2320" t="s">
        <v>8331</v>
      </c>
      <c r="G2320" t="s">
        <v>7</v>
      </c>
      <c r="H2320" s="3">
        <v>0</v>
      </c>
      <c r="I2320" t="s">
        <v>3162</v>
      </c>
      <c r="J2320" t="s">
        <v>14067</v>
      </c>
      <c r="L2320" t="s">
        <v>8332</v>
      </c>
      <c r="M2320" t="str">
        <f>"https://www.artic.edu/iiif/2/"&amp;Table9[[#This Row],[Image ID]]&amp;"/full/843,/0/default.jpg"</f>
        <v>https://www.artic.edu/iiif/2/e0660e3e-77ef-4a52-7b08-20ceb41c2ccd/full/843,/0/default.jpg</v>
      </c>
      <c r="N2320" s="3">
        <v>0.7</v>
      </c>
      <c r="O2320" s="3">
        <v>7.4999999999999997E-2</v>
      </c>
      <c r="P2320" s="3">
        <v>0.625</v>
      </c>
      <c r="Q2320" s="3">
        <v>0.83399850130081099</v>
      </c>
    </row>
    <row r="2321" spans="1:17" x14ac:dyDescent="0.45">
      <c r="A2321" s="3">
        <v>39242</v>
      </c>
      <c r="B2321" t="b">
        <v>0</v>
      </c>
      <c r="C2321" t="b">
        <v>0</v>
      </c>
      <c r="D2321" s="3">
        <v>1971</v>
      </c>
      <c r="E2321" s="3">
        <v>1971</v>
      </c>
      <c r="F2321" t="s">
        <v>7546</v>
      </c>
      <c r="G2321" t="s">
        <v>59</v>
      </c>
      <c r="H2321" s="3">
        <v>48.7502</v>
      </c>
      <c r="I2321" t="s">
        <v>29</v>
      </c>
      <c r="J2321" t="s">
        <v>14130</v>
      </c>
      <c r="L2321" t="s">
        <v>7547</v>
      </c>
      <c r="M2321" t="str">
        <f>"https://www.artic.edu/iiif/2/"&amp;Table9[[#This Row],[Image ID]]&amp;"/full/843,/0/default.jpg"</f>
        <v>https://www.artic.edu/iiif/2/e3d4be23-a20a-0f16-64df-dd4da9c4246d/full/843,/0/default.jpg</v>
      </c>
      <c r="N2321" s="3">
        <v>0.67500000000000004</v>
      </c>
      <c r="O2321" s="3">
        <v>0.05</v>
      </c>
      <c r="P2321" s="3">
        <v>0.625</v>
      </c>
      <c r="Q2321" s="3">
        <v>0.87856626510620095</v>
      </c>
    </row>
    <row r="2322" spans="1:17" x14ac:dyDescent="0.45">
      <c r="A2322" s="3">
        <v>236502</v>
      </c>
      <c r="B2322" t="b">
        <v>0</v>
      </c>
      <c r="C2322" t="b">
        <v>0</v>
      </c>
      <c r="D2322" s="3">
        <v>1927</v>
      </c>
      <c r="E2322" s="3">
        <v>1930</v>
      </c>
      <c r="F2322" t="s">
        <v>6271</v>
      </c>
      <c r="G2322" t="s">
        <v>7</v>
      </c>
      <c r="H2322" s="3">
        <v>31.422899999999998</v>
      </c>
      <c r="I2322" t="s">
        <v>2555</v>
      </c>
      <c r="J2322" t="s">
        <v>14159</v>
      </c>
      <c r="L2322" t="s">
        <v>6272</v>
      </c>
      <c r="M2322" t="str">
        <f>"https://www.artic.edu/iiif/2/"&amp;Table9[[#This Row],[Image ID]]&amp;"/full/843,/0/default.jpg"</f>
        <v>https://www.artic.edu/iiif/2/e5566e0d-cd24-b2b9-4cf2-e4e4b6d92e8c/full/843,/0/default.jpg</v>
      </c>
      <c r="N2322" s="3">
        <v>0.77500000000000002</v>
      </c>
      <c r="O2322" s="3">
        <v>0.15</v>
      </c>
      <c r="P2322" s="3">
        <v>0.625</v>
      </c>
      <c r="Q2322" s="3">
        <v>0.88123220205306996</v>
      </c>
    </row>
    <row r="2323" spans="1:17" x14ac:dyDescent="0.45">
      <c r="A2323" s="3">
        <v>84228</v>
      </c>
      <c r="B2323" t="b">
        <v>0</v>
      </c>
      <c r="C2323" t="b">
        <v>0</v>
      </c>
      <c r="D2323" s="3">
        <v>1923</v>
      </c>
      <c r="E2323" s="3">
        <v>1926</v>
      </c>
      <c r="F2323" t="s">
        <v>10262</v>
      </c>
      <c r="G2323" t="s">
        <v>7</v>
      </c>
      <c r="H2323" s="3">
        <v>23.018999999999998</v>
      </c>
      <c r="I2323" t="s">
        <v>988</v>
      </c>
      <c r="J2323" t="s">
        <v>13161</v>
      </c>
      <c r="K2323" s="5" t="s">
        <v>45</v>
      </c>
      <c r="L2323" t="s">
        <v>10263</v>
      </c>
      <c r="M2323" t="str">
        <f>"https://www.artic.edu/iiif/2/"&amp;Table9[[#This Row],[Image ID]]&amp;"/full/843,/0/default.jpg"</f>
        <v>https://www.artic.edu/iiif/2/e71f73ca-b5d3-4baa-4384-f2218b9df22a/full/843,/0/default.jpg</v>
      </c>
      <c r="N2323" s="3">
        <v>0.72499999999999998</v>
      </c>
      <c r="O2323" s="3">
        <v>0.1</v>
      </c>
      <c r="P2323" s="3">
        <v>0.625</v>
      </c>
      <c r="Q2323" s="3">
        <v>0.75105899572372403</v>
      </c>
    </row>
    <row r="2324" spans="1:17" ht="71.25" x14ac:dyDescent="0.45">
      <c r="A2324" s="3">
        <v>234461</v>
      </c>
      <c r="B2324" t="b">
        <v>0</v>
      </c>
      <c r="C2324" t="b">
        <v>0</v>
      </c>
      <c r="D2324" s="3">
        <v>1965</v>
      </c>
      <c r="E2324" s="3">
        <v>1965</v>
      </c>
      <c r="F2324" t="s">
        <v>6208</v>
      </c>
      <c r="G2324" t="s">
        <v>6209</v>
      </c>
      <c r="H2324" s="3">
        <v>30.677800000000001</v>
      </c>
      <c r="I2324" t="s">
        <v>5358</v>
      </c>
      <c r="J2324" s="1" t="s">
        <v>14185</v>
      </c>
      <c r="L2324" t="s">
        <v>6210</v>
      </c>
      <c r="M2324" t="str">
        <f>"https://www.artic.edu/iiif/2/"&amp;Table9[[#This Row],[Image ID]]&amp;"/full/843,/0/default.jpg"</f>
        <v>https://www.artic.edu/iiif/2/e7c6a895-ebc9-ba24-6a8f-7efca1a7f6c6/full/843,/0/default.jpg</v>
      </c>
      <c r="N2324" s="3">
        <v>0.72499999999999998</v>
      </c>
      <c r="O2324" s="3">
        <v>0.1</v>
      </c>
      <c r="P2324" s="3">
        <v>0.625</v>
      </c>
      <c r="Q2324" s="3">
        <v>0.813920557498931</v>
      </c>
    </row>
    <row r="2325" spans="1:17" x14ac:dyDescent="0.45">
      <c r="A2325" s="3">
        <v>59421</v>
      </c>
      <c r="B2325" t="b">
        <v>0</v>
      </c>
      <c r="C2325" t="b">
        <v>0</v>
      </c>
      <c r="D2325" s="3">
        <v>1910</v>
      </c>
      <c r="E2325" s="3">
        <v>1910</v>
      </c>
      <c r="F2325" t="s">
        <v>8558</v>
      </c>
      <c r="G2325" t="s">
        <v>75</v>
      </c>
      <c r="H2325" s="3">
        <v>0</v>
      </c>
      <c r="I2325" t="s">
        <v>1315</v>
      </c>
      <c r="J2325" t="s">
        <v>14231</v>
      </c>
      <c r="L2325" t="s">
        <v>8559</v>
      </c>
      <c r="M2325" t="str">
        <f>"https://www.artic.edu/iiif/2/"&amp;Table9[[#This Row],[Image ID]]&amp;"/full/843,/0/default.jpg"</f>
        <v>https://www.artic.edu/iiif/2/ea7337ab-2828-a953-5860-33a2dc028103/full/843,/0/default.jpg</v>
      </c>
      <c r="N2325" s="3">
        <v>0.7</v>
      </c>
      <c r="O2325" s="3">
        <v>7.4999999999999997E-2</v>
      </c>
      <c r="P2325" s="3">
        <v>0.625</v>
      </c>
      <c r="Q2325" s="3">
        <v>0.63970571756362904</v>
      </c>
    </row>
    <row r="2326" spans="1:17" x14ac:dyDescent="0.45">
      <c r="A2326" s="3">
        <v>209911</v>
      </c>
      <c r="B2326" t="b">
        <v>0</v>
      </c>
      <c r="C2326" t="b">
        <v>0</v>
      </c>
      <c r="D2326" s="3">
        <v>1959</v>
      </c>
      <c r="E2326" s="3">
        <v>1960</v>
      </c>
      <c r="F2326" t="s">
        <v>5540</v>
      </c>
      <c r="G2326" t="s">
        <v>5541</v>
      </c>
      <c r="H2326" s="3">
        <v>41.570399999999999</v>
      </c>
      <c r="I2326" t="s">
        <v>5542</v>
      </c>
      <c r="J2326" t="s">
        <v>14277</v>
      </c>
      <c r="L2326" t="s">
        <v>5543</v>
      </c>
      <c r="M2326" t="str">
        <f>"https://www.artic.edu/iiif/2/"&amp;Table9[[#This Row],[Image ID]]&amp;"/full/843,/0/default.jpg"</f>
        <v>https://www.artic.edu/iiif/2/ed869938-e4b7-d368-65e4-e52b399c9429/full/843,/0/default.jpg</v>
      </c>
      <c r="N2326" s="3">
        <v>0.67500000000000004</v>
      </c>
      <c r="O2326" s="3">
        <v>0.05</v>
      </c>
      <c r="P2326" s="3">
        <v>0.625</v>
      </c>
      <c r="Q2326" s="3">
        <v>0.741152703762054</v>
      </c>
    </row>
    <row r="2327" spans="1:17" x14ac:dyDescent="0.45">
      <c r="A2327" s="3">
        <v>223342</v>
      </c>
      <c r="B2327" t="b">
        <v>0</v>
      </c>
      <c r="C2327" t="b">
        <v>0</v>
      </c>
      <c r="D2327" s="3">
        <v>2012</v>
      </c>
      <c r="E2327" s="3">
        <v>2012</v>
      </c>
      <c r="F2327" t="s">
        <v>5869</v>
      </c>
      <c r="G2327" t="s">
        <v>59</v>
      </c>
      <c r="H2327" s="3">
        <v>104.6268</v>
      </c>
      <c r="I2327" t="s">
        <v>5870</v>
      </c>
      <c r="J2327" t="s">
        <v>14295</v>
      </c>
      <c r="K2327" s="5" t="s">
        <v>15</v>
      </c>
      <c r="L2327" t="s">
        <v>5871</v>
      </c>
      <c r="M2327" t="str">
        <f>"https://www.artic.edu/iiif/2/"&amp;Table9[[#This Row],[Image ID]]&amp;"/full/843,/0/default.jpg"</f>
        <v>https://www.artic.edu/iiif/2/eec3082f-c6ad-ff4d-d2de-2e4e28e1b876/full/843,/0/default.jpg</v>
      </c>
      <c r="N2327" s="3">
        <v>0.72499999999999998</v>
      </c>
      <c r="O2327" s="3">
        <v>0.1</v>
      </c>
      <c r="P2327" s="3">
        <v>0.625</v>
      </c>
      <c r="Q2327" s="3">
        <v>0.87163597345352095</v>
      </c>
    </row>
    <row r="2328" spans="1:17" x14ac:dyDescent="0.45">
      <c r="A2328" s="3">
        <v>209703</v>
      </c>
      <c r="B2328" t="b">
        <v>0</v>
      </c>
      <c r="C2328" t="b">
        <v>0</v>
      </c>
      <c r="D2328" s="3">
        <v>1967</v>
      </c>
      <c r="E2328" s="3">
        <v>1967</v>
      </c>
      <c r="F2328" t="s">
        <v>2973</v>
      </c>
      <c r="G2328" t="s">
        <v>5537</v>
      </c>
      <c r="H2328" s="3">
        <v>53.905000000000001</v>
      </c>
      <c r="I2328" t="s">
        <v>5538</v>
      </c>
      <c r="J2328" t="s">
        <v>14320</v>
      </c>
      <c r="L2328" t="s">
        <v>5539</v>
      </c>
      <c r="M2328" t="str">
        <f>"https://www.artic.edu/iiif/2/"&amp;Table9[[#This Row],[Image ID]]&amp;"/full/843,/0/default.jpg"</f>
        <v>https://www.artic.edu/iiif/2/f067b5cc-8adf-d4bb-4c1c-1b0cb69c503f/full/843,/0/default.jpg</v>
      </c>
      <c r="N2328" s="3">
        <v>0.65</v>
      </c>
      <c r="O2328" s="3">
        <v>2.5000000000000001E-2</v>
      </c>
      <c r="P2328" s="3">
        <v>0.625</v>
      </c>
      <c r="Q2328" s="3">
        <v>0.81705451011657704</v>
      </c>
    </row>
    <row r="2329" spans="1:17" x14ac:dyDescent="0.45">
      <c r="A2329" s="3">
        <v>256803</v>
      </c>
      <c r="B2329" t="b">
        <v>0</v>
      </c>
      <c r="C2329" t="b">
        <v>0</v>
      </c>
      <c r="D2329" s="3">
        <v>2019</v>
      </c>
      <c r="E2329" s="3">
        <v>2019</v>
      </c>
      <c r="F2329" t="s">
        <v>11</v>
      </c>
      <c r="G2329" t="s">
        <v>6536</v>
      </c>
      <c r="H2329" s="3">
        <v>113.20050000000001</v>
      </c>
      <c r="I2329" t="s">
        <v>4815</v>
      </c>
      <c r="J2329" t="s">
        <v>14337</v>
      </c>
      <c r="L2329" t="s">
        <v>6537</v>
      </c>
      <c r="M2329" t="str">
        <f>"https://www.artic.edu/iiif/2/"&amp;Table9[[#This Row],[Image ID]]&amp;"/full/843,/0/default.jpg"</f>
        <v>https://www.artic.edu/iiif/2/f19e8be0-7cec-1a3c-c10f-14f46382d643/full/843,/0/default.jpg</v>
      </c>
      <c r="N2329" s="3">
        <v>0.75</v>
      </c>
      <c r="O2329" s="3">
        <v>0.125</v>
      </c>
      <c r="P2329" s="3">
        <v>0.625</v>
      </c>
      <c r="Q2329" s="3">
        <v>0.85598319768905595</v>
      </c>
    </row>
    <row r="2330" spans="1:17" x14ac:dyDescent="0.45">
      <c r="A2330" s="3">
        <v>158888</v>
      </c>
      <c r="B2330" t="b">
        <v>0</v>
      </c>
      <c r="C2330" t="b">
        <v>0</v>
      </c>
      <c r="D2330" s="3">
        <v>1963</v>
      </c>
      <c r="E2330" s="3">
        <v>1963</v>
      </c>
      <c r="F2330" t="s">
        <v>4164</v>
      </c>
      <c r="G2330" t="s">
        <v>2356</v>
      </c>
      <c r="H2330" s="3">
        <v>27.654199999999999</v>
      </c>
      <c r="I2330" t="s">
        <v>366</v>
      </c>
      <c r="J2330" t="s">
        <v>14352</v>
      </c>
      <c r="L2330" t="s">
        <v>4165</v>
      </c>
      <c r="M2330" t="str">
        <f>"https://www.artic.edu/iiif/2/"&amp;Table9[[#This Row],[Image ID]]&amp;"/full/843,/0/default.jpg"</f>
        <v>https://www.artic.edu/iiif/2/f2a1e00d-1a36-3c12-f9d7-3e412d192cae/full/843,/0/default.jpg</v>
      </c>
      <c r="N2330" s="3">
        <v>0.67500000000000004</v>
      </c>
      <c r="O2330" s="3">
        <v>0.05</v>
      </c>
      <c r="P2330" s="3">
        <v>0.625</v>
      </c>
      <c r="Q2330" s="3">
        <v>0.78943663835525502</v>
      </c>
    </row>
    <row r="2331" spans="1:17" x14ac:dyDescent="0.45">
      <c r="A2331" s="3">
        <v>136393</v>
      </c>
      <c r="B2331" t="b">
        <v>0</v>
      </c>
      <c r="C2331" t="b">
        <v>0</v>
      </c>
      <c r="D2331" s="3">
        <v>1877</v>
      </c>
      <c r="E2331" s="3">
        <v>1885</v>
      </c>
      <c r="F2331" t="s">
        <v>3165</v>
      </c>
      <c r="G2331" t="s">
        <v>3166</v>
      </c>
      <c r="H2331" s="3">
        <v>35.4619</v>
      </c>
      <c r="I2331" t="s">
        <v>3167</v>
      </c>
      <c r="J2331" t="s">
        <v>14353</v>
      </c>
      <c r="L2331" t="s">
        <v>3168</v>
      </c>
      <c r="M2331" t="str">
        <f>"https://www.artic.edu/iiif/2/"&amp;Table9[[#This Row],[Image ID]]&amp;"/full/843,/0/default.jpg"</f>
        <v>https://www.artic.edu/iiif/2/f2a407ae-5859-f508-217d-bc166d553d61/full/843,/0/default.jpg</v>
      </c>
      <c r="N2331" s="3">
        <v>0.65</v>
      </c>
      <c r="O2331" s="3">
        <v>2.5000000000000001E-2</v>
      </c>
      <c r="P2331" s="3">
        <v>0.625</v>
      </c>
      <c r="Q2331" s="3">
        <v>0.56013256311416604</v>
      </c>
    </row>
    <row r="2332" spans="1:17" x14ac:dyDescent="0.45">
      <c r="A2332" s="3">
        <v>79772</v>
      </c>
      <c r="B2332" t="b">
        <v>0</v>
      </c>
      <c r="C2332" t="b">
        <v>0</v>
      </c>
      <c r="D2332" s="3">
        <v>1952</v>
      </c>
      <c r="E2332" s="3">
        <v>1952</v>
      </c>
      <c r="F2332" t="s">
        <v>9914</v>
      </c>
      <c r="G2332" t="s">
        <v>7</v>
      </c>
      <c r="H2332" s="3">
        <v>0</v>
      </c>
      <c r="I2332" t="s">
        <v>9915</v>
      </c>
      <c r="J2332" t="s">
        <v>14361</v>
      </c>
      <c r="L2332" t="s">
        <v>9916</v>
      </c>
      <c r="M2332" t="str">
        <f>"https://www.artic.edu/iiif/2/"&amp;Table9[[#This Row],[Image ID]]&amp;"/full/843,/0/default.jpg"</f>
        <v>https://www.artic.edu/iiif/2/f30e2874-3686-fb81-1f16-d114ee586b75/full/843,/0/default.jpg</v>
      </c>
      <c r="N2332" s="3">
        <v>0.67500000000000004</v>
      </c>
      <c r="O2332" s="3">
        <v>0.05</v>
      </c>
      <c r="P2332" s="3">
        <v>0.625</v>
      </c>
      <c r="Q2332" s="3">
        <v>0.61916559934616</v>
      </c>
    </row>
    <row r="2333" spans="1:17" x14ac:dyDescent="0.45">
      <c r="A2333" s="3">
        <v>35450</v>
      </c>
      <c r="B2333" t="b">
        <v>0</v>
      </c>
      <c r="C2333" t="b">
        <v>0</v>
      </c>
      <c r="D2333" s="3">
        <v>1957</v>
      </c>
      <c r="E2333" s="3">
        <v>1957</v>
      </c>
      <c r="F2333" t="s">
        <v>7187</v>
      </c>
      <c r="G2333" t="s">
        <v>7188</v>
      </c>
      <c r="H2333" s="3">
        <v>43.2209</v>
      </c>
      <c r="I2333" t="s">
        <v>7189</v>
      </c>
      <c r="J2333" t="s">
        <v>14389</v>
      </c>
      <c r="L2333" t="s">
        <v>7190</v>
      </c>
      <c r="M2333" t="str">
        <f>"https://www.artic.edu/iiif/2/"&amp;Table9[[#This Row],[Image ID]]&amp;"/full/843,/0/default.jpg"</f>
        <v>https://www.artic.edu/iiif/2/f5e767e4-c0f5-72ba-8a54-a862dd95ef4b/full/843,/0/default.jpg</v>
      </c>
      <c r="N2333" s="3">
        <v>0.75</v>
      </c>
      <c r="O2333" s="3">
        <v>0.125</v>
      </c>
      <c r="P2333" s="3">
        <v>0.625</v>
      </c>
      <c r="Q2333" s="3">
        <v>0.716438889503479</v>
      </c>
    </row>
    <row r="2334" spans="1:17" x14ac:dyDescent="0.45">
      <c r="A2334" s="3">
        <v>22538</v>
      </c>
      <c r="B2334" t="b">
        <v>0</v>
      </c>
      <c r="C2334" t="b">
        <v>0</v>
      </c>
      <c r="D2334" s="3">
        <v>1908</v>
      </c>
      <c r="E2334" s="3">
        <v>1908</v>
      </c>
      <c r="F2334" t="s">
        <v>5902</v>
      </c>
      <c r="G2334" t="s">
        <v>7</v>
      </c>
      <c r="H2334" s="3">
        <v>40.466500000000003</v>
      </c>
      <c r="I2334" t="s">
        <v>5903</v>
      </c>
      <c r="J2334" t="s">
        <v>14408</v>
      </c>
      <c r="L2334" t="s">
        <v>5904</v>
      </c>
      <c r="M2334" t="str">
        <f>"https://www.artic.edu/iiif/2/"&amp;Table9[[#This Row],[Image ID]]&amp;"/full/843,/0/default.jpg"</f>
        <v>https://www.artic.edu/iiif/2/f69a2175-8425-3868-aaf3-eec6f83230ce/full/843,/0/default.jpg</v>
      </c>
      <c r="N2334" s="3">
        <v>0.7</v>
      </c>
      <c r="O2334" s="3">
        <v>7.4999999999999997E-2</v>
      </c>
      <c r="P2334" s="3">
        <v>0.625</v>
      </c>
      <c r="Q2334" s="3">
        <v>0.74497902393340998</v>
      </c>
    </row>
    <row r="2335" spans="1:17" x14ac:dyDescent="0.45">
      <c r="A2335" s="3">
        <v>84235</v>
      </c>
      <c r="B2335" t="b">
        <v>0</v>
      </c>
      <c r="C2335" t="b">
        <v>0</v>
      </c>
      <c r="D2335" s="3">
        <v>1918</v>
      </c>
      <c r="E2335" s="3">
        <v>1918</v>
      </c>
      <c r="F2335" t="s">
        <v>10267</v>
      </c>
      <c r="G2335" t="s">
        <v>75</v>
      </c>
      <c r="H2335" s="3">
        <v>42.502600000000001</v>
      </c>
      <c r="I2335" t="s">
        <v>19</v>
      </c>
      <c r="J2335" t="s">
        <v>14430</v>
      </c>
      <c r="L2335" t="s">
        <v>10268</v>
      </c>
      <c r="M2335" t="str">
        <f>"https://www.artic.edu/iiif/2/"&amp;Table9[[#This Row],[Image ID]]&amp;"/full/843,/0/default.jpg"</f>
        <v>https://www.artic.edu/iiif/2/f858c002-6cc0-a82c-f7b6-2a319d18f133/full/843,/0/default.jpg</v>
      </c>
      <c r="N2335" s="3">
        <v>0.67500000000000004</v>
      </c>
      <c r="O2335" s="3">
        <v>0.05</v>
      </c>
      <c r="P2335" s="3">
        <v>0.625</v>
      </c>
      <c r="Q2335" s="3">
        <v>0.72478508949279696</v>
      </c>
    </row>
    <row r="2336" spans="1:17" x14ac:dyDescent="0.45">
      <c r="A2336" s="3">
        <v>104231</v>
      </c>
      <c r="B2336" t="b">
        <v>0</v>
      </c>
      <c r="C2336" t="b">
        <v>0</v>
      </c>
      <c r="D2336" s="3">
        <v>1963</v>
      </c>
      <c r="E2336" s="3">
        <v>1964</v>
      </c>
      <c r="F2336" t="s">
        <v>364</v>
      </c>
      <c r="G2336" t="s">
        <v>365</v>
      </c>
      <c r="H2336" s="3">
        <v>46.585900000000002</v>
      </c>
      <c r="I2336" t="s">
        <v>366</v>
      </c>
      <c r="J2336" t="s">
        <v>14466</v>
      </c>
      <c r="L2336" t="s">
        <v>367</v>
      </c>
      <c r="M2336" t="str">
        <f>"https://www.artic.edu/iiif/2/"&amp;Table9[[#This Row],[Image ID]]&amp;"/full/843,/0/default.jpg"</f>
        <v>https://www.artic.edu/iiif/2/faef1d91-8eb7-0356-e49f-9833263482a2/full/843,/0/default.jpg</v>
      </c>
      <c r="N2336" s="3">
        <v>0.67500000000000004</v>
      </c>
      <c r="O2336" s="3">
        <v>0.05</v>
      </c>
      <c r="P2336" s="3">
        <v>0.625</v>
      </c>
      <c r="Q2336" s="3">
        <v>0.75581926107406605</v>
      </c>
    </row>
    <row r="2337" spans="1:17" x14ac:dyDescent="0.45">
      <c r="A2337" s="3">
        <v>184849</v>
      </c>
      <c r="B2337" t="b">
        <v>0</v>
      </c>
      <c r="C2337" t="b">
        <v>0</v>
      </c>
      <c r="D2337" s="3">
        <v>2003</v>
      </c>
      <c r="E2337" s="3">
        <v>2003</v>
      </c>
      <c r="F2337" t="s">
        <v>4847</v>
      </c>
      <c r="G2337" t="s">
        <v>4823</v>
      </c>
      <c r="H2337" s="3">
        <v>9.0332000000000008</v>
      </c>
      <c r="I2337" t="s">
        <v>293</v>
      </c>
      <c r="J2337" t="s">
        <v>10977</v>
      </c>
      <c r="K2337" s="5" t="s">
        <v>15</v>
      </c>
      <c r="L2337" t="s">
        <v>4848</v>
      </c>
      <c r="M2337" t="str">
        <f>"https://www.artic.edu/iiif/2/"&amp;Table9[[#This Row],[Image ID]]&amp;"/full/843,/0/default.jpg"</f>
        <v>https://www.artic.edu/iiif/2/fbf822f0-791b-2604-f124-325bb4310301/full/843,/0/default.jpg</v>
      </c>
      <c r="N2337" s="3">
        <v>0.72499999999999998</v>
      </c>
      <c r="O2337" s="3">
        <v>0.1</v>
      </c>
      <c r="P2337" s="3">
        <v>0.625</v>
      </c>
      <c r="Q2337" s="3">
        <v>0.82879245281219405</v>
      </c>
    </row>
    <row r="2338" spans="1:17" x14ac:dyDescent="0.45">
      <c r="A2338" s="3">
        <v>66173</v>
      </c>
      <c r="B2338" t="b">
        <v>0</v>
      </c>
      <c r="C2338" t="b">
        <v>0</v>
      </c>
      <c r="D2338" s="3">
        <v>1972</v>
      </c>
      <c r="E2338" s="3">
        <v>1972</v>
      </c>
      <c r="F2338" t="s">
        <v>9207</v>
      </c>
      <c r="G2338" t="s">
        <v>7</v>
      </c>
      <c r="H2338" s="3">
        <v>4.0077999999999996</v>
      </c>
      <c r="I2338" t="s">
        <v>4817</v>
      </c>
      <c r="J2338" t="s">
        <v>12943</v>
      </c>
      <c r="L2338" t="s">
        <v>9208</v>
      </c>
      <c r="M2338" t="str">
        <f>"https://www.artic.edu/iiif/2/"&amp;Table9[[#This Row],[Image ID]]&amp;"/full/843,/0/default.jpg"</f>
        <v>https://www.artic.edu/iiif/2/fd0557c1-20cd-da66-e221-ad381971906c/full/843,/0/default.jpg</v>
      </c>
      <c r="N2338" s="3">
        <v>0.7</v>
      </c>
      <c r="O2338" s="3">
        <v>7.4999999999999997E-2</v>
      </c>
      <c r="P2338" s="3">
        <v>0.625</v>
      </c>
      <c r="Q2338" s="3">
        <v>0.94854003190994196</v>
      </c>
    </row>
    <row r="2339" spans="1:17" x14ac:dyDescent="0.45">
      <c r="A2339" s="3">
        <v>54751</v>
      </c>
      <c r="B2339" t="b">
        <v>0</v>
      </c>
      <c r="C2339" t="b">
        <v>0</v>
      </c>
      <c r="D2339" s="3">
        <v>1910</v>
      </c>
      <c r="E2339" s="3">
        <v>1914</v>
      </c>
      <c r="F2339" t="s">
        <v>8301</v>
      </c>
      <c r="G2339" t="s">
        <v>7</v>
      </c>
      <c r="H2339" s="3">
        <v>81.567300000000003</v>
      </c>
      <c r="I2339" t="s">
        <v>4138</v>
      </c>
      <c r="J2339" t="s">
        <v>14496</v>
      </c>
      <c r="L2339" t="s">
        <v>8302</v>
      </c>
      <c r="M2339" t="str">
        <f>"https://www.artic.edu/iiif/2/"&amp;Table9[[#This Row],[Image ID]]&amp;"/full/843,/0/default.jpg"</f>
        <v>https://www.artic.edu/iiif/2/fd54d402-a162-8c1c-4cbc-03bedb1bf703/full/843,/0/default.jpg</v>
      </c>
      <c r="N2339" s="3">
        <v>0.72499999999999998</v>
      </c>
      <c r="O2339" s="3">
        <v>0.1</v>
      </c>
      <c r="P2339" s="3">
        <v>0.625</v>
      </c>
      <c r="Q2339" s="3">
        <v>0.75759440660476596</v>
      </c>
    </row>
    <row r="2340" spans="1:17" x14ac:dyDescent="0.45">
      <c r="A2340" s="3">
        <v>210901</v>
      </c>
      <c r="B2340" t="b">
        <v>0</v>
      </c>
      <c r="C2340" t="b">
        <v>0</v>
      </c>
      <c r="D2340" s="3">
        <v>1988</v>
      </c>
      <c r="E2340" s="3">
        <v>1988</v>
      </c>
      <c r="F2340" t="s">
        <v>5574</v>
      </c>
      <c r="G2340" t="s">
        <v>7</v>
      </c>
      <c r="H2340" s="3">
        <v>19.372599999999998</v>
      </c>
      <c r="I2340" t="s">
        <v>2941</v>
      </c>
      <c r="J2340" t="s">
        <v>14506</v>
      </c>
      <c r="L2340" t="s">
        <v>5575</v>
      </c>
      <c r="M2340" t="str">
        <f>"https://www.artic.edu/iiif/2/"&amp;Table9[[#This Row],[Image ID]]&amp;"/full/843,/0/default.jpg"</f>
        <v>https://www.artic.edu/iiif/2/fdf64a41-e5c0-ce65-c75b-9cbb7f938abf/full/843,/0/default.jpg</v>
      </c>
      <c r="N2340" s="3">
        <v>0.7</v>
      </c>
      <c r="O2340" s="3">
        <v>7.4999999999999997E-2</v>
      </c>
      <c r="P2340" s="3">
        <v>0.625</v>
      </c>
      <c r="Q2340" s="3">
        <v>0.79075109958648604</v>
      </c>
    </row>
    <row r="2341" spans="1:17" x14ac:dyDescent="0.45">
      <c r="A2341" s="3">
        <v>87454</v>
      </c>
      <c r="B2341" t="b">
        <v>0</v>
      </c>
      <c r="C2341" t="b">
        <v>0</v>
      </c>
      <c r="D2341" s="3">
        <v>1961</v>
      </c>
      <c r="E2341" s="3">
        <v>1961</v>
      </c>
      <c r="F2341" t="s">
        <v>10385</v>
      </c>
      <c r="G2341" t="s">
        <v>5340</v>
      </c>
      <c r="H2341" s="3">
        <v>15.9535</v>
      </c>
      <c r="I2341" t="s">
        <v>60</v>
      </c>
      <c r="J2341" t="s">
        <v>14512</v>
      </c>
      <c r="L2341" t="s">
        <v>10386</v>
      </c>
      <c r="M2341" t="str">
        <f>"https://www.artic.edu/iiif/2/"&amp;Table9[[#This Row],[Image ID]]&amp;"/full/843,/0/default.jpg"</f>
        <v>https://www.artic.edu/iiif/2/fe547b75-e337-dade-9c38-0d0107d22ea1/full/843,/0/default.jpg</v>
      </c>
      <c r="N2341" s="3">
        <v>0.75</v>
      </c>
      <c r="O2341" s="3">
        <v>0.125</v>
      </c>
      <c r="P2341" s="3">
        <v>0.625</v>
      </c>
      <c r="Q2341" s="3">
        <v>0.75399684906005804</v>
      </c>
    </row>
    <row r="2342" spans="1:17" x14ac:dyDescent="0.45">
      <c r="A2342" s="3">
        <v>66108</v>
      </c>
      <c r="B2342" t="b">
        <v>0</v>
      </c>
      <c r="C2342" t="b">
        <v>0</v>
      </c>
      <c r="D2342" s="3">
        <v>1947</v>
      </c>
      <c r="E2342" s="3">
        <v>1947</v>
      </c>
      <c r="F2342" t="s">
        <v>9189</v>
      </c>
      <c r="G2342" t="s">
        <v>7</v>
      </c>
      <c r="H2342" s="3">
        <v>43.579799999999999</v>
      </c>
      <c r="I2342" t="s">
        <v>949</v>
      </c>
      <c r="J2342" t="s">
        <v>14519</v>
      </c>
      <c r="K2342" s="5" t="s">
        <v>45</v>
      </c>
      <c r="L2342" t="s">
        <v>9190</v>
      </c>
      <c r="M2342" t="str">
        <f>"https://www.artic.edu/iiif/2/"&amp;Table9[[#This Row],[Image ID]]&amp;"/full/843,/0/default.jpg"</f>
        <v>https://www.artic.edu/iiif/2/febc31a0-7471-4290-393d-c83b8c7bd82e/full/843,/0/default.jpg</v>
      </c>
      <c r="N2342" s="3">
        <v>0.77500000000000002</v>
      </c>
      <c r="O2342" s="3">
        <v>0.15</v>
      </c>
      <c r="P2342" s="3">
        <v>0.625</v>
      </c>
      <c r="Q2342" s="3">
        <v>0.777926325798034</v>
      </c>
    </row>
    <row r="2343" spans="1:17" x14ac:dyDescent="0.45">
      <c r="A2343" s="3">
        <v>20542</v>
      </c>
      <c r="B2343" t="b">
        <v>0</v>
      </c>
      <c r="C2343" t="b">
        <v>1</v>
      </c>
      <c r="D2343" s="3">
        <v>1867</v>
      </c>
      <c r="E2343" s="3">
        <v>1877</v>
      </c>
      <c r="F2343" t="s">
        <v>5462</v>
      </c>
      <c r="G2343" t="s">
        <v>7</v>
      </c>
      <c r="H2343" s="3">
        <v>0</v>
      </c>
      <c r="I2343" t="s">
        <v>14575</v>
      </c>
      <c r="J2343" t="s">
        <v>11848</v>
      </c>
      <c r="L2343" t="s">
        <v>5463</v>
      </c>
      <c r="M2343" t="str">
        <f>"https://www.artic.edu/iiif/2/"&amp;Table9[[#This Row],[Image ID]]&amp;"/full/843,/0/default.jpg"</f>
        <v>https://www.artic.edu/iiif/2/3b901b0a-b8a8-7299-1851-c25116dfa116/full/843,/0/default.jpg</v>
      </c>
      <c r="N2343" s="3">
        <v>0.71399999999999997</v>
      </c>
      <c r="O2343" s="3">
        <v>9.2999999999999999E-2</v>
      </c>
      <c r="P2343" s="3">
        <v>0.621</v>
      </c>
      <c r="Q2343" s="3">
        <v>0.53744274377822798</v>
      </c>
    </row>
    <row r="2344" spans="1:17" x14ac:dyDescent="0.45">
      <c r="A2344" s="3">
        <v>75643</v>
      </c>
      <c r="B2344" t="b">
        <v>0</v>
      </c>
      <c r="C2344" t="b">
        <v>0</v>
      </c>
      <c r="D2344" s="3">
        <v>1938</v>
      </c>
      <c r="E2344" s="3">
        <v>1938</v>
      </c>
      <c r="F2344" t="s">
        <v>9748</v>
      </c>
      <c r="G2344" t="s">
        <v>9749</v>
      </c>
      <c r="H2344" s="3">
        <v>45.637700000000002</v>
      </c>
      <c r="I2344" t="s">
        <v>40</v>
      </c>
      <c r="J2344" t="s">
        <v>13656</v>
      </c>
      <c r="L2344" t="s">
        <v>9750</v>
      </c>
      <c r="M2344" t="str">
        <f>"https://www.artic.edu/iiif/2/"&amp;Table9[[#This Row],[Image ID]]&amp;"/full/843,/0/default.jpg"</f>
        <v>https://www.artic.edu/iiif/2/c058b704-5928-1c28-30c2-cad6436eaa69/full/843,/0/default.jpg</v>
      </c>
      <c r="N2344" s="3">
        <v>0.81</v>
      </c>
      <c r="O2344" s="3">
        <v>0.19</v>
      </c>
      <c r="P2344" s="3">
        <v>0.62000000000000011</v>
      </c>
      <c r="Q2344" s="3">
        <v>0.81771087646484297</v>
      </c>
    </row>
    <row r="2345" spans="1:17" x14ac:dyDescent="0.45">
      <c r="A2345" s="3">
        <v>101509</v>
      </c>
      <c r="B2345" t="b">
        <v>0</v>
      </c>
      <c r="C2345" t="b">
        <v>1</v>
      </c>
      <c r="D2345" s="3">
        <v>1905</v>
      </c>
      <c r="E2345" s="3">
        <v>1906</v>
      </c>
      <c r="F2345" t="s">
        <v>173</v>
      </c>
      <c r="G2345" t="s">
        <v>174</v>
      </c>
      <c r="H2345" s="3">
        <v>24.848600000000001</v>
      </c>
      <c r="I2345" t="s">
        <v>14591</v>
      </c>
      <c r="J2345" t="s">
        <v>14548</v>
      </c>
      <c r="L2345" t="s">
        <v>175</v>
      </c>
      <c r="M2345" t="str">
        <f>"https://www.artic.edu/iiif/2/"&amp;Table9[[#This Row],[Image ID]]&amp;"/full/843,/0/default.jpg"</f>
        <v>https://www.artic.edu/iiif/2/fffee8a1-cbdb-bd77-4742-f66a03ebe45a/full/843,/0/default.jpg</v>
      </c>
      <c r="N2345" s="3">
        <v>0.66700000000000004</v>
      </c>
      <c r="O2345" s="3">
        <v>4.7E-2</v>
      </c>
      <c r="P2345" s="3">
        <v>0.62</v>
      </c>
      <c r="Q2345" s="3">
        <v>0.69779449701309204</v>
      </c>
    </row>
    <row r="2346" spans="1:17" x14ac:dyDescent="0.45">
      <c r="A2346" s="3">
        <v>93855</v>
      </c>
      <c r="B2346" t="b">
        <v>0</v>
      </c>
      <c r="C2346" t="b">
        <v>0</v>
      </c>
      <c r="D2346" s="3">
        <v>1929</v>
      </c>
      <c r="E2346" s="3">
        <v>1929</v>
      </c>
      <c r="F2346" t="s">
        <v>10658</v>
      </c>
      <c r="G2346" t="s">
        <v>1502</v>
      </c>
      <c r="H2346" s="3">
        <v>42.786799999999999</v>
      </c>
      <c r="I2346" t="s">
        <v>1322</v>
      </c>
      <c r="J2346" t="s">
        <v>13115</v>
      </c>
      <c r="L2346" t="s">
        <v>10659</v>
      </c>
      <c r="M2346" t="str">
        <f>"https://www.artic.edu/iiif/2/"&amp;Table9[[#This Row],[Image ID]]&amp;"/full/843,/0/default.jpg"</f>
        <v>https://www.artic.edu/iiif/2/97427114-637a-954f-6804-0511df2bc64f/full/843,/0/default.jpg</v>
      </c>
      <c r="N2346" s="3">
        <v>0.64300000000000002</v>
      </c>
      <c r="O2346" s="3">
        <v>2.3E-2</v>
      </c>
      <c r="P2346" s="3">
        <v>0.62</v>
      </c>
      <c r="Q2346" s="3">
        <v>0.89227181673049905</v>
      </c>
    </row>
    <row r="2347" spans="1:17" x14ac:dyDescent="0.45">
      <c r="A2347" s="3">
        <v>16179</v>
      </c>
      <c r="B2347" t="b">
        <v>0</v>
      </c>
      <c r="C2347" t="b">
        <v>1</v>
      </c>
      <c r="D2347" s="3">
        <v>1476</v>
      </c>
      <c r="E2347" s="3">
        <v>1476</v>
      </c>
      <c r="F2347" t="s">
        <v>4293</v>
      </c>
      <c r="G2347" t="s">
        <v>103</v>
      </c>
      <c r="H2347" s="3">
        <v>54.630099999999999</v>
      </c>
      <c r="I2347" t="s">
        <v>4294</v>
      </c>
      <c r="J2347" t="s">
        <v>11723</v>
      </c>
      <c r="L2347" t="s">
        <v>4295</v>
      </c>
      <c r="M2347" t="str">
        <f>"https://www.artic.edu/iiif/2/"&amp;Table9[[#This Row],[Image ID]]&amp;"/full/843,/0/default.jpg"</f>
        <v>https://www.artic.edu/iiif/2/336a83f3-c184-add1-ee03-f295aa97a0b0/full/843,/0/default.jpg</v>
      </c>
      <c r="N2347" s="3">
        <v>0.73799999999999999</v>
      </c>
      <c r="O2347" s="3">
        <v>0.11899999999999999</v>
      </c>
      <c r="P2347" s="3">
        <v>0.61899999999999999</v>
      </c>
      <c r="Q2347" s="3">
        <v>0.75730180740356401</v>
      </c>
    </row>
    <row r="2348" spans="1:17" x14ac:dyDescent="0.45">
      <c r="A2348" s="3">
        <v>3999</v>
      </c>
      <c r="B2348" t="b">
        <v>0</v>
      </c>
      <c r="C2348" t="b">
        <v>1</v>
      </c>
      <c r="D2348" s="3">
        <v>1601</v>
      </c>
      <c r="E2348" s="3">
        <v>1799</v>
      </c>
      <c r="F2348" t="s">
        <v>7629</v>
      </c>
      <c r="G2348" t="s">
        <v>723</v>
      </c>
      <c r="H2348" s="3">
        <v>32.998399999999997</v>
      </c>
      <c r="I2348" t="s">
        <v>2655</v>
      </c>
      <c r="J2348" t="s">
        <v>11793</v>
      </c>
      <c r="K2348" s="5" t="s">
        <v>4</v>
      </c>
      <c r="L2348" t="s">
        <v>7630</v>
      </c>
      <c r="M2348" t="str">
        <f>"https://www.artic.edu/iiif/2/"&amp;Table9[[#This Row],[Image ID]]&amp;"/full/843,/0/default.jpg"</f>
        <v>https://www.artic.edu/iiif/2/38619dcc-7b32-1aba-e8b0-77624d1904fd/full/843,/0/default.jpg</v>
      </c>
      <c r="N2348" s="3">
        <v>0.73799999999999999</v>
      </c>
      <c r="O2348" s="3">
        <v>0.11899999999999999</v>
      </c>
      <c r="P2348" s="3">
        <v>0.61899999999999999</v>
      </c>
      <c r="Q2348" s="3">
        <v>0.80648899078369096</v>
      </c>
    </row>
    <row r="2349" spans="1:17" x14ac:dyDescent="0.45">
      <c r="A2349" s="3">
        <v>117539</v>
      </c>
      <c r="B2349" t="b">
        <v>0</v>
      </c>
      <c r="C2349" t="b">
        <v>1</v>
      </c>
      <c r="D2349" s="3">
        <v>1801</v>
      </c>
      <c r="E2349" s="3">
        <v>1900</v>
      </c>
      <c r="F2349" t="s">
        <v>2360</v>
      </c>
      <c r="G2349" t="s">
        <v>2361</v>
      </c>
      <c r="H2349" s="3">
        <v>23.667200000000001</v>
      </c>
      <c r="J2349" t="s">
        <v>12449</v>
      </c>
      <c r="L2349" t="s">
        <v>2362</v>
      </c>
      <c r="M2349" t="str">
        <f>"https://www.artic.edu/iiif/2/"&amp;Table9[[#This Row],[Image ID]]&amp;"/full/843,/0/default.jpg"</f>
        <v>https://www.artic.edu/iiif/2/652fcd52-0b95-0b36-b2e1-a508855462ba/full/843,/0/default.jpg</v>
      </c>
      <c r="N2349" s="3">
        <v>0.69</v>
      </c>
      <c r="O2349" s="3">
        <v>7.0999999999999994E-2</v>
      </c>
      <c r="P2349" s="3">
        <v>0.61899999999999999</v>
      </c>
      <c r="Q2349" s="3">
        <v>0.71708357334136896</v>
      </c>
    </row>
    <row r="2350" spans="1:17" x14ac:dyDescent="0.45">
      <c r="A2350" s="3">
        <v>16355</v>
      </c>
      <c r="B2350" t="b">
        <v>0</v>
      </c>
      <c r="C2350" t="b">
        <v>1</v>
      </c>
      <c r="D2350" s="3">
        <v>1801</v>
      </c>
      <c r="E2350" s="3">
        <v>1811</v>
      </c>
      <c r="F2350" t="s">
        <v>4387</v>
      </c>
      <c r="G2350" t="s">
        <v>75</v>
      </c>
      <c r="H2350" s="3">
        <v>27.7514</v>
      </c>
      <c r="I2350" t="s">
        <v>14559</v>
      </c>
      <c r="J2350" t="s">
        <v>12825</v>
      </c>
      <c r="L2350" t="s">
        <v>4388</v>
      </c>
      <c r="M2350" t="str">
        <f>"https://www.artic.edu/iiif/2/"&amp;Table9[[#This Row],[Image ID]]&amp;"/full/843,/0/default.jpg"</f>
        <v>https://www.artic.edu/iiif/2/806514aa-f6bd-ace9-be56-47206943871c/full/843,/0/default.jpg</v>
      </c>
      <c r="N2350" s="3">
        <v>0.73799999999999999</v>
      </c>
      <c r="O2350" s="3">
        <v>0.11899999999999999</v>
      </c>
      <c r="P2350" s="3">
        <v>0.61899999999999999</v>
      </c>
      <c r="Q2350" s="3">
        <v>0.78492152690887396</v>
      </c>
    </row>
    <row r="2351" spans="1:17" x14ac:dyDescent="0.45">
      <c r="A2351" s="3">
        <v>16250</v>
      </c>
      <c r="B2351" t="b">
        <v>0</v>
      </c>
      <c r="C2351" t="b">
        <v>1</v>
      </c>
      <c r="D2351" s="3">
        <v>1470</v>
      </c>
      <c r="E2351" s="3">
        <v>1480</v>
      </c>
      <c r="F2351" t="s">
        <v>74</v>
      </c>
      <c r="G2351" t="s">
        <v>103</v>
      </c>
      <c r="H2351" s="3">
        <v>42.852499999999999</v>
      </c>
      <c r="I2351" t="s">
        <v>4326</v>
      </c>
      <c r="J2351" t="s">
        <v>13004</v>
      </c>
      <c r="L2351" t="s">
        <v>4327</v>
      </c>
      <c r="M2351" t="str">
        <f>"https://www.artic.edu/iiif/2/"&amp;Table9[[#This Row],[Image ID]]&amp;"/full/843,/0/default.jpg"</f>
        <v>https://www.artic.edu/iiif/2/8e391b9f-7a08-424f-6fc0-0861fca9c3c7/full/843,/0/default.jpg</v>
      </c>
      <c r="N2351" s="3">
        <v>0.71399999999999997</v>
      </c>
      <c r="O2351" s="3">
        <v>9.5000000000000001E-2</v>
      </c>
      <c r="P2351" s="3">
        <v>0.61899999999999999</v>
      </c>
      <c r="Q2351" s="3">
        <v>0.78371703624725297</v>
      </c>
    </row>
    <row r="2352" spans="1:17" x14ac:dyDescent="0.45">
      <c r="A2352" s="3">
        <v>39188</v>
      </c>
      <c r="B2352" t="b">
        <v>0</v>
      </c>
      <c r="C2352" t="b">
        <v>1</v>
      </c>
      <c r="D2352" s="3">
        <v>1835</v>
      </c>
      <c r="E2352" s="3">
        <v>1882</v>
      </c>
      <c r="F2352" t="s">
        <v>7493</v>
      </c>
      <c r="G2352" t="s">
        <v>7494</v>
      </c>
      <c r="H2352" s="3">
        <v>28.643899999999999</v>
      </c>
      <c r="I2352" t="s">
        <v>5317</v>
      </c>
      <c r="J2352" t="s">
        <v>13927</v>
      </c>
      <c r="L2352" t="s">
        <v>7495</v>
      </c>
      <c r="M2352" t="str">
        <f>"https://www.artic.edu/iiif/2/"&amp;Table9[[#This Row],[Image ID]]&amp;"/full/843,/0/default.jpg"</f>
        <v>https://www.artic.edu/iiif/2/d68f295c-8847-bb32-2cb9-b7756f356080/full/843,/0/default.jpg</v>
      </c>
      <c r="N2352" s="3">
        <v>0.73799999999999999</v>
      </c>
      <c r="O2352" s="3">
        <v>0.11899999999999999</v>
      </c>
      <c r="P2352" s="3">
        <v>0.61899999999999999</v>
      </c>
      <c r="Q2352" s="3">
        <v>0.78119856119155795</v>
      </c>
    </row>
    <row r="2353" spans="1:17" x14ac:dyDescent="0.45">
      <c r="A2353" s="3">
        <v>74016</v>
      </c>
      <c r="B2353" t="b">
        <v>0</v>
      </c>
      <c r="C2353" t="b">
        <v>1</v>
      </c>
      <c r="D2353" s="3">
        <v>1800</v>
      </c>
      <c r="E2353" s="3">
        <v>1899</v>
      </c>
      <c r="F2353" t="s">
        <v>9658</v>
      </c>
      <c r="G2353" t="s">
        <v>1896</v>
      </c>
      <c r="H2353" s="3">
        <v>28.197199999999999</v>
      </c>
      <c r="I2353" t="s">
        <v>16</v>
      </c>
      <c r="J2353" t="s">
        <v>14148</v>
      </c>
      <c r="L2353" t="s">
        <v>9659</v>
      </c>
      <c r="M2353" t="str">
        <f>"https://www.artic.edu/iiif/2/"&amp;Table9[[#This Row],[Image ID]]&amp;"/full/843,/0/default.jpg"</f>
        <v>https://www.artic.edu/iiif/2/e4bb3296-262d-b4c4-df6d-671ff04490ed/full/843,/0/default.jpg</v>
      </c>
      <c r="N2353" s="3">
        <v>0.71399999999999997</v>
      </c>
      <c r="O2353" s="3">
        <v>9.5000000000000001E-2</v>
      </c>
      <c r="P2353" s="3">
        <v>0.61899999999999999</v>
      </c>
      <c r="Q2353" s="3">
        <v>0.764684617519378</v>
      </c>
    </row>
    <row r="2354" spans="1:17" x14ac:dyDescent="0.45">
      <c r="A2354" s="3">
        <v>110873</v>
      </c>
      <c r="B2354" t="b">
        <v>0</v>
      </c>
      <c r="C2354" t="b">
        <v>1</v>
      </c>
      <c r="D2354" s="3">
        <v>1700</v>
      </c>
      <c r="E2354" s="3">
        <v>1710</v>
      </c>
      <c r="F2354" t="s">
        <v>959</v>
      </c>
      <c r="G2354" t="s">
        <v>7</v>
      </c>
      <c r="H2354" s="3">
        <v>18.893599999999999</v>
      </c>
      <c r="I2354" t="s">
        <v>960</v>
      </c>
      <c r="J2354" t="s">
        <v>14331</v>
      </c>
      <c r="L2354" t="s">
        <v>961</v>
      </c>
      <c r="M2354" t="str">
        <f>"https://www.artic.edu/iiif/2/"&amp;Table9[[#This Row],[Image ID]]&amp;"/full/843,/0/default.jpg"</f>
        <v>https://www.artic.edu/iiif/2/f0fba705-6f01-14b0-87d2-b01be3390343/full/843,/0/default.jpg</v>
      </c>
      <c r="N2354" s="3">
        <v>0.73799999999999999</v>
      </c>
      <c r="O2354" s="3">
        <v>0.11899999999999999</v>
      </c>
      <c r="P2354" s="3">
        <v>0.61899999999999999</v>
      </c>
      <c r="Q2354" s="3">
        <v>0.819444239139556</v>
      </c>
    </row>
    <row r="2355" spans="1:17" x14ac:dyDescent="0.45">
      <c r="A2355" s="3">
        <v>69844</v>
      </c>
      <c r="B2355" t="b">
        <v>0</v>
      </c>
      <c r="C2355" t="b">
        <v>1</v>
      </c>
      <c r="D2355" s="3">
        <v>1892</v>
      </c>
      <c r="E2355" s="3">
        <v>1892</v>
      </c>
      <c r="F2355" t="s">
        <v>9412</v>
      </c>
      <c r="G2355" t="s">
        <v>7</v>
      </c>
      <c r="H2355" s="3">
        <v>29.118300000000001</v>
      </c>
      <c r="I2355" t="s">
        <v>908</v>
      </c>
      <c r="J2355" t="s">
        <v>14367</v>
      </c>
      <c r="L2355" t="s">
        <v>9413</v>
      </c>
      <c r="M2355" t="str">
        <f>"https://www.artic.edu/iiif/2/"&amp;Table9[[#This Row],[Image ID]]&amp;"/full/843,/0/default.jpg"</f>
        <v>https://www.artic.edu/iiif/2/f4269701-8862-2c0e-efb3-e5cd97fc7c09/full/843,/0/default.jpg</v>
      </c>
      <c r="N2355" s="3">
        <v>0.71399999999999997</v>
      </c>
      <c r="O2355" s="3">
        <v>9.5000000000000001E-2</v>
      </c>
      <c r="P2355" s="3">
        <v>0.61899999999999999</v>
      </c>
      <c r="Q2355" s="3">
        <v>0.49214917421340898</v>
      </c>
    </row>
    <row r="2356" spans="1:17" x14ac:dyDescent="0.45">
      <c r="A2356" s="3">
        <v>16629</v>
      </c>
      <c r="B2356" t="b">
        <v>0</v>
      </c>
      <c r="C2356" t="b">
        <v>1</v>
      </c>
      <c r="D2356" s="3">
        <v>1881</v>
      </c>
      <c r="E2356" s="3">
        <v>1881</v>
      </c>
      <c r="F2356" t="s">
        <v>4507</v>
      </c>
      <c r="G2356" t="s">
        <v>7</v>
      </c>
      <c r="H2356" s="3">
        <v>50.485500000000002</v>
      </c>
      <c r="I2356" t="s">
        <v>8</v>
      </c>
      <c r="J2356" t="s">
        <v>14459</v>
      </c>
      <c r="K2356" s="5" t="s">
        <v>9</v>
      </c>
      <c r="L2356" t="s">
        <v>4508</v>
      </c>
      <c r="M2356" t="str">
        <f>"https://www.artic.edu/iiif/2/"&amp;Table9[[#This Row],[Image ID]]&amp;"/full/843,/0/default.jpg"</f>
        <v>https://www.artic.edu/iiif/2/fa887ac5-1fda-1b03-2bab-b7ab78a47e94/full/843,/0/default.jpg</v>
      </c>
      <c r="N2356" s="3">
        <v>0.73799999999999999</v>
      </c>
      <c r="O2356" s="3">
        <v>0.11899999999999999</v>
      </c>
      <c r="P2356" s="3">
        <v>0.61899999999999999</v>
      </c>
      <c r="Q2356" s="3">
        <v>0.722764551639556</v>
      </c>
    </row>
    <row r="2357" spans="1:17" x14ac:dyDescent="0.45">
      <c r="A2357" s="3">
        <v>30341</v>
      </c>
      <c r="B2357" t="b">
        <v>0</v>
      </c>
      <c r="C2357" t="b">
        <v>0</v>
      </c>
      <c r="D2357" s="3">
        <v>1917</v>
      </c>
      <c r="E2357" s="3">
        <v>1917</v>
      </c>
      <c r="F2357" t="s">
        <v>14</v>
      </c>
      <c r="G2357" t="s">
        <v>7</v>
      </c>
      <c r="H2357" s="3">
        <v>19.378699999999998</v>
      </c>
      <c r="I2357" t="s">
        <v>127</v>
      </c>
      <c r="J2357" t="s">
        <v>11905</v>
      </c>
      <c r="L2357" t="s">
        <v>6938</v>
      </c>
      <c r="M2357" t="str">
        <f>"https://www.artic.edu/iiif/2/"&amp;Table9[[#This Row],[Image ID]]&amp;"/full/843,/0/default.jpg"</f>
        <v>https://www.artic.edu/iiif/2/3f3c5575-a5fd-013c-fb11-bdb9feae26a8/full/843,/0/default.jpg</v>
      </c>
      <c r="N2357" s="3">
        <v>0.71399999999999997</v>
      </c>
      <c r="O2357" s="3">
        <v>9.5000000000000001E-2</v>
      </c>
      <c r="P2357" s="3">
        <v>0.61899999999999999</v>
      </c>
      <c r="Q2357" s="3">
        <v>0.78230077028274503</v>
      </c>
    </row>
    <row r="2358" spans="1:17" x14ac:dyDescent="0.45">
      <c r="A2358" s="3">
        <v>90894</v>
      </c>
      <c r="B2358" t="b">
        <v>0</v>
      </c>
      <c r="C2358" t="b">
        <v>0</v>
      </c>
      <c r="D2358" s="3">
        <v>1909</v>
      </c>
      <c r="E2358" s="3">
        <v>1909</v>
      </c>
      <c r="F2358" t="s">
        <v>9579</v>
      </c>
      <c r="G2358" t="s">
        <v>7</v>
      </c>
      <c r="H2358" s="3">
        <v>19.778400000000001</v>
      </c>
      <c r="I2358" t="s">
        <v>10552</v>
      </c>
      <c r="J2358" t="s">
        <v>12317</v>
      </c>
      <c r="K2358" s="5" t="s">
        <v>9</v>
      </c>
      <c r="L2358" t="s">
        <v>10553</v>
      </c>
      <c r="M2358" t="str">
        <f>"https://www.artic.edu/iiif/2/"&amp;Table9[[#This Row],[Image ID]]&amp;"/full/843,/0/default.jpg"</f>
        <v>https://www.artic.edu/iiif/2/5bd6d810-2df1-1968-c89a-2bd12f7af426/full/843,/0/default.jpg</v>
      </c>
      <c r="N2358" s="3">
        <v>0.71399999999999997</v>
      </c>
      <c r="O2358" s="3">
        <v>9.5000000000000001E-2</v>
      </c>
      <c r="P2358" s="3">
        <v>0.61899999999999999</v>
      </c>
      <c r="Q2358" s="3">
        <v>0.55318605899810702</v>
      </c>
    </row>
    <row r="2359" spans="1:17" x14ac:dyDescent="0.45">
      <c r="A2359" s="3">
        <v>109572</v>
      </c>
      <c r="B2359" t="b">
        <v>0</v>
      </c>
      <c r="C2359" t="b">
        <v>0</v>
      </c>
      <c r="D2359" s="3">
        <v>1977</v>
      </c>
      <c r="E2359" s="3">
        <v>1984</v>
      </c>
      <c r="F2359" t="s">
        <v>827</v>
      </c>
      <c r="G2359" t="s">
        <v>828</v>
      </c>
      <c r="H2359" s="3">
        <v>35.006399999999999</v>
      </c>
      <c r="I2359" t="s">
        <v>829</v>
      </c>
      <c r="J2359" t="s">
        <v>12397</v>
      </c>
      <c r="L2359" t="s">
        <v>830</v>
      </c>
      <c r="M2359" t="str">
        <f>"https://www.artic.edu/iiif/2/"&amp;Table9[[#This Row],[Image ID]]&amp;"/full/843,/0/default.jpg"</f>
        <v>https://www.artic.edu/iiif/2/61286f9b-7c46-0d99-023c-d47a541bad45/full/843,/0/default.jpg</v>
      </c>
      <c r="N2359" s="3">
        <v>0.66700000000000004</v>
      </c>
      <c r="O2359" s="3">
        <v>4.8000000000000001E-2</v>
      </c>
      <c r="P2359" s="3">
        <v>0.61899999999999999</v>
      </c>
      <c r="Q2359" s="3">
        <v>0.74111962318420399</v>
      </c>
    </row>
    <row r="2360" spans="1:17" x14ac:dyDescent="0.45">
      <c r="A2360" s="3">
        <v>93815</v>
      </c>
      <c r="B2360" t="b">
        <v>0</v>
      </c>
      <c r="C2360" t="b">
        <v>0</v>
      </c>
      <c r="D2360" s="3">
        <v>1930</v>
      </c>
      <c r="E2360" s="3">
        <v>1930</v>
      </c>
      <c r="F2360" t="s">
        <v>2745</v>
      </c>
      <c r="G2360" t="s">
        <v>10623</v>
      </c>
      <c r="H2360" s="3">
        <v>10.0549</v>
      </c>
      <c r="I2360" t="s">
        <v>378</v>
      </c>
      <c r="J2360" t="s">
        <v>12525</v>
      </c>
      <c r="K2360" s="5" t="s">
        <v>45</v>
      </c>
      <c r="L2360" t="s">
        <v>10651</v>
      </c>
      <c r="M2360" t="str">
        <f>"https://www.artic.edu/iiif/2/"&amp;Table9[[#This Row],[Image ID]]&amp;"/full/843,/0/default.jpg"</f>
        <v>https://www.artic.edu/iiif/2/6a68206e-9f60-4af5-2d4c-e6e9c1d211ad/full/843,/0/default.jpg</v>
      </c>
      <c r="N2360" s="3">
        <v>0.69</v>
      </c>
      <c r="O2360" s="3">
        <v>7.0999999999999994E-2</v>
      </c>
      <c r="P2360" s="3">
        <v>0.61899999999999999</v>
      </c>
      <c r="Q2360" s="3">
        <v>0.80389273166656405</v>
      </c>
    </row>
    <row r="2361" spans="1:17" x14ac:dyDescent="0.45">
      <c r="A2361" s="3">
        <v>184212</v>
      </c>
      <c r="B2361" t="b">
        <v>0</v>
      </c>
      <c r="C2361" t="b">
        <v>0</v>
      </c>
      <c r="D2361" s="3">
        <v>1986</v>
      </c>
      <c r="E2361" s="3">
        <v>1986</v>
      </c>
      <c r="F2361" t="s">
        <v>4807</v>
      </c>
      <c r="G2361" t="s">
        <v>4808</v>
      </c>
      <c r="H2361" s="3">
        <v>89.268799999999999</v>
      </c>
      <c r="I2361" t="s">
        <v>4218</v>
      </c>
      <c r="J2361" t="s">
        <v>12614</v>
      </c>
      <c r="L2361" t="s">
        <v>4809</v>
      </c>
      <c r="M2361" t="str">
        <f>"https://www.artic.edu/iiif/2/"&amp;Table9[[#This Row],[Image ID]]&amp;"/full/843,/0/default.jpg"</f>
        <v>https://www.artic.edu/iiif/2/7082504c-97cf-9ff7-4cad-66373035bff4/full/843,/0/default.jpg</v>
      </c>
      <c r="N2361" s="3">
        <v>0.73799999999999999</v>
      </c>
      <c r="O2361" s="3">
        <v>0.11899999999999999</v>
      </c>
      <c r="P2361" s="3">
        <v>0.61899999999999999</v>
      </c>
      <c r="Q2361" s="3">
        <v>0.84883278608322099</v>
      </c>
    </row>
    <row r="2362" spans="1:17" x14ac:dyDescent="0.45">
      <c r="A2362" s="3">
        <v>39126</v>
      </c>
      <c r="B2362" t="b">
        <v>0</v>
      </c>
      <c r="C2362" t="b">
        <v>1</v>
      </c>
      <c r="D2362" s="3">
        <v>1883</v>
      </c>
      <c r="E2362" s="3">
        <v>1893</v>
      </c>
      <c r="F2362" t="s">
        <v>7460</v>
      </c>
      <c r="G2362" t="s">
        <v>7461</v>
      </c>
      <c r="H2362" s="3">
        <v>16.942</v>
      </c>
      <c r="I2362" t="s">
        <v>1086</v>
      </c>
      <c r="J2362" t="s">
        <v>11159</v>
      </c>
      <c r="L2362" t="s">
        <v>7462</v>
      </c>
      <c r="M2362" t="str">
        <f>"https://www.artic.edu/iiif/2/"&amp;Table9[[#This Row],[Image ID]]&amp;"/full/843,/0/default.jpg"</f>
        <v>https://www.artic.edu/iiif/2/0e323d8c-25ad-2e7a-b500-4b5a3e00b2b5/full/843,/0/default.jpg</v>
      </c>
      <c r="N2362" s="3">
        <v>0.68200000000000005</v>
      </c>
      <c r="O2362" s="3">
        <v>6.8000000000000005E-2</v>
      </c>
      <c r="P2362" s="3">
        <v>0.6140000000000001</v>
      </c>
      <c r="Q2362" s="3">
        <v>0.67871129512786799</v>
      </c>
    </row>
    <row r="2363" spans="1:17" x14ac:dyDescent="0.45">
      <c r="A2363" s="3">
        <v>62450</v>
      </c>
      <c r="B2363" t="b">
        <v>0</v>
      </c>
      <c r="C2363" t="b">
        <v>1</v>
      </c>
      <c r="D2363" s="3">
        <v>1630</v>
      </c>
      <c r="E2363" s="3">
        <v>1630</v>
      </c>
      <c r="F2363" t="s">
        <v>8910</v>
      </c>
      <c r="G2363" t="s">
        <v>75</v>
      </c>
      <c r="H2363" s="3">
        <v>34.309699999999999</v>
      </c>
      <c r="I2363" t="s">
        <v>8911</v>
      </c>
      <c r="J2363" t="s">
        <v>12919</v>
      </c>
      <c r="L2363" t="s">
        <v>8912</v>
      </c>
      <c r="M2363" t="str">
        <f>"https://www.artic.edu/iiif/2/"&amp;Table9[[#This Row],[Image ID]]&amp;"/full/843,/0/default.jpg"</f>
        <v>https://www.artic.edu/iiif/2/87d426ca-4537-1386-50bf-6c2d5a5d7d17/full/843,/0/default.jpg</v>
      </c>
      <c r="N2363" s="3">
        <v>0.65900000000000003</v>
      </c>
      <c r="O2363" s="3">
        <v>4.4999999999999998E-2</v>
      </c>
      <c r="P2363" s="3">
        <v>0.61399999999999999</v>
      </c>
      <c r="Q2363" s="3">
        <v>0.78616654872894198</v>
      </c>
    </row>
    <row r="2364" spans="1:17" x14ac:dyDescent="0.45">
      <c r="A2364" s="3">
        <v>140607</v>
      </c>
      <c r="B2364" t="b">
        <v>0</v>
      </c>
      <c r="C2364" t="b">
        <v>0</v>
      </c>
      <c r="D2364" s="3">
        <v>1975</v>
      </c>
      <c r="E2364" s="3">
        <v>1985</v>
      </c>
      <c r="F2364" t="s">
        <v>2748</v>
      </c>
      <c r="G2364" t="s">
        <v>3256</v>
      </c>
      <c r="H2364" s="3">
        <v>15.9971</v>
      </c>
      <c r="I2364" t="s">
        <v>3257</v>
      </c>
      <c r="J2364" t="s">
        <v>13158</v>
      </c>
      <c r="L2364" t="s">
        <v>3258</v>
      </c>
      <c r="M2364" t="str">
        <f>"https://www.artic.edu/iiif/2/"&amp;Table9[[#This Row],[Image ID]]&amp;"/full/843,/0/default.jpg"</f>
        <v>https://www.artic.edu/iiif/2/9a6e4dc6-5c3f-78f8-65a1-d3e34bd2ecd2/full/843,/0/default.jpg</v>
      </c>
      <c r="N2364" s="3">
        <v>0.65900000000000003</v>
      </c>
      <c r="O2364" s="3">
        <v>4.4999999999999998E-2</v>
      </c>
      <c r="P2364" s="3">
        <v>0.61399999999999999</v>
      </c>
      <c r="Q2364" s="3">
        <v>0.78036689758300704</v>
      </c>
    </row>
    <row r="2365" spans="1:17" x14ac:dyDescent="0.45">
      <c r="A2365" s="3">
        <v>22191</v>
      </c>
      <c r="B2365" t="b">
        <v>0</v>
      </c>
      <c r="C2365" t="b">
        <v>0</v>
      </c>
      <c r="D2365" s="3">
        <v>1923</v>
      </c>
      <c r="E2365" s="3">
        <v>1923</v>
      </c>
      <c r="F2365" t="s">
        <v>5819</v>
      </c>
      <c r="G2365" t="s">
        <v>7</v>
      </c>
      <c r="H2365" s="3">
        <v>34.845799999999997</v>
      </c>
      <c r="I2365" t="s">
        <v>1464</v>
      </c>
      <c r="J2365" t="s">
        <v>11474</v>
      </c>
      <c r="L2365" t="s">
        <v>5820</v>
      </c>
      <c r="M2365" t="str">
        <f>"https://www.artic.edu/iiif/2/"&amp;Table9[[#This Row],[Image ID]]&amp;"/full/843,/0/default.jpg"</f>
        <v>https://www.artic.edu/iiif/2/d312bfce-3a61-223e-1591-903fc0f64e42/full/843,/0/default.jpg</v>
      </c>
      <c r="N2365" s="3">
        <v>0.70499999999999996</v>
      </c>
      <c r="O2365" s="3">
        <v>9.0999999999999998E-2</v>
      </c>
      <c r="P2365" s="3">
        <v>0.61399999999999999</v>
      </c>
      <c r="Q2365" s="3">
        <v>0.84626597166061401</v>
      </c>
    </row>
    <row r="2366" spans="1:17" x14ac:dyDescent="0.45">
      <c r="A2366" s="3">
        <v>59944</v>
      </c>
      <c r="B2366" t="b">
        <v>0</v>
      </c>
      <c r="C2366" t="b">
        <v>1</v>
      </c>
      <c r="D2366" s="3">
        <v>1877</v>
      </c>
      <c r="E2366" s="3">
        <v>1879</v>
      </c>
      <c r="F2366" t="s">
        <v>2875</v>
      </c>
      <c r="G2366" t="s">
        <v>7</v>
      </c>
      <c r="H2366" s="3">
        <v>31.0701</v>
      </c>
      <c r="I2366" t="s">
        <v>8</v>
      </c>
      <c r="J2366" t="s">
        <v>13132</v>
      </c>
      <c r="K2366" s="5" t="s">
        <v>9</v>
      </c>
      <c r="L2366" t="s">
        <v>8650</v>
      </c>
      <c r="M2366" t="str">
        <f>"https://www.artic.edu/iiif/2/"&amp;Table9[[#This Row],[Image ID]]&amp;"/full/843,/0/default.jpg"</f>
        <v>https://www.artic.edu/iiif/2/98d3c331-a4ef-f4a5-53a4-b9632a0b727c/full/843,/0/default.jpg</v>
      </c>
      <c r="N2366" s="3">
        <v>0.72699999999999998</v>
      </c>
      <c r="O2366" s="3">
        <v>0.114</v>
      </c>
      <c r="P2366" s="3">
        <v>0.61299999999999999</v>
      </c>
      <c r="Q2366" s="3">
        <v>0.86904591321945102</v>
      </c>
    </row>
    <row r="2367" spans="1:17" x14ac:dyDescent="0.45">
      <c r="A2367" s="3">
        <v>97681</v>
      </c>
      <c r="B2367" t="b">
        <v>0</v>
      </c>
      <c r="C2367" t="b">
        <v>1</v>
      </c>
      <c r="D2367" s="3">
        <v>1822</v>
      </c>
      <c r="E2367" s="3">
        <v>1822</v>
      </c>
      <c r="F2367" t="s">
        <v>10854</v>
      </c>
      <c r="G2367" t="s">
        <v>7</v>
      </c>
      <c r="H2367" s="3">
        <v>26.7591</v>
      </c>
      <c r="I2367" t="s">
        <v>14629</v>
      </c>
      <c r="J2367" t="s">
        <v>14468</v>
      </c>
      <c r="L2367" t="s">
        <v>10855</v>
      </c>
      <c r="M2367" t="str">
        <f>"https://www.artic.edu/iiif/2/"&amp;Table9[[#This Row],[Image ID]]&amp;"/full/843,/0/default.jpg"</f>
        <v>https://www.artic.edu/iiif/2/fb1f6add-bfa9-65af-5876-edade04d6b49/full/843,/0/default.jpg</v>
      </c>
      <c r="N2367" s="3">
        <v>0.75600000000000001</v>
      </c>
      <c r="O2367" s="3">
        <v>0.14299999999999999</v>
      </c>
      <c r="P2367" s="3">
        <v>0.61299999999999999</v>
      </c>
      <c r="Q2367" s="3">
        <v>0.57860857248306197</v>
      </c>
    </row>
    <row r="2368" spans="1:17" x14ac:dyDescent="0.45">
      <c r="A2368" s="3">
        <v>225735</v>
      </c>
      <c r="B2368" t="b">
        <v>0</v>
      </c>
      <c r="C2368" t="b">
        <v>0</v>
      </c>
      <c r="D2368" s="3">
        <v>1959</v>
      </c>
      <c r="E2368" s="3">
        <v>1959</v>
      </c>
      <c r="F2368" t="s">
        <v>5930</v>
      </c>
      <c r="G2368" t="s">
        <v>5917</v>
      </c>
      <c r="H2368" s="3">
        <v>39.966900000000003</v>
      </c>
      <c r="I2368" t="s">
        <v>5918</v>
      </c>
      <c r="J2368" t="s">
        <v>11203</v>
      </c>
      <c r="L2368" t="s">
        <v>5931</v>
      </c>
      <c r="M2368" t="str">
        <f>"https://www.artic.edu/iiif/2/"&amp;Table9[[#This Row],[Image ID]]&amp;"/full/843,/0/default.jpg"</f>
        <v>https://www.artic.edu/iiif/2/11b3e203-770a-5f07-43ba-d8c0b144a814/full/843,/0/default.jpg</v>
      </c>
      <c r="N2368" s="3">
        <v>0.73199999999999998</v>
      </c>
      <c r="O2368" s="3">
        <v>0.11899999999999999</v>
      </c>
      <c r="P2368" s="3">
        <v>0.61299999999999999</v>
      </c>
      <c r="Q2368" s="3">
        <v>0.82201421260833696</v>
      </c>
    </row>
    <row r="2369" spans="1:17" x14ac:dyDescent="0.45">
      <c r="A2369" s="3">
        <v>74021</v>
      </c>
      <c r="B2369" t="b">
        <v>0</v>
      </c>
      <c r="C2369" t="b">
        <v>1</v>
      </c>
      <c r="D2369" s="3">
        <v>1800</v>
      </c>
      <c r="E2369" s="3">
        <v>1899</v>
      </c>
      <c r="F2369" t="s">
        <v>9660</v>
      </c>
      <c r="G2369" t="s">
        <v>1552</v>
      </c>
      <c r="H2369" s="3">
        <v>27.4438</v>
      </c>
      <c r="I2369" t="s">
        <v>16</v>
      </c>
      <c r="J2369" t="s">
        <v>11891</v>
      </c>
      <c r="L2369" t="s">
        <v>9661</v>
      </c>
      <c r="M2369" t="str">
        <f>"https://www.artic.edu/iiif/2/"&amp;Table9[[#This Row],[Image ID]]&amp;"/full/843,/0/default.jpg"</f>
        <v>https://www.artic.edu/iiif/2/3e05ca65-e78f-8ee5-ae12-bd352c3e8e77/full/843,/0/default.jpg</v>
      </c>
      <c r="N2369" s="3">
        <v>0.65900000000000003</v>
      </c>
      <c r="O2369" s="3">
        <v>4.7E-2</v>
      </c>
      <c r="P2369" s="3">
        <v>0.61199999999999999</v>
      </c>
      <c r="Q2369" s="3">
        <v>0.774649858474731</v>
      </c>
    </row>
    <row r="2370" spans="1:17" x14ac:dyDescent="0.45">
      <c r="A2370" s="3">
        <v>38876</v>
      </c>
      <c r="B2370" t="b">
        <v>0</v>
      </c>
      <c r="C2370" t="b">
        <v>1</v>
      </c>
      <c r="D2370" s="3">
        <v>1811</v>
      </c>
      <c r="E2370" s="3">
        <v>1821</v>
      </c>
      <c r="F2370" t="s">
        <v>7296</v>
      </c>
      <c r="G2370" t="s">
        <v>7297</v>
      </c>
      <c r="H2370" s="3">
        <v>22.263999999999999</v>
      </c>
      <c r="I2370" t="s">
        <v>1359</v>
      </c>
      <c r="J2370" t="s">
        <v>12810</v>
      </c>
      <c r="L2370" t="s">
        <v>7298</v>
      </c>
      <c r="M2370" t="str">
        <f>"https://www.artic.edu/iiif/2/"&amp;Table9[[#This Row],[Image ID]]&amp;"/full/843,/0/default.jpg"</f>
        <v>https://www.artic.edu/iiif/2/7fb19f0f-5806-4983-066f-ede56dda270a/full/843,/0/default.jpg</v>
      </c>
      <c r="N2370" s="3">
        <v>0.70699999999999996</v>
      </c>
      <c r="O2370" s="3">
        <v>9.5000000000000001E-2</v>
      </c>
      <c r="P2370" s="3">
        <v>0.61199999999999999</v>
      </c>
      <c r="Q2370" s="3">
        <v>0.71923023462295499</v>
      </c>
    </row>
    <row r="2371" spans="1:17" x14ac:dyDescent="0.45">
      <c r="A2371" s="3">
        <v>12007</v>
      </c>
      <c r="B2371" t="b">
        <v>0</v>
      </c>
      <c r="C2371" t="b">
        <v>1</v>
      </c>
      <c r="D2371" s="3">
        <v>1712</v>
      </c>
      <c r="E2371" s="3">
        <v>1714</v>
      </c>
      <c r="F2371" t="s">
        <v>14699</v>
      </c>
      <c r="G2371" t="s">
        <v>75</v>
      </c>
      <c r="H2371" s="3">
        <v>26.924299999999999</v>
      </c>
      <c r="I2371" t="s">
        <v>710</v>
      </c>
      <c r="J2371" t="s">
        <v>11928</v>
      </c>
      <c r="L2371" t="s">
        <v>2608</v>
      </c>
      <c r="M2371" t="str">
        <f>"https://www.artic.edu/iiif/2/"&amp;Table9[[#This Row],[Image ID]]&amp;"/full/843,/0/default.jpg"</f>
        <v>https://www.artic.edu/iiif/2/40bf35ab-2898-650e-9e27-d38c4cf39a30/full/843,/0/default.jpg</v>
      </c>
      <c r="N2371" s="3">
        <v>0.65900000000000003</v>
      </c>
      <c r="O2371" s="3">
        <v>4.8000000000000001E-2</v>
      </c>
      <c r="P2371" s="3">
        <v>0.61099999999999999</v>
      </c>
      <c r="Q2371" s="3">
        <v>0.76095926761627197</v>
      </c>
    </row>
    <row r="2372" spans="1:17" x14ac:dyDescent="0.45">
      <c r="A2372" s="3">
        <v>229379</v>
      </c>
      <c r="B2372" t="b">
        <v>0</v>
      </c>
      <c r="C2372" t="b">
        <v>0</v>
      </c>
      <c r="D2372" s="3">
        <v>2011</v>
      </c>
      <c r="E2372" s="3">
        <v>2011</v>
      </c>
      <c r="F2372" t="s">
        <v>6105</v>
      </c>
      <c r="G2372" t="s">
        <v>59</v>
      </c>
      <c r="H2372" s="3">
        <v>27.535799999999998</v>
      </c>
      <c r="I2372" t="s">
        <v>6106</v>
      </c>
      <c r="J2372" t="s">
        <v>12373</v>
      </c>
      <c r="K2372" s="5" t="s">
        <v>15</v>
      </c>
      <c r="L2372" t="s">
        <v>6107</v>
      </c>
      <c r="M2372" t="str">
        <f>"https://www.artic.edu/iiif/2/"&amp;Table9[[#This Row],[Image ID]]&amp;"/full/843,/0/default.jpg"</f>
        <v>https://www.artic.edu/iiif/2/5fa7667c-0e32-1c68-7495-5d8615ef7d4a/full/843,/0/default.jpg</v>
      </c>
      <c r="N2372" s="3">
        <v>0.65900000000000003</v>
      </c>
      <c r="O2372" s="3">
        <v>4.8000000000000001E-2</v>
      </c>
      <c r="P2372" s="3">
        <v>0.61099999999999999</v>
      </c>
      <c r="Q2372" s="3">
        <v>0.75568914413452104</v>
      </c>
    </row>
    <row r="2373" spans="1:17" x14ac:dyDescent="0.45">
      <c r="A2373" s="3">
        <v>51130</v>
      </c>
      <c r="B2373" t="b">
        <v>0</v>
      </c>
      <c r="C2373" t="b">
        <v>1</v>
      </c>
      <c r="D2373" s="3">
        <v>1740</v>
      </c>
      <c r="E2373" s="3">
        <v>1745</v>
      </c>
      <c r="F2373" t="s">
        <v>8137</v>
      </c>
      <c r="G2373" t="s">
        <v>7</v>
      </c>
      <c r="H2373" s="3">
        <v>39.287399999999998</v>
      </c>
      <c r="I2373" t="s">
        <v>2085</v>
      </c>
      <c r="J2373" t="s">
        <v>11805</v>
      </c>
      <c r="L2373" t="s">
        <v>8138</v>
      </c>
      <c r="M2373" t="str">
        <f>"https://www.artic.edu/iiif/2/"&amp;Table9[[#This Row],[Image ID]]&amp;"/full/843,/0/default.jpg"</f>
        <v>https://www.artic.edu/iiif/2/39018e31-6200-f4e3-7fc0-17ef919a6723/full/843,/0/default.jpg</v>
      </c>
      <c r="N2373" s="3">
        <v>0.68300000000000005</v>
      </c>
      <c r="O2373" s="3">
        <v>7.2999999999999995E-2</v>
      </c>
      <c r="P2373" s="3">
        <v>0.6100000000000001</v>
      </c>
      <c r="Q2373" s="3">
        <v>0.72351789474487305</v>
      </c>
    </row>
    <row r="2374" spans="1:17" x14ac:dyDescent="0.45">
      <c r="A2374" s="3">
        <v>38946</v>
      </c>
      <c r="B2374" t="b">
        <v>0</v>
      </c>
      <c r="C2374" t="b">
        <v>1</v>
      </c>
      <c r="D2374" s="3">
        <v>1776</v>
      </c>
      <c r="E2374" s="3">
        <v>1827</v>
      </c>
      <c r="F2374" t="s">
        <v>7338</v>
      </c>
      <c r="G2374" t="s">
        <v>1371</v>
      </c>
      <c r="H2374" s="3">
        <v>25.9724</v>
      </c>
      <c r="I2374" t="s">
        <v>1266</v>
      </c>
      <c r="J2374" t="s">
        <v>12207</v>
      </c>
      <c r="L2374" t="s">
        <v>7339</v>
      </c>
      <c r="M2374" t="str">
        <f>"https://www.artic.edu/iiif/2/"&amp;Table9[[#This Row],[Image ID]]&amp;"/full/843,/0/default.jpg"</f>
        <v>https://www.artic.edu/iiif/2/547d43f6-6d28-275e-2920-a68dc090781e/full/843,/0/default.jpg</v>
      </c>
      <c r="N2374" s="3">
        <v>0.68300000000000005</v>
      </c>
      <c r="O2374" s="3">
        <v>7.2999999999999995E-2</v>
      </c>
      <c r="P2374" s="3">
        <v>0.6100000000000001</v>
      </c>
      <c r="Q2374" s="3">
        <v>0.80862939357757502</v>
      </c>
    </row>
    <row r="2375" spans="1:17" x14ac:dyDescent="0.45">
      <c r="A2375" s="3">
        <v>115900</v>
      </c>
      <c r="B2375" t="b">
        <v>0</v>
      </c>
      <c r="C2375" t="b">
        <v>1</v>
      </c>
      <c r="D2375" s="3">
        <v>1866</v>
      </c>
      <c r="E2375" s="3">
        <v>1866</v>
      </c>
      <c r="F2375" t="s">
        <v>2204</v>
      </c>
      <c r="G2375" t="s">
        <v>2196</v>
      </c>
      <c r="H2375" s="3">
        <v>20.3294</v>
      </c>
      <c r="I2375" t="s">
        <v>1679</v>
      </c>
      <c r="J2375" t="s">
        <v>12429</v>
      </c>
      <c r="L2375" t="s">
        <v>2205</v>
      </c>
      <c r="M2375" t="str">
        <f>"https://www.artic.edu/iiif/2/"&amp;Table9[[#This Row],[Image ID]]&amp;"/full/843,/0/default.jpg"</f>
        <v>https://www.artic.edu/iiif/2/63bb0e1c-00f3-2362-2022-2662b4ffa948/full/843,/0/default.jpg</v>
      </c>
      <c r="N2375" s="3">
        <v>0.68300000000000005</v>
      </c>
      <c r="O2375" s="3">
        <v>7.2999999999999995E-2</v>
      </c>
      <c r="P2375" s="3">
        <v>0.6100000000000001</v>
      </c>
      <c r="Q2375" s="3">
        <v>0.852458536624908</v>
      </c>
    </row>
    <row r="2376" spans="1:17" x14ac:dyDescent="0.45">
      <c r="A2376" s="3">
        <v>79050</v>
      </c>
      <c r="B2376" t="b">
        <v>0</v>
      </c>
      <c r="C2376" t="b">
        <v>1</v>
      </c>
      <c r="D2376" s="3">
        <v>1815</v>
      </c>
      <c r="E2376" s="3">
        <v>1825</v>
      </c>
      <c r="F2376" t="s">
        <v>9880</v>
      </c>
      <c r="G2376" t="s">
        <v>642</v>
      </c>
      <c r="H2376" s="3">
        <v>26.441800000000001</v>
      </c>
      <c r="I2376" t="s">
        <v>9881</v>
      </c>
      <c r="J2376" t="s">
        <v>13526</v>
      </c>
      <c r="L2376" t="s">
        <v>9882</v>
      </c>
      <c r="M2376" t="str">
        <f>"https://www.artic.edu/iiif/2/"&amp;Table9[[#This Row],[Image ID]]&amp;"/full/843,/0/default.jpg"</f>
        <v>https://www.artic.edu/iiif/2/b666dd6b-6bd7-2bb7-ab15-714d752e976e/full/843,/0/default.jpg</v>
      </c>
      <c r="N2376" s="3">
        <v>0.80500000000000005</v>
      </c>
      <c r="O2376" s="3">
        <v>0.19500000000000001</v>
      </c>
      <c r="P2376" s="3">
        <v>0.6100000000000001</v>
      </c>
      <c r="Q2376" s="3">
        <v>0.84025382995605402</v>
      </c>
    </row>
    <row r="2377" spans="1:17" x14ac:dyDescent="0.45">
      <c r="A2377" s="3">
        <v>19682</v>
      </c>
      <c r="B2377" t="b">
        <v>0</v>
      </c>
      <c r="C2377" t="b">
        <v>1</v>
      </c>
      <c r="D2377" s="3">
        <v>1737</v>
      </c>
      <c r="E2377" s="3">
        <v>1747</v>
      </c>
      <c r="F2377" t="s">
        <v>5288</v>
      </c>
      <c r="G2377" t="s">
        <v>776</v>
      </c>
      <c r="H2377" s="3">
        <v>25.4377</v>
      </c>
      <c r="I2377" t="s">
        <v>5210</v>
      </c>
      <c r="J2377" t="s">
        <v>13846</v>
      </c>
      <c r="K2377" s="5" t="s">
        <v>13</v>
      </c>
      <c r="L2377" t="s">
        <v>5289</v>
      </c>
      <c r="M2377" t="str">
        <f>"https://www.artic.edu/iiif/2/"&amp;Table9[[#This Row],[Image ID]]&amp;"/full/843,/0/default.jpg"</f>
        <v>https://www.artic.edu/iiif/2/d0353711-6246-2d2b-3a28-abd316cf9533/full/843,/0/default.jpg</v>
      </c>
      <c r="N2377" s="3">
        <v>0.68300000000000005</v>
      </c>
      <c r="O2377" s="3">
        <v>7.2999999999999995E-2</v>
      </c>
      <c r="P2377" s="3">
        <v>0.6100000000000001</v>
      </c>
      <c r="Q2377" s="3">
        <v>0.78796416521072299</v>
      </c>
    </row>
    <row r="2378" spans="1:17" x14ac:dyDescent="0.45">
      <c r="A2378" s="3">
        <v>66018</v>
      </c>
      <c r="B2378" t="b">
        <v>0</v>
      </c>
      <c r="C2378" t="b">
        <v>1</v>
      </c>
      <c r="D2378" s="3">
        <v>1520</v>
      </c>
      <c r="E2378" s="3">
        <v>1530</v>
      </c>
      <c r="F2378" t="s">
        <v>9162</v>
      </c>
      <c r="G2378" t="s">
        <v>75</v>
      </c>
      <c r="H2378" s="3">
        <v>29.324400000000001</v>
      </c>
      <c r="I2378" t="s">
        <v>2667</v>
      </c>
      <c r="J2378" t="s">
        <v>9164</v>
      </c>
      <c r="L2378" t="s">
        <v>9163</v>
      </c>
      <c r="M2378" t="str">
        <f>"https://www.artic.edu/iiif/2/"&amp;Table9[[#This Row],[Image ID]]&amp;"/full/843,/0/default.jpg"</f>
        <v>https://www.artic.edu/iiif/2/fd98e213-b300-e4e4-cda2-e9bd12911071/full/843,/0/default.jpg</v>
      </c>
      <c r="N2378" s="3">
        <v>0.68300000000000005</v>
      </c>
      <c r="O2378" s="3">
        <v>7.2999999999999995E-2</v>
      </c>
      <c r="P2378" s="3">
        <v>0.6100000000000001</v>
      </c>
      <c r="Q2378" s="3">
        <v>0.765874624252319</v>
      </c>
    </row>
    <row r="2379" spans="1:17" x14ac:dyDescent="0.45">
      <c r="A2379" s="3">
        <v>65979</v>
      </c>
      <c r="B2379" t="b">
        <v>0</v>
      </c>
      <c r="C2379" t="b">
        <v>0</v>
      </c>
      <c r="D2379" s="3">
        <v>1923</v>
      </c>
      <c r="E2379" s="3">
        <v>1923</v>
      </c>
      <c r="F2379" t="s">
        <v>9133</v>
      </c>
      <c r="G2379" t="s">
        <v>9134</v>
      </c>
      <c r="H2379" s="3">
        <v>15.4002</v>
      </c>
      <c r="I2379" t="s">
        <v>949</v>
      </c>
      <c r="J2379" t="s">
        <v>11627</v>
      </c>
      <c r="L2379" t="s">
        <v>9135</v>
      </c>
      <c r="M2379" t="str">
        <f>"https://www.artic.edu/iiif/2/"&amp;Table9[[#This Row],[Image ID]]&amp;"/full/843,/0/default.jpg"</f>
        <v>https://www.artic.edu/iiif/2/2ccf755f-113c-30cc-3726-e3c7fca951a2/full/843,/0/default.jpg</v>
      </c>
      <c r="N2379" s="3">
        <v>0.80500000000000005</v>
      </c>
      <c r="O2379" s="3">
        <v>0.19500000000000001</v>
      </c>
      <c r="P2379" s="3">
        <v>0.6100000000000001</v>
      </c>
      <c r="Q2379" s="3">
        <v>0.61438220739364602</v>
      </c>
    </row>
    <row r="2380" spans="1:17" x14ac:dyDescent="0.45">
      <c r="A2380" s="3">
        <v>38437</v>
      </c>
      <c r="B2380" t="b">
        <v>0</v>
      </c>
      <c r="C2380" t="b">
        <v>0</v>
      </c>
      <c r="D2380" s="3">
        <v>1959</v>
      </c>
      <c r="E2380" s="3">
        <v>1971</v>
      </c>
      <c r="F2380" t="s">
        <v>7286</v>
      </c>
      <c r="G2380" t="s">
        <v>7287</v>
      </c>
      <c r="H2380" s="3">
        <v>94.727900000000005</v>
      </c>
      <c r="I2380" t="s">
        <v>152</v>
      </c>
      <c r="J2380" t="s">
        <v>12214</v>
      </c>
      <c r="L2380" t="s">
        <v>7288</v>
      </c>
      <c r="M2380" t="str">
        <f>"https://www.artic.edu/iiif/2/"&amp;Table9[[#This Row],[Image ID]]&amp;"/full/843,/0/default.jpg"</f>
        <v>https://www.artic.edu/iiif/2/54bf65cd-fa21-368a-f47d-150ff6685114/full/843,/0/default.jpg</v>
      </c>
      <c r="N2380" s="3">
        <v>0.68300000000000005</v>
      </c>
      <c r="O2380" s="3">
        <v>7.2999999999999995E-2</v>
      </c>
      <c r="P2380" s="3">
        <v>0.6100000000000001</v>
      </c>
      <c r="Q2380" s="3">
        <v>0.71107578277587802</v>
      </c>
    </row>
    <row r="2381" spans="1:17" x14ac:dyDescent="0.45">
      <c r="A2381" s="3">
        <v>185409</v>
      </c>
      <c r="B2381" t="b">
        <v>0</v>
      </c>
      <c r="C2381" t="b">
        <v>0</v>
      </c>
      <c r="D2381" s="3">
        <v>1973</v>
      </c>
      <c r="E2381" s="3">
        <v>1983</v>
      </c>
      <c r="F2381" t="s">
        <v>4990</v>
      </c>
      <c r="G2381" t="s">
        <v>4991</v>
      </c>
      <c r="H2381" s="3">
        <v>21.8386</v>
      </c>
      <c r="I2381" t="s">
        <v>1001</v>
      </c>
      <c r="J2381" t="s">
        <v>12592</v>
      </c>
      <c r="K2381" s="5" t="s">
        <v>13</v>
      </c>
      <c r="L2381" t="s">
        <v>4992</v>
      </c>
      <c r="M2381" t="str">
        <f>"https://www.artic.edu/iiif/2/"&amp;Table9[[#This Row],[Image ID]]&amp;"/full/843,/0/default.jpg"</f>
        <v>https://www.artic.edu/iiif/2/6f46981a-77bd-ef70-2373-15f0e94006e2/full/843,/0/default.jpg</v>
      </c>
      <c r="N2381" s="3">
        <v>0.68300000000000005</v>
      </c>
      <c r="O2381" s="3">
        <v>7.2999999999999995E-2</v>
      </c>
      <c r="P2381" s="3">
        <v>0.6100000000000001</v>
      </c>
      <c r="Q2381" s="3">
        <v>0.81198883056640603</v>
      </c>
    </row>
    <row r="2382" spans="1:17" x14ac:dyDescent="0.45">
      <c r="A2382" s="3">
        <v>7597</v>
      </c>
      <c r="B2382" t="b">
        <v>0</v>
      </c>
      <c r="C2382" t="b">
        <v>0</v>
      </c>
      <c r="D2382" s="3">
        <v>1800</v>
      </c>
      <c r="E2382" s="3">
        <v>1899</v>
      </c>
      <c r="F2382" t="s">
        <v>9762</v>
      </c>
      <c r="G2382" t="s">
        <v>2028</v>
      </c>
      <c r="H2382" s="3">
        <v>18.073399999999999</v>
      </c>
      <c r="I2382" t="s">
        <v>16</v>
      </c>
      <c r="J2382" t="s">
        <v>12800</v>
      </c>
      <c r="L2382" t="s">
        <v>9763</v>
      </c>
      <c r="M2382" t="str">
        <f>"https://www.artic.edu/iiif/2/"&amp;Table9[[#This Row],[Image ID]]&amp;"/full/843,/0/default.jpg"</f>
        <v>https://www.artic.edu/iiif/2/7f3ad851-2663-d1ba-a1dd-a4fe2173a04b/full/843,/0/default.jpg</v>
      </c>
      <c r="N2382" s="3">
        <v>0.80500000000000005</v>
      </c>
      <c r="O2382" s="3">
        <v>0.19500000000000001</v>
      </c>
      <c r="P2382" s="3">
        <v>0.6100000000000001</v>
      </c>
      <c r="Q2382" s="3">
        <v>0.58665299415588301</v>
      </c>
    </row>
    <row r="2383" spans="1:17" x14ac:dyDescent="0.45">
      <c r="A2383" s="3">
        <v>93800</v>
      </c>
      <c r="B2383" t="b">
        <v>0</v>
      </c>
      <c r="C2383" t="b">
        <v>0</v>
      </c>
      <c r="D2383" s="3">
        <v>1931</v>
      </c>
      <c r="E2383" s="3">
        <v>1931</v>
      </c>
      <c r="F2383" t="s">
        <v>10620</v>
      </c>
      <c r="G2383" t="s">
        <v>7</v>
      </c>
      <c r="H2383" s="3">
        <v>11.037000000000001</v>
      </c>
      <c r="I2383" t="s">
        <v>378</v>
      </c>
      <c r="J2383" t="s">
        <v>11151</v>
      </c>
      <c r="K2383" s="5" t="s">
        <v>45</v>
      </c>
      <c r="L2383" t="s">
        <v>10621</v>
      </c>
      <c r="M2383" t="str">
        <f>"https://www.artic.edu/iiif/2/"&amp;Table9[[#This Row],[Image ID]]&amp;"/full/843,/0/default.jpg"</f>
        <v>https://www.artic.edu/iiif/2/a2c1636a-6d3a-f3d6-71fa-740e55e48653/full/843,/0/default.jpg</v>
      </c>
      <c r="N2383" s="3">
        <v>0.68300000000000005</v>
      </c>
      <c r="O2383" s="3">
        <v>7.2999999999999995E-2</v>
      </c>
      <c r="P2383" s="3">
        <v>0.6100000000000001</v>
      </c>
      <c r="Q2383" s="3">
        <v>0.69339096546173096</v>
      </c>
    </row>
    <row r="2384" spans="1:17" x14ac:dyDescent="0.45">
      <c r="A2384" s="3">
        <v>160136</v>
      </c>
      <c r="B2384" t="b">
        <v>0</v>
      </c>
      <c r="C2384" t="b">
        <v>1</v>
      </c>
      <c r="D2384" s="3">
        <v>1640</v>
      </c>
      <c r="E2384" s="3">
        <v>1691</v>
      </c>
      <c r="F2384" t="s">
        <v>4240</v>
      </c>
      <c r="G2384" t="s">
        <v>75</v>
      </c>
      <c r="H2384" s="3">
        <v>50.360900000000001</v>
      </c>
      <c r="I2384" t="s">
        <v>4241</v>
      </c>
      <c r="J2384" t="s">
        <v>11205</v>
      </c>
      <c r="L2384" t="s">
        <v>4242</v>
      </c>
      <c r="M2384" t="str">
        <f>"https://www.artic.edu/iiif/2/"&amp;Table9[[#This Row],[Image ID]]&amp;"/full/843,/0/default.jpg"</f>
        <v>https://www.artic.edu/iiif/2/11caaf7a-bf12-37f5-99c6-a096de76de18/full/843,/0/default.jpg</v>
      </c>
      <c r="N2384" s="3">
        <v>0.73199999999999998</v>
      </c>
      <c r="O2384" s="3">
        <v>0.122</v>
      </c>
      <c r="P2384" s="3">
        <v>0.61</v>
      </c>
      <c r="Q2384" s="3">
        <v>0.56594061851501398</v>
      </c>
    </row>
    <row r="2385" spans="1:17" x14ac:dyDescent="0.45">
      <c r="A2385" s="3">
        <v>113247</v>
      </c>
      <c r="B2385" t="b">
        <v>0</v>
      </c>
      <c r="C2385" t="b">
        <v>1</v>
      </c>
      <c r="D2385" s="3">
        <v>1837</v>
      </c>
      <c r="E2385" s="3">
        <v>1864</v>
      </c>
      <c r="F2385" t="s">
        <v>1381</v>
      </c>
      <c r="G2385" t="s">
        <v>1374</v>
      </c>
      <c r="H2385" s="3">
        <v>31.747399999999999</v>
      </c>
      <c r="I2385" t="s">
        <v>1295</v>
      </c>
      <c r="J2385" t="s">
        <v>11273</v>
      </c>
      <c r="L2385" t="s">
        <v>1382</v>
      </c>
      <c r="M2385" t="str">
        <f>"https://www.artic.edu/iiif/2/"&amp;Table9[[#This Row],[Image ID]]&amp;"/full/843,/0/default.jpg"</f>
        <v>https://www.artic.edu/iiif/2/15f876f4-4714-dcbe-74a4-29cd26f692ba/full/843,/0/default.jpg</v>
      </c>
      <c r="N2385" s="3">
        <v>0.65900000000000003</v>
      </c>
      <c r="O2385" s="3">
        <v>4.9000000000000002E-2</v>
      </c>
      <c r="P2385" s="3">
        <v>0.61</v>
      </c>
      <c r="Q2385" s="3">
        <v>0.823716521263122</v>
      </c>
    </row>
    <row r="2386" spans="1:17" x14ac:dyDescent="0.45">
      <c r="A2386" s="3">
        <v>149537</v>
      </c>
      <c r="B2386" t="b">
        <v>0</v>
      </c>
      <c r="C2386" t="b">
        <v>1</v>
      </c>
      <c r="D2386" s="3">
        <v>1893</v>
      </c>
      <c r="E2386" s="3">
        <v>1895</v>
      </c>
      <c r="F2386" t="s">
        <v>3752</v>
      </c>
      <c r="G2386" t="s">
        <v>3753</v>
      </c>
      <c r="H2386" s="3">
        <v>12.6395</v>
      </c>
      <c r="I2386" t="s">
        <v>527</v>
      </c>
      <c r="J2386" t="s">
        <v>11284</v>
      </c>
      <c r="L2386" t="s">
        <v>3754</v>
      </c>
      <c r="M2386" t="str">
        <f>"https://www.artic.edu/iiif/2/"&amp;Table9[[#This Row],[Image ID]]&amp;"/full/843,/0/default.jpg"</f>
        <v>https://www.artic.edu/iiif/2/16b381b7-e7bc-570b-6abf-66151eb058e2/full/843,/0/default.jpg</v>
      </c>
      <c r="N2386" s="3">
        <v>0.65900000000000003</v>
      </c>
      <c r="O2386" s="3">
        <v>4.9000000000000002E-2</v>
      </c>
      <c r="P2386" s="3">
        <v>0.61</v>
      </c>
      <c r="Q2386" s="3">
        <v>0.82056188583374001</v>
      </c>
    </row>
    <row r="2387" spans="1:17" x14ac:dyDescent="0.45">
      <c r="A2387" s="3">
        <v>114963</v>
      </c>
      <c r="B2387" t="b">
        <v>0</v>
      </c>
      <c r="C2387" t="b">
        <v>1</v>
      </c>
      <c r="D2387" s="3">
        <v>1790</v>
      </c>
      <c r="E2387" s="3">
        <v>1810</v>
      </c>
      <c r="F2387" t="s">
        <v>1758</v>
      </c>
      <c r="G2387" t="s">
        <v>1759</v>
      </c>
      <c r="H2387" s="3">
        <v>27.7364</v>
      </c>
      <c r="I2387" t="s">
        <v>1760</v>
      </c>
      <c r="J2387" t="s">
        <v>11304</v>
      </c>
      <c r="L2387" t="s">
        <v>1761</v>
      </c>
      <c r="M2387" t="str">
        <f>"https://www.artic.edu/iiif/2/"&amp;Table9[[#This Row],[Image ID]]&amp;"/full/843,/0/default.jpg"</f>
        <v>https://www.artic.edu/iiif/2/181885d6-8e70-301e-7ce7-1169a6f4ba79/full/843,/0/default.jpg</v>
      </c>
      <c r="N2387" s="3">
        <v>0.73199999999999998</v>
      </c>
      <c r="O2387" s="3">
        <v>0.122</v>
      </c>
      <c r="P2387" s="3">
        <v>0.61</v>
      </c>
      <c r="Q2387" s="3">
        <v>0.58786970376968295</v>
      </c>
    </row>
    <row r="2388" spans="1:17" x14ac:dyDescent="0.45">
      <c r="A2388" s="3">
        <v>46314</v>
      </c>
      <c r="B2388" t="b">
        <v>0</v>
      </c>
      <c r="C2388" t="b">
        <v>1</v>
      </c>
      <c r="D2388" s="3">
        <v>1595</v>
      </c>
      <c r="E2388" s="3">
        <v>1605</v>
      </c>
      <c r="F2388" t="s">
        <v>7890</v>
      </c>
      <c r="G2388" t="s">
        <v>7</v>
      </c>
      <c r="H2388" s="3">
        <v>27.522400000000001</v>
      </c>
      <c r="I2388" t="s">
        <v>7891</v>
      </c>
      <c r="J2388" t="s">
        <v>11330</v>
      </c>
      <c r="L2388" t="s">
        <v>7892</v>
      </c>
      <c r="M2388" t="str">
        <f>"https://www.artic.edu/iiif/2/"&amp;Table9[[#This Row],[Image ID]]&amp;"/full/843,/0/default.jpg"</f>
        <v>https://www.artic.edu/iiif/2/19d1878d-943a-d47f-c32e-2ce56f917bc2/full/843,/0/default.jpg</v>
      </c>
      <c r="N2388" s="3">
        <v>0.75600000000000001</v>
      </c>
      <c r="O2388" s="3">
        <v>0.14599999999999999</v>
      </c>
      <c r="P2388" s="3">
        <v>0.61</v>
      </c>
      <c r="Q2388" s="3">
        <v>0.79956811666488603</v>
      </c>
    </row>
    <row r="2389" spans="1:17" x14ac:dyDescent="0.45">
      <c r="A2389" s="3">
        <v>110761</v>
      </c>
      <c r="B2389" t="b">
        <v>0</v>
      </c>
      <c r="C2389" t="b">
        <v>1</v>
      </c>
      <c r="D2389" s="3">
        <v>1880</v>
      </c>
      <c r="E2389" s="3">
        <v>1882</v>
      </c>
      <c r="F2389" t="s">
        <v>933</v>
      </c>
      <c r="G2389" t="s">
        <v>7</v>
      </c>
      <c r="H2389" s="3">
        <v>13.005599999999999</v>
      </c>
      <c r="I2389" t="s">
        <v>934</v>
      </c>
      <c r="J2389" t="s">
        <v>11399</v>
      </c>
      <c r="K2389" s="5" t="s">
        <v>9</v>
      </c>
      <c r="L2389" t="s">
        <v>935</v>
      </c>
      <c r="M2389" t="str">
        <f>"https://www.artic.edu/iiif/2/"&amp;Table9[[#This Row],[Image ID]]&amp;"/full/843,/0/default.jpg"</f>
        <v>https://www.artic.edu/iiif/2/1e719328-278b-29cc-e750-149c1d003b41/full/843,/0/default.jpg</v>
      </c>
      <c r="N2389" s="3">
        <v>0.73199999999999998</v>
      </c>
      <c r="O2389" s="3">
        <v>0.122</v>
      </c>
      <c r="P2389" s="3">
        <v>0.61</v>
      </c>
      <c r="Q2389" s="3">
        <v>0.63287335634231501</v>
      </c>
    </row>
    <row r="2390" spans="1:17" x14ac:dyDescent="0.45">
      <c r="A2390" s="3">
        <v>38998</v>
      </c>
      <c r="B2390" t="b">
        <v>0</v>
      </c>
      <c r="C2390" t="b">
        <v>1</v>
      </c>
      <c r="D2390" s="3">
        <v>1853</v>
      </c>
      <c r="E2390" s="3">
        <v>1853</v>
      </c>
      <c r="F2390" t="s">
        <v>7369</v>
      </c>
      <c r="G2390" t="s">
        <v>1774</v>
      </c>
      <c r="H2390" s="3">
        <v>38.689300000000003</v>
      </c>
      <c r="I2390" t="s">
        <v>2148</v>
      </c>
      <c r="J2390" t="s">
        <v>11934</v>
      </c>
      <c r="L2390" t="s">
        <v>7370</v>
      </c>
      <c r="M2390" t="str">
        <f>"https://www.artic.edu/iiif/2/"&amp;Table9[[#This Row],[Image ID]]&amp;"/full/843,/0/default.jpg"</f>
        <v>https://www.artic.edu/iiif/2/41314d46-ec3a-c023-5616-fa9d293cb6f8/full/843,/0/default.jpg</v>
      </c>
      <c r="N2390" s="3">
        <v>0.61</v>
      </c>
      <c r="O2390" s="3">
        <v>0</v>
      </c>
      <c r="P2390" s="3">
        <v>0.61</v>
      </c>
      <c r="Q2390" s="3">
        <v>0.57184982299804599</v>
      </c>
    </row>
    <row r="2391" spans="1:17" x14ac:dyDescent="0.45">
      <c r="A2391" s="3">
        <v>21937</v>
      </c>
      <c r="B2391" t="b">
        <v>0</v>
      </c>
      <c r="C2391" t="b">
        <v>1</v>
      </c>
      <c r="D2391" s="3">
        <v>1515</v>
      </c>
      <c r="E2391" s="3">
        <v>1525</v>
      </c>
      <c r="F2391" t="s">
        <v>1084</v>
      </c>
      <c r="G2391" t="s">
        <v>75</v>
      </c>
      <c r="H2391" s="3">
        <v>38.258899999999997</v>
      </c>
      <c r="I2391" t="s">
        <v>902</v>
      </c>
      <c r="J2391" t="s">
        <v>12372</v>
      </c>
      <c r="L2391" t="s">
        <v>5778</v>
      </c>
      <c r="M2391" t="str">
        <f>"https://www.artic.edu/iiif/2/"&amp;Table9[[#This Row],[Image ID]]&amp;"/full/843,/0/default.jpg"</f>
        <v>https://www.artic.edu/iiif/2/5f5b4009-7e1c-2e07-8b3e-ae59a3cf9c4c/full/843,/0/default.jpg</v>
      </c>
      <c r="N2391" s="3">
        <v>0.65900000000000003</v>
      </c>
      <c r="O2391" s="3">
        <v>4.9000000000000002E-2</v>
      </c>
      <c r="P2391" s="3">
        <v>0.61</v>
      </c>
      <c r="Q2391" s="3">
        <v>0.73018425703048695</v>
      </c>
    </row>
    <row r="2392" spans="1:17" x14ac:dyDescent="0.45">
      <c r="A2392" s="3">
        <v>81539</v>
      </c>
      <c r="B2392" t="b">
        <v>0</v>
      </c>
      <c r="C2392" t="b">
        <v>1</v>
      </c>
      <c r="D2392" s="3">
        <v>1868</v>
      </c>
      <c r="E2392" s="3">
        <v>1868</v>
      </c>
      <c r="F2392" t="s">
        <v>10123</v>
      </c>
      <c r="G2392" t="s">
        <v>7</v>
      </c>
      <c r="H2392" s="3">
        <v>26.7713</v>
      </c>
      <c r="I2392" t="s">
        <v>43</v>
      </c>
      <c r="J2392" t="s">
        <v>12479</v>
      </c>
      <c r="K2392" s="5" t="s">
        <v>9</v>
      </c>
      <c r="L2392" t="s">
        <v>10124</v>
      </c>
      <c r="M2392" t="str">
        <f>"https://www.artic.edu/iiif/2/"&amp;Table9[[#This Row],[Image ID]]&amp;"/full/843,/0/default.jpg"</f>
        <v>https://www.artic.edu/iiif/2/66f95ea3-a11a-1cf4-6599-d0a49bb25744/full/843,/0/default.jpg</v>
      </c>
      <c r="N2392" s="3">
        <v>0.75600000000000001</v>
      </c>
      <c r="O2392" s="3">
        <v>0.14599999999999999</v>
      </c>
      <c r="P2392" s="3">
        <v>0.61</v>
      </c>
      <c r="Q2392" s="3">
        <v>0.63591599464416504</v>
      </c>
    </row>
    <row r="2393" spans="1:17" x14ac:dyDescent="0.45">
      <c r="A2393" s="3">
        <v>16791</v>
      </c>
      <c r="B2393" t="b">
        <v>0</v>
      </c>
      <c r="C2393" t="b">
        <v>1</v>
      </c>
      <c r="D2393" s="3">
        <v>1882</v>
      </c>
      <c r="E2393" s="3">
        <v>1882</v>
      </c>
      <c r="F2393" t="s">
        <v>4577</v>
      </c>
      <c r="G2393" t="s">
        <v>4578</v>
      </c>
      <c r="H2393" s="3">
        <v>21.3</v>
      </c>
      <c r="I2393" t="s">
        <v>1337</v>
      </c>
      <c r="J2393" t="s">
        <v>12491</v>
      </c>
      <c r="L2393" t="s">
        <v>4579</v>
      </c>
      <c r="M2393" t="str">
        <f>"https://www.artic.edu/iiif/2/"&amp;Table9[[#This Row],[Image ID]]&amp;"/full/843,/0/default.jpg"</f>
        <v>https://www.artic.edu/iiif/2/680d3efd-2cf9-36f4-6454-806af8b79d98/full/843,/0/default.jpg</v>
      </c>
      <c r="N2393" s="3">
        <v>0.65900000000000003</v>
      </c>
      <c r="O2393" s="3">
        <v>4.9000000000000002E-2</v>
      </c>
      <c r="P2393" s="3">
        <v>0.61</v>
      </c>
      <c r="Q2393" s="3">
        <v>0.77404290437698298</v>
      </c>
    </row>
    <row r="2394" spans="1:17" x14ac:dyDescent="0.45">
      <c r="A2394" s="3">
        <v>114521</v>
      </c>
      <c r="B2394" t="b">
        <v>0</v>
      </c>
      <c r="C2394" t="b">
        <v>1</v>
      </c>
      <c r="D2394" s="3">
        <v>1835</v>
      </c>
      <c r="E2394" s="3">
        <v>1845</v>
      </c>
      <c r="F2394" t="s">
        <v>1663</v>
      </c>
      <c r="G2394" t="s">
        <v>1664</v>
      </c>
      <c r="H2394" s="3">
        <v>34.603299999999997</v>
      </c>
      <c r="I2394" t="s">
        <v>1665</v>
      </c>
      <c r="J2394" t="s">
        <v>12813</v>
      </c>
      <c r="L2394" t="s">
        <v>1666</v>
      </c>
      <c r="M2394" t="str">
        <f>"https://www.artic.edu/iiif/2/"&amp;Table9[[#This Row],[Image ID]]&amp;"/full/843,/0/default.jpg"</f>
        <v>https://www.artic.edu/iiif/2/7fe02f4c-d3da-c78b-9b0e-e149fcdfbd49/full/843,/0/default.jpg</v>
      </c>
      <c r="N2394" s="3">
        <v>0.73199999999999998</v>
      </c>
      <c r="O2394" s="3">
        <v>0.122</v>
      </c>
      <c r="P2394" s="3">
        <v>0.61</v>
      </c>
      <c r="Q2394" s="3">
        <v>0.51916199922561601</v>
      </c>
    </row>
    <row r="2395" spans="1:17" x14ac:dyDescent="0.45">
      <c r="A2395" s="3">
        <v>159081</v>
      </c>
      <c r="B2395" t="b">
        <v>0</v>
      </c>
      <c r="C2395" t="b">
        <v>1</v>
      </c>
      <c r="D2395" s="3">
        <v>1894</v>
      </c>
      <c r="E2395" s="3">
        <v>1894</v>
      </c>
      <c r="F2395" t="s">
        <v>4188</v>
      </c>
      <c r="G2395" t="s">
        <v>4189</v>
      </c>
      <c r="H2395" s="3">
        <v>46.887900000000002</v>
      </c>
      <c r="I2395" t="s">
        <v>872</v>
      </c>
      <c r="J2395" t="s">
        <v>13417</v>
      </c>
      <c r="L2395" t="s">
        <v>4190</v>
      </c>
      <c r="M2395" t="str">
        <f>"https://www.artic.edu/iiif/2/"&amp;Table9[[#This Row],[Image ID]]&amp;"/full/843,/0/default.jpg"</f>
        <v>https://www.artic.edu/iiif/2/adc37cfc-b725-a219-bfeb-e01a166c5fd4/full/843,/0/default.jpg</v>
      </c>
      <c r="N2395" s="3">
        <v>0.73199999999999998</v>
      </c>
      <c r="O2395" s="3">
        <v>0.122</v>
      </c>
      <c r="P2395" s="3">
        <v>0.61</v>
      </c>
      <c r="Q2395" s="3">
        <v>0.77643245458602905</v>
      </c>
    </row>
    <row r="2396" spans="1:17" x14ac:dyDescent="0.45">
      <c r="A2396" s="3">
        <v>84094</v>
      </c>
      <c r="B2396" t="b">
        <v>0</v>
      </c>
      <c r="C2396" t="b">
        <v>1</v>
      </c>
      <c r="D2396" s="3">
        <v>1880</v>
      </c>
      <c r="E2396" s="3">
        <v>1880</v>
      </c>
      <c r="F2396" t="s">
        <v>10256</v>
      </c>
      <c r="G2396" t="s">
        <v>7</v>
      </c>
      <c r="H2396" s="3">
        <v>22.580400000000001</v>
      </c>
      <c r="I2396" t="s">
        <v>9572</v>
      </c>
      <c r="J2396" t="s">
        <v>13734</v>
      </c>
      <c r="L2396" t="s">
        <v>10257</v>
      </c>
      <c r="M2396" t="str">
        <f>"https://www.artic.edu/iiif/2/"&amp;Table9[[#This Row],[Image ID]]&amp;"/full/843,/0/default.jpg"</f>
        <v>https://www.artic.edu/iiif/2/c732e80f-693b-c8cc-6423-b6520fa9cddf/full/843,/0/default.jpg</v>
      </c>
      <c r="N2396" s="3">
        <v>0.73199999999999998</v>
      </c>
      <c r="O2396" s="3">
        <v>0.122</v>
      </c>
      <c r="P2396" s="3">
        <v>0.61</v>
      </c>
      <c r="Q2396" s="3">
        <v>0.65824776887893599</v>
      </c>
    </row>
    <row r="2397" spans="1:17" x14ac:dyDescent="0.45">
      <c r="A2397" s="3">
        <v>115886</v>
      </c>
      <c r="B2397" t="b">
        <v>0</v>
      </c>
      <c r="C2397" t="b">
        <v>1</v>
      </c>
      <c r="D2397" s="3">
        <v>1700</v>
      </c>
      <c r="E2397" s="3">
        <v>1799</v>
      </c>
      <c r="F2397" t="s">
        <v>2179</v>
      </c>
      <c r="G2397" t="s">
        <v>2180</v>
      </c>
      <c r="H2397" s="3">
        <v>36.2898</v>
      </c>
      <c r="I2397" t="s">
        <v>16</v>
      </c>
      <c r="J2397" t="s">
        <v>2182</v>
      </c>
      <c r="L2397" t="s">
        <v>2181</v>
      </c>
      <c r="M2397" t="str">
        <f>"https://www.artic.edu/iiif/2/"&amp;Table9[[#This Row],[Image ID]]&amp;"/full/843,/0/default.jpg"</f>
        <v>https://www.artic.edu/iiif/2/db4bc82e-421b-ec50-b645-1a2130571ee4/full/843,/0/default.jpg</v>
      </c>
      <c r="N2397" s="3">
        <v>0.65900000000000003</v>
      </c>
      <c r="O2397" s="3">
        <v>4.9000000000000002E-2</v>
      </c>
      <c r="P2397" s="3">
        <v>0.61</v>
      </c>
      <c r="Q2397" s="3">
        <v>0.75046926736831598</v>
      </c>
    </row>
    <row r="2398" spans="1:17" x14ac:dyDescent="0.45">
      <c r="A2398" s="3">
        <v>59779</v>
      </c>
      <c r="B2398" t="b">
        <v>0</v>
      </c>
      <c r="C2398" t="b">
        <v>1</v>
      </c>
      <c r="D2398" s="3">
        <v>1870</v>
      </c>
      <c r="E2398" s="3">
        <v>1870</v>
      </c>
      <c r="F2398" t="s">
        <v>567</v>
      </c>
      <c r="G2398" t="s">
        <v>7</v>
      </c>
      <c r="H2398" s="3">
        <v>25.0337</v>
      </c>
      <c r="I2398" t="s">
        <v>309</v>
      </c>
      <c r="J2398" t="s">
        <v>14098</v>
      </c>
      <c r="L2398" t="s">
        <v>8573</v>
      </c>
      <c r="M2398" t="str">
        <f>"https://www.artic.edu/iiif/2/"&amp;Table9[[#This Row],[Image ID]]&amp;"/full/843,/0/default.jpg"</f>
        <v>https://www.artic.edu/iiif/2/e1e8e197-93e7-bd6a-5870-36200c27445e/full/843,/0/default.jpg</v>
      </c>
      <c r="N2398" s="3">
        <v>0.73199999999999998</v>
      </c>
      <c r="O2398" s="3">
        <v>0.122</v>
      </c>
      <c r="P2398" s="3">
        <v>0.61</v>
      </c>
      <c r="Q2398" s="3">
        <v>0.62785184383392301</v>
      </c>
    </row>
    <row r="2399" spans="1:17" x14ac:dyDescent="0.45">
      <c r="A2399" s="3">
        <v>39019</v>
      </c>
      <c r="B2399" t="b">
        <v>0</v>
      </c>
      <c r="C2399" t="b">
        <v>1</v>
      </c>
      <c r="D2399" s="3">
        <v>1807</v>
      </c>
      <c r="E2399" s="3">
        <v>1809</v>
      </c>
      <c r="F2399" t="s">
        <v>7380</v>
      </c>
      <c r="G2399" t="s">
        <v>7347</v>
      </c>
      <c r="H2399" s="3">
        <v>25.775400000000001</v>
      </c>
      <c r="I2399" t="s">
        <v>1266</v>
      </c>
      <c r="L2399" t="s">
        <v>7381</v>
      </c>
      <c r="M2399" t="str">
        <f>"https://www.artic.edu/iiif/2/"&amp;Table9[[#This Row],[Image ID]]&amp;"/full/843,/0/default.jpg"</f>
        <v>https://www.artic.edu/iiif/2/fe0f421a-d383-f851-18e9-d344133f7786/full/843,/0/default.jpg</v>
      </c>
      <c r="N2399" s="3">
        <v>0.73199999999999998</v>
      </c>
      <c r="O2399" s="3">
        <v>0.122</v>
      </c>
      <c r="P2399" s="3">
        <v>0.61</v>
      </c>
      <c r="Q2399" s="3">
        <v>0.65204066038131703</v>
      </c>
    </row>
    <row r="2400" spans="1:17" x14ac:dyDescent="0.45">
      <c r="A2400" s="3">
        <v>193335</v>
      </c>
      <c r="B2400" t="b">
        <v>0</v>
      </c>
      <c r="C2400" t="b">
        <v>0</v>
      </c>
      <c r="D2400" s="3">
        <v>1997</v>
      </c>
      <c r="E2400" s="3">
        <v>2007</v>
      </c>
      <c r="F2400" t="s">
        <v>5233</v>
      </c>
      <c r="G2400" t="s">
        <v>5234</v>
      </c>
      <c r="H2400" s="3">
        <v>6.1707999999999998</v>
      </c>
      <c r="I2400" t="s">
        <v>5142</v>
      </c>
      <c r="J2400" t="s">
        <v>11213</v>
      </c>
      <c r="K2400" s="5" t="s">
        <v>130</v>
      </c>
      <c r="L2400" t="s">
        <v>5235</v>
      </c>
      <c r="M2400" t="str">
        <f>"https://www.artic.edu/iiif/2/"&amp;Table9[[#This Row],[Image ID]]&amp;"/full/843,/0/default.jpg"</f>
        <v>https://www.artic.edu/iiif/2/1202bc17-86d8-2a64-de5b-555aa275b9b7/full/843,/0/default.jpg</v>
      </c>
      <c r="N2400" s="3">
        <v>0.75600000000000001</v>
      </c>
      <c r="O2400" s="3">
        <v>0.14599999999999999</v>
      </c>
      <c r="P2400" s="3">
        <v>0.61</v>
      </c>
      <c r="Q2400" s="3">
        <v>0.74890363216400102</v>
      </c>
    </row>
    <row r="2401" spans="1:17" x14ac:dyDescent="0.45">
      <c r="A2401" s="3">
        <v>129688</v>
      </c>
      <c r="B2401" t="b">
        <v>0</v>
      </c>
      <c r="C2401" t="b">
        <v>0</v>
      </c>
      <c r="D2401" s="3">
        <v>1941</v>
      </c>
      <c r="E2401" s="3">
        <v>1941</v>
      </c>
      <c r="F2401" t="s">
        <v>2916</v>
      </c>
      <c r="G2401" t="s">
        <v>2892</v>
      </c>
      <c r="H2401" s="3">
        <v>32.381500000000003</v>
      </c>
      <c r="I2401" t="s">
        <v>14549</v>
      </c>
      <c r="J2401" t="s">
        <v>10990</v>
      </c>
      <c r="L2401" t="s">
        <v>2917</v>
      </c>
      <c r="M2401" t="str">
        <f>"https://www.artic.edu/iiif/2/"&amp;Table9[[#This Row],[Image ID]]&amp;"/full/843,/0/default.jpg"</f>
        <v>https://www.artic.edu/iiif/2/2a4bfed5-6ba1-af0f-15c8-b8561ba47215/full/843,/0/default.jpg</v>
      </c>
      <c r="N2401" s="3">
        <v>0.75600000000000001</v>
      </c>
      <c r="O2401" s="3">
        <v>0.14599999999999999</v>
      </c>
      <c r="P2401" s="3">
        <v>0.61</v>
      </c>
      <c r="Q2401" s="3">
        <v>0.87616831064224199</v>
      </c>
    </row>
    <row r="2402" spans="1:17" x14ac:dyDescent="0.45">
      <c r="A2402" s="3">
        <v>79387</v>
      </c>
      <c r="B2402" t="b">
        <v>0</v>
      </c>
      <c r="C2402" t="b">
        <v>0</v>
      </c>
      <c r="D2402" s="3">
        <v>1952</v>
      </c>
      <c r="E2402" s="3">
        <v>1952</v>
      </c>
      <c r="F2402" t="s">
        <v>9895</v>
      </c>
      <c r="G2402" t="s">
        <v>7</v>
      </c>
      <c r="H2402" s="3">
        <v>21.771100000000001</v>
      </c>
      <c r="I2402" t="s">
        <v>1</v>
      </c>
      <c r="J2402" t="s">
        <v>11883</v>
      </c>
      <c r="K2402" s="5" t="s">
        <v>2</v>
      </c>
      <c r="L2402" t="s">
        <v>9896</v>
      </c>
      <c r="M2402" t="str">
        <f>"https://www.artic.edu/iiif/2/"&amp;Table9[[#This Row],[Image ID]]&amp;"/full/843,/0/default.jpg"</f>
        <v>https://www.artic.edu/iiif/2/3dc8c9c5-0566-f6c3-07e5-7cae567f5bf7/full/843,/0/default.jpg</v>
      </c>
      <c r="N2402" s="3">
        <v>0.65900000000000003</v>
      </c>
      <c r="O2402" s="3">
        <v>4.9000000000000002E-2</v>
      </c>
      <c r="P2402" s="3">
        <v>0.61</v>
      </c>
      <c r="Q2402" s="3">
        <v>0.78225481510162298</v>
      </c>
    </row>
    <row r="2403" spans="1:17" x14ac:dyDescent="0.45">
      <c r="A2403" s="3">
        <v>96158</v>
      </c>
      <c r="B2403" t="b">
        <v>0</v>
      </c>
      <c r="C2403" t="b">
        <v>0</v>
      </c>
      <c r="D2403" s="3">
        <v>1909</v>
      </c>
      <c r="E2403" s="3">
        <v>1922</v>
      </c>
      <c r="F2403" t="s">
        <v>10788</v>
      </c>
      <c r="G2403" t="s">
        <v>10789</v>
      </c>
      <c r="H2403" s="3">
        <v>37.715000000000003</v>
      </c>
      <c r="I2403" t="s">
        <v>10790</v>
      </c>
      <c r="J2403" t="s">
        <v>11973</v>
      </c>
      <c r="L2403" t="s">
        <v>10791</v>
      </c>
      <c r="M2403" t="str">
        <f>"https://www.artic.edu/iiif/2/"&amp;Table9[[#This Row],[Image ID]]&amp;"/full/843,/0/default.jpg"</f>
        <v>https://www.artic.edu/iiif/2/437234d2-9418-10f6-6fb5-d035a4cd7eed/full/843,/0/default.jpg</v>
      </c>
      <c r="N2403" s="3">
        <v>0.65900000000000003</v>
      </c>
      <c r="O2403" s="3">
        <v>4.9000000000000002E-2</v>
      </c>
      <c r="P2403" s="3">
        <v>0.61</v>
      </c>
      <c r="Q2403" s="3">
        <v>0.63377779722213701</v>
      </c>
    </row>
    <row r="2404" spans="1:17" x14ac:dyDescent="0.45">
      <c r="A2404" s="3">
        <v>158500</v>
      </c>
      <c r="B2404" t="b">
        <v>0</v>
      </c>
      <c r="C2404" t="b">
        <v>0</v>
      </c>
      <c r="D2404" s="3">
        <v>1938</v>
      </c>
      <c r="E2404" s="3">
        <v>1938</v>
      </c>
      <c r="F2404" t="s">
        <v>11</v>
      </c>
      <c r="G2404" t="s">
        <v>4150</v>
      </c>
      <c r="H2404" s="3">
        <v>11.514099999999999</v>
      </c>
      <c r="I2404" t="s">
        <v>1275</v>
      </c>
      <c r="J2404" t="s">
        <v>12110</v>
      </c>
      <c r="L2404" t="s">
        <v>4151</v>
      </c>
      <c r="M2404" t="str">
        <f>"https://www.artic.edu/iiif/2/"&amp;Table9[[#This Row],[Image ID]]&amp;"/full/843,/0/default.jpg"</f>
        <v>https://www.artic.edu/iiif/2/4e333c71-2ba8-4ce0-a4dd-00253a36ac2c/full/843,/0/default.jpg</v>
      </c>
      <c r="N2404" s="3">
        <v>0.75600000000000001</v>
      </c>
      <c r="O2404" s="3">
        <v>0.14599999999999999</v>
      </c>
      <c r="P2404" s="3">
        <v>0.61</v>
      </c>
      <c r="Q2404" s="3">
        <v>0.46933308243751498</v>
      </c>
    </row>
    <row r="2405" spans="1:17" x14ac:dyDescent="0.45">
      <c r="A2405" s="3">
        <v>127264</v>
      </c>
      <c r="B2405" t="b">
        <v>0</v>
      </c>
      <c r="C2405" t="b">
        <v>0</v>
      </c>
      <c r="D2405" s="3">
        <v>1940</v>
      </c>
      <c r="E2405" s="3">
        <v>1940</v>
      </c>
      <c r="F2405" t="s">
        <v>2813</v>
      </c>
      <c r="G2405" t="s">
        <v>2814</v>
      </c>
      <c r="H2405" s="3">
        <v>40.377299999999998</v>
      </c>
      <c r="I2405" t="s">
        <v>2796</v>
      </c>
      <c r="J2405" t="s">
        <v>12611</v>
      </c>
      <c r="L2405" t="s">
        <v>2815</v>
      </c>
      <c r="M2405" t="str">
        <f>"https://www.artic.edu/iiif/2/"&amp;Table9[[#This Row],[Image ID]]&amp;"/full/843,/0/default.jpg"</f>
        <v>https://www.artic.edu/iiif/2/70739aaf-5319-8fb3-2bf3-266e167b2815/full/843,/0/default.jpg</v>
      </c>
      <c r="N2405" s="3">
        <v>0.65900000000000003</v>
      </c>
      <c r="O2405" s="3">
        <v>4.9000000000000002E-2</v>
      </c>
      <c r="P2405" s="3">
        <v>0.61</v>
      </c>
      <c r="Q2405" s="3">
        <v>0.81558817625045699</v>
      </c>
    </row>
    <row r="2406" spans="1:17" x14ac:dyDescent="0.45">
      <c r="A2406" s="3">
        <v>6010</v>
      </c>
      <c r="B2406" t="b">
        <v>0</v>
      </c>
      <c r="C2406" t="b">
        <v>0</v>
      </c>
      <c r="D2406" s="3">
        <v>1949</v>
      </c>
      <c r="E2406" s="3">
        <v>1949</v>
      </c>
      <c r="F2406" t="s">
        <v>8686</v>
      </c>
      <c r="G2406" t="s">
        <v>7</v>
      </c>
      <c r="H2406" s="3">
        <v>57.5931</v>
      </c>
      <c r="I2406" t="s">
        <v>112</v>
      </c>
      <c r="J2406" t="s">
        <v>12701</v>
      </c>
      <c r="L2406" t="s">
        <v>8687</v>
      </c>
      <c r="M2406" t="str">
        <f>"https://www.artic.edu/iiif/2/"&amp;Table9[[#This Row],[Image ID]]&amp;"/full/843,/0/default.jpg"</f>
        <v>https://www.artic.edu/iiif/2/7724c5f0-27e4-43b8-41e4-7658edaef088/full/843,/0/default.jpg</v>
      </c>
      <c r="N2406" s="3">
        <v>0.73199999999999998</v>
      </c>
      <c r="O2406" s="3">
        <v>0.122</v>
      </c>
      <c r="P2406" s="3">
        <v>0.61</v>
      </c>
      <c r="Q2406" s="3">
        <v>0.81726676225662198</v>
      </c>
    </row>
    <row r="2407" spans="1:17" x14ac:dyDescent="0.45">
      <c r="A2407" s="3">
        <v>51533</v>
      </c>
      <c r="B2407" t="b">
        <v>0</v>
      </c>
      <c r="C2407" t="b">
        <v>0</v>
      </c>
      <c r="D2407" s="3">
        <v>1919</v>
      </c>
      <c r="E2407" s="3">
        <v>1965</v>
      </c>
      <c r="F2407" t="s">
        <v>8143</v>
      </c>
      <c r="G2407" t="s">
        <v>8144</v>
      </c>
      <c r="H2407" s="3">
        <v>85.768500000000003</v>
      </c>
      <c r="I2407" t="s">
        <v>1404</v>
      </c>
      <c r="J2407" t="s">
        <v>12904</v>
      </c>
      <c r="L2407" t="s">
        <v>8145</v>
      </c>
      <c r="M2407" t="str">
        <f>"https://www.artic.edu/iiif/2/"&amp;Table9[[#This Row],[Image ID]]&amp;"/full/843,/0/default.jpg"</f>
        <v>https://www.artic.edu/iiif/2/85e85bb0-38cc-6757-8510-186809b7735e/full/843,/0/default.jpg</v>
      </c>
      <c r="N2407" s="3">
        <v>0.75600000000000001</v>
      </c>
      <c r="O2407" s="3">
        <v>0.14599999999999999</v>
      </c>
      <c r="P2407" s="3">
        <v>0.61</v>
      </c>
      <c r="Q2407" s="3">
        <v>0.72808915376663197</v>
      </c>
    </row>
    <row r="2408" spans="1:17" x14ac:dyDescent="0.45">
      <c r="A2408" s="3">
        <v>254119</v>
      </c>
      <c r="B2408" t="b">
        <v>0</v>
      </c>
      <c r="C2408" t="b">
        <v>0</v>
      </c>
      <c r="F2408" t="s">
        <v>72</v>
      </c>
      <c r="G2408" t="s">
        <v>141</v>
      </c>
      <c r="H2408" s="3">
        <v>0</v>
      </c>
      <c r="I2408" t="s">
        <v>6513</v>
      </c>
      <c r="J2408" t="s">
        <v>13700</v>
      </c>
      <c r="L2408" t="s">
        <v>6514</v>
      </c>
      <c r="M2408" t="str">
        <f>"https://www.artic.edu/iiif/2/"&amp;Table9[[#This Row],[Image ID]]&amp;"/full/843,/0/default.jpg"</f>
        <v>https://www.artic.edu/iiif/2/c4b267b7-9808-87d4-5b0a-dae3b4b9f017/full/843,/0/default.jpg</v>
      </c>
      <c r="N2408" s="3">
        <v>0.65900000000000003</v>
      </c>
      <c r="O2408" s="3">
        <v>4.9000000000000002E-2</v>
      </c>
      <c r="P2408" s="3">
        <v>0.61</v>
      </c>
      <c r="Q2408" s="3">
        <v>0.84526920318603505</v>
      </c>
    </row>
    <row r="2409" spans="1:17" x14ac:dyDescent="0.45">
      <c r="A2409" s="3">
        <v>47139</v>
      </c>
      <c r="B2409" t="b">
        <v>0</v>
      </c>
      <c r="C2409" t="b">
        <v>0</v>
      </c>
      <c r="D2409" s="3">
        <v>1974</v>
      </c>
      <c r="E2409" s="3">
        <v>1974</v>
      </c>
      <c r="F2409" t="s">
        <v>7915</v>
      </c>
      <c r="G2409" t="s">
        <v>7</v>
      </c>
      <c r="H2409" s="3">
        <v>27.128599999999999</v>
      </c>
      <c r="I2409" t="s">
        <v>5075</v>
      </c>
      <c r="J2409" t="s">
        <v>13877</v>
      </c>
      <c r="L2409" t="s">
        <v>7916</v>
      </c>
      <c r="M2409" t="str">
        <f>"https://www.artic.edu/iiif/2/"&amp;Table9[[#This Row],[Image ID]]&amp;"/full/843,/0/default.jpg"</f>
        <v>https://www.artic.edu/iiif/2/d367c578-7f80-b7f7-78aa-ffa9d9dff0cc/full/843,/0/default.jpg</v>
      </c>
      <c r="N2409" s="3">
        <v>0.65900000000000003</v>
      </c>
      <c r="O2409" s="3">
        <v>4.9000000000000002E-2</v>
      </c>
      <c r="P2409" s="3">
        <v>0.61</v>
      </c>
      <c r="Q2409" s="3">
        <v>0.51282423734664895</v>
      </c>
    </row>
    <row r="2410" spans="1:17" x14ac:dyDescent="0.45">
      <c r="A2410" s="3">
        <v>2909</v>
      </c>
      <c r="B2410" t="b">
        <v>0</v>
      </c>
      <c r="C2410" t="b">
        <v>0</v>
      </c>
      <c r="D2410" s="3">
        <v>1910</v>
      </c>
      <c r="E2410" s="3">
        <v>1910</v>
      </c>
      <c r="F2410" t="s">
        <v>5247</v>
      </c>
      <c r="G2410" t="s">
        <v>6869</v>
      </c>
      <c r="H2410" s="3">
        <v>14.824299999999999</v>
      </c>
      <c r="I2410" t="s">
        <v>949</v>
      </c>
      <c r="J2410" t="s">
        <v>13903</v>
      </c>
      <c r="L2410" t="s">
        <v>6870</v>
      </c>
      <c r="M2410" t="str">
        <f>"https://www.artic.edu/iiif/2/"&amp;Table9[[#This Row],[Image ID]]&amp;"/full/843,/0/default.jpg"</f>
        <v>https://www.artic.edu/iiif/2/d5009db9-9943-909f-2fed-9cb2de7804d1/full/843,/0/default.jpg</v>
      </c>
      <c r="N2410" s="3">
        <v>0.63400000000000001</v>
      </c>
      <c r="O2410" s="3">
        <v>2.4E-2</v>
      </c>
      <c r="P2410" s="3">
        <v>0.61</v>
      </c>
      <c r="Q2410" s="3">
        <v>0.65345036983489901</v>
      </c>
    </row>
    <row r="2411" spans="1:17" x14ac:dyDescent="0.45">
      <c r="A2411" s="3">
        <v>156076</v>
      </c>
      <c r="B2411" t="b">
        <v>0</v>
      </c>
      <c r="C2411" t="b">
        <v>0</v>
      </c>
      <c r="D2411" s="3">
        <v>1957</v>
      </c>
      <c r="E2411" s="3">
        <v>1958</v>
      </c>
      <c r="F2411" t="s">
        <v>4056</v>
      </c>
      <c r="G2411" t="s">
        <v>4057</v>
      </c>
      <c r="H2411" s="3">
        <v>7.8738000000000001</v>
      </c>
      <c r="I2411" t="s">
        <v>4058</v>
      </c>
      <c r="J2411" t="s">
        <v>13966</v>
      </c>
      <c r="L2411" t="s">
        <v>4059</v>
      </c>
      <c r="M2411" t="str">
        <f>"https://www.artic.edu/iiif/2/"&amp;Table9[[#This Row],[Image ID]]&amp;"/full/843,/0/default.jpg"</f>
        <v>https://www.artic.edu/iiif/2/d929e656-fb37-f337-e025-e933e42ba3b9/full/843,/0/default.jpg</v>
      </c>
      <c r="N2411" s="3">
        <v>0.73199999999999998</v>
      </c>
      <c r="O2411" s="3">
        <v>0.122</v>
      </c>
      <c r="P2411" s="3">
        <v>0.61</v>
      </c>
      <c r="Q2411" s="3">
        <v>0.89434325695037797</v>
      </c>
    </row>
    <row r="2412" spans="1:17" x14ac:dyDescent="0.45">
      <c r="A2412" s="3">
        <v>36939</v>
      </c>
      <c r="B2412" t="b">
        <v>0</v>
      </c>
      <c r="C2412" t="b">
        <v>0</v>
      </c>
      <c r="D2412" s="3">
        <v>1967</v>
      </c>
      <c r="E2412" s="3">
        <v>1967</v>
      </c>
      <c r="F2412" t="s">
        <v>2346</v>
      </c>
      <c r="G2412" t="s">
        <v>7258</v>
      </c>
      <c r="H2412" s="3">
        <v>92.659199999999998</v>
      </c>
      <c r="I2412" t="s">
        <v>2347</v>
      </c>
      <c r="J2412" t="s">
        <v>14030</v>
      </c>
      <c r="L2412" t="s">
        <v>7259</v>
      </c>
      <c r="M2412" t="str">
        <f>"https://www.artic.edu/iiif/2/"&amp;Table9[[#This Row],[Image ID]]&amp;"/full/843,/0/default.jpg"</f>
        <v>https://www.artic.edu/iiif/2/dd95321d-623a-c4e9-b343-d2843a84cec1/full/843,/0/default.jpg</v>
      </c>
      <c r="N2412" s="3">
        <v>0.75600000000000001</v>
      </c>
      <c r="O2412" s="3">
        <v>0.14599999999999999</v>
      </c>
      <c r="P2412" s="3">
        <v>0.61</v>
      </c>
      <c r="Q2412" s="3">
        <v>0.84810358285903897</v>
      </c>
    </row>
    <row r="2413" spans="1:17" x14ac:dyDescent="0.45">
      <c r="A2413" s="3">
        <v>133572</v>
      </c>
      <c r="B2413" t="b">
        <v>0</v>
      </c>
      <c r="C2413" t="b">
        <v>0</v>
      </c>
      <c r="D2413" s="3">
        <v>1920</v>
      </c>
      <c r="E2413" s="3">
        <v>1930</v>
      </c>
      <c r="F2413" t="s">
        <v>3066</v>
      </c>
      <c r="G2413" t="s">
        <v>3041</v>
      </c>
      <c r="H2413" s="3">
        <v>23.321200000000001</v>
      </c>
      <c r="I2413" t="s">
        <v>3058</v>
      </c>
      <c r="J2413" t="s">
        <v>14116</v>
      </c>
      <c r="L2413" t="s">
        <v>3067</v>
      </c>
      <c r="M2413" t="str">
        <f>"https://www.artic.edu/iiif/2/"&amp;Table9[[#This Row],[Image ID]]&amp;"/full/843,/0/default.jpg"</f>
        <v>https://www.artic.edu/iiif/2/e3094ab5-fc4b-16fc-f4a4-091608906ed6/full/843,/0/default.jpg</v>
      </c>
      <c r="N2413" s="3">
        <v>0.65900000000000003</v>
      </c>
      <c r="O2413" s="3">
        <v>4.9000000000000002E-2</v>
      </c>
      <c r="P2413" s="3">
        <v>0.61</v>
      </c>
      <c r="Q2413" s="3">
        <v>0.580022752285003</v>
      </c>
    </row>
    <row r="2414" spans="1:17" x14ac:dyDescent="0.45">
      <c r="A2414" s="3">
        <v>14678</v>
      </c>
      <c r="B2414" t="b">
        <v>0</v>
      </c>
      <c r="C2414" t="b">
        <v>0</v>
      </c>
      <c r="D2414" s="3">
        <v>1919</v>
      </c>
      <c r="E2414" s="3">
        <v>1933</v>
      </c>
      <c r="F2414" t="s">
        <v>3482</v>
      </c>
      <c r="G2414" t="s">
        <v>3483</v>
      </c>
      <c r="H2414" s="3">
        <v>30.545500000000001</v>
      </c>
      <c r="I2414" t="s">
        <v>1404</v>
      </c>
      <c r="J2414" t="s">
        <v>14118</v>
      </c>
      <c r="L2414" t="s">
        <v>3484</v>
      </c>
      <c r="M2414" t="str">
        <f>"https://www.artic.edu/iiif/2/"&amp;Table9[[#This Row],[Image ID]]&amp;"/full/843,/0/default.jpg"</f>
        <v>https://www.artic.edu/iiif/2/e332d07e-21ef-2ba0-4938-cf480f3795cb/full/843,/0/default.jpg</v>
      </c>
      <c r="N2414" s="3">
        <v>0.63400000000000001</v>
      </c>
      <c r="O2414" s="3">
        <v>2.4E-2</v>
      </c>
      <c r="P2414" s="3">
        <v>0.61</v>
      </c>
      <c r="Q2414" s="3">
        <v>0.60002917051315297</v>
      </c>
    </row>
    <row r="2415" spans="1:17" x14ac:dyDescent="0.45">
      <c r="A2415" s="3">
        <v>24899</v>
      </c>
      <c r="B2415" t="b">
        <v>0</v>
      </c>
      <c r="C2415" t="b">
        <v>0</v>
      </c>
      <c r="D2415" s="3">
        <v>1947</v>
      </c>
      <c r="E2415" s="3">
        <v>1947</v>
      </c>
      <c r="F2415" t="s">
        <v>3715</v>
      </c>
      <c r="G2415" t="s">
        <v>6439</v>
      </c>
      <c r="H2415" s="3">
        <v>28.5364</v>
      </c>
      <c r="I2415" t="s">
        <v>1190</v>
      </c>
      <c r="J2415" t="s">
        <v>14147</v>
      </c>
      <c r="L2415" t="s">
        <v>6440</v>
      </c>
      <c r="M2415" t="str">
        <f>"https://www.artic.edu/iiif/2/"&amp;Table9[[#This Row],[Image ID]]&amp;"/full/843,/0/default.jpg"</f>
        <v>https://www.artic.edu/iiif/2/e4ba57a3-85a1-01ed-158f-7ac45a268cd2/full/843,/0/default.jpg</v>
      </c>
      <c r="N2415" s="3">
        <v>0.73199999999999998</v>
      </c>
      <c r="O2415" s="3">
        <v>0.122</v>
      </c>
      <c r="P2415" s="3">
        <v>0.61</v>
      </c>
      <c r="Q2415" s="3">
        <v>0.89922118186950595</v>
      </c>
    </row>
    <row r="2416" spans="1:17" x14ac:dyDescent="0.45">
      <c r="A2416" s="3">
        <v>150820</v>
      </c>
      <c r="B2416" t="b">
        <v>0</v>
      </c>
      <c r="C2416" t="b">
        <v>0</v>
      </c>
      <c r="D2416" s="3">
        <v>1915</v>
      </c>
      <c r="E2416" s="3">
        <v>1950</v>
      </c>
      <c r="F2416" t="s">
        <v>3807</v>
      </c>
      <c r="G2416" t="s">
        <v>3808</v>
      </c>
      <c r="H2416" s="3">
        <v>23.2895</v>
      </c>
      <c r="I2416" t="s">
        <v>2575</v>
      </c>
      <c r="J2416" t="s">
        <v>14345</v>
      </c>
      <c r="L2416" t="s">
        <v>3809</v>
      </c>
      <c r="M2416" t="str">
        <f>"https://www.artic.edu/iiif/2/"&amp;Table9[[#This Row],[Image ID]]&amp;"/full/843,/0/default.jpg"</f>
        <v>https://www.artic.edu/iiif/2/f23d80f2-5eb1-eb06-dc92-b7360b9f44d2/full/843,/0/default.jpg</v>
      </c>
      <c r="N2416" s="3">
        <v>0.63400000000000001</v>
      </c>
      <c r="O2416" s="3">
        <v>2.4E-2</v>
      </c>
      <c r="P2416" s="3">
        <v>0.61</v>
      </c>
      <c r="Q2416" s="3">
        <v>0.83393269777297896</v>
      </c>
    </row>
    <row r="2417" spans="1:17" x14ac:dyDescent="0.45">
      <c r="A2417" s="3">
        <v>2902</v>
      </c>
      <c r="B2417" t="b">
        <v>0</v>
      </c>
      <c r="C2417" t="b">
        <v>0</v>
      </c>
      <c r="D2417" s="3">
        <v>1910</v>
      </c>
      <c r="E2417" s="3">
        <v>1910</v>
      </c>
      <c r="F2417" t="s">
        <v>1000</v>
      </c>
      <c r="G2417" t="s">
        <v>6860</v>
      </c>
      <c r="H2417" s="3">
        <v>24.0792</v>
      </c>
      <c r="I2417" t="s">
        <v>949</v>
      </c>
      <c r="J2417" t="s">
        <v>14547</v>
      </c>
      <c r="L2417" t="s">
        <v>6861</v>
      </c>
      <c r="M2417" t="str">
        <f>"https://www.artic.edu/iiif/2/"&amp;Table9[[#This Row],[Image ID]]&amp;"/full/843,/0/default.jpg"</f>
        <v>https://www.artic.edu/iiif/2/fff98d98-2ea4-ab6b-dcea-f3de4417e14c/full/843,/0/default.jpg</v>
      </c>
      <c r="N2417" s="3">
        <v>0.75600000000000001</v>
      </c>
      <c r="O2417" s="3">
        <v>0.14599999999999999</v>
      </c>
      <c r="P2417" s="3">
        <v>0.61</v>
      </c>
      <c r="Q2417" s="3">
        <v>0.67816847562789895</v>
      </c>
    </row>
    <row r="2418" spans="1:17" x14ac:dyDescent="0.45">
      <c r="A2418" s="3">
        <v>113252</v>
      </c>
      <c r="B2418" t="b">
        <v>0</v>
      </c>
      <c r="C2418" t="b">
        <v>1</v>
      </c>
      <c r="D2418" s="3">
        <v>1837</v>
      </c>
      <c r="E2418" s="3">
        <v>1864</v>
      </c>
      <c r="F2418" t="s">
        <v>1391</v>
      </c>
      <c r="G2418" t="s">
        <v>1374</v>
      </c>
      <c r="H2418" s="3">
        <v>28.709900000000001</v>
      </c>
      <c r="I2418" t="s">
        <v>1295</v>
      </c>
      <c r="J2418" t="s">
        <v>12300</v>
      </c>
      <c r="L2418" t="s">
        <v>1392</v>
      </c>
      <c r="M2418" t="str">
        <f>"https://www.artic.edu/iiif/2/"&amp;Table9[[#This Row],[Image ID]]&amp;"/full/843,/0/default.jpg"</f>
        <v>https://www.artic.edu/iiif/2/5aa24428-862e-d8ef-8aa9-1ceae48d6a6b/full/843,/0/default.jpg</v>
      </c>
      <c r="N2418" s="3">
        <v>0.70699999999999996</v>
      </c>
      <c r="O2418" s="3">
        <v>9.8000000000000004E-2</v>
      </c>
      <c r="P2418" s="3">
        <v>0.60899999999999999</v>
      </c>
      <c r="Q2418" s="3">
        <v>0.71893066167831399</v>
      </c>
    </row>
    <row r="2419" spans="1:17" x14ac:dyDescent="0.45">
      <c r="A2419" s="3">
        <v>72864</v>
      </c>
      <c r="B2419" t="b">
        <v>0</v>
      </c>
      <c r="C2419" t="b">
        <v>1</v>
      </c>
      <c r="D2419" s="3">
        <v>1895</v>
      </c>
      <c r="E2419" s="3">
        <v>1895</v>
      </c>
      <c r="F2419" t="s">
        <v>9580</v>
      </c>
      <c r="G2419" t="s">
        <v>7</v>
      </c>
      <c r="H2419" s="3">
        <v>44.603400000000001</v>
      </c>
      <c r="I2419" t="s">
        <v>73</v>
      </c>
      <c r="J2419" t="s">
        <v>13330</v>
      </c>
      <c r="K2419" s="5" t="s">
        <v>284</v>
      </c>
      <c r="L2419" t="s">
        <v>9581</v>
      </c>
      <c r="M2419" t="str">
        <f>"https://www.artic.edu/iiif/2/"&amp;Table9[[#This Row],[Image ID]]&amp;"/full/843,/0/default.jpg"</f>
        <v>https://www.artic.edu/iiif/2/a75b2aba-0042-ae61-b3a0-0204e2b29b3c/full/843,/0/default.jpg</v>
      </c>
      <c r="N2419" s="3">
        <v>0.70699999999999996</v>
      </c>
      <c r="O2419" s="3">
        <v>9.8000000000000004E-2</v>
      </c>
      <c r="P2419" s="3">
        <v>0.60899999999999999</v>
      </c>
      <c r="Q2419" s="3">
        <v>0.877585589885711</v>
      </c>
    </row>
    <row r="2420" spans="1:17" ht="99.75" x14ac:dyDescent="0.45">
      <c r="A2420" s="3">
        <v>80540</v>
      </c>
      <c r="B2420" t="b">
        <v>0</v>
      </c>
      <c r="C2420" t="b">
        <v>1</v>
      </c>
      <c r="D2420" s="3">
        <v>1560</v>
      </c>
      <c r="E2420" s="3">
        <v>1570</v>
      </c>
      <c r="F2420" t="s">
        <v>10010</v>
      </c>
      <c r="G2420" t="s">
        <v>1234</v>
      </c>
      <c r="H2420" s="3">
        <v>26.076899999999998</v>
      </c>
      <c r="I2420" t="s">
        <v>14658</v>
      </c>
      <c r="J2420" s="1" t="s">
        <v>13561</v>
      </c>
      <c r="L2420" t="s">
        <v>10011</v>
      </c>
      <c r="M2420" t="str">
        <f>"https://www.artic.edu/iiif/2/"&amp;Table9[[#This Row],[Image ID]]&amp;"/full/843,/0/default.jpg"</f>
        <v>https://www.artic.edu/iiif/2/b978b0e6-455e-8800-40c4-fe044f8196fe/full/843,/0/default.jpg</v>
      </c>
      <c r="N2420" s="3">
        <v>0.73899999999999999</v>
      </c>
      <c r="O2420" s="3">
        <v>0.13</v>
      </c>
      <c r="P2420" s="3">
        <v>0.60899999999999999</v>
      </c>
      <c r="Q2420" s="3">
        <v>0.82224714756011896</v>
      </c>
    </row>
    <row r="2421" spans="1:17" x14ac:dyDescent="0.45">
      <c r="A2421" s="3">
        <v>39051</v>
      </c>
      <c r="B2421" t="b">
        <v>0</v>
      </c>
      <c r="C2421" t="b">
        <v>1</v>
      </c>
      <c r="D2421" s="3">
        <v>1830</v>
      </c>
      <c r="E2421" s="3">
        <v>1910</v>
      </c>
      <c r="F2421" t="s">
        <v>7398</v>
      </c>
      <c r="G2421" t="s">
        <v>7399</v>
      </c>
      <c r="H2421" s="3">
        <v>28.775600000000001</v>
      </c>
      <c r="I2421" t="s">
        <v>7400</v>
      </c>
      <c r="J2421" t="s">
        <v>14099</v>
      </c>
      <c r="L2421" t="s">
        <v>7401</v>
      </c>
      <c r="M2421" t="str">
        <f>"https://www.artic.edu/iiif/2/"&amp;Table9[[#This Row],[Image ID]]&amp;"/full/843,/0/default.jpg"</f>
        <v>https://www.artic.edu/iiif/2/e1ec249e-6c94-a209-7f4d-f66c511020bc/full/843,/0/default.jpg</v>
      </c>
      <c r="N2421" s="3">
        <v>0.70699999999999996</v>
      </c>
      <c r="O2421" s="3">
        <v>9.8000000000000004E-2</v>
      </c>
      <c r="P2421" s="3">
        <v>0.60899999999999999</v>
      </c>
      <c r="Q2421" s="3">
        <v>0.79988938570022505</v>
      </c>
    </row>
    <row r="2422" spans="1:17" x14ac:dyDescent="0.45">
      <c r="A2422" s="3">
        <v>115875</v>
      </c>
      <c r="B2422" t="b">
        <v>0</v>
      </c>
      <c r="C2422" t="b">
        <v>1</v>
      </c>
      <c r="D2422" s="3">
        <v>1840</v>
      </c>
      <c r="E2422" s="3">
        <v>1850</v>
      </c>
      <c r="F2422" t="s">
        <v>2132</v>
      </c>
      <c r="G2422" t="s">
        <v>2133</v>
      </c>
      <c r="H2422" s="3">
        <v>21.567499999999999</v>
      </c>
      <c r="I2422" t="s">
        <v>2134</v>
      </c>
      <c r="J2422" t="s">
        <v>2136</v>
      </c>
      <c r="L2422" t="s">
        <v>2135</v>
      </c>
      <c r="M2422" t="str">
        <f>"https://www.artic.edu/iiif/2/"&amp;Table9[[#This Row],[Image ID]]&amp;"/full/843,/0/default.jpg"</f>
        <v>https://www.artic.edu/iiif/2/ececfb93-2190-fb08-7ea0-91e9d8ac11f3/full/843,/0/default.jpg</v>
      </c>
      <c r="N2422" s="3">
        <v>0.70699999999999996</v>
      </c>
      <c r="O2422" s="3">
        <v>9.8000000000000004E-2</v>
      </c>
      <c r="P2422" s="3">
        <v>0.60899999999999999</v>
      </c>
      <c r="Q2422" s="3">
        <v>0.68294441699981601</v>
      </c>
    </row>
    <row r="2423" spans="1:17" x14ac:dyDescent="0.45">
      <c r="A2423" s="3">
        <v>111324</v>
      </c>
      <c r="B2423" t="b">
        <v>0</v>
      </c>
      <c r="C2423" t="b">
        <v>0</v>
      </c>
      <c r="D2423" s="3">
        <v>1906</v>
      </c>
      <c r="E2423" s="3">
        <v>1925</v>
      </c>
      <c r="F2423" t="s">
        <v>1070</v>
      </c>
      <c r="G2423" t="s">
        <v>1071</v>
      </c>
      <c r="H2423" s="3">
        <v>31.376300000000001</v>
      </c>
      <c r="I2423" t="s">
        <v>1072</v>
      </c>
      <c r="J2423" t="s">
        <v>11219</v>
      </c>
      <c r="L2423" t="s">
        <v>1073</v>
      </c>
      <c r="M2423" t="str">
        <f>"https://www.artic.edu/iiif/2/"&amp;Table9[[#This Row],[Image ID]]&amp;"/full/843,/0/default.jpg"</f>
        <v>https://www.artic.edu/iiif/2/12640017-552f-83ff-72d0-c08a402581fd/full/843,/0/default.jpg</v>
      </c>
      <c r="N2423" s="3">
        <v>0.70699999999999996</v>
      </c>
      <c r="O2423" s="3">
        <v>9.8000000000000004E-2</v>
      </c>
      <c r="P2423" s="3">
        <v>0.60899999999999999</v>
      </c>
      <c r="Q2423" s="3">
        <v>0.47365942597389199</v>
      </c>
    </row>
    <row r="2424" spans="1:17" x14ac:dyDescent="0.45">
      <c r="A2424" s="3">
        <v>3097</v>
      </c>
      <c r="B2424" t="b">
        <v>0</v>
      </c>
      <c r="C2424" t="b">
        <v>0</v>
      </c>
      <c r="D2424" s="3">
        <v>1925</v>
      </c>
      <c r="E2424" s="3">
        <v>1925</v>
      </c>
      <c r="F2424" t="s">
        <v>6973</v>
      </c>
      <c r="G2424" t="s">
        <v>6974</v>
      </c>
      <c r="H2424" s="3">
        <v>20.5459</v>
      </c>
      <c r="I2424" t="s">
        <v>6975</v>
      </c>
      <c r="J2424" t="s">
        <v>11383</v>
      </c>
      <c r="L2424" t="s">
        <v>6976</v>
      </c>
      <c r="M2424" t="str">
        <f>"https://www.artic.edu/iiif/2/"&amp;Table9[[#This Row],[Image ID]]&amp;"/full/843,/0/default.jpg"</f>
        <v>https://www.artic.edu/iiif/2/1d9568c3-a338-2daf-0e6c-5242f8bba142/full/843,/0/default.jpg</v>
      </c>
      <c r="N2424" s="3">
        <v>0.78</v>
      </c>
      <c r="O2424" s="3">
        <v>0.17100000000000001</v>
      </c>
      <c r="P2424" s="3">
        <v>0.60899999999999999</v>
      </c>
      <c r="Q2424" s="3">
        <v>0.72382164001464799</v>
      </c>
    </row>
    <row r="2425" spans="1:17" x14ac:dyDescent="0.45">
      <c r="A2425" s="3">
        <v>61103</v>
      </c>
      <c r="B2425" t="b">
        <v>0</v>
      </c>
      <c r="C2425" t="b">
        <v>0</v>
      </c>
      <c r="D2425" s="3">
        <v>1710</v>
      </c>
      <c r="E2425" s="3">
        <v>1750</v>
      </c>
      <c r="F2425" t="s">
        <v>578</v>
      </c>
      <c r="G2425" t="s">
        <v>7</v>
      </c>
      <c r="H2425" s="3">
        <v>23.795000000000002</v>
      </c>
      <c r="J2425" t="s">
        <v>12498</v>
      </c>
      <c r="L2425" t="s">
        <v>8755</v>
      </c>
      <c r="M2425" t="str">
        <f>"https://www.artic.edu/iiif/2/"&amp;Table9[[#This Row],[Image ID]]&amp;"/full/843,/0/default.jpg"</f>
        <v>https://www.artic.edu/iiif/2/68452122-d983-a200-2ba1-a8ac6d2fbc80/full/843,/0/default.jpg</v>
      </c>
      <c r="N2425" s="3">
        <v>0.70699999999999996</v>
      </c>
      <c r="O2425" s="3">
        <v>9.8000000000000004E-2</v>
      </c>
      <c r="P2425" s="3">
        <v>0.60899999999999999</v>
      </c>
      <c r="Q2425" s="3">
        <v>0.66586762666702204</v>
      </c>
    </row>
    <row r="2426" spans="1:17" x14ac:dyDescent="0.45">
      <c r="A2426" s="3">
        <v>35585</v>
      </c>
      <c r="B2426" t="b">
        <v>0</v>
      </c>
      <c r="C2426" t="b">
        <v>0</v>
      </c>
      <c r="D2426" s="3">
        <v>1925</v>
      </c>
      <c r="E2426" s="3">
        <v>1925</v>
      </c>
      <c r="F2426" t="s">
        <v>7200</v>
      </c>
      <c r="G2426" t="s">
        <v>1536</v>
      </c>
      <c r="H2426" s="3">
        <v>28.984400000000001</v>
      </c>
      <c r="I2426" t="s">
        <v>443</v>
      </c>
      <c r="J2426" t="s">
        <v>12544</v>
      </c>
      <c r="L2426" t="s">
        <v>7201</v>
      </c>
      <c r="M2426" t="str">
        <f>"https://www.artic.edu/iiif/2/"&amp;Table9[[#This Row],[Image ID]]&amp;"/full/843,/0/default.jpg"</f>
        <v>https://www.artic.edu/iiif/2/6ba3f94d-fc76-ff62-aff7-d4d5e16b2d1e/full/843,/0/default.jpg</v>
      </c>
      <c r="N2426" s="3">
        <v>0.70699999999999996</v>
      </c>
      <c r="O2426" s="3">
        <v>9.8000000000000004E-2</v>
      </c>
      <c r="P2426" s="3">
        <v>0.60899999999999999</v>
      </c>
      <c r="Q2426" s="3">
        <v>0.67496430873870805</v>
      </c>
    </row>
    <row r="2427" spans="1:17" x14ac:dyDescent="0.45">
      <c r="A2427" s="3">
        <v>220553</v>
      </c>
      <c r="B2427" t="b">
        <v>0</v>
      </c>
      <c r="C2427" t="b">
        <v>0</v>
      </c>
      <c r="D2427" s="3">
        <v>1996</v>
      </c>
      <c r="E2427" s="3">
        <v>1996</v>
      </c>
      <c r="F2427" t="s">
        <v>11</v>
      </c>
      <c r="G2427" t="s">
        <v>5014</v>
      </c>
      <c r="H2427" s="3">
        <v>6.6619999999999999</v>
      </c>
      <c r="I2427" t="s">
        <v>5781</v>
      </c>
      <c r="J2427" t="s">
        <v>11175</v>
      </c>
      <c r="L2427" t="s">
        <v>5797</v>
      </c>
      <c r="M2427" t="str">
        <f>"https://www.artic.edu/iiif/2/"&amp;Table9[[#This Row],[Image ID]]&amp;"/full/843,/0/default.jpg"</f>
        <v>https://www.artic.edu/iiif/2/cef09fa1-d430-c967-71ef-3ff25696ef2f/full/843,/0/default.jpg</v>
      </c>
      <c r="N2427" s="3">
        <v>0.70699999999999996</v>
      </c>
      <c r="O2427" s="3">
        <v>9.8000000000000004E-2</v>
      </c>
      <c r="P2427" s="3">
        <v>0.60899999999999999</v>
      </c>
      <c r="Q2427" s="3">
        <v>0.696533203125</v>
      </c>
    </row>
    <row r="2428" spans="1:17" x14ac:dyDescent="0.45">
      <c r="A2428" s="3">
        <v>98055</v>
      </c>
      <c r="B2428" t="b">
        <v>0</v>
      </c>
      <c r="C2428" t="b">
        <v>0</v>
      </c>
      <c r="D2428" s="3">
        <v>1968</v>
      </c>
      <c r="E2428" s="3">
        <v>1972</v>
      </c>
      <c r="F2428" t="s">
        <v>620</v>
      </c>
      <c r="G2428" t="s">
        <v>10908</v>
      </c>
      <c r="H2428" s="3">
        <v>105.73779999999999</v>
      </c>
      <c r="I2428" t="s">
        <v>612</v>
      </c>
      <c r="J2428" t="s">
        <v>13959</v>
      </c>
      <c r="L2428" t="s">
        <v>10910</v>
      </c>
      <c r="M2428" t="str">
        <f>"https://www.artic.edu/iiif/2/"&amp;Table9[[#This Row],[Image ID]]&amp;"/full/843,/0/default.jpg"</f>
        <v>https://www.artic.edu/iiif/2/d8765ded-20d3-f054-88ce-94aeef07464d/full/843,/0/default.jpg</v>
      </c>
      <c r="N2428" s="3">
        <v>0.70699999999999996</v>
      </c>
      <c r="O2428" s="3">
        <v>9.8000000000000004E-2</v>
      </c>
      <c r="P2428" s="3">
        <v>0.60899999999999999</v>
      </c>
      <c r="Q2428" s="3">
        <v>0.77763986587524403</v>
      </c>
    </row>
    <row r="2429" spans="1:17" x14ac:dyDescent="0.45">
      <c r="A2429" s="3">
        <v>13753</v>
      </c>
      <c r="B2429" t="b">
        <v>0</v>
      </c>
      <c r="C2429" t="b">
        <v>0</v>
      </c>
      <c r="D2429" s="3">
        <v>1914</v>
      </c>
      <c r="E2429" s="3">
        <v>1914</v>
      </c>
      <c r="F2429" t="s">
        <v>3200</v>
      </c>
      <c r="G2429" t="s">
        <v>7</v>
      </c>
      <c r="H2429" s="3">
        <v>19.960699999999999</v>
      </c>
      <c r="I2429" t="s">
        <v>3201</v>
      </c>
      <c r="J2429" t="s">
        <v>13310</v>
      </c>
      <c r="K2429" s="5" t="s">
        <v>9</v>
      </c>
      <c r="L2429" t="s">
        <v>3202</v>
      </c>
      <c r="M2429" t="str">
        <f>"https://www.artic.edu/iiif/2/"&amp;Table9[[#This Row],[Image ID]]&amp;"/full/843,/0/default.jpg"</f>
        <v>https://www.artic.edu/iiif/2/a5e528c2-e0b5-d9b1-759c-6b43be4ef9c4/full/843,/0/default.jpg</v>
      </c>
      <c r="N2429" s="3">
        <v>0.72499999999999998</v>
      </c>
      <c r="O2429" s="3">
        <v>0.11899999999999999</v>
      </c>
      <c r="P2429" s="3">
        <v>0.60599999999999998</v>
      </c>
      <c r="Q2429" s="3">
        <v>0.50418329238891602</v>
      </c>
    </row>
    <row r="2430" spans="1:17" x14ac:dyDescent="0.45">
      <c r="A2430" s="3">
        <v>151891</v>
      </c>
      <c r="B2430" t="b">
        <v>0</v>
      </c>
      <c r="C2430" t="b">
        <v>1</v>
      </c>
      <c r="D2430" s="3">
        <v>1300</v>
      </c>
      <c r="E2430" s="3">
        <v>1500</v>
      </c>
      <c r="F2430" t="s">
        <v>3851</v>
      </c>
      <c r="G2430" t="s">
        <v>3852</v>
      </c>
      <c r="H2430" s="3">
        <v>50.206099999999999</v>
      </c>
      <c r="J2430" t="s">
        <v>11720</v>
      </c>
      <c r="L2430" t="s">
        <v>3853</v>
      </c>
      <c r="M2430" t="str">
        <f>"https://www.artic.edu/iiif/2/"&amp;Table9[[#This Row],[Image ID]]&amp;"/full/843,/0/default.jpg"</f>
        <v>https://www.artic.edu/iiif/2/33303b27-1826-8599-1c8e-e2e6baef12f1/full/843,/0/default.jpg</v>
      </c>
      <c r="N2430" s="3">
        <v>0.82499999999999996</v>
      </c>
      <c r="O2430" s="3">
        <v>0.22</v>
      </c>
      <c r="P2430" s="3">
        <v>0.60499999999999998</v>
      </c>
      <c r="Q2430" s="3">
        <v>0.86049836874008101</v>
      </c>
    </row>
    <row r="2431" spans="1:17" x14ac:dyDescent="0.45">
      <c r="A2431" s="3">
        <v>115195</v>
      </c>
      <c r="B2431" t="b">
        <v>0</v>
      </c>
      <c r="C2431" t="b">
        <v>1</v>
      </c>
      <c r="D2431" s="3">
        <v>1842</v>
      </c>
      <c r="E2431" s="3">
        <v>1842</v>
      </c>
      <c r="F2431" t="s">
        <v>1834</v>
      </c>
      <c r="G2431" t="s">
        <v>1774</v>
      </c>
      <c r="H2431" s="3">
        <v>31.0733</v>
      </c>
      <c r="I2431" t="s">
        <v>1555</v>
      </c>
      <c r="J2431" t="s">
        <v>13235</v>
      </c>
      <c r="L2431" t="s">
        <v>1835</v>
      </c>
      <c r="M2431" t="str">
        <f>"https://www.artic.edu/iiif/2/"&amp;Table9[[#This Row],[Image ID]]&amp;"/full/843,/0/default.jpg"</f>
        <v>https://www.artic.edu/iiif/2/a9fc88c4-8701-2caf-3164-2b9971251548/full/843,/0/default.jpg</v>
      </c>
      <c r="N2431" s="3">
        <v>0.82499999999999996</v>
      </c>
      <c r="O2431" s="3">
        <v>0.22</v>
      </c>
      <c r="P2431" s="3">
        <v>0.60499999999999998</v>
      </c>
      <c r="Q2431" s="3">
        <v>0.69573897123336703</v>
      </c>
    </row>
    <row r="2432" spans="1:17" x14ac:dyDescent="0.45">
      <c r="A2432" s="3">
        <v>14311</v>
      </c>
      <c r="B2432" t="b">
        <v>0</v>
      </c>
      <c r="C2432" t="b">
        <v>1</v>
      </c>
      <c r="D2432" s="3">
        <v>1854</v>
      </c>
      <c r="E2432" s="3">
        <v>1903</v>
      </c>
      <c r="F2432" t="s">
        <v>3301</v>
      </c>
      <c r="G2432" t="s">
        <v>3302</v>
      </c>
      <c r="H2432" s="3">
        <v>20.670400000000001</v>
      </c>
      <c r="I2432" t="s">
        <v>3303</v>
      </c>
      <c r="J2432" t="s">
        <v>13921</v>
      </c>
      <c r="L2432" t="s">
        <v>3304</v>
      </c>
      <c r="M2432" t="str">
        <f>"https://www.artic.edu/iiif/2/"&amp;Table9[[#This Row],[Image ID]]&amp;"/full/843,/0/default.jpg"</f>
        <v>https://www.artic.edu/iiif/2/d64500c5-3b04-f3eb-abac-0c117b49dca3/full/843,/0/default.jpg</v>
      </c>
      <c r="N2432" s="3">
        <v>0.8</v>
      </c>
      <c r="O2432" s="3">
        <v>0.19500000000000001</v>
      </c>
      <c r="P2432" s="3">
        <v>0.60499999999999998</v>
      </c>
      <c r="Q2432" s="3">
        <v>0.64950430393218905</v>
      </c>
    </row>
    <row r="2433" spans="1:17" x14ac:dyDescent="0.45">
      <c r="A2433" s="3">
        <v>19608</v>
      </c>
      <c r="B2433" t="b">
        <v>0</v>
      </c>
      <c r="C2433" t="b">
        <v>1</v>
      </c>
      <c r="D2433" s="3">
        <v>1776</v>
      </c>
      <c r="E2433" s="3">
        <v>1827</v>
      </c>
      <c r="F2433" t="s">
        <v>5264</v>
      </c>
      <c r="G2433" t="s">
        <v>5265</v>
      </c>
      <c r="H2433" s="3">
        <v>29.603899999999999</v>
      </c>
      <c r="I2433" t="s">
        <v>1266</v>
      </c>
      <c r="J2433" t="s">
        <v>13984</v>
      </c>
      <c r="L2433" t="s">
        <v>5266</v>
      </c>
      <c r="M2433" t="str">
        <f>"https://www.artic.edu/iiif/2/"&amp;Table9[[#This Row],[Image ID]]&amp;"/full/843,/0/default.jpg"</f>
        <v>https://www.artic.edu/iiif/2/da7b921e-ef7e-e768-cf38-c5440275ad3d/full/843,/0/default.jpg</v>
      </c>
      <c r="N2433" s="3">
        <v>0.8</v>
      </c>
      <c r="O2433" s="3">
        <v>0.19500000000000001</v>
      </c>
      <c r="P2433" s="3">
        <v>0.60499999999999998</v>
      </c>
      <c r="Q2433" s="3">
        <v>0.797921001911163</v>
      </c>
    </row>
    <row r="2434" spans="1:17" x14ac:dyDescent="0.45">
      <c r="A2434" s="3">
        <v>191565</v>
      </c>
      <c r="B2434" t="b">
        <v>0</v>
      </c>
      <c r="C2434" t="b">
        <v>0</v>
      </c>
      <c r="D2434" s="3">
        <v>1939</v>
      </c>
      <c r="E2434" s="3">
        <v>1939</v>
      </c>
      <c r="F2434" t="s">
        <v>5203</v>
      </c>
      <c r="G2434" t="s">
        <v>7</v>
      </c>
      <c r="H2434" s="3">
        <v>48.0458</v>
      </c>
      <c r="I2434" t="s">
        <v>49</v>
      </c>
      <c r="J2434" t="s">
        <v>11183</v>
      </c>
      <c r="L2434" t="s">
        <v>5204</v>
      </c>
      <c r="M2434" t="str">
        <f>"https://www.artic.edu/iiif/2/"&amp;Table9[[#This Row],[Image ID]]&amp;"/full/843,/0/default.jpg"</f>
        <v>https://www.artic.edu/iiif/2/0fc277a0-003c-393f-556b-f8dbc8c81427/full/843,/0/default.jpg</v>
      </c>
      <c r="N2434" s="3">
        <v>0.69799999999999995</v>
      </c>
      <c r="O2434" s="3">
        <v>9.2999999999999999E-2</v>
      </c>
      <c r="P2434" s="3">
        <v>0.60499999999999998</v>
      </c>
      <c r="Q2434" s="3">
        <v>0.78753739595413197</v>
      </c>
    </row>
    <row r="2435" spans="1:17" x14ac:dyDescent="0.45">
      <c r="A2435" s="3">
        <v>116136</v>
      </c>
      <c r="B2435" t="b">
        <v>0</v>
      </c>
      <c r="C2435" t="b">
        <v>0</v>
      </c>
      <c r="D2435" s="3">
        <v>1882</v>
      </c>
      <c r="E2435" s="3">
        <v>1928</v>
      </c>
      <c r="F2435" t="s">
        <v>2244</v>
      </c>
      <c r="G2435" t="s">
        <v>2245</v>
      </c>
      <c r="H2435" s="3">
        <v>28.691400000000002</v>
      </c>
      <c r="I2435" t="s">
        <v>1277</v>
      </c>
      <c r="J2435" t="s">
        <v>11322</v>
      </c>
      <c r="L2435" t="s">
        <v>2246</v>
      </c>
      <c r="M2435" t="str">
        <f>"https://www.artic.edu/iiif/2/"&amp;Table9[[#This Row],[Image ID]]&amp;"/full/843,/0/default.jpg"</f>
        <v>https://www.artic.edu/iiif/2/198f30c0-9cb5-f894-1477-e1ecbc5950b3/full/843,/0/default.jpg</v>
      </c>
      <c r="N2435" s="3">
        <v>0.69799999999999995</v>
      </c>
      <c r="O2435" s="3">
        <v>9.2999999999999999E-2</v>
      </c>
      <c r="P2435" s="3">
        <v>0.60499999999999998</v>
      </c>
      <c r="Q2435" s="3">
        <v>0.52372229099273604</v>
      </c>
    </row>
    <row r="2436" spans="1:17" x14ac:dyDescent="0.45">
      <c r="A2436" s="3">
        <v>4896</v>
      </c>
      <c r="B2436" t="b">
        <v>0</v>
      </c>
      <c r="C2436" t="b">
        <v>1</v>
      </c>
      <c r="D2436" s="3">
        <v>1896</v>
      </c>
      <c r="E2436" s="3">
        <v>1896</v>
      </c>
      <c r="F2436" t="s">
        <v>8036</v>
      </c>
      <c r="G2436" t="s">
        <v>7</v>
      </c>
      <c r="H2436" s="3">
        <v>0</v>
      </c>
      <c r="I2436" t="s">
        <v>8037</v>
      </c>
      <c r="J2436" t="s">
        <v>12442</v>
      </c>
      <c r="L2436" t="s">
        <v>8038</v>
      </c>
      <c r="M2436" t="str">
        <f>"https://www.artic.edu/iiif/2/"&amp;Table9[[#This Row],[Image ID]]&amp;"/full/843,/0/default.jpg"</f>
        <v>https://www.artic.edu/iiif/2/64ef1e21-5241-6d3c-385d-a1e3dd97bc22/full/843,/0/default.jpg</v>
      </c>
      <c r="N2436" s="3">
        <v>0.67400000000000004</v>
      </c>
      <c r="O2436" s="3">
        <v>7.0000000000000007E-2</v>
      </c>
      <c r="P2436" s="3">
        <v>0.60400000000000009</v>
      </c>
      <c r="Q2436" s="3">
        <v>0.79396677017211903</v>
      </c>
    </row>
    <row r="2437" spans="1:17" x14ac:dyDescent="0.45">
      <c r="A2437" s="3">
        <v>100346</v>
      </c>
      <c r="B2437" t="b">
        <v>0</v>
      </c>
      <c r="C2437" t="b">
        <v>1</v>
      </c>
      <c r="D2437" s="3">
        <v>1515</v>
      </c>
      <c r="E2437" s="3">
        <v>1525</v>
      </c>
      <c r="F2437" t="s">
        <v>84</v>
      </c>
      <c r="G2437" t="s">
        <v>75</v>
      </c>
      <c r="H2437" s="3">
        <v>56.735799999999998</v>
      </c>
      <c r="I2437" t="s">
        <v>85</v>
      </c>
      <c r="J2437" t="s">
        <v>13776</v>
      </c>
      <c r="L2437" t="s">
        <v>86</v>
      </c>
      <c r="M2437" t="str">
        <f>"https://www.artic.edu/iiif/2/"&amp;Table9[[#This Row],[Image ID]]&amp;"/full/843,/0/default.jpg"</f>
        <v>https://www.artic.edu/iiif/2/c9fc58cb-18a5-5009-1a6b-90e5a7483798/full/843,/0/default.jpg</v>
      </c>
      <c r="N2437" s="3">
        <v>0.67400000000000004</v>
      </c>
      <c r="O2437" s="3">
        <v>7.0000000000000007E-2</v>
      </c>
      <c r="P2437" s="3">
        <v>0.60400000000000009</v>
      </c>
      <c r="Q2437" s="3">
        <v>0.85163611173629705</v>
      </c>
    </row>
    <row r="2438" spans="1:17" x14ac:dyDescent="0.45">
      <c r="A2438" s="3">
        <v>113208</v>
      </c>
      <c r="B2438" t="b">
        <v>0</v>
      </c>
      <c r="C2438" t="b">
        <v>1</v>
      </c>
      <c r="D2438" s="3">
        <v>1807</v>
      </c>
      <c r="E2438" s="3">
        <v>1809</v>
      </c>
      <c r="F2438" t="s">
        <v>1363</v>
      </c>
      <c r="G2438" t="s">
        <v>1364</v>
      </c>
      <c r="H2438" s="3">
        <v>52.823</v>
      </c>
      <c r="I2438" t="s">
        <v>1359</v>
      </c>
      <c r="J2438" t="s">
        <v>14073</v>
      </c>
      <c r="L2438" t="s">
        <v>1365</v>
      </c>
      <c r="M2438" t="str">
        <f>"https://www.artic.edu/iiif/2/"&amp;Table9[[#This Row],[Image ID]]&amp;"/full/843,/0/default.jpg"</f>
        <v>https://www.artic.edu/iiif/2/e0d78f37-2524-1cbc-54e0-fe10d8202420/full/843,/0/default.jpg</v>
      </c>
      <c r="N2438" s="3">
        <v>0.67400000000000004</v>
      </c>
      <c r="O2438" s="3">
        <v>7.0000000000000007E-2</v>
      </c>
      <c r="P2438" s="3">
        <v>0.60400000000000009</v>
      </c>
      <c r="Q2438" s="3">
        <v>0.725752294063568</v>
      </c>
    </row>
    <row r="2439" spans="1:17" x14ac:dyDescent="0.45">
      <c r="A2439" s="3">
        <v>7988</v>
      </c>
      <c r="B2439" t="b">
        <v>0</v>
      </c>
      <c r="C2439" t="b">
        <v>0</v>
      </c>
      <c r="D2439" s="3">
        <v>1912</v>
      </c>
      <c r="E2439" s="3">
        <v>1912</v>
      </c>
      <c r="F2439" t="s">
        <v>43</v>
      </c>
      <c r="G2439" t="s">
        <v>7</v>
      </c>
      <c r="H2439" s="3">
        <v>11.4024</v>
      </c>
      <c r="I2439" t="s">
        <v>14563</v>
      </c>
      <c r="J2439" t="s">
        <v>11102</v>
      </c>
      <c r="L2439" t="s">
        <v>9925</v>
      </c>
      <c r="M2439" t="str">
        <f>"https://www.artic.edu/iiif/2/"&amp;Table9[[#This Row],[Image ID]]&amp;"/full/843,/0/default.jpg"</f>
        <v>https://www.artic.edu/iiif/2/3dcb169e-b73e-6d52-6ac5-525b67e5b8b7/full/843,/0/default.jpg</v>
      </c>
      <c r="N2439" s="3">
        <v>0.67400000000000004</v>
      </c>
      <c r="O2439" s="3">
        <v>7.0000000000000007E-2</v>
      </c>
      <c r="P2439" s="3">
        <v>0.60400000000000009</v>
      </c>
      <c r="Q2439" s="3">
        <v>0.74752187728881803</v>
      </c>
    </row>
    <row r="2440" spans="1:17" x14ac:dyDescent="0.45">
      <c r="A2440" s="3">
        <v>75187</v>
      </c>
      <c r="B2440" t="b">
        <v>0</v>
      </c>
      <c r="C2440" t="b">
        <v>1</v>
      </c>
      <c r="D2440" s="3">
        <v>1812</v>
      </c>
      <c r="E2440" s="3">
        <v>1878</v>
      </c>
      <c r="F2440" t="s">
        <v>9723</v>
      </c>
      <c r="G2440" t="s">
        <v>9724</v>
      </c>
      <c r="H2440" s="3">
        <v>28.5151</v>
      </c>
      <c r="I2440" t="s">
        <v>923</v>
      </c>
      <c r="J2440" t="s">
        <v>11709</v>
      </c>
      <c r="L2440" t="s">
        <v>9725</v>
      </c>
      <c r="M2440" t="str">
        <f>"https://www.artic.edu/iiif/2/"&amp;Table9[[#This Row],[Image ID]]&amp;"/full/843,/0/default.jpg"</f>
        <v>https://www.artic.edu/iiif/2/32481e3e-4594-bf91-7416-b711c0d34cb2/full/843,/0/default.jpg</v>
      </c>
      <c r="N2440" s="3">
        <v>0.74399999999999999</v>
      </c>
      <c r="O2440" s="3">
        <v>0.14000000000000001</v>
      </c>
      <c r="P2440" s="3">
        <v>0.60399999999999998</v>
      </c>
      <c r="Q2440" s="3">
        <v>0.8072150349617</v>
      </c>
    </row>
    <row r="2441" spans="1:17" x14ac:dyDescent="0.45">
      <c r="A2441" s="3">
        <v>48682</v>
      </c>
      <c r="B2441" t="b">
        <v>0</v>
      </c>
      <c r="C2441" t="b">
        <v>1</v>
      </c>
      <c r="D2441" s="3">
        <v>1824</v>
      </c>
      <c r="E2441" s="3">
        <v>1860</v>
      </c>
      <c r="F2441" t="s">
        <v>8019</v>
      </c>
      <c r="G2441" t="s">
        <v>8020</v>
      </c>
      <c r="H2441" s="3">
        <v>23.6892</v>
      </c>
      <c r="I2441" t="s">
        <v>922</v>
      </c>
      <c r="J2441" t="s">
        <v>13899</v>
      </c>
      <c r="L2441" t="s">
        <v>8021</v>
      </c>
      <c r="M2441" t="str">
        <f>"https://www.artic.edu/iiif/2/"&amp;Table9[[#This Row],[Image ID]]&amp;"/full/843,/0/default.jpg"</f>
        <v>https://www.artic.edu/iiif/2/d4c6fa2f-fa6c-d2e2-09dc-5e2c657c617f/full/843,/0/default.jpg</v>
      </c>
      <c r="N2441" s="3">
        <v>0.75</v>
      </c>
      <c r="O2441" s="3">
        <v>0.14599999999999999</v>
      </c>
      <c r="P2441" s="3">
        <v>0.60399999999999998</v>
      </c>
      <c r="Q2441" s="3">
        <v>0.86310344934463501</v>
      </c>
    </row>
    <row r="2442" spans="1:17" x14ac:dyDescent="0.45">
      <c r="A2442" s="3">
        <v>80323</v>
      </c>
      <c r="B2442" t="b">
        <v>0</v>
      </c>
      <c r="C2442" t="b">
        <v>0</v>
      </c>
      <c r="D2442" s="3">
        <v>1918</v>
      </c>
      <c r="E2442" s="3">
        <v>1918</v>
      </c>
      <c r="F2442" t="s">
        <v>9949</v>
      </c>
      <c r="G2442" t="s">
        <v>9950</v>
      </c>
      <c r="H2442" s="3">
        <v>48.6083</v>
      </c>
      <c r="I2442" t="s">
        <v>14564</v>
      </c>
      <c r="J2442" t="s">
        <v>11969</v>
      </c>
      <c r="L2442" t="s">
        <v>9951</v>
      </c>
      <c r="M2442" t="str">
        <f>"https://www.artic.edu/iiif/2/"&amp;Table9[[#This Row],[Image ID]]&amp;"/full/843,/0/default.jpg"</f>
        <v>https://www.artic.edu/iiif/2/434d5b7b-8223-0548-bf41-bbdea6fe858f/full/843,/0/default.jpg</v>
      </c>
      <c r="N2442" s="3">
        <v>0.75</v>
      </c>
      <c r="O2442" s="3">
        <v>0.14599999999999999</v>
      </c>
      <c r="P2442" s="3">
        <v>0.60399999999999998</v>
      </c>
      <c r="Q2442" s="3">
        <v>0.87786906957626298</v>
      </c>
    </row>
    <row r="2443" spans="1:17" x14ac:dyDescent="0.45">
      <c r="A2443" s="3">
        <v>113257</v>
      </c>
      <c r="B2443" t="b">
        <v>0</v>
      </c>
      <c r="C2443" t="b">
        <v>0</v>
      </c>
      <c r="D2443" s="3">
        <v>1906</v>
      </c>
      <c r="E2443" s="3">
        <v>1941</v>
      </c>
      <c r="F2443" t="s">
        <v>1393</v>
      </c>
      <c r="G2443" t="s">
        <v>1394</v>
      </c>
      <c r="H2443" s="3">
        <v>39.749200000000002</v>
      </c>
      <c r="I2443" t="s">
        <v>1395</v>
      </c>
      <c r="J2443" t="s">
        <v>12253</v>
      </c>
      <c r="L2443" t="s">
        <v>1396</v>
      </c>
      <c r="M2443" t="str">
        <f>"https://www.artic.edu/iiif/2/"&amp;Table9[[#This Row],[Image ID]]&amp;"/full/843,/0/default.jpg"</f>
        <v>https://www.artic.edu/iiif/2/56fb9e39-7c5f-6a6f-8c4e-2988fbd86baa/full/843,/0/default.jpg</v>
      </c>
      <c r="N2443" s="3">
        <v>0.75</v>
      </c>
      <c r="O2443" s="3">
        <v>0.14599999999999999</v>
      </c>
      <c r="P2443" s="3">
        <v>0.60399999999999998</v>
      </c>
      <c r="Q2443" s="3">
        <v>0.65666085481643599</v>
      </c>
    </row>
    <row r="2444" spans="1:17" x14ac:dyDescent="0.45">
      <c r="A2444" s="3">
        <v>97888</v>
      </c>
      <c r="B2444" t="b">
        <v>0</v>
      </c>
      <c r="C2444" t="b">
        <v>0</v>
      </c>
      <c r="D2444" s="3">
        <v>1894</v>
      </c>
      <c r="E2444" s="3">
        <v>1895</v>
      </c>
      <c r="F2444" t="s">
        <v>10862</v>
      </c>
      <c r="G2444" t="s">
        <v>7</v>
      </c>
      <c r="H2444" s="3">
        <v>4.5987999999999998</v>
      </c>
      <c r="I2444" t="s">
        <v>192</v>
      </c>
      <c r="J2444" t="s">
        <v>12806</v>
      </c>
      <c r="L2444" t="s">
        <v>10863</v>
      </c>
      <c r="M2444" t="str">
        <f>"https://www.artic.edu/iiif/2/"&amp;Table9[[#This Row],[Image ID]]&amp;"/full/843,/0/default.jpg"</f>
        <v>https://www.artic.edu/iiif/2/7f6d1037-c6a9-651e-cce4-ccd6d0f60c40/full/843,/0/default.jpg</v>
      </c>
      <c r="N2444" s="3">
        <v>0.77500000000000002</v>
      </c>
      <c r="O2444" s="3">
        <v>0.17100000000000001</v>
      </c>
      <c r="P2444" s="3">
        <v>0.60399999999999998</v>
      </c>
      <c r="Q2444" s="3">
        <v>0.73522305488586404</v>
      </c>
    </row>
    <row r="2445" spans="1:17" x14ac:dyDescent="0.45">
      <c r="A2445" s="3">
        <v>26203</v>
      </c>
      <c r="B2445" t="b">
        <v>0</v>
      </c>
      <c r="C2445" t="b">
        <v>0</v>
      </c>
      <c r="D2445" s="3">
        <v>1844</v>
      </c>
      <c r="E2445" s="3">
        <v>1911</v>
      </c>
      <c r="F2445" t="s">
        <v>6676</v>
      </c>
      <c r="G2445" t="s">
        <v>6677</v>
      </c>
      <c r="H2445" s="3">
        <v>17.7864</v>
      </c>
      <c r="I2445" t="s">
        <v>307</v>
      </c>
      <c r="J2445" t="s">
        <v>12850</v>
      </c>
      <c r="L2445" t="s">
        <v>6678</v>
      </c>
      <c r="M2445" t="str">
        <f>"https://www.artic.edu/iiif/2/"&amp;Table9[[#This Row],[Image ID]]&amp;"/full/843,/0/default.jpg"</f>
        <v>https://www.artic.edu/iiif/2/82774429-2548-57c4-da95-f6c234403933/full/843,/0/default.jpg</v>
      </c>
      <c r="N2445" s="3">
        <v>0.75</v>
      </c>
      <c r="O2445" s="3">
        <v>0.14599999999999999</v>
      </c>
      <c r="P2445" s="3">
        <v>0.60399999999999998</v>
      </c>
      <c r="Q2445" s="3">
        <v>0.77957803010940496</v>
      </c>
    </row>
    <row r="2446" spans="1:17" x14ac:dyDescent="0.45">
      <c r="A2446" s="3">
        <v>66497</v>
      </c>
      <c r="B2446" t="b">
        <v>0</v>
      </c>
      <c r="C2446" t="b">
        <v>1</v>
      </c>
      <c r="D2446" s="3">
        <v>1812</v>
      </c>
      <c r="E2446" s="3">
        <v>1878</v>
      </c>
      <c r="F2446" t="s">
        <v>9284</v>
      </c>
      <c r="G2446" t="s">
        <v>9285</v>
      </c>
      <c r="H2446" s="3">
        <v>21.065100000000001</v>
      </c>
      <c r="I2446" t="s">
        <v>923</v>
      </c>
      <c r="J2446" t="s">
        <v>12912</v>
      </c>
      <c r="L2446" t="s">
        <v>9286</v>
      </c>
      <c r="M2446" t="str">
        <f>"https://www.artic.edu/iiif/2/"&amp;Table9[[#This Row],[Image ID]]&amp;"/full/843,/0/default.jpg"</f>
        <v>https://www.artic.edu/iiif/2/870674a9-ca29-f0a5-11f2-f682861c3add/full/843,/0/default.jpg</v>
      </c>
      <c r="N2446" s="3">
        <v>0.72499999999999998</v>
      </c>
      <c r="O2446" s="3">
        <v>0.122</v>
      </c>
      <c r="P2446" s="3">
        <v>0.60299999999999998</v>
      </c>
      <c r="Q2446" s="3">
        <v>0.64307093620300204</v>
      </c>
    </row>
    <row r="2447" spans="1:17" x14ac:dyDescent="0.45">
      <c r="A2447" s="3">
        <v>113718</v>
      </c>
      <c r="B2447" t="b">
        <v>0</v>
      </c>
      <c r="C2447" t="b">
        <v>1</v>
      </c>
      <c r="D2447" s="3">
        <v>1891</v>
      </c>
      <c r="E2447" s="3">
        <v>1893</v>
      </c>
      <c r="F2447" t="s">
        <v>1493</v>
      </c>
      <c r="G2447" t="s">
        <v>1494</v>
      </c>
      <c r="H2447" s="3">
        <v>32.860599999999998</v>
      </c>
      <c r="I2447" t="s">
        <v>872</v>
      </c>
      <c r="J2447" t="s">
        <v>11645</v>
      </c>
      <c r="L2447" t="s">
        <v>1495</v>
      </c>
      <c r="M2447" t="str">
        <f>"https://www.artic.edu/iiif/2/"&amp;Table9[[#This Row],[Image ID]]&amp;"/full/843,/0/default.jpg"</f>
        <v>https://www.artic.edu/iiif/2/2e30ccae-65e6-47f6-bfaf-d884aee19cc8/full/843,/0/default.jpg</v>
      </c>
      <c r="N2447" s="3">
        <v>0.67500000000000004</v>
      </c>
      <c r="O2447" s="3">
        <v>7.2999999999999995E-2</v>
      </c>
      <c r="P2447" s="3">
        <v>0.60200000000000009</v>
      </c>
      <c r="Q2447" s="3">
        <v>0.76115226745605402</v>
      </c>
    </row>
    <row r="2448" spans="1:17" x14ac:dyDescent="0.45">
      <c r="A2448" s="3">
        <v>26720</v>
      </c>
      <c r="B2448" t="b">
        <v>0</v>
      </c>
      <c r="C2448" t="b">
        <v>1</v>
      </c>
      <c r="D2448" s="3">
        <v>1785</v>
      </c>
      <c r="E2448" s="3">
        <v>1795</v>
      </c>
      <c r="F2448" t="s">
        <v>6689</v>
      </c>
      <c r="G2448" t="s">
        <v>6690</v>
      </c>
      <c r="H2448" s="3">
        <v>26.781199999999998</v>
      </c>
      <c r="I2448" t="s">
        <v>1756</v>
      </c>
      <c r="J2448" t="s">
        <v>12315</v>
      </c>
      <c r="L2448" t="s">
        <v>6691</v>
      </c>
      <c r="M2448" t="str">
        <f>"https://www.artic.edu/iiif/2/"&amp;Table9[[#This Row],[Image ID]]&amp;"/full/843,/0/default.jpg"</f>
        <v>https://www.artic.edu/iiif/2/5bbc0c4b-ace9-38ef-460f-4a9efedad60a/full/843,/0/default.jpg</v>
      </c>
      <c r="N2448" s="3">
        <v>0.67500000000000004</v>
      </c>
      <c r="O2448" s="3">
        <v>7.2999999999999995E-2</v>
      </c>
      <c r="P2448" s="3">
        <v>0.60200000000000009</v>
      </c>
      <c r="Q2448" s="3">
        <v>0.57169556617736805</v>
      </c>
    </row>
    <row r="2449" spans="1:17" x14ac:dyDescent="0.45">
      <c r="A2449" s="3">
        <v>36243</v>
      </c>
      <c r="B2449" t="b">
        <v>0</v>
      </c>
      <c r="C2449" t="b">
        <v>0</v>
      </c>
      <c r="D2449" s="3">
        <v>1966</v>
      </c>
      <c r="E2449" s="3">
        <v>1976</v>
      </c>
      <c r="F2449" t="s">
        <v>1305</v>
      </c>
      <c r="G2449" t="s">
        <v>7</v>
      </c>
      <c r="H2449" s="3">
        <v>45.722200000000001</v>
      </c>
      <c r="I2449" t="s">
        <v>7211</v>
      </c>
      <c r="J2449" t="s">
        <v>12348</v>
      </c>
      <c r="L2449" t="s">
        <v>7212</v>
      </c>
      <c r="M2449" t="str">
        <f>"https://www.artic.edu/iiif/2/"&amp;Table9[[#This Row],[Image ID]]&amp;"/full/843,/0/default.jpg"</f>
        <v>https://www.artic.edu/iiif/2/5dbc6579-4eb7-667e-bbd5-d207c22c5c92/full/843,/0/default.jpg</v>
      </c>
      <c r="N2449" s="3">
        <v>0.67500000000000004</v>
      </c>
      <c r="O2449" s="3">
        <v>7.2999999999999995E-2</v>
      </c>
      <c r="P2449" s="3">
        <v>0.60200000000000009</v>
      </c>
      <c r="Q2449" s="3">
        <v>0.65593272447586004</v>
      </c>
    </row>
    <row r="2450" spans="1:17" x14ac:dyDescent="0.45">
      <c r="A2450" s="3">
        <v>14569</v>
      </c>
      <c r="B2450" t="b">
        <v>0</v>
      </c>
      <c r="C2450" t="b">
        <v>1</v>
      </c>
      <c r="D2450" s="3">
        <v>1855</v>
      </c>
      <c r="E2450" s="3">
        <v>1865</v>
      </c>
      <c r="F2450" t="s">
        <v>3364</v>
      </c>
      <c r="G2450" t="s">
        <v>75</v>
      </c>
      <c r="H2450" s="3">
        <v>36.950099999999999</v>
      </c>
      <c r="I2450" t="s">
        <v>14551</v>
      </c>
      <c r="J2450" t="s">
        <v>11063</v>
      </c>
      <c r="L2450" t="s">
        <v>3365</v>
      </c>
      <c r="M2450" t="str">
        <f>"https://www.artic.edu/iiif/2/"&amp;Table9[[#This Row],[Image ID]]&amp;"/full/843,/0/default.jpg"</f>
        <v>https://www.artic.edu/iiif/2/069a0bb0-8a91-b4be-4ce7-6bf49552ef69/full/843,/0/default.jpg</v>
      </c>
      <c r="N2450" s="3">
        <v>0.7</v>
      </c>
      <c r="O2450" s="3">
        <v>9.8000000000000004E-2</v>
      </c>
      <c r="P2450" s="3">
        <v>0.60199999999999998</v>
      </c>
      <c r="Q2450" s="3">
        <v>0.76591503620147705</v>
      </c>
    </row>
    <row r="2451" spans="1:17" x14ac:dyDescent="0.45">
      <c r="A2451" s="3">
        <v>97458</v>
      </c>
      <c r="B2451" t="b">
        <v>0</v>
      </c>
      <c r="C2451" t="b">
        <v>1</v>
      </c>
      <c r="D2451" s="3">
        <v>1835</v>
      </c>
      <c r="E2451" s="3">
        <v>1845</v>
      </c>
      <c r="F2451" t="s">
        <v>10851</v>
      </c>
      <c r="G2451" t="s">
        <v>10852</v>
      </c>
      <c r="H2451" s="3">
        <v>31.038699999999999</v>
      </c>
      <c r="I2451" t="s">
        <v>1400</v>
      </c>
      <c r="J2451" t="s">
        <v>12405</v>
      </c>
      <c r="L2451" t="s">
        <v>10853</v>
      </c>
      <c r="M2451" t="str">
        <f>"https://www.artic.edu/iiif/2/"&amp;Table9[[#This Row],[Image ID]]&amp;"/full/843,/0/default.jpg"</f>
        <v>https://www.artic.edu/iiif/2/6236e82e-e3a9-def2-2e1b-a40771e9da05/full/843,/0/default.jpg</v>
      </c>
      <c r="N2451" s="3">
        <v>0.7</v>
      </c>
      <c r="O2451" s="3">
        <v>9.8000000000000004E-2</v>
      </c>
      <c r="P2451" s="3">
        <v>0.60199999999999998</v>
      </c>
      <c r="Q2451" s="3">
        <v>0.70355165004730202</v>
      </c>
    </row>
    <row r="2452" spans="1:17" x14ac:dyDescent="0.45">
      <c r="A2452" s="3">
        <v>18689</v>
      </c>
      <c r="B2452" t="b">
        <v>0</v>
      </c>
      <c r="C2452" t="b">
        <v>0</v>
      </c>
      <c r="D2452" s="3">
        <v>1900</v>
      </c>
      <c r="E2452" s="3">
        <v>1925</v>
      </c>
      <c r="F2452" t="s">
        <v>5080</v>
      </c>
      <c r="G2452" t="s">
        <v>5081</v>
      </c>
      <c r="H2452" s="3">
        <v>26.8062</v>
      </c>
      <c r="I2452" t="s">
        <v>5082</v>
      </c>
      <c r="J2452" t="s">
        <v>11618</v>
      </c>
      <c r="L2452" t="s">
        <v>5083</v>
      </c>
      <c r="M2452" t="str">
        <f>"https://www.artic.edu/iiif/2/"&amp;Table9[[#This Row],[Image ID]]&amp;"/full/843,/0/default.jpg"</f>
        <v>https://www.artic.edu/iiif/2/2bb45cf4-469c-f330-8021-ec9327333a38/full/843,/0/default.jpg</v>
      </c>
      <c r="N2452" s="3">
        <v>0.7</v>
      </c>
      <c r="O2452" s="3">
        <v>9.8000000000000004E-2</v>
      </c>
      <c r="P2452" s="3">
        <v>0.60199999999999998</v>
      </c>
      <c r="Q2452" s="3">
        <v>0.61296951770782404</v>
      </c>
    </row>
    <row r="2453" spans="1:17" x14ac:dyDescent="0.45">
      <c r="A2453" s="3">
        <v>73489</v>
      </c>
      <c r="B2453" t="b">
        <v>0</v>
      </c>
      <c r="C2453" t="b">
        <v>0</v>
      </c>
      <c r="D2453" s="3">
        <v>1986</v>
      </c>
      <c r="E2453" s="3">
        <v>1986</v>
      </c>
      <c r="F2453" t="s">
        <v>9622</v>
      </c>
      <c r="G2453" t="s">
        <v>9623</v>
      </c>
      <c r="H2453" s="3">
        <v>79.116900000000001</v>
      </c>
      <c r="I2453" t="s">
        <v>52</v>
      </c>
      <c r="J2453" t="s">
        <v>10985</v>
      </c>
      <c r="L2453" t="s">
        <v>9624</v>
      </c>
      <c r="M2453" t="str">
        <f>"https://www.artic.edu/iiif/2/"&amp;Table9[[#This Row],[Image ID]]&amp;"/full/843,/0/default.jpg"</f>
        <v>https://www.artic.edu/iiif/2/00faab13-37f3-c758-0cc7-ce731c096a3e/full/843,/0/default.jpg</v>
      </c>
      <c r="N2453" s="3">
        <v>0.65</v>
      </c>
      <c r="O2453" s="3">
        <v>4.9000000000000002E-2</v>
      </c>
      <c r="P2453" s="3">
        <v>0.60099999999999998</v>
      </c>
      <c r="Q2453" s="3">
        <v>0.68890982866287198</v>
      </c>
    </row>
    <row r="2454" spans="1:17" x14ac:dyDescent="0.45">
      <c r="A2454" s="3">
        <v>73650</v>
      </c>
      <c r="B2454" t="b">
        <v>0</v>
      </c>
      <c r="C2454" t="b">
        <v>0</v>
      </c>
      <c r="D2454" s="3">
        <v>1913</v>
      </c>
      <c r="E2454" s="3">
        <v>1999</v>
      </c>
      <c r="F2454" t="s">
        <v>9641</v>
      </c>
      <c r="G2454" t="s">
        <v>75</v>
      </c>
      <c r="H2454" s="3">
        <v>18.792400000000001</v>
      </c>
      <c r="I2454" t="s">
        <v>9639</v>
      </c>
      <c r="J2454" t="s">
        <v>12356</v>
      </c>
      <c r="L2454" t="s">
        <v>9642</v>
      </c>
      <c r="M2454" t="str">
        <f>"https://www.artic.edu/iiif/2/"&amp;Table9[[#This Row],[Image ID]]&amp;"/full/843,/0/default.jpg"</f>
        <v>https://www.artic.edu/iiif/2/5e9353c3-0ed6-319c-14a6-32f74965432c/full/843,/0/default.jpg</v>
      </c>
      <c r="N2454" s="3">
        <v>0.625</v>
      </c>
      <c r="O2454" s="3">
        <v>2.4E-2</v>
      </c>
      <c r="P2454" s="3">
        <v>0.60099999999999998</v>
      </c>
      <c r="Q2454" s="3">
        <v>0.89334464073181097</v>
      </c>
    </row>
    <row r="2455" spans="1:17" x14ac:dyDescent="0.45">
      <c r="A2455" s="3">
        <v>30972</v>
      </c>
      <c r="B2455" t="b">
        <v>0</v>
      </c>
      <c r="C2455" t="b">
        <v>0</v>
      </c>
      <c r="D2455" s="3">
        <v>1968</v>
      </c>
      <c r="E2455" s="3">
        <v>1968</v>
      </c>
      <c r="F2455" t="s">
        <v>6977</v>
      </c>
      <c r="G2455" t="s">
        <v>6978</v>
      </c>
      <c r="H2455" s="3">
        <v>61.180199999999999</v>
      </c>
      <c r="I2455" t="s">
        <v>6979</v>
      </c>
      <c r="J2455" t="s">
        <v>14154</v>
      </c>
      <c r="L2455" t="s">
        <v>6980</v>
      </c>
      <c r="M2455" t="str">
        <f>"https://www.artic.edu/iiif/2/"&amp;Table9[[#This Row],[Image ID]]&amp;"/full/843,/0/default.jpg"</f>
        <v>https://www.artic.edu/iiif/2/e4e4ef26-c628-82bf-9b76-acd6a09dbb44/full/843,/0/default.jpg</v>
      </c>
      <c r="N2455" s="3">
        <v>0.65</v>
      </c>
      <c r="O2455" s="3">
        <v>4.9000000000000002E-2</v>
      </c>
      <c r="P2455" s="3">
        <v>0.60099999999999998</v>
      </c>
      <c r="Q2455" s="3">
        <v>0.77206027507781905</v>
      </c>
    </row>
    <row r="2456" spans="1:17" x14ac:dyDescent="0.45">
      <c r="A2456" s="3">
        <v>159844</v>
      </c>
      <c r="B2456" t="b">
        <v>0</v>
      </c>
      <c r="C2456" t="b">
        <v>0</v>
      </c>
      <c r="D2456" s="3">
        <v>1963</v>
      </c>
      <c r="E2456" s="3">
        <v>1963</v>
      </c>
      <c r="F2456" t="s">
        <v>1009</v>
      </c>
      <c r="G2456" t="s">
        <v>7</v>
      </c>
      <c r="H2456" s="3">
        <v>67.959100000000007</v>
      </c>
      <c r="I2456" t="s">
        <v>3503</v>
      </c>
      <c r="J2456" t="s">
        <v>6669</v>
      </c>
      <c r="L2456" t="s">
        <v>4226</v>
      </c>
      <c r="M2456" t="str">
        <f>"https://www.artic.edu/iiif/2/"&amp;Table9[[#This Row],[Image ID]]&amp;"/full/843,/0/default.jpg"</f>
        <v>https://www.artic.edu/iiif/2/ef3ead66-b380-d3a6-df48-e6508d96f720/full/843,/0/default.jpg</v>
      </c>
      <c r="N2456" s="3">
        <v>0.65</v>
      </c>
      <c r="O2456" s="3">
        <v>4.9000000000000002E-2</v>
      </c>
      <c r="P2456" s="3">
        <v>0.60099999999999998</v>
      </c>
      <c r="Q2456" s="3">
        <v>0.77869683504104603</v>
      </c>
    </row>
    <row r="2457" spans="1:17" x14ac:dyDescent="0.45">
      <c r="A2457" s="3">
        <v>115897</v>
      </c>
      <c r="B2457" t="b">
        <v>0</v>
      </c>
      <c r="C2457" t="b">
        <v>1</v>
      </c>
      <c r="D2457" s="3">
        <v>1868</v>
      </c>
      <c r="E2457" s="3">
        <v>1868</v>
      </c>
      <c r="F2457" t="s">
        <v>2195</v>
      </c>
      <c r="G2457" t="s">
        <v>2196</v>
      </c>
      <c r="H2457" s="3">
        <v>21.03</v>
      </c>
      <c r="I2457" t="s">
        <v>2197</v>
      </c>
      <c r="J2457" t="s">
        <v>11109</v>
      </c>
      <c r="L2457" t="s">
        <v>2198</v>
      </c>
      <c r="M2457" t="str">
        <f>"https://www.artic.edu/iiif/2/"&amp;Table9[[#This Row],[Image ID]]&amp;"/full/843,/0/default.jpg"</f>
        <v>https://www.artic.edu/iiif/2/09917431-5e0b-359d-1071-c16a7012cc12/full/843,/0/default.jpg</v>
      </c>
      <c r="N2457" s="3">
        <v>0.67500000000000004</v>
      </c>
      <c r="O2457" s="3">
        <v>7.4999999999999997E-2</v>
      </c>
      <c r="P2457" s="3">
        <v>0.60000000000000009</v>
      </c>
      <c r="Q2457" s="3">
        <v>0.80843734741210904</v>
      </c>
    </row>
    <row r="2458" spans="1:17" x14ac:dyDescent="0.45">
      <c r="A2458" s="3">
        <v>96559</v>
      </c>
      <c r="B2458" t="b">
        <v>0</v>
      </c>
      <c r="C2458" t="b">
        <v>1</v>
      </c>
      <c r="D2458" s="3">
        <v>1873</v>
      </c>
      <c r="E2458" s="3">
        <v>1873</v>
      </c>
      <c r="F2458" t="s">
        <v>10798</v>
      </c>
      <c r="G2458" t="s">
        <v>7</v>
      </c>
      <c r="H2458" s="3">
        <v>17.860299999999999</v>
      </c>
      <c r="I2458" t="s">
        <v>3452</v>
      </c>
      <c r="J2458" t="s">
        <v>11168</v>
      </c>
      <c r="L2458" t="s">
        <v>10799</v>
      </c>
      <c r="M2458" t="str">
        <f>"https://www.artic.edu/iiif/2/"&amp;Table9[[#This Row],[Image ID]]&amp;"/full/843,/0/default.jpg"</f>
        <v>https://www.artic.edu/iiif/2/0f076222-52b2-9bb4-4409-72fdf485d895/full/843,/0/default.jpg</v>
      </c>
      <c r="N2458" s="3">
        <v>0.67500000000000004</v>
      </c>
      <c r="O2458" s="3">
        <v>7.4999999999999997E-2</v>
      </c>
      <c r="P2458" s="3">
        <v>0.60000000000000009</v>
      </c>
      <c r="Q2458" s="3">
        <v>0.43874272704124401</v>
      </c>
    </row>
    <row r="2459" spans="1:17" x14ac:dyDescent="0.45">
      <c r="A2459" s="3">
        <v>39093</v>
      </c>
      <c r="B2459" t="b">
        <v>0</v>
      </c>
      <c r="C2459" t="b">
        <v>1</v>
      </c>
      <c r="D2459" s="3">
        <v>1835</v>
      </c>
      <c r="E2459" s="3">
        <v>1882</v>
      </c>
      <c r="F2459" t="s">
        <v>7432</v>
      </c>
      <c r="G2459" t="s">
        <v>7433</v>
      </c>
      <c r="H2459" s="3">
        <v>31.799299999999999</v>
      </c>
      <c r="I2459" t="s">
        <v>5317</v>
      </c>
      <c r="J2459" t="s">
        <v>11173</v>
      </c>
      <c r="L2459" t="s">
        <v>7434</v>
      </c>
      <c r="M2459" t="str">
        <f>"https://www.artic.edu/iiif/2/"&amp;Table9[[#This Row],[Image ID]]&amp;"/full/843,/0/default.jpg"</f>
        <v>https://www.artic.edu/iiif/2/0f1e55e2-c25c-f5cb-08cf-5e5ba950407b/full/843,/0/default.jpg</v>
      </c>
      <c r="N2459" s="3">
        <v>0.77500000000000002</v>
      </c>
      <c r="O2459" s="3">
        <v>0.17499999999999999</v>
      </c>
      <c r="P2459" s="3">
        <v>0.60000000000000009</v>
      </c>
      <c r="Q2459" s="3">
        <v>0.66732054948806696</v>
      </c>
    </row>
    <row r="2460" spans="1:17" x14ac:dyDescent="0.45">
      <c r="A2460" s="3">
        <v>114178</v>
      </c>
      <c r="B2460" t="b">
        <v>0</v>
      </c>
      <c r="C2460" t="b">
        <v>1</v>
      </c>
      <c r="D2460" s="3">
        <v>1840</v>
      </c>
      <c r="E2460" s="3">
        <v>1845</v>
      </c>
      <c r="F2460" t="s">
        <v>1567</v>
      </c>
      <c r="G2460" t="s">
        <v>1568</v>
      </c>
      <c r="H2460" s="3">
        <v>19.5364</v>
      </c>
      <c r="I2460" t="s">
        <v>1569</v>
      </c>
      <c r="J2460" t="s">
        <v>11217</v>
      </c>
      <c r="L2460" t="s">
        <v>1570</v>
      </c>
      <c r="M2460" t="str">
        <f>"https://www.artic.edu/iiif/2/"&amp;Table9[[#This Row],[Image ID]]&amp;"/full/843,/0/default.jpg"</f>
        <v>https://www.artic.edu/iiif/2/124ca698-69ee-32da-64f0-d75b963d27bf/full/843,/0/default.jpg</v>
      </c>
      <c r="N2460" s="3">
        <v>0.77500000000000002</v>
      </c>
      <c r="O2460" s="3">
        <v>0.17499999999999999</v>
      </c>
      <c r="P2460" s="3">
        <v>0.60000000000000009</v>
      </c>
      <c r="Q2460" s="3">
        <v>0.58734703063964799</v>
      </c>
    </row>
    <row r="2461" spans="1:17" x14ac:dyDescent="0.45">
      <c r="A2461" s="3">
        <v>113946</v>
      </c>
      <c r="B2461" t="b">
        <v>0</v>
      </c>
      <c r="C2461" t="b">
        <v>1</v>
      </c>
      <c r="D2461" s="3">
        <v>1864</v>
      </c>
      <c r="E2461" s="3">
        <v>1878</v>
      </c>
      <c r="F2461" t="s">
        <v>1524</v>
      </c>
      <c r="G2461" t="s">
        <v>1525</v>
      </c>
      <c r="H2461" s="3">
        <v>25.689</v>
      </c>
      <c r="I2461" t="s">
        <v>923</v>
      </c>
      <c r="J2461" t="s">
        <v>11480</v>
      </c>
      <c r="L2461" t="s">
        <v>1526</v>
      </c>
      <c r="M2461" t="str">
        <f>"https://www.artic.edu/iiif/2/"&amp;Table9[[#This Row],[Image ID]]&amp;"/full/843,/0/default.jpg"</f>
        <v>https://www.artic.edu/iiif/2/236438d0-3723-8399-e149-da5763b1710b/full/843,/0/default.jpg</v>
      </c>
      <c r="N2461" s="3">
        <v>0.67500000000000004</v>
      </c>
      <c r="O2461" s="3">
        <v>7.4999999999999997E-2</v>
      </c>
      <c r="P2461" s="3">
        <v>0.60000000000000009</v>
      </c>
      <c r="Q2461" s="3">
        <v>0.85849517583847001</v>
      </c>
    </row>
    <row r="2462" spans="1:17" x14ac:dyDescent="0.45">
      <c r="A2462" s="3">
        <v>14594</v>
      </c>
      <c r="B2462" t="b">
        <v>0</v>
      </c>
      <c r="C2462" t="b">
        <v>1</v>
      </c>
      <c r="D2462" s="3">
        <v>1873</v>
      </c>
      <c r="E2462" s="3">
        <v>1883</v>
      </c>
      <c r="F2462" t="s">
        <v>3426</v>
      </c>
      <c r="G2462" t="s">
        <v>7</v>
      </c>
      <c r="H2462" s="3">
        <v>26.956199999999999</v>
      </c>
      <c r="I2462" t="s">
        <v>14636</v>
      </c>
      <c r="J2462" t="s">
        <v>11484</v>
      </c>
      <c r="L2462" t="s">
        <v>3427</v>
      </c>
      <c r="M2462" t="str">
        <f>"https://www.artic.edu/iiif/2/"&amp;Table9[[#This Row],[Image ID]]&amp;"/full/843,/0/default.jpg"</f>
        <v>https://www.artic.edu/iiif/2/23c6c5c9-b8bf-8664-f547-4ddc932733f8/full/843,/0/default.jpg</v>
      </c>
      <c r="N2462" s="3">
        <v>0.67500000000000004</v>
      </c>
      <c r="O2462" s="3">
        <v>7.4999999999999997E-2</v>
      </c>
      <c r="P2462" s="3">
        <v>0.60000000000000009</v>
      </c>
      <c r="Q2462" s="3">
        <v>0.74952507019042902</v>
      </c>
    </row>
    <row r="2463" spans="1:17" x14ac:dyDescent="0.45">
      <c r="A2463" s="3">
        <v>16205</v>
      </c>
      <c r="B2463" t="b">
        <v>0</v>
      </c>
      <c r="C2463" t="b">
        <v>1</v>
      </c>
      <c r="D2463" s="3">
        <v>1500</v>
      </c>
      <c r="E2463" s="3">
        <v>1505</v>
      </c>
      <c r="F2463" t="s">
        <v>4003</v>
      </c>
      <c r="G2463" t="s">
        <v>4302</v>
      </c>
      <c r="H2463" s="3">
        <v>38.373199999999997</v>
      </c>
      <c r="I2463" t="s">
        <v>2732</v>
      </c>
      <c r="J2463" t="s">
        <v>11516</v>
      </c>
      <c r="L2463" t="s">
        <v>4306</v>
      </c>
      <c r="M2463" t="str">
        <f>"https://www.artic.edu/iiif/2/"&amp;Table9[[#This Row],[Image ID]]&amp;"/full/843,/0/default.jpg"</f>
        <v>https://www.artic.edu/iiif/2/2626ffe7-06f7-a25d-546c-6a42d4936122/full/843,/0/default.jpg</v>
      </c>
      <c r="N2463" s="3">
        <v>0.77500000000000002</v>
      </c>
      <c r="O2463" s="3">
        <v>0.17499999999999999</v>
      </c>
      <c r="P2463" s="3">
        <v>0.60000000000000009</v>
      </c>
      <c r="Q2463" s="3">
        <v>0.83174800872802701</v>
      </c>
    </row>
    <row r="2464" spans="1:17" x14ac:dyDescent="0.45">
      <c r="A2464" s="3">
        <v>81572</v>
      </c>
      <c r="B2464" t="b">
        <v>0</v>
      </c>
      <c r="C2464" t="b">
        <v>1</v>
      </c>
      <c r="D2464" s="3">
        <v>1865</v>
      </c>
      <c r="E2464" s="3">
        <v>1865</v>
      </c>
      <c r="F2464" t="s">
        <v>10145</v>
      </c>
      <c r="G2464" t="s">
        <v>7</v>
      </c>
      <c r="H2464" s="3">
        <v>14.3759</v>
      </c>
      <c r="I2464" t="s">
        <v>527</v>
      </c>
      <c r="J2464" t="s">
        <v>11784</v>
      </c>
      <c r="K2464" s="5" t="s">
        <v>9</v>
      </c>
      <c r="L2464" t="s">
        <v>10146</v>
      </c>
      <c r="M2464" t="str">
        <f>"https://www.artic.edu/iiif/2/"&amp;Table9[[#This Row],[Image ID]]&amp;"/full/843,/0/default.jpg"</f>
        <v>https://www.artic.edu/iiif/2/37f802ca-7831-14d6-82c6-060d825baabd/full/843,/0/default.jpg</v>
      </c>
      <c r="N2464" s="3">
        <v>0.77500000000000002</v>
      </c>
      <c r="O2464" s="3">
        <v>0.17499999999999999</v>
      </c>
      <c r="P2464" s="3">
        <v>0.60000000000000009</v>
      </c>
      <c r="Q2464" s="3">
        <v>0.74185705184936501</v>
      </c>
    </row>
    <row r="2465" spans="1:17" x14ac:dyDescent="0.45">
      <c r="A2465" s="3">
        <v>136938</v>
      </c>
      <c r="B2465" t="b">
        <v>0</v>
      </c>
      <c r="C2465" t="b">
        <v>1</v>
      </c>
      <c r="D2465" s="3">
        <v>1783</v>
      </c>
      <c r="E2465" s="3">
        <v>1783</v>
      </c>
      <c r="F2465" t="s">
        <v>3174</v>
      </c>
      <c r="G2465" t="s">
        <v>3175</v>
      </c>
      <c r="H2465" s="3">
        <v>30.3749</v>
      </c>
      <c r="I2465" t="s">
        <v>2568</v>
      </c>
      <c r="J2465" t="s">
        <v>12075</v>
      </c>
      <c r="L2465" t="s">
        <v>3176</v>
      </c>
      <c r="M2465" t="str">
        <f>"https://www.artic.edu/iiif/2/"&amp;Table9[[#This Row],[Image ID]]&amp;"/full/843,/0/default.jpg"</f>
        <v>https://www.artic.edu/iiif/2/4bb462f0-63dc-fe7e-0703-8a9cdf18986c/full/843,/0/default.jpg</v>
      </c>
      <c r="N2465" s="3">
        <v>0.67500000000000004</v>
      </c>
      <c r="O2465" s="3">
        <v>7.4999999999999997E-2</v>
      </c>
      <c r="P2465" s="3">
        <v>0.60000000000000009</v>
      </c>
      <c r="Q2465" s="3">
        <v>0.69673627614974898</v>
      </c>
    </row>
    <row r="2466" spans="1:17" x14ac:dyDescent="0.45">
      <c r="A2466" s="3">
        <v>109418</v>
      </c>
      <c r="B2466" t="b">
        <v>0</v>
      </c>
      <c r="C2466" t="b">
        <v>1</v>
      </c>
      <c r="D2466" s="3">
        <v>1890</v>
      </c>
      <c r="E2466" s="3">
        <v>1894</v>
      </c>
      <c r="F2466" t="s">
        <v>780</v>
      </c>
      <c r="G2466" t="s">
        <v>7</v>
      </c>
      <c r="H2466" s="3">
        <v>30.324400000000001</v>
      </c>
      <c r="I2466" t="s">
        <v>14591</v>
      </c>
      <c r="J2466" t="s">
        <v>12357</v>
      </c>
      <c r="K2466" s="5" t="s">
        <v>115</v>
      </c>
      <c r="L2466" t="s">
        <v>781</v>
      </c>
      <c r="M2466" t="str">
        <f>"https://www.artic.edu/iiif/2/"&amp;Table9[[#This Row],[Image ID]]&amp;"/full/843,/0/default.jpg"</f>
        <v>https://www.artic.edu/iiif/2/5ec2faea-0636-15d9-9c95-2fd89f85196c/full/843,/0/default.jpg</v>
      </c>
      <c r="N2466" s="3">
        <v>0.67500000000000004</v>
      </c>
      <c r="O2466" s="3">
        <v>7.4999999999999997E-2</v>
      </c>
      <c r="P2466" s="3">
        <v>0.60000000000000009</v>
      </c>
      <c r="Q2466" s="3">
        <v>0.60600513219833296</v>
      </c>
    </row>
    <row r="2467" spans="1:17" x14ac:dyDescent="0.45">
      <c r="A2467" s="3">
        <v>183293</v>
      </c>
      <c r="B2467" t="b">
        <v>0</v>
      </c>
      <c r="C2467" t="b">
        <v>1</v>
      </c>
      <c r="D2467" s="3">
        <v>1818</v>
      </c>
      <c r="E2467" s="3">
        <v>1818</v>
      </c>
      <c r="F2467" t="s">
        <v>3749</v>
      </c>
      <c r="G2467" t="s">
        <v>7</v>
      </c>
      <c r="H2467" s="3">
        <v>27.164000000000001</v>
      </c>
      <c r="I2467" t="s">
        <v>4783</v>
      </c>
      <c r="J2467" t="s">
        <v>12431</v>
      </c>
      <c r="L2467" t="s">
        <v>4784</v>
      </c>
      <c r="M2467" t="str">
        <f>"https://www.artic.edu/iiif/2/"&amp;Table9[[#This Row],[Image ID]]&amp;"/full/843,/0/default.jpg"</f>
        <v>https://www.artic.edu/iiif/2/63e18e3e-35a6-699c-a824-d75228c2f1fa/full/843,/0/default.jpg</v>
      </c>
      <c r="N2467" s="3">
        <v>0.77500000000000002</v>
      </c>
      <c r="O2467" s="3">
        <v>0.17499999999999999</v>
      </c>
      <c r="P2467" s="3">
        <v>0.60000000000000009</v>
      </c>
      <c r="Q2467" s="3">
        <v>0.47611978650093001</v>
      </c>
    </row>
    <row r="2468" spans="1:17" x14ac:dyDescent="0.45">
      <c r="A2468" s="3">
        <v>105704</v>
      </c>
      <c r="B2468" t="b">
        <v>0</v>
      </c>
      <c r="C2468" t="b">
        <v>1</v>
      </c>
      <c r="D2468" s="3">
        <v>1758</v>
      </c>
      <c r="E2468" s="3">
        <v>1764</v>
      </c>
      <c r="F2468" t="s">
        <v>551</v>
      </c>
      <c r="G2468" t="s">
        <v>7</v>
      </c>
      <c r="H2468" s="3">
        <v>33.6447</v>
      </c>
      <c r="I2468" t="s">
        <v>552</v>
      </c>
      <c r="J2468" t="s">
        <v>12446</v>
      </c>
      <c r="L2468" t="s">
        <v>553</v>
      </c>
      <c r="M2468" t="str">
        <f>"https://www.artic.edu/iiif/2/"&amp;Table9[[#This Row],[Image ID]]&amp;"/full/843,/0/default.jpg"</f>
        <v>https://www.artic.edu/iiif/2/651f90ff-ddbd-9343-055b-0c07134c891c/full/843,/0/default.jpg</v>
      </c>
      <c r="N2468" s="3">
        <v>0.67500000000000004</v>
      </c>
      <c r="O2468" s="3">
        <v>7.4999999999999997E-2</v>
      </c>
      <c r="P2468" s="3">
        <v>0.60000000000000009</v>
      </c>
      <c r="Q2468" s="3">
        <v>0.72788697481155396</v>
      </c>
    </row>
    <row r="2469" spans="1:17" x14ac:dyDescent="0.45">
      <c r="A2469" s="3">
        <v>81540</v>
      </c>
      <c r="B2469" t="b">
        <v>0</v>
      </c>
      <c r="C2469" t="b">
        <v>1</v>
      </c>
      <c r="D2469" s="3">
        <v>1885</v>
      </c>
      <c r="E2469" s="3">
        <v>1885</v>
      </c>
      <c r="F2469" t="s">
        <v>14642</v>
      </c>
      <c r="G2469" t="s">
        <v>7</v>
      </c>
      <c r="H2469" s="3">
        <v>17.139199999999999</v>
      </c>
      <c r="I2469" t="s">
        <v>43</v>
      </c>
      <c r="J2469" t="s">
        <v>12558</v>
      </c>
      <c r="L2469" t="s">
        <v>10125</v>
      </c>
      <c r="M2469" t="str">
        <f>"https://www.artic.edu/iiif/2/"&amp;Table9[[#This Row],[Image ID]]&amp;"/full/843,/0/default.jpg"</f>
        <v>https://www.artic.edu/iiif/2/6ca224d1-c3dc-a223-a127-0492301a2ebb/full/843,/0/default.jpg</v>
      </c>
      <c r="N2469" s="3">
        <v>0.67500000000000004</v>
      </c>
      <c r="O2469" s="3">
        <v>7.4999999999999997E-2</v>
      </c>
      <c r="P2469" s="3">
        <v>0.60000000000000009</v>
      </c>
      <c r="Q2469" s="3">
        <v>0.70706123113632202</v>
      </c>
    </row>
    <row r="2470" spans="1:17" x14ac:dyDescent="0.45">
      <c r="A2470" s="3">
        <v>115514</v>
      </c>
      <c r="B2470" t="b">
        <v>0</v>
      </c>
      <c r="C2470" t="b">
        <v>1</v>
      </c>
      <c r="D2470" s="3">
        <v>1719</v>
      </c>
      <c r="E2470" s="3">
        <v>1769</v>
      </c>
      <c r="F2470" t="s">
        <v>1964</v>
      </c>
      <c r="G2470" t="s">
        <v>1921</v>
      </c>
      <c r="H2470" s="3">
        <v>25.923200000000001</v>
      </c>
      <c r="I2470" t="s">
        <v>1922</v>
      </c>
      <c r="J2470" t="s">
        <v>12767</v>
      </c>
      <c r="L2470" t="s">
        <v>1994</v>
      </c>
      <c r="M2470" t="str">
        <f>"https://www.artic.edu/iiif/2/"&amp;Table9[[#This Row],[Image ID]]&amp;"/full/843,/0/default.jpg"</f>
        <v>https://www.artic.edu/iiif/2/7c4bc48e-2df4-27e6-2397-1af07155bf11/full/843,/0/default.jpg</v>
      </c>
      <c r="N2470" s="3">
        <v>0.67500000000000004</v>
      </c>
      <c r="O2470" s="3">
        <v>7.4999999999999997E-2</v>
      </c>
      <c r="P2470" s="3">
        <v>0.60000000000000009</v>
      </c>
      <c r="Q2470" s="3">
        <v>0.82191175222396795</v>
      </c>
    </row>
    <row r="2471" spans="1:17" x14ac:dyDescent="0.45">
      <c r="A2471" s="3">
        <v>133859</v>
      </c>
      <c r="B2471" t="b">
        <v>0</v>
      </c>
      <c r="C2471" t="b">
        <v>1</v>
      </c>
      <c r="D2471" s="3">
        <v>1770</v>
      </c>
      <c r="E2471" s="3">
        <v>1790</v>
      </c>
      <c r="F2471" t="s">
        <v>3075</v>
      </c>
      <c r="G2471" t="s">
        <v>7</v>
      </c>
      <c r="H2471" s="3">
        <v>33.696800000000003</v>
      </c>
      <c r="I2471" t="s">
        <v>3076</v>
      </c>
      <c r="J2471" t="s">
        <v>12838</v>
      </c>
      <c r="L2471" t="s">
        <v>3077</v>
      </c>
      <c r="M2471" t="str">
        <f>"https://www.artic.edu/iiif/2/"&amp;Table9[[#This Row],[Image ID]]&amp;"/full/843,/0/default.jpg"</f>
        <v>https://www.artic.edu/iiif/2/8115bdb2-1a8c-bb25-a37b-5f804f3a84a9/full/843,/0/default.jpg</v>
      </c>
      <c r="N2471" s="3">
        <v>0.8</v>
      </c>
      <c r="O2471" s="3">
        <v>0.2</v>
      </c>
      <c r="P2471" s="3">
        <v>0.60000000000000009</v>
      </c>
      <c r="Q2471" s="3">
        <v>0.77205234766006403</v>
      </c>
    </row>
    <row r="2472" spans="1:17" x14ac:dyDescent="0.45">
      <c r="A2472" s="3">
        <v>100342</v>
      </c>
      <c r="B2472" t="b">
        <v>0</v>
      </c>
      <c r="C2472" t="b">
        <v>1</v>
      </c>
      <c r="D2472" s="3">
        <v>1610</v>
      </c>
      <c r="E2472" s="3">
        <v>1620</v>
      </c>
      <c r="F2472" t="s">
        <v>78</v>
      </c>
      <c r="G2472" t="s">
        <v>75</v>
      </c>
      <c r="H2472" s="3">
        <v>29.467700000000001</v>
      </c>
      <c r="I2472" t="s">
        <v>79</v>
      </c>
      <c r="J2472" t="s">
        <v>12999</v>
      </c>
      <c r="L2472" t="s">
        <v>80</v>
      </c>
      <c r="M2472" t="str">
        <f>"https://www.artic.edu/iiif/2/"&amp;Table9[[#This Row],[Image ID]]&amp;"/full/843,/0/default.jpg"</f>
        <v>https://www.artic.edu/iiif/2/8df04a6e-cc79-491b-86d4-388c2b33d888/full/843,/0/default.jpg</v>
      </c>
      <c r="N2472" s="3">
        <v>0.67500000000000004</v>
      </c>
      <c r="O2472" s="3">
        <v>7.4999999999999997E-2</v>
      </c>
      <c r="P2472" s="3">
        <v>0.60000000000000009</v>
      </c>
      <c r="Q2472" s="3">
        <v>0.77149051427841098</v>
      </c>
    </row>
    <row r="2473" spans="1:17" x14ac:dyDescent="0.45">
      <c r="A2473" s="3">
        <v>59930</v>
      </c>
      <c r="B2473" t="b">
        <v>0</v>
      </c>
      <c r="C2473" t="b">
        <v>1</v>
      </c>
      <c r="D2473" s="3">
        <v>1865</v>
      </c>
      <c r="E2473" s="3">
        <v>1875</v>
      </c>
      <c r="F2473" t="s">
        <v>8641</v>
      </c>
      <c r="G2473" t="s">
        <v>75</v>
      </c>
      <c r="H2473" s="3">
        <v>0</v>
      </c>
      <c r="I2473" t="s">
        <v>309</v>
      </c>
      <c r="J2473" t="s">
        <v>13125</v>
      </c>
      <c r="L2473" t="s">
        <v>8642</v>
      </c>
      <c r="M2473" t="str">
        <f>"https://www.artic.edu/iiif/2/"&amp;Table9[[#This Row],[Image ID]]&amp;"/full/843,/0/default.jpg"</f>
        <v>https://www.artic.edu/iiif/2/98349f35-f768-6a6b-3c41-c7f43207ba58/full/843,/0/default.jpg</v>
      </c>
      <c r="N2473" s="3">
        <v>0.67500000000000004</v>
      </c>
      <c r="O2473" s="3">
        <v>7.4999999999999997E-2</v>
      </c>
      <c r="P2473" s="3">
        <v>0.60000000000000009</v>
      </c>
      <c r="Q2473" s="3">
        <v>0.62096780538558904</v>
      </c>
    </row>
    <row r="2474" spans="1:17" x14ac:dyDescent="0.45">
      <c r="A2474" s="3">
        <v>16484</v>
      </c>
      <c r="B2474" t="b">
        <v>0</v>
      </c>
      <c r="C2474" t="b">
        <v>1</v>
      </c>
      <c r="D2474" s="3">
        <v>1807</v>
      </c>
      <c r="E2474" s="3">
        <v>1807</v>
      </c>
      <c r="F2474" t="s">
        <v>4443</v>
      </c>
      <c r="G2474" t="s">
        <v>238</v>
      </c>
      <c r="H2474" s="3">
        <v>24.516400000000001</v>
      </c>
      <c r="J2474" t="s">
        <v>13162</v>
      </c>
      <c r="L2474" t="s">
        <v>4444</v>
      </c>
      <c r="M2474" t="str">
        <f>"https://www.artic.edu/iiif/2/"&amp;Table9[[#This Row],[Image ID]]&amp;"/full/843,/0/default.jpg"</f>
        <v>https://www.artic.edu/iiif/2/9acdda40-25d6-1df9-939a-93ca898e9667/full/843,/0/default.jpg</v>
      </c>
      <c r="N2474" s="3">
        <v>0.67500000000000004</v>
      </c>
      <c r="O2474" s="3">
        <v>7.4999999999999997E-2</v>
      </c>
      <c r="P2474" s="3">
        <v>0.60000000000000009</v>
      </c>
      <c r="Q2474" s="3">
        <v>0.43205046653747498</v>
      </c>
    </row>
    <row r="2475" spans="1:17" x14ac:dyDescent="0.45">
      <c r="A2475" s="3">
        <v>22808</v>
      </c>
      <c r="B2475" t="b">
        <v>0</v>
      </c>
      <c r="C2475" t="b">
        <v>1</v>
      </c>
      <c r="D2475" s="3">
        <v>1805</v>
      </c>
      <c r="E2475" s="3">
        <v>1815</v>
      </c>
      <c r="F2475" t="s">
        <v>5987</v>
      </c>
      <c r="G2475" t="s">
        <v>75</v>
      </c>
      <c r="H2475" s="3">
        <v>27.105399999999999</v>
      </c>
      <c r="I2475" t="s">
        <v>14559</v>
      </c>
      <c r="J2475" t="s">
        <v>13444</v>
      </c>
      <c r="L2475" t="s">
        <v>5988</v>
      </c>
      <c r="M2475" t="str">
        <f>"https://www.artic.edu/iiif/2/"&amp;Table9[[#This Row],[Image ID]]&amp;"/full/843,/0/default.jpg"</f>
        <v>https://www.artic.edu/iiif/2/afb4a096-e233-f27c-7da9-0cee3dfa81ee/full/843,/0/default.jpg</v>
      </c>
      <c r="N2475" s="3">
        <v>0.67500000000000004</v>
      </c>
      <c r="O2475" s="3">
        <v>7.4999999999999997E-2</v>
      </c>
      <c r="P2475" s="3">
        <v>0.60000000000000009</v>
      </c>
      <c r="Q2475" s="3">
        <v>0.53436261415481501</v>
      </c>
    </row>
    <row r="2476" spans="1:17" x14ac:dyDescent="0.45">
      <c r="A2476" s="3">
        <v>217675</v>
      </c>
      <c r="B2476" t="b">
        <v>0</v>
      </c>
      <c r="C2476" t="b">
        <v>1</v>
      </c>
      <c r="D2476" s="3">
        <v>1895</v>
      </c>
      <c r="E2476" s="3">
        <v>1896</v>
      </c>
      <c r="F2476" t="s">
        <v>5725</v>
      </c>
      <c r="G2476" t="s">
        <v>5726</v>
      </c>
      <c r="H2476" s="3">
        <v>18.2913</v>
      </c>
      <c r="I2476" t="s">
        <v>5727</v>
      </c>
      <c r="J2476" t="s">
        <v>11026</v>
      </c>
      <c r="K2476" s="5" t="s">
        <v>130</v>
      </c>
      <c r="L2476" t="s">
        <v>5728</v>
      </c>
      <c r="M2476" t="str">
        <f>"https://www.artic.edu/iiif/2/"&amp;Table9[[#This Row],[Image ID]]&amp;"/full/843,/0/default.jpg"</f>
        <v>https://www.artic.edu/iiif/2/b9152741-e97a-d51d-6dc3-6769f042089a/full/843,/0/default.jpg</v>
      </c>
      <c r="N2476" s="3">
        <v>0.67500000000000004</v>
      </c>
      <c r="O2476" s="3">
        <v>7.4999999999999997E-2</v>
      </c>
      <c r="P2476" s="3">
        <v>0.60000000000000009</v>
      </c>
      <c r="Q2476" s="3">
        <v>0.70183414220809903</v>
      </c>
    </row>
    <row r="2477" spans="1:17" x14ac:dyDescent="0.45">
      <c r="A2477" s="3">
        <v>14703</v>
      </c>
      <c r="B2477" t="b">
        <v>0</v>
      </c>
      <c r="C2477" t="b">
        <v>1</v>
      </c>
      <c r="D2477" s="3">
        <v>1301</v>
      </c>
      <c r="E2477" s="3">
        <v>1400</v>
      </c>
      <c r="F2477" t="s">
        <v>3573</v>
      </c>
      <c r="G2477" t="s">
        <v>584</v>
      </c>
      <c r="H2477" s="3">
        <v>34.7973</v>
      </c>
      <c r="J2477" t="s">
        <v>13563</v>
      </c>
      <c r="K2477" s="5" t="s">
        <v>278</v>
      </c>
      <c r="L2477" t="s">
        <v>3574</v>
      </c>
      <c r="M2477" t="str">
        <f>"https://www.artic.edu/iiif/2/"&amp;Table9[[#This Row],[Image ID]]&amp;"/full/843,/0/default.jpg"</f>
        <v>https://www.artic.edu/iiif/2/b9a0a027-a597-9f9b-bbbe-1167222fe439/full/843,/0/default.jpg</v>
      </c>
      <c r="N2477" s="3">
        <v>0.77500000000000002</v>
      </c>
      <c r="O2477" s="3">
        <v>0.17499999999999999</v>
      </c>
      <c r="P2477" s="3">
        <v>0.60000000000000009</v>
      </c>
      <c r="Q2477" s="3">
        <v>0.68671464920043901</v>
      </c>
    </row>
    <row r="2478" spans="1:17" x14ac:dyDescent="0.45">
      <c r="A2478" s="3">
        <v>111620</v>
      </c>
      <c r="B2478" t="b">
        <v>0</v>
      </c>
      <c r="C2478" t="b">
        <v>1</v>
      </c>
      <c r="D2478" s="3">
        <v>1670</v>
      </c>
      <c r="E2478" s="3">
        <v>1680</v>
      </c>
      <c r="F2478" t="s">
        <v>1150</v>
      </c>
      <c r="G2478" t="s">
        <v>7</v>
      </c>
      <c r="H2478" s="3">
        <v>24.171900000000001</v>
      </c>
      <c r="I2478" t="s">
        <v>1151</v>
      </c>
      <c r="J2478" t="s">
        <v>13650</v>
      </c>
      <c r="L2478" t="s">
        <v>1152</v>
      </c>
      <c r="M2478" t="str">
        <f>"https://www.artic.edu/iiif/2/"&amp;Table9[[#This Row],[Image ID]]&amp;"/full/843,/0/default.jpg"</f>
        <v>https://www.artic.edu/iiif/2/c01c7f64-0098-a2d5-56c2-3eb0b28f68ae/full/843,/0/default.jpg</v>
      </c>
      <c r="N2478" s="3">
        <v>0.77500000000000002</v>
      </c>
      <c r="O2478" s="3">
        <v>0.17499999999999999</v>
      </c>
      <c r="P2478" s="3">
        <v>0.60000000000000009</v>
      </c>
      <c r="Q2478" s="3">
        <v>0.62140554189681996</v>
      </c>
    </row>
    <row r="2479" spans="1:17" x14ac:dyDescent="0.45">
      <c r="A2479" s="3">
        <v>100352</v>
      </c>
      <c r="B2479" t="b">
        <v>0</v>
      </c>
      <c r="C2479" t="b">
        <v>1</v>
      </c>
      <c r="D2479" s="3">
        <v>1870</v>
      </c>
      <c r="E2479" s="3">
        <v>1870</v>
      </c>
      <c r="F2479" t="s">
        <v>98</v>
      </c>
      <c r="G2479" t="s">
        <v>7</v>
      </c>
      <c r="H2479" s="3">
        <v>22.181100000000001</v>
      </c>
      <c r="I2479" t="s">
        <v>99</v>
      </c>
      <c r="J2479" t="s">
        <v>13711</v>
      </c>
      <c r="L2479" t="s">
        <v>100</v>
      </c>
      <c r="M2479" t="str">
        <f>"https://www.artic.edu/iiif/2/"&amp;Table9[[#This Row],[Image ID]]&amp;"/full/843,/0/default.jpg"</f>
        <v>https://www.artic.edu/iiif/2/c54a8b04-9034-37cf-6dbc-13a4f6f17706/full/843,/0/default.jpg</v>
      </c>
      <c r="N2479" s="3">
        <v>0.67500000000000004</v>
      </c>
      <c r="O2479" s="3">
        <v>7.4999999999999997E-2</v>
      </c>
      <c r="P2479" s="3">
        <v>0.60000000000000009</v>
      </c>
      <c r="Q2479" s="3">
        <v>0.60605067014694203</v>
      </c>
    </row>
    <row r="2480" spans="1:17" x14ac:dyDescent="0.45">
      <c r="A2480" s="3">
        <v>38994</v>
      </c>
      <c r="B2480" t="b">
        <v>0</v>
      </c>
      <c r="C2480" t="b">
        <v>1</v>
      </c>
      <c r="D2480" s="3">
        <v>1810</v>
      </c>
      <c r="E2480" s="3">
        <v>1820</v>
      </c>
      <c r="F2480" t="s">
        <v>7363</v>
      </c>
      <c r="G2480" t="s">
        <v>7364</v>
      </c>
      <c r="H2480" s="3">
        <v>30.497699999999998</v>
      </c>
      <c r="I2480" t="s">
        <v>1359</v>
      </c>
      <c r="J2480" t="s">
        <v>13950</v>
      </c>
      <c r="L2480" t="s">
        <v>7365</v>
      </c>
      <c r="M2480" t="str">
        <f>"https://www.artic.edu/iiif/2/"&amp;Table9[[#This Row],[Image ID]]&amp;"/full/843,/0/default.jpg"</f>
        <v>https://www.artic.edu/iiif/2/d7f1cef3-110f-5a71-d602-1cd861405ea8/full/843,/0/default.jpg</v>
      </c>
      <c r="N2480" s="3">
        <v>0.67500000000000004</v>
      </c>
      <c r="O2480" s="3">
        <v>7.4999999999999997E-2</v>
      </c>
      <c r="P2480" s="3">
        <v>0.60000000000000009</v>
      </c>
      <c r="Q2480" s="3">
        <v>0.54553669691085804</v>
      </c>
    </row>
    <row r="2481" spans="1:17" x14ac:dyDescent="0.45">
      <c r="A2481" s="3">
        <v>131816</v>
      </c>
      <c r="B2481" t="b">
        <v>0</v>
      </c>
      <c r="C2481" t="b">
        <v>1</v>
      </c>
      <c r="D2481" s="3">
        <v>1508</v>
      </c>
      <c r="E2481" s="3">
        <v>1518</v>
      </c>
      <c r="F2481" t="s">
        <v>2983</v>
      </c>
      <c r="G2481" t="s">
        <v>2984</v>
      </c>
      <c r="H2481" s="3">
        <v>71.202399999999997</v>
      </c>
      <c r="J2481" t="s">
        <v>13969</v>
      </c>
      <c r="K2481" s="5" t="s">
        <v>5</v>
      </c>
      <c r="L2481" t="s">
        <v>2985</v>
      </c>
      <c r="M2481" t="str">
        <f>"https://www.artic.edu/iiif/2/"&amp;Table9[[#This Row],[Image ID]]&amp;"/full/843,/0/default.jpg"</f>
        <v>https://www.artic.edu/iiif/2/d9624683-20a2-5073-1406-8ff451f2068a/full/843,/0/default.jpg</v>
      </c>
      <c r="N2481" s="3">
        <v>0.67500000000000004</v>
      </c>
      <c r="O2481" s="3">
        <v>7.4999999999999997E-2</v>
      </c>
      <c r="P2481" s="3">
        <v>0.60000000000000009</v>
      </c>
      <c r="Q2481" s="3">
        <v>0.76539039611816395</v>
      </c>
    </row>
    <row r="2482" spans="1:17" x14ac:dyDescent="0.45">
      <c r="A2482" s="3">
        <v>16560</v>
      </c>
      <c r="B2482" t="b">
        <v>0</v>
      </c>
      <c r="C2482" t="b">
        <v>1</v>
      </c>
      <c r="D2482" s="3">
        <v>1890</v>
      </c>
      <c r="E2482" s="3">
        <v>1891</v>
      </c>
      <c r="F2482" t="s">
        <v>4490</v>
      </c>
      <c r="G2482" t="s">
        <v>7</v>
      </c>
      <c r="H2482" s="3">
        <v>20.504300000000001</v>
      </c>
      <c r="I2482" t="s">
        <v>43</v>
      </c>
      <c r="J2482" t="s">
        <v>13994</v>
      </c>
      <c r="K2482" s="5" t="s">
        <v>9</v>
      </c>
      <c r="L2482" t="s">
        <v>4491</v>
      </c>
      <c r="M2482" t="str">
        <f>"https://www.artic.edu/iiif/2/"&amp;Table9[[#This Row],[Image ID]]&amp;"/full/843,/0/default.jpg"</f>
        <v>https://www.artic.edu/iiif/2/db36f74f-47d9-ad08-cdf9-b4b436e6d18c/full/843,/0/default.jpg</v>
      </c>
      <c r="N2482" s="3">
        <v>0.67500000000000004</v>
      </c>
      <c r="O2482" s="3">
        <v>7.4999999999999997E-2</v>
      </c>
      <c r="P2482" s="3">
        <v>0.60000000000000009</v>
      </c>
      <c r="Q2482" s="3">
        <v>0.581193387508392</v>
      </c>
    </row>
    <row r="2483" spans="1:17" x14ac:dyDescent="0.45">
      <c r="A2483" s="3">
        <v>44063</v>
      </c>
      <c r="B2483" t="b">
        <v>0</v>
      </c>
      <c r="C2483" t="b">
        <v>1</v>
      </c>
      <c r="D2483" s="3">
        <v>1852</v>
      </c>
      <c r="E2483" s="3">
        <v>1862</v>
      </c>
      <c r="F2483" t="s">
        <v>7764</v>
      </c>
      <c r="G2483" t="s">
        <v>7</v>
      </c>
      <c r="H2483" s="3">
        <v>0</v>
      </c>
      <c r="I2483" t="s">
        <v>779</v>
      </c>
      <c r="J2483" t="s">
        <v>14349</v>
      </c>
      <c r="L2483" t="s">
        <v>7765</v>
      </c>
      <c r="M2483" t="str">
        <f>"https://www.artic.edu/iiif/2/"&amp;Table9[[#This Row],[Image ID]]&amp;"/full/843,/0/default.jpg"</f>
        <v>https://www.artic.edu/iiif/2/f27dad32-9804-0df1-6fea-e0cd5c0141cd/full/843,/0/default.jpg</v>
      </c>
      <c r="N2483" s="3">
        <v>0.77500000000000002</v>
      </c>
      <c r="O2483" s="3">
        <v>0.17499999999999999</v>
      </c>
      <c r="P2483" s="3">
        <v>0.60000000000000009</v>
      </c>
      <c r="Q2483" s="3">
        <v>0.59335851669311501</v>
      </c>
    </row>
    <row r="2484" spans="1:17" x14ac:dyDescent="0.45">
      <c r="A2484" s="3">
        <v>157155</v>
      </c>
      <c r="B2484" t="b">
        <v>0</v>
      </c>
      <c r="C2484" t="b">
        <v>0</v>
      </c>
      <c r="D2484" s="3">
        <v>1999</v>
      </c>
      <c r="E2484" s="3">
        <v>1999</v>
      </c>
      <c r="F2484" t="s">
        <v>4092</v>
      </c>
      <c r="G2484" t="s">
        <v>4093</v>
      </c>
      <c r="H2484" s="3">
        <v>67.526300000000006</v>
      </c>
      <c r="I2484" t="s">
        <v>4094</v>
      </c>
      <c r="J2484" t="s">
        <v>11087</v>
      </c>
      <c r="L2484" t="s">
        <v>4095</v>
      </c>
      <c r="M2484" t="str">
        <f>"https://www.artic.edu/iiif/2/"&amp;Table9[[#This Row],[Image ID]]&amp;"/full/843,/0/default.jpg"</f>
        <v>https://www.artic.edu/iiif/2/081458d1-4814-0850-bbd2-f9bcdd07b56a/full/843,/0/default.jpg</v>
      </c>
      <c r="N2484" s="3">
        <v>0.67500000000000004</v>
      </c>
      <c r="O2484" s="3">
        <v>7.4999999999999997E-2</v>
      </c>
      <c r="P2484" s="3">
        <v>0.60000000000000009</v>
      </c>
      <c r="Q2484" s="3">
        <v>0.80795711278915405</v>
      </c>
    </row>
    <row r="2485" spans="1:17" x14ac:dyDescent="0.45">
      <c r="A2485" s="3">
        <v>225744</v>
      </c>
      <c r="B2485" t="b">
        <v>0</v>
      </c>
      <c r="C2485" t="b">
        <v>0</v>
      </c>
      <c r="D2485" s="3">
        <v>1959</v>
      </c>
      <c r="E2485" s="3">
        <v>1959</v>
      </c>
      <c r="F2485" t="s">
        <v>5948</v>
      </c>
      <c r="G2485" t="s">
        <v>5917</v>
      </c>
      <c r="H2485" s="3">
        <v>44.220300000000002</v>
      </c>
      <c r="I2485" t="s">
        <v>5918</v>
      </c>
      <c r="J2485" t="s">
        <v>11203</v>
      </c>
      <c r="L2485" t="s">
        <v>5949</v>
      </c>
      <c r="M2485" t="str">
        <f>"https://www.artic.edu/iiif/2/"&amp;Table9[[#This Row],[Image ID]]&amp;"/full/843,/0/default.jpg"</f>
        <v>https://www.artic.edu/iiif/2/36b46510-c414-9804-8b5d-44bc65a86401/full/843,/0/default.jpg</v>
      </c>
      <c r="N2485" s="3">
        <v>0.67500000000000004</v>
      </c>
      <c r="O2485" s="3">
        <v>7.4999999999999997E-2</v>
      </c>
      <c r="P2485" s="3">
        <v>0.60000000000000009</v>
      </c>
      <c r="Q2485" s="3">
        <v>0.88048642873764005</v>
      </c>
    </row>
    <row r="2486" spans="1:17" x14ac:dyDescent="0.45">
      <c r="A2486" s="3">
        <v>136121</v>
      </c>
      <c r="B2486" t="b">
        <v>0</v>
      </c>
      <c r="C2486" t="b">
        <v>0</v>
      </c>
      <c r="D2486" s="3">
        <v>1920</v>
      </c>
      <c r="E2486" s="3">
        <v>1920</v>
      </c>
      <c r="F2486" t="s">
        <v>3155</v>
      </c>
      <c r="G2486" t="s">
        <v>3156</v>
      </c>
      <c r="H2486" s="3">
        <v>39.695</v>
      </c>
      <c r="I2486" t="s">
        <v>180</v>
      </c>
      <c r="J2486" t="s">
        <v>11903</v>
      </c>
      <c r="L2486" t="s">
        <v>3157</v>
      </c>
      <c r="M2486" t="str">
        <f>"https://www.artic.edu/iiif/2/"&amp;Table9[[#This Row],[Image ID]]&amp;"/full/843,/0/default.jpg"</f>
        <v>https://www.artic.edu/iiif/2/3f2e7bce-a8f2-562a-5f8f-90932bdc6af8/full/843,/0/default.jpg</v>
      </c>
      <c r="N2486" s="3">
        <v>0.67500000000000004</v>
      </c>
      <c r="O2486" s="3">
        <v>7.4999999999999997E-2</v>
      </c>
      <c r="P2486" s="3">
        <v>0.60000000000000009</v>
      </c>
      <c r="Q2486" s="3">
        <v>0.78005445003509499</v>
      </c>
    </row>
    <row r="2487" spans="1:17" x14ac:dyDescent="0.45">
      <c r="A2487" s="3">
        <v>78515</v>
      </c>
      <c r="B2487" t="b">
        <v>0</v>
      </c>
      <c r="C2487" t="b">
        <v>0</v>
      </c>
      <c r="D2487" s="3">
        <v>1924</v>
      </c>
      <c r="E2487" s="3">
        <v>1924</v>
      </c>
      <c r="F2487" t="s">
        <v>9846</v>
      </c>
      <c r="G2487" t="s">
        <v>9847</v>
      </c>
      <c r="H2487" s="3">
        <v>39.866300000000003</v>
      </c>
      <c r="I2487" t="s">
        <v>40</v>
      </c>
      <c r="J2487" t="s">
        <v>11945</v>
      </c>
      <c r="L2487" t="s">
        <v>9848</v>
      </c>
      <c r="M2487" t="str">
        <f>"https://www.artic.edu/iiif/2/"&amp;Table9[[#This Row],[Image ID]]&amp;"/full/843,/0/default.jpg"</f>
        <v>https://www.artic.edu/iiif/2/41c3a22e-af16-90b8-c042-d57164137131/full/843,/0/default.jpg</v>
      </c>
      <c r="N2487" s="3">
        <v>0.67500000000000004</v>
      </c>
      <c r="O2487" s="3">
        <v>7.4999999999999997E-2</v>
      </c>
      <c r="P2487" s="3">
        <v>0.60000000000000009</v>
      </c>
      <c r="Q2487" s="3">
        <v>0.69567477703094405</v>
      </c>
    </row>
    <row r="2488" spans="1:17" x14ac:dyDescent="0.45">
      <c r="A2488" s="3">
        <v>129143</v>
      </c>
      <c r="B2488" t="b">
        <v>0</v>
      </c>
      <c r="C2488" t="b">
        <v>0</v>
      </c>
      <c r="D2488" s="3">
        <v>1944</v>
      </c>
      <c r="E2488" s="3">
        <v>1944</v>
      </c>
      <c r="F2488" t="s">
        <v>11</v>
      </c>
      <c r="G2488" t="s">
        <v>2857</v>
      </c>
      <c r="H2488" s="3">
        <v>70.987700000000004</v>
      </c>
      <c r="I2488" t="s">
        <v>14549</v>
      </c>
      <c r="J2488" t="s">
        <v>11294</v>
      </c>
      <c r="L2488" t="s">
        <v>2865</v>
      </c>
      <c r="M2488" t="str">
        <f>"https://www.artic.edu/iiif/2/"&amp;Table9[[#This Row],[Image ID]]&amp;"/full/843,/0/default.jpg"</f>
        <v>https://www.artic.edu/iiif/2/44f73eab-2ff9-8803-f644-eb69a7663c3d/full/843,/0/default.jpg</v>
      </c>
      <c r="N2488" s="3">
        <v>0.77500000000000002</v>
      </c>
      <c r="O2488" s="3">
        <v>0.17499999999999999</v>
      </c>
      <c r="P2488" s="3">
        <v>0.60000000000000009</v>
      </c>
      <c r="Q2488" s="3">
        <v>0.69197869300842196</v>
      </c>
    </row>
    <row r="2489" spans="1:17" x14ac:dyDescent="0.45">
      <c r="A2489" s="3">
        <v>5574</v>
      </c>
      <c r="B2489" t="b">
        <v>0</v>
      </c>
      <c r="C2489" t="b">
        <v>0</v>
      </c>
      <c r="D2489" s="3">
        <v>1950</v>
      </c>
      <c r="E2489" s="3">
        <v>1959</v>
      </c>
      <c r="F2489" t="s">
        <v>8396</v>
      </c>
      <c r="G2489" t="s">
        <v>7</v>
      </c>
      <c r="H2489" s="3">
        <v>0</v>
      </c>
      <c r="I2489" t="s">
        <v>14578</v>
      </c>
      <c r="J2489" t="s">
        <v>12008</v>
      </c>
      <c r="L2489" t="s">
        <v>8397</v>
      </c>
      <c r="M2489" t="str">
        <f>"https://www.artic.edu/iiif/2/"&amp;Table9[[#This Row],[Image ID]]&amp;"/full/843,/0/default.jpg"</f>
        <v>https://www.artic.edu/iiif/2/46201a72-1cfe-d8c5-b7dd-c72d5f2d2025/full/843,/0/default.jpg</v>
      </c>
      <c r="N2489" s="3">
        <v>0.67500000000000004</v>
      </c>
      <c r="O2489" s="3">
        <v>7.4999999999999997E-2</v>
      </c>
      <c r="P2489" s="3">
        <v>0.60000000000000009</v>
      </c>
      <c r="Q2489" s="3">
        <v>0.57781195640563898</v>
      </c>
    </row>
    <row r="2490" spans="1:17" x14ac:dyDescent="0.45">
      <c r="A2490" s="3">
        <v>28306</v>
      </c>
      <c r="B2490" t="b">
        <v>0</v>
      </c>
      <c r="C2490" t="b">
        <v>0</v>
      </c>
      <c r="D2490" s="3">
        <v>1925</v>
      </c>
      <c r="E2490" s="3">
        <v>1925</v>
      </c>
      <c r="F2490" t="s">
        <v>6799</v>
      </c>
      <c r="G2490" t="s">
        <v>6800</v>
      </c>
      <c r="H2490" s="3">
        <v>35.786999999999999</v>
      </c>
      <c r="I2490" t="s">
        <v>920</v>
      </c>
      <c r="J2490" t="s">
        <v>12042</v>
      </c>
      <c r="L2490" t="s">
        <v>6801</v>
      </c>
      <c r="M2490" t="str">
        <f>"https://www.artic.edu/iiif/2/"&amp;Table9[[#This Row],[Image ID]]&amp;"/full/843,/0/default.jpg"</f>
        <v>https://www.artic.edu/iiif/2/48e3461b-13ab-6156-c75f-9cc9cbb1bff4/full/843,/0/default.jpg</v>
      </c>
      <c r="N2490" s="3">
        <v>0.67500000000000004</v>
      </c>
      <c r="O2490" s="3">
        <v>7.4999999999999997E-2</v>
      </c>
      <c r="P2490" s="3">
        <v>0.60000000000000009</v>
      </c>
      <c r="Q2490" s="3">
        <v>0.91055792570114102</v>
      </c>
    </row>
    <row r="2491" spans="1:17" x14ac:dyDescent="0.45">
      <c r="A2491" s="3">
        <v>66413</v>
      </c>
      <c r="B2491" t="b">
        <v>0</v>
      </c>
      <c r="C2491" t="b">
        <v>0</v>
      </c>
      <c r="D2491" s="3">
        <v>1956</v>
      </c>
      <c r="E2491" s="3">
        <v>1957</v>
      </c>
      <c r="F2491" t="s">
        <v>9263</v>
      </c>
      <c r="G2491" t="s">
        <v>9241</v>
      </c>
      <c r="H2491" s="3">
        <v>10.385999999999999</v>
      </c>
      <c r="I2491" t="s">
        <v>1091</v>
      </c>
      <c r="J2491" t="s">
        <v>12297</v>
      </c>
      <c r="L2491" t="s">
        <v>9264</v>
      </c>
      <c r="M2491" t="str">
        <f>"https://www.artic.edu/iiif/2/"&amp;Table9[[#This Row],[Image ID]]&amp;"/full/843,/0/default.jpg"</f>
        <v>https://www.artic.edu/iiif/2/5a678592-1f22-7f50-42a3-d504be664270/full/843,/0/default.jpg</v>
      </c>
      <c r="N2491" s="3">
        <v>0.67500000000000004</v>
      </c>
      <c r="O2491" s="3">
        <v>7.4999999999999997E-2</v>
      </c>
      <c r="P2491" s="3">
        <v>0.60000000000000009</v>
      </c>
      <c r="Q2491" s="3">
        <v>0.85595017671585005</v>
      </c>
    </row>
    <row r="2492" spans="1:17" x14ac:dyDescent="0.45">
      <c r="A2492" s="3">
        <v>70044</v>
      </c>
      <c r="B2492" t="b">
        <v>0</v>
      </c>
      <c r="C2492" t="b">
        <v>0</v>
      </c>
      <c r="D2492" s="3">
        <v>1850</v>
      </c>
      <c r="E2492" s="3">
        <v>1950</v>
      </c>
      <c r="F2492" t="s">
        <v>6246</v>
      </c>
      <c r="G2492" t="s">
        <v>9429</v>
      </c>
      <c r="H2492" s="3">
        <v>59.406100000000002</v>
      </c>
      <c r="J2492" t="s">
        <v>12670</v>
      </c>
      <c r="L2492" t="s">
        <v>9430</v>
      </c>
      <c r="M2492" t="str">
        <f>"https://www.artic.edu/iiif/2/"&amp;Table9[[#This Row],[Image ID]]&amp;"/full/843,/0/default.jpg"</f>
        <v>https://www.artic.edu/iiif/2/74ebdee8-52f2-174e-0d4f-6bdb6e6a0639/full/843,/0/default.jpg</v>
      </c>
      <c r="N2492" s="3">
        <v>0.67500000000000004</v>
      </c>
      <c r="O2492" s="3">
        <v>7.4999999999999997E-2</v>
      </c>
      <c r="P2492" s="3">
        <v>0.60000000000000009</v>
      </c>
      <c r="Q2492" s="3">
        <v>0.79505705833435003</v>
      </c>
    </row>
    <row r="2493" spans="1:17" x14ac:dyDescent="0.45">
      <c r="A2493" s="3">
        <v>93788</v>
      </c>
      <c r="B2493" t="b">
        <v>0</v>
      </c>
      <c r="C2493" t="b">
        <v>0</v>
      </c>
      <c r="D2493" s="3">
        <v>1771</v>
      </c>
      <c r="E2493" s="3">
        <v>1793</v>
      </c>
      <c r="F2493" t="s">
        <v>10613</v>
      </c>
      <c r="G2493" t="s">
        <v>7</v>
      </c>
      <c r="H2493" s="3">
        <v>21.539300000000001</v>
      </c>
      <c r="I2493" t="s">
        <v>1024</v>
      </c>
      <c r="J2493" t="s">
        <v>12826</v>
      </c>
      <c r="L2493" t="s">
        <v>10614</v>
      </c>
      <c r="M2493" t="str">
        <f>"https://www.artic.edu/iiif/2/"&amp;Table9[[#This Row],[Image ID]]&amp;"/full/843,/0/default.jpg"</f>
        <v>https://www.artic.edu/iiif/2/806d6909-56d6-2071-cfbe-15bd645e68e4/full/843,/0/default.jpg</v>
      </c>
      <c r="N2493" s="3">
        <v>0.67500000000000004</v>
      </c>
      <c r="O2493" s="3">
        <v>7.4999999999999997E-2</v>
      </c>
      <c r="P2493" s="3">
        <v>0.60000000000000009</v>
      </c>
      <c r="Q2493" s="3">
        <v>0.58091115951537997</v>
      </c>
    </row>
    <row r="2494" spans="1:17" x14ac:dyDescent="0.45">
      <c r="A2494" s="3">
        <v>107291</v>
      </c>
      <c r="B2494" t="b">
        <v>0</v>
      </c>
      <c r="C2494" t="b">
        <v>0</v>
      </c>
      <c r="D2494" s="3">
        <v>1929</v>
      </c>
      <c r="E2494" s="3">
        <v>1939</v>
      </c>
      <c r="F2494" t="s">
        <v>638</v>
      </c>
      <c r="G2494" t="s">
        <v>639</v>
      </c>
      <c r="H2494" s="3">
        <v>30.086600000000001</v>
      </c>
      <c r="I2494" t="s">
        <v>636</v>
      </c>
      <c r="J2494" t="s">
        <v>12291</v>
      </c>
      <c r="L2494" t="s">
        <v>640</v>
      </c>
      <c r="M2494" t="str">
        <f>"https://www.artic.edu/iiif/2/"&amp;Table9[[#This Row],[Image ID]]&amp;"/full/843,/0/default.jpg"</f>
        <v>https://www.artic.edu/iiif/2/8794bb24-ee54-100b-4d84-743e7cfdddd2/full/843,/0/default.jpg</v>
      </c>
      <c r="N2494" s="3">
        <v>0.77500000000000002</v>
      </c>
      <c r="O2494" s="3">
        <v>0.17499999999999999</v>
      </c>
      <c r="P2494" s="3">
        <v>0.60000000000000009</v>
      </c>
      <c r="Q2494" s="3">
        <v>0.75722289085388095</v>
      </c>
    </row>
    <row r="2495" spans="1:17" x14ac:dyDescent="0.45">
      <c r="A2495" s="3">
        <v>56079</v>
      </c>
      <c r="B2495" t="b">
        <v>0</v>
      </c>
      <c r="C2495" t="b">
        <v>0</v>
      </c>
      <c r="D2495" s="3">
        <v>1978</v>
      </c>
      <c r="E2495" s="3">
        <v>1979</v>
      </c>
      <c r="F2495" t="s">
        <v>8447</v>
      </c>
      <c r="G2495" t="s">
        <v>8448</v>
      </c>
      <c r="H2495" s="3">
        <v>33.328299999999999</v>
      </c>
      <c r="I2495" t="s">
        <v>8445</v>
      </c>
      <c r="J2495" t="s">
        <v>12956</v>
      </c>
      <c r="L2495" t="s">
        <v>8449</v>
      </c>
      <c r="M2495" t="str">
        <f>"https://www.artic.edu/iiif/2/"&amp;Table9[[#This Row],[Image ID]]&amp;"/full/843,/0/default.jpg"</f>
        <v>https://www.artic.edu/iiif/2/8aeb8873-93f0-31c1-579b-1dcf980264bc/full/843,/0/default.jpg</v>
      </c>
      <c r="N2495" s="3">
        <v>0.67500000000000004</v>
      </c>
      <c r="O2495" s="3">
        <v>7.4999999999999997E-2</v>
      </c>
      <c r="P2495" s="3">
        <v>0.60000000000000009</v>
      </c>
      <c r="Q2495" s="3">
        <v>0.73947036266326904</v>
      </c>
    </row>
    <row r="2496" spans="1:17" x14ac:dyDescent="0.45">
      <c r="A2496" s="3">
        <v>55941</v>
      </c>
      <c r="B2496" t="b">
        <v>0</v>
      </c>
      <c r="C2496" t="b">
        <v>0</v>
      </c>
      <c r="D2496" s="3">
        <v>1967</v>
      </c>
      <c r="E2496" s="3">
        <v>1967</v>
      </c>
      <c r="F2496" t="s">
        <v>8422</v>
      </c>
      <c r="G2496" t="s">
        <v>2247</v>
      </c>
      <c r="H2496" s="3">
        <v>38.543599999999998</v>
      </c>
      <c r="I2496" t="s">
        <v>599</v>
      </c>
      <c r="J2496" t="s">
        <v>11435</v>
      </c>
      <c r="L2496" t="s">
        <v>8423</v>
      </c>
      <c r="M2496" t="str">
        <f>"https://www.artic.edu/iiif/2/"&amp;Table9[[#This Row],[Image ID]]&amp;"/full/843,/0/default.jpg"</f>
        <v>https://www.artic.edu/iiif/2/9a16e3ad-6afa-44e4-59dc-a06a3e7c650f/full/843,/0/default.jpg</v>
      </c>
      <c r="N2496" s="3">
        <v>0.67500000000000004</v>
      </c>
      <c r="O2496" s="3">
        <v>7.4999999999999997E-2</v>
      </c>
      <c r="P2496" s="3">
        <v>0.60000000000000009</v>
      </c>
      <c r="Q2496" s="3">
        <v>0.75865060091018599</v>
      </c>
    </row>
    <row r="2497" spans="1:17" x14ac:dyDescent="0.45">
      <c r="A2497" s="3">
        <v>198342</v>
      </c>
      <c r="B2497" t="b">
        <v>0</v>
      </c>
      <c r="C2497" t="b">
        <v>0</v>
      </c>
      <c r="D2497" s="3">
        <v>1930</v>
      </c>
      <c r="E2497" s="3">
        <v>1937</v>
      </c>
      <c r="F2497" t="s">
        <v>5293</v>
      </c>
      <c r="G2497" t="s">
        <v>3441</v>
      </c>
      <c r="H2497" s="3">
        <v>51.262799999999999</v>
      </c>
      <c r="I2497" t="s">
        <v>14589</v>
      </c>
      <c r="J2497" t="s">
        <v>13384</v>
      </c>
      <c r="L2497" t="s">
        <v>5294</v>
      </c>
      <c r="M2497" t="str">
        <f>"https://www.artic.edu/iiif/2/"&amp;Table9[[#This Row],[Image ID]]&amp;"/full/843,/0/default.jpg"</f>
        <v>https://www.artic.edu/iiif/2/aaf920d0-bb7b-1541-8a72-1ced34d24f7a/full/843,/0/default.jpg</v>
      </c>
      <c r="N2497" s="3">
        <v>0.67500000000000004</v>
      </c>
      <c r="O2497" s="3">
        <v>7.4999999999999997E-2</v>
      </c>
      <c r="P2497" s="3">
        <v>0.60000000000000009</v>
      </c>
      <c r="Q2497" s="3">
        <v>0.72487068176269498</v>
      </c>
    </row>
    <row r="2498" spans="1:17" x14ac:dyDescent="0.45">
      <c r="A2498" s="3">
        <v>121909</v>
      </c>
      <c r="B2498" t="b">
        <v>0</v>
      </c>
      <c r="C2498" t="b">
        <v>0</v>
      </c>
      <c r="D2498" s="3">
        <v>1929</v>
      </c>
      <c r="E2498" s="3">
        <v>1929</v>
      </c>
      <c r="F2498" t="s">
        <v>2690</v>
      </c>
      <c r="G2498" t="s">
        <v>7</v>
      </c>
      <c r="H2498" s="3">
        <v>22.523099999999999</v>
      </c>
      <c r="I2498" t="s">
        <v>590</v>
      </c>
      <c r="J2498" t="s">
        <v>10973</v>
      </c>
      <c r="K2498" s="5" t="s">
        <v>9</v>
      </c>
      <c r="L2498" t="s">
        <v>2691</v>
      </c>
      <c r="M2498" t="str">
        <f>"https://www.artic.edu/iiif/2/"&amp;Table9[[#This Row],[Image ID]]&amp;"/full/843,/0/default.jpg"</f>
        <v>https://www.artic.edu/iiif/2/ac116018-617a-5655-29b2-331770a2c8b5/full/843,/0/default.jpg</v>
      </c>
      <c r="N2498" s="3">
        <v>0.67500000000000004</v>
      </c>
      <c r="O2498" s="3">
        <v>7.4999999999999997E-2</v>
      </c>
      <c r="P2498" s="3">
        <v>0.60000000000000009</v>
      </c>
      <c r="Q2498" s="3">
        <v>0.76671379804611195</v>
      </c>
    </row>
    <row r="2499" spans="1:17" x14ac:dyDescent="0.45">
      <c r="A2499" s="3">
        <v>25763</v>
      </c>
      <c r="B2499" t="b">
        <v>0</v>
      </c>
      <c r="C2499" t="b">
        <v>0</v>
      </c>
      <c r="D2499" s="3">
        <v>1365</v>
      </c>
      <c r="E2499" s="3">
        <v>1375</v>
      </c>
      <c r="F2499" t="s">
        <v>6583</v>
      </c>
      <c r="G2499" t="s">
        <v>103</v>
      </c>
      <c r="H2499" s="3">
        <v>39.643799999999999</v>
      </c>
      <c r="I2499" t="s">
        <v>6584</v>
      </c>
      <c r="J2499" t="s">
        <v>13534</v>
      </c>
      <c r="L2499" t="s">
        <v>6585</v>
      </c>
      <c r="M2499" t="str">
        <f>"https://www.artic.edu/iiif/2/"&amp;Table9[[#This Row],[Image ID]]&amp;"/full/843,/0/default.jpg"</f>
        <v>https://www.artic.edu/iiif/2/b6c59979-033c-0f53-c6e4-393378e372e8/full/843,/0/default.jpg</v>
      </c>
      <c r="N2499" s="3">
        <v>0.77500000000000002</v>
      </c>
      <c r="O2499" s="3">
        <v>0.17499999999999999</v>
      </c>
      <c r="P2499" s="3">
        <v>0.60000000000000009</v>
      </c>
      <c r="Q2499" s="3">
        <v>0.84213209152221602</v>
      </c>
    </row>
    <row r="2500" spans="1:17" x14ac:dyDescent="0.45">
      <c r="A2500" s="3">
        <v>70035</v>
      </c>
      <c r="B2500" t="b">
        <v>0</v>
      </c>
      <c r="C2500" t="b">
        <v>0</v>
      </c>
      <c r="D2500" s="3">
        <v>1927</v>
      </c>
      <c r="E2500" s="3">
        <v>1927</v>
      </c>
      <c r="F2500" t="s">
        <v>9421</v>
      </c>
      <c r="G2500" t="s">
        <v>7</v>
      </c>
      <c r="H2500" s="3">
        <v>6.0446</v>
      </c>
      <c r="I2500" t="s">
        <v>144</v>
      </c>
      <c r="J2500" t="s">
        <v>11857</v>
      </c>
      <c r="K2500" s="5" t="s">
        <v>45</v>
      </c>
      <c r="L2500" t="s">
        <v>9422</v>
      </c>
      <c r="M2500" t="str">
        <f>"https://www.artic.edu/iiif/2/"&amp;Table9[[#This Row],[Image ID]]&amp;"/full/843,/0/default.jpg"</f>
        <v>https://www.artic.edu/iiif/2/bbb8539a-5d43-0c6b-ca68-61adcb08c370/full/843,/0/default.jpg</v>
      </c>
      <c r="N2500" s="3">
        <v>0.67500000000000004</v>
      </c>
      <c r="O2500" s="3">
        <v>7.4999999999999997E-2</v>
      </c>
      <c r="P2500" s="3">
        <v>0.60000000000000009</v>
      </c>
      <c r="Q2500" s="3">
        <v>0.80137443542480402</v>
      </c>
    </row>
    <row r="2501" spans="1:17" x14ac:dyDescent="0.45">
      <c r="A2501" s="3">
        <v>80575</v>
      </c>
      <c r="B2501" t="b">
        <v>0</v>
      </c>
      <c r="C2501" t="b">
        <v>0</v>
      </c>
      <c r="D2501" s="3">
        <v>1921</v>
      </c>
      <c r="E2501" s="3">
        <v>1921</v>
      </c>
      <c r="F2501" t="s">
        <v>10030</v>
      </c>
      <c r="G2501" t="s">
        <v>7</v>
      </c>
      <c r="H2501" s="3">
        <v>0</v>
      </c>
      <c r="I2501" t="s">
        <v>4681</v>
      </c>
      <c r="J2501" t="s">
        <v>14017</v>
      </c>
      <c r="L2501" t="s">
        <v>10031</v>
      </c>
      <c r="M2501" t="str">
        <f>"https://www.artic.edu/iiif/2/"&amp;Table9[[#This Row],[Image ID]]&amp;"/full/843,/0/default.jpg"</f>
        <v>https://www.artic.edu/iiif/2/dcdb3fae-0c6f-f729-fb4c-bc18cdd9f980/full/843,/0/default.jpg</v>
      </c>
      <c r="N2501" s="3">
        <v>0.67500000000000004</v>
      </c>
      <c r="O2501" s="3">
        <v>7.4999999999999997E-2</v>
      </c>
      <c r="P2501" s="3">
        <v>0.60000000000000009</v>
      </c>
      <c r="Q2501" s="3">
        <v>0.58783453702926602</v>
      </c>
    </row>
    <row r="2502" spans="1:17" x14ac:dyDescent="0.45">
      <c r="A2502" s="3">
        <v>235038</v>
      </c>
      <c r="B2502" t="b">
        <v>0</v>
      </c>
      <c r="C2502" t="b">
        <v>0</v>
      </c>
      <c r="D2502" s="3">
        <v>2012</v>
      </c>
      <c r="E2502" s="3">
        <v>2012</v>
      </c>
      <c r="F2502" t="s">
        <v>11</v>
      </c>
      <c r="G2502" t="s">
        <v>7</v>
      </c>
      <c r="H2502" s="3">
        <v>38.074599999999997</v>
      </c>
      <c r="I2502" t="s">
        <v>6224</v>
      </c>
      <c r="J2502" t="s">
        <v>14228</v>
      </c>
      <c r="K2502" s="5" t="s">
        <v>15</v>
      </c>
      <c r="L2502" t="s">
        <v>6225</v>
      </c>
      <c r="M2502" t="str">
        <f>"https://www.artic.edu/iiif/2/"&amp;Table9[[#This Row],[Image ID]]&amp;"/full/843,/0/default.jpg"</f>
        <v>https://www.artic.edu/iiif/2/ea487328-0600-2cb2-7fc8-fde9c8ef5fc8/full/843,/0/default.jpg</v>
      </c>
      <c r="N2502" s="3">
        <v>0.67500000000000004</v>
      </c>
      <c r="O2502" s="3">
        <v>7.4999999999999997E-2</v>
      </c>
      <c r="P2502" s="3">
        <v>0.60000000000000009</v>
      </c>
      <c r="Q2502" s="3">
        <v>0.71206420660018899</v>
      </c>
    </row>
    <row r="2503" spans="1:17" x14ac:dyDescent="0.45">
      <c r="A2503" s="3">
        <v>99550</v>
      </c>
      <c r="B2503" t="b">
        <v>0</v>
      </c>
      <c r="C2503" t="b">
        <v>0</v>
      </c>
      <c r="D2503" s="3">
        <v>1974</v>
      </c>
      <c r="E2503" s="3">
        <v>1981</v>
      </c>
      <c r="F2503" t="s">
        <v>10924</v>
      </c>
      <c r="G2503" t="s">
        <v>10925</v>
      </c>
      <c r="H2503" s="3">
        <v>22.883199999999999</v>
      </c>
      <c r="I2503" t="s">
        <v>4768</v>
      </c>
      <c r="J2503" t="s">
        <v>14348</v>
      </c>
      <c r="L2503" t="s">
        <v>10926</v>
      </c>
      <c r="M2503" t="str">
        <f>"https://www.artic.edu/iiif/2/"&amp;Table9[[#This Row],[Image ID]]&amp;"/full/843,/0/default.jpg"</f>
        <v>https://www.artic.edu/iiif/2/f271b469-8398-30c7-f18a-fde8c1fadfaf/full/843,/0/default.jpg</v>
      </c>
      <c r="N2503" s="3">
        <v>0.67500000000000004</v>
      </c>
      <c r="O2503" s="3">
        <v>7.4999999999999997E-2</v>
      </c>
      <c r="P2503" s="3">
        <v>0.60000000000000009</v>
      </c>
      <c r="Q2503" s="3">
        <v>0.80019110441207797</v>
      </c>
    </row>
    <row r="2504" spans="1:17" x14ac:dyDescent="0.45">
      <c r="A2504" s="3">
        <v>229366</v>
      </c>
      <c r="B2504" t="b">
        <v>0</v>
      </c>
      <c r="C2504" t="b">
        <v>0</v>
      </c>
      <c r="D2504" s="3">
        <v>1968</v>
      </c>
      <c r="E2504" s="3">
        <v>1968</v>
      </c>
      <c r="F2504" t="s">
        <v>6092</v>
      </c>
      <c r="G2504" t="s">
        <v>7</v>
      </c>
      <c r="H2504" s="3">
        <v>8.9871999999999996</v>
      </c>
      <c r="I2504" t="s">
        <v>52</v>
      </c>
      <c r="J2504" t="s">
        <v>14410</v>
      </c>
      <c r="L2504" t="s">
        <v>6093</v>
      </c>
      <c r="M2504" t="str">
        <f>"https://www.artic.edu/iiif/2/"&amp;Table9[[#This Row],[Image ID]]&amp;"/full/843,/0/default.jpg"</f>
        <v>https://www.artic.edu/iiif/2/f69c0687-7233-f1ad-d340-3e8c26334304/full/843,/0/default.jpg</v>
      </c>
      <c r="N2504" s="3">
        <v>0.67500000000000004</v>
      </c>
      <c r="O2504" s="3">
        <v>7.4999999999999997E-2</v>
      </c>
      <c r="P2504" s="3">
        <v>0.60000000000000009</v>
      </c>
      <c r="Q2504" s="3">
        <v>0.65840977430343595</v>
      </c>
    </row>
    <row r="2505" spans="1:17" x14ac:dyDescent="0.45">
      <c r="A2505" s="3">
        <v>12658</v>
      </c>
      <c r="B2505" t="b">
        <v>0</v>
      </c>
      <c r="C2505" t="b">
        <v>1</v>
      </c>
      <c r="D2505" s="3">
        <v>1766</v>
      </c>
      <c r="E2505" s="3">
        <v>1776</v>
      </c>
      <c r="F2505" t="s">
        <v>2776</v>
      </c>
      <c r="G2505" t="s">
        <v>7</v>
      </c>
      <c r="H2505" s="3">
        <v>23.279199999999999</v>
      </c>
      <c r="I2505" t="s">
        <v>1272</v>
      </c>
      <c r="J2505" t="s">
        <v>10982</v>
      </c>
      <c r="L2505" t="s">
        <v>2777</v>
      </c>
      <c r="M2505" t="str">
        <f>"https://www.artic.edu/iiif/2/"&amp;Table9[[#This Row],[Image ID]]&amp;"/full/843,/0/default.jpg"</f>
        <v>https://www.artic.edu/iiif/2/00df5b07-1d76-b1da-93ed-b98bb0700c3d/full/843,/0/default.jpg</v>
      </c>
      <c r="N2505" s="3">
        <v>0.72499999999999998</v>
      </c>
      <c r="O2505" s="3">
        <v>0.125</v>
      </c>
      <c r="P2505" s="3">
        <v>0.6</v>
      </c>
      <c r="Q2505" s="3">
        <v>0.72112339735031095</v>
      </c>
    </row>
    <row r="2506" spans="1:17" x14ac:dyDescent="0.45">
      <c r="A2506" s="3">
        <v>113251</v>
      </c>
      <c r="B2506" t="b">
        <v>0</v>
      </c>
      <c r="C2506" t="b">
        <v>1</v>
      </c>
      <c r="D2506" s="3">
        <v>1837</v>
      </c>
      <c r="E2506" s="3">
        <v>1864</v>
      </c>
      <c r="F2506" t="s">
        <v>1389</v>
      </c>
      <c r="G2506" t="s">
        <v>1374</v>
      </c>
      <c r="H2506" s="3">
        <v>23.947600000000001</v>
      </c>
      <c r="I2506" t="s">
        <v>1295</v>
      </c>
      <c r="J2506" t="s">
        <v>11053</v>
      </c>
      <c r="L2506" t="s">
        <v>1390</v>
      </c>
      <c r="M2506" t="str">
        <f>"https://www.artic.edu/iiif/2/"&amp;Table9[[#This Row],[Image ID]]&amp;"/full/843,/0/default.jpg"</f>
        <v>https://www.artic.edu/iiif/2/0548a0db-dc9c-3175-b579-e63dd613e83e/full/843,/0/default.jpg</v>
      </c>
      <c r="N2506" s="3">
        <v>0.72499999999999998</v>
      </c>
      <c r="O2506" s="3">
        <v>0.125</v>
      </c>
      <c r="P2506" s="3">
        <v>0.6</v>
      </c>
      <c r="Q2506" s="3">
        <v>0.747442066669464</v>
      </c>
    </row>
    <row r="2507" spans="1:17" x14ac:dyDescent="0.45">
      <c r="A2507" s="3">
        <v>115120</v>
      </c>
      <c r="B2507" t="b">
        <v>0</v>
      </c>
      <c r="C2507" t="b">
        <v>1</v>
      </c>
      <c r="D2507" s="3">
        <v>1825</v>
      </c>
      <c r="E2507" s="3">
        <v>1882</v>
      </c>
      <c r="F2507" t="s">
        <v>1778</v>
      </c>
      <c r="G2507" t="s">
        <v>1779</v>
      </c>
      <c r="H2507" s="3">
        <v>32.777900000000002</v>
      </c>
      <c r="I2507" t="s">
        <v>1555</v>
      </c>
      <c r="J2507" t="s">
        <v>11135</v>
      </c>
      <c r="L2507" t="s">
        <v>1780</v>
      </c>
      <c r="M2507" t="str">
        <f>"https://www.artic.edu/iiif/2/"&amp;Table9[[#This Row],[Image ID]]&amp;"/full/843,/0/default.jpg"</f>
        <v>https://www.artic.edu/iiif/2/0be67955-5777-c96b-218d-417459ef9485/full/843,/0/default.jpg</v>
      </c>
      <c r="N2507" s="3">
        <v>0.72499999999999998</v>
      </c>
      <c r="O2507" s="3">
        <v>0.125</v>
      </c>
      <c r="P2507" s="3">
        <v>0.6</v>
      </c>
      <c r="Q2507" s="3">
        <v>0.54662203788757302</v>
      </c>
    </row>
    <row r="2508" spans="1:17" x14ac:dyDescent="0.45">
      <c r="A2508" s="3">
        <v>7511</v>
      </c>
      <c r="B2508" t="b">
        <v>0</v>
      </c>
      <c r="C2508" t="b">
        <v>1</v>
      </c>
      <c r="D2508" s="3">
        <v>1591</v>
      </c>
      <c r="E2508" s="3">
        <v>1639</v>
      </c>
      <c r="F2508" t="s">
        <v>2710</v>
      </c>
      <c r="G2508" t="s">
        <v>9720</v>
      </c>
      <c r="H2508" s="3">
        <v>22.570799999999998</v>
      </c>
      <c r="I2508" t="s">
        <v>9721</v>
      </c>
      <c r="J2508" t="s">
        <v>11138</v>
      </c>
      <c r="L2508" t="s">
        <v>9722</v>
      </c>
      <c r="M2508" t="str">
        <f>"https://www.artic.edu/iiif/2/"&amp;Table9[[#This Row],[Image ID]]&amp;"/full/843,/0/default.jpg"</f>
        <v>https://www.artic.edu/iiif/2/0c33f215-34ba-5bfc-d243-1cad0fb0e074/full/843,/0/default.jpg</v>
      </c>
      <c r="N2508" s="3">
        <v>0.7</v>
      </c>
      <c r="O2508" s="3">
        <v>0.1</v>
      </c>
      <c r="P2508" s="3">
        <v>0.6</v>
      </c>
      <c r="Q2508" s="3">
        <v>0.78696930408477705</v>
      </c>
    </row>
    <row r="2509" spans="1:17" x14ac:dyDescent="0.45">
      <c r="A2509" s="3">
        <v>32094</v>
      </c>
      <c r="B2509" t="b">
        <v>0</v>
      </c>
      <c r="C2509" t="b">
        <v>1</v>
      </c>
      <c r="D2509" s="3">
        <v>1825</v>
      </c>
      <c r="E2509" s="3">
        <v>1835</v>
      </c>
      <c r="F2509" t="s">
        <v>7047</v>
      </c>
      <c r="G2509" t="s">
        <v>7</v>
      </c>
      <c r="H2509" s="3">
        <v>0</v>
      </c>
      <c r="I2509" t="s">
        <v>7048</v>
      </c>
      <c r="J2509" t="s">
        <v>11176</v>
      </c>
      <c r="L2509" t="s">
        <v>7049</v>
      </c>
      <c r="M2509" t="str">
        <f>"https://www.artic.edu/iiif/2/"&amp;Table9[[#This Row],[Image ID]]&amp;"/full/843,/0/default.jpg"</f>
        <v>https://www.artic.edu/iiif/2/0f393afe-c66f-43af-c235-087014be8cf4/full/843,/0/default.jpg</v>
      </c>
      <c r="N2509" s="3">
        <v>0.7</v>
      </c>
      <c r="O2509" s="3">
        <v>0.1</v>
      </c>
      <c r="P2509" s="3">
        <v>0.6</v>
      </c>
      <c r="Q2509" s="3">
        <v>0.827248215675354</v>
      </c>
    </row>
    <row r="2510" spans="1:17" x14ac:dyDescent="0.45">
      <c r="A2510" s="3">
        <v>44538</v>
      </c>
      <c r="B2510" t="b">
        <v>0</v>
      </c>
      <c r="C2510" t="b">
        <v>1</v>
      </c>
      <c r="D2510" s="3">
        <v>1839</v>
      </c>
      <c r="E2510" s="3">
        <v>1900</v>
      </c>
      <c r="F2510" t="s">
        <v>7774</v>
      </c>
      <c r="G2510" t="s">
        <v>7775</v>
      </c>
      <c r="H2510" s="3">
        <v>14.124000000000001</v>
      </c>
      <c r="I2510" t="s">
        <v>1400</v>
      </c>
      <c r="J2510" t="s">
        <v>11339</v>
      </c>
      <c r="L2510" t="s">
        <v>7776</v>
      </c>
      <c r="M2510" t="str">
        <f>"https://www.artic.edu/iiif/2/"&amp;Table9[[#This Row],[Image ID]]&amp;"/full/843,/0/default.jpg"</f>
        <v>https://www.artic.edu/iiif/2/1a69b1a5-4b45-2581-6e2b-9131dea3b4fd/full/843,/0/default.jpg</v>
      </c>
      <c r="N2510" s="3">
        <v>0.65</v>
      </c>
      <c r="O2510" s="3">
        <v>0.05</v>
      </c>
      <c r="P2510" s="3">
        <v>0.6</v>
      </c>
      <c r="Q2510" s="3">
        <v>0.62174510955810502</v>
      </c>
    </row>
    <row r="2511" spans="1:17" x14ac:dyDescent="0.45">
      <c r="A2511" s="3">
        <v>86282</v>
      </c>
      <c r="B2511" t="b">
        <v>0</v>
      </c>
      <c r="C2511" t="b">
        <v>1</v>
      </c>
      <c r="D2511" s="3">
        <v>1717</v>
      </c>
      <c r="E2511" s="3">
        <v>1768</v>
      </c>
      <c r="F2511" t="s">
        <v>14562</v>
      </c>
      <c r="G2511" t="s">
        <v>10320</v>
      </c>
      <c r="H2511" s="3">
        <v>30.2605</v>
      </c>
      <c r="I2511" t="s">
        <v>3326</v>
      </c>
      <c r="J2511" t="s">
        <v>11379</v>
      </c>
      <c r="L2511" t="s">
        <v>10321</v>
      </c>
      <c r="M2511" t="str">
        <f>"https://www.artic.edu/iiif/2/"&amp;Table9[[#This Row],[Image ID]]&amp;"/full/843,/0/default.jpg"</f>
        <v>https://www.artic.edu/iiif/2/1d621ca3-ec7a-f7d7-63f1-c2fd60abbf61/full/843,/0/default.jpg</v>
      </c>
      <c r="N2511" s="3">
        <v>0.7</v>
      </c>
      <c r="O2511" s="3">
        <v>0.1</v>
      </c>
      <c r="P2511" s="3">
        <v>0.6</v>
      </c>
      <c r="Q2511" s="3">
        <v>0.70887577533721902</v>
      </c>
    </row>
    <row r="2512" spans="1:17" x14ac:dyDescent="0.45">
      <c r="A2512" s="3">
        <v>105764</v>
      </c>
      <c r="B2512" t="b">
        <v>0</v>
      </c>
      <c r="C2512" t="b">
        <v>1</v>
      </c>
      <c r="D2512" s="3">
        <v>1475</v>
      </c>
      <c r="E2512" s="3">
        <v>1499</v>
      </c>
      <c r="F2512" t="s">
        <v>554</v>
      </c>
      <c r="G2512" t="s">
        <v>555</v>
      </c>
      <c r="H2512" s="3">
        <v>38.492800000000003</v>
      </c>
      <c r="I2512" t="s">
        <v>556</v>
      </c>
      <c r="J2512" t="s">
        <v>11576</v>
      </c>
      <c r="K2512" s="5" t="s">
        <v>278</v>
      </c>
      <c r="L2512" t="s">
        <v>557</v>
      </c>
      <c r="M2512" t="str">
        <f>"https://www.artic.edu/iiif/2/"&amp;Table9[[#This Row],[Image ID]]&amp;"/full/843,/0/default.jpg"</f>
        <v>https://www.artic.edu/iiif/2/2967e752-192b-ed64-4956-28c961094dab/full/843,/0/default.jpg</v>
      </c>
      <c r="N2512" s="3">
        <v>0.625</v>
      </c>
      <c r="O2512" s="3">
        <v>2.5000000000000001E-2</v>
      </c>
      <c r="P2512" s="3">
        <v>0.6</v>
      </c>
      <c r="Q2512" s="3">
        <v>0.836092829704284</v>
      </c>
    </row>
    <row r="2513" spans="1:17" x14ac:dyDescent="0.45">
      <c r="A2513" s="3">
        <v>95393</v>
      </c>
      <c r="B2513" t="b">
        <v>0</v>
      </c>
      <c r="C2513" t="b">
        <v>1</v>
      </c>
      <c r="D2513" s="3">
        <v>1401</v>
      </c>
      <c r="E2513" s="3">
        <v>1500</v>
      </c>
      <c r="F2513" t="s">
        <v>10766</v>
      </c>
      <c r="G2513" t="s">
        <v>10767</v>
      </c>
      <c r="H2513" s="3">
        <v>39.915700000000001</v>
      </c>
      <c r="J2513" t="s">
        <v>11621</v>
      </c>
      <c r="K2513" s="5" t="s">
        <v>278</v>
      </c>
      <c r="L2513" t="s">
        <v>10768</v>
      </c>
      <c r="M2513" t="str">
        <f>"https://www.artic.edu/iiif/2/"&amp;Table9[[#This Row],[Image ID]]&amp;"/full/843,/0/default.jpg"</f>
        <v>https://www.artic.edu/iiif/2/2c22a857-d68f-d8f6-e60a-7db4fbb116c4/full/843,/0/default.jpg</v>
      </c>
      <c r="N2513" s="3">
        <v>0.75</v>
      </c>
      <c r="O2513" s="3">
        <v>0.15</v>
      </c>
      <c r="P2513" s="3">
        <v>0.6</v>
      </c>
      <c r="Q2513" s="3">
        <v>0.73256731033325195</v>
      </c>
    </row>
    <row r="2514" spans="1:17" x14ac:dyDescent="0.45">
      <c r="A2514" s="3">
        <v>113248</v>
      </c>
      <c r="B2514" t="b">
        <v>0</v>
      </c>
      <c r="C2514" t="b">
        <v>1</v>
      </c>
      <c r="D2514" s="3">
        <v>1837</v>
      </c>
      <c r="E2514" s="3">
        <v>1864</v>
      </c>
      <c r="F2514" t="s">
        <v>1383</v>
      </c>
      <c r="G2514" t="s">
        <v>1374</v>
      </c>
      <c r="H2514" s="3">
        <v>27.481000000000002</v>
      </c>
      <c r="I2514" t="s">
        <v>1295</v>
      </c>
      <c r="J2514" t="s">
        <v>11623</v>
      </c>
      <c r="L2514" t="s">
        <v>1384</v>
      </c>
      <c r="M2514" t="str">
        <f>"https://www.artic.edu/iiif/2/"&amp;Table9[[#This Row],[Image ID]]&amp;"/full/843,/0/default.jpg"</f>
        <v>https://www.artic.edu/iiif/2/2c687cb2-2664-6a57-8b4c-020aa93f88b4/full/843,/0/default.jpg</v>
      </c>
      <c r="N2514" s="3">
        <v>0.72499999999999998</v>
      </c>
      <c r="O2514" s="3">
        <v>0.125</v>
      </c>
      <c r="P2514" s="3">
        <v>0.6</v>
      </c>
      <c r="Q2514" s="3">
        <v>0.78717672824859597</v>
      </c>
    </row>
    <row r="2515" spans="1:17" x14ac:dyDescent="0.45">
      <c r="A2515" s="3">
        <v>105100</v>
      </c>
      <c r="B2515" t="b">
        <v>0</v>
      </c>
      <c r="C2515" t="b">
        <v>1</v>
      </c>
      <c r="D2515" s="3">
        <v>1803</v>
      </c>
      <c r="E2515" s="3">
        <v>1808</v>
      </c>
      <c r="F2515" t="s">
        <v>481</v>
      </c>
      <c r="G2515" t="s">
        <v>7</v>
      </c>
      <c r="H2515" s="3">
        <v>28.443899999999999</v>
      </c>
      <c r="I2515" t="s">
        <v>482</v>
      </c>
      <c r="J2515" t="s">
        <v>11759</v>
      </c>
      <c r="L2515" t="s">
        <v>483</v>
      </c>
      <c r="M2515" t="str">
        <f>"https://www.artic.edu/iiif/2/"&amp;Table9[[#This Row],[Image ID]]&amp;"/full/843,/0/default.jpg"</f>
        <v>https://www.artic.edu/iiif/2/3678b2ca-dc2c-793c-8b7b-684557bc882d/full/843,/0/default.jpg</v>
      </c>
      <c r="N2515" s="3">
        <v>0.82499999999999996</v>
      </c>
      <c r="O2515" s="3">
        <v>0.22500000000000001</v>
      </c>
      <c r="P2515" s="3">
        <v>0.6</v>
      </c>
      <c r="Q2515" s="3">
        <v>0.90146553516387895</v>
      </c>
    </row>
    <row r="2516" spans="1:17" x14ac:dyDescent="0.45">
      <c r="A2516" s="3">
        <v>131908</v>
      </c>
      <c r="B2516" t="b">
        <v>0</v>
      </c>
      <c r="C2516" t="b">
        <v>1</v>
      </c>
      <c r="D2516" s="3">
        <v>1520</v>
      </c>
      <c r="E2516" s="3">
        <v>1555</v>
      </c>
      <c r="F2516" t="s">
        <v>3006</v>
      </c>
      <c r="G2516" t="s">
        <v>119</v>
      </c>
      <c r="H2516" s="3">
        <v>63.623800000000003</v>
      </c>
      <c r="J2516" t="s">
        <v>11785</v>
      </c>
      <c r="K2516" s="5" t="s">
        <v>4</v>
      </c>
      <c r="L2516" t="s">
        <v>3007</v>
      </c>
      <c r="M2516" t="str">
        <f>"https://www.artic.edu/iiif/2/"&amp;Table9[[#This Row],[Image ID]]&amp;"/full/843,/0/default.jpg"</f>
        <v>https://www.artic.edu/iiif/2/380a210c-78a1-4d67-5c41-1bfe6126eadc/full/843,/0/default.jpg</v>
      </c>
      <c r="N2516" s="3">
        <v>0.65</v>
      </c>
      <c r="O2516" s="3">
        <v>0.05</v>
      </c>
      <c r="P2516" s="3">
        <v>0.6</v>
      </c>
      <c r="Q2516" s="3">
        <v>0.74039924144744795</v>
      </c>
    </row>
    <row r="2517" spans="1:17" x14ac:dyDescent="0.45">
      <c r="A2517" s="3">
        <v>25812</v>
      </c>
      <c r="B2517" t="b">
        <v>0</v>
      </c>
      <c r="C2517" t="b">
        <v>1</v>
      </c>
      <c r="D2517" s="3">
        <v>1865</v>
      </c>
      <c r="E2517" s="3">
        <v>1866</v>
      </c>
      <c r="F2517" t="s">
        <v>2242</v>
      </c>
      <c r="G2517" t="s">
        <v>7</v>
      </c>
      <c r="H2517" s="3">
        <v>34.473399999999998</v>
      </c>
      <c r="I2517" t="s">
        <v>14636</v>
      </c>
      <c r="J2517" t="s">
        <v>11794</v>
      </c>
      <c r="K2517" s="5" t="s">
        <v>9</v>
      </c>
      <c r="L2517" t="s">
        <v>6623</v>
      </c>
      <c r="M2517" t="str">
        <f>"https://www.artic.edu/iiif/2/"&amp;Table9[[#This Row],[Image ID]]&amp;"/full/843,/0/default.jpg"</f>
        <v>https://www.artic.edu/iiif/2/38636be8-f1bc-c451-ae65-c441919bd0c3/full/843,/0/default.jpg</v>
      </c>
      <c r="N2517" s="3">
        <v>0.7</v>
      </c>
      <c r="O2517" s="3">
        <v>0.1</v>
      </c>
      <c r="P2517" s="3">
        <v>0.6</v>
      </c>
      <c r="Q2517" s="3">
        <v>0.58422774076461703</v>
      </c>
    </row>
    <row r="2518" spans="1:17" x14ac:dyDescent="0.45">
      <c r="A2518" s="3">
        <v>222003</v>
      </c>
      <c r="B2518" t="b">
        <v>0</v>
      </c>
      <c r="C2518" t="b">
        <v>1</v>
      </c>
      <c r="D2518" s="3">
        <v>1897</v>
      </c>
      <c r="E2518" s="3">
        <v>1897</v>
      </c>
      <c r="F2518" t="s">
        <v>5824</v>
      </c>
      <c r="G2518" t="s">
        <v>7</v>
      </c>
      <c r="H2518" s="3">
        <v>31.4071</v>
      </c>
      <c r="I2518" t="s">
        <v>5825</v>
      </c>
      <c r="J2518" t="s">
        <v>11829</v>
      </c>
      <c r="L2518" t="s">
        <v>5826</v>
      </c>
      <c r="M2518" t="str">
        <f>"https://www.artic.edu/iiif/2/"&amp;Table9[[#This Row],[Image ID]]&amp;"/full/843,/0/default.jpg"</f>
        <v>https://www.artic.edu/iiif/2/3a3c9e9e-5d5d-caf5-017a-99fcc52367d0/full/843,/0/default.jpg</v>
      </c>
      <c r="N2518" s="3">
        <v>0.7</v>
      </c>
      <c r="O2518" s="3">
        <v>0.1</v>
      </c>
      <c r="P2518" s="3">
        <v>0.6</v>
      </c>
      <c r="Q2518" s="3">
        <v>0.843056499958038</v>
      </c>
    </row>
    <row r="2519" spans="1:17" x14ac:dyDescent="0.45">
      <c r="A2519" s="3">
        <v>41217</v>
      </c>
      <c r="B2519" t="b">
        <v>0</v>
      </c>
      <c r="C2519" t="b">
        <v>1</v>
      </c>
      <c r="D2519" s="3">
        <v>1520</v>
      </c>
      <c r="E2519" s="3">
        <v>1525</v>
      </c>
      <c r="F2519" t="s">
        <v>7690</v>
      </c>
      <c r="G2519" t="s">
        <v>75</v>
      </c>
      <c r="H2519" s="3">
        <v>40.737299999999998</v>
      </c>
      <c r="I2519" t="s">
        <v>7691</v>
      </c>
      <c r="J2519" t="s">
        <v>11864</v>
      </c>
      <c r="L2519" t="s">
        <v>7692</v>
      </c>
      <c r="M2519" t="str">
        <f>"https://www.artic.edu/iiif/2/"&amp;Table9[[#This Row],[Image ID]]&amp;"/full/843,/0/default.jpg"</f>
        <v>https://www.artic.edu/iiif/2/3c7ee4ec-96a8-553a-1010-06b1619c01d2/full/843,/0/default.jpg</v>
      </c>
      <c r="N2519" s="3">
        <v>0.75</v>
      </c>
      <c r="O2519" s="3">
        <v>0.15</v>
      </c>
      <c r="P2519" s="3">
        <v>0.6</v>
      </c>
      <c r="Q2519" s="3">
        <v>0.80212223529815596</v>
      </c>
    </row>
    <row r="2520" spans="1:17" x14ac:dyDescent="0.45">
      <c r="A2520" s="3">
        <v>69003</v>
      </c>
      <c r="B2520" t="b">
        <v>0</v>
      </c>
      <c r="C2520" t="b">
        <v>1</v>
      </c>
      <c r="D2520" s="3">
        <v>1720</v>
      </c>
      <c r="E2520" s="3">
        <v>1730</v>
      </c>
      <c r="F2520" t="s">
        <v>14</v>
      </c>
      <c r="G2520" t="s">
        <v>7</v>
      </c>
      <c r="H2520" s="3">
        <v>26.976700000000001</v>
      </c>
      <c r="I2520" t="s">
        <v>14687</v>
      </c>
      <c r="J2520" t="s">
        <v>11869</v>
      </c>
      <c r="L2520" t="s">
        <v>9376</v>
      </c>
      <c r="M2520" t="str">
        <f>"https://www.artic.edu/iiif/2/"&amp;Table9[[#This Row],[Image ID]]&amp;"/full/843,/0/default.jpg"</f>
        <v>https://www.artic.edu/iiif/2/3cef23a8-7fca-59ce-a95d-4c27cd3d8f21/full/843,/0/default.jpg</v>
      </c>
      <c r="N2520" s="3">
        <v>0.7</v>
      </c>
      <c r="O2520" s="3">
        <v>0.1</v>
      </c>
      <c r="P2520" s="3">
        <v>0.6</v>
      </c>
      <c r="Q2520" s="3">
        <v>0.736117362976074</v>
      </c>
    </row>
    <row r="2521" spans="1:17" x14ac:dyDescent="0.45">
      <c r="A2521" s="3">
        <v>27163</v>
      </c>
      <c r="B2521" t="b">
        <v>0</v>
      </c>
      <c r="C2521" t="b">
        <v>1</v>
      </c>
      <c r="D2521" s="3">
        <v>1868</v>
      </c>
      <c r="E2521" s="3">
        <v>1868</v>
      </c>
      <c r="F2521" t="s">
        <v>6712</v>
      </c>
      <c r="G2521" t="s">
        <v>7</v>
      </c>
      <c r="H2521" s="3">
        <v>25.822800000000001</v>
      </c>
      <c r="I2521" t="s">
        <v>2889</v>
      </c>
      <c r="J2521" t="s">
        <v>11957</v>
      </c>
      <c r="L2521" t="s">
        <v>6713</v>
      </c>
      <c r="M2521" t="str">
        <f>"https://www.artic.edu/iiif/2/"&amp;Table9[[#This Row],[Image ID]]&amp;"/full/843,/0/default.jpg"</f>
        <v>https://www.artic.edu/iiif/2/42924282-d483-cd95-e676-52aee4bc4164/full/843,/0/default.jpg</v>
      </c>
      <c r="N2521" s="3">
        <v>0.7</v>
      </c>
      <c r="O2521" s="3">
        <v>0.1</v>
      </c>
      <c r="P2521" s="3">
        <v>0.6</v>
      </c>
      <c r="Q2521" s="3">
        <v>0.49467268586158702</v>
      </c>
    </row>
    <row r="2522" spans="1:17" x14ac:dyDescent="0.45">
      <c r="A2522" s="3">
        <v>94239</v>
      </c>
      <c r="B2522" t="b">
        <v>0</v>
      </c>
      <c r="C2522" t="b">
        <v>1</v>
      </c>
      <c r="D2522" s="3">
        <v>1855</v>
      </c>
      <c r="E2522" s="3">
        <v>1865</v>
      </c>
      <c r="F2522" t="s">
        <v>2056</v>
      </c>
      <c r="G2522" t="s">
        <v>75</v>
      </c>
      <c r="H2522" s="3">
        <v>0</v>
      </c>
      <c r="I2522" t="s">
        <v>14558</v>
      </c>
      <c r="J2522" t="s">
        <v>11963</v>
      </c>
      <c r="L2522" t="s">
        <v>10736</v>
      </c>
      <c r="M2522" t="str">
        <f>"https://www.artic.edu/iiif/2/"&amp;Table9[[#This Row],[Image ID]]&amp;"/full/843,/0/default.jpg"</f>
        <v>https://www.artic.edu/iiif/2/43228273-29dd-c5d7-b75c-536109504fc0/full/843,/0/default.jpg</v>
      </c>
      <c r="N2522" s="3">
        <v>0.7</v>
      </c>
      <c r="O2522" s="3">
        <v>0.1</v>
      </c>
      <c r="P2522" s="3">
        <v>0.6</v>
      </c>
      <c r="Q2522" s="3">
        <v>0.50026011466979903</v>
      </c>
    </row>
    <row r="2523" spans="1:17" x14ac:dyDescent="0.45">
      <c r="A2523" s="3">
        <v>49439</v>
      </c>
      <c r="B2523" t="b">
        <v>0</v>
      </c>
      <c r="C2523" t="b">
        <v>1</v>
      </c>
      <c r="D2523" s="3">
        <v>1740</v>
      </c>
      <c r="E2523" s="3">
        <v>1760</v>
      </c>
      <c r="F2523" t="s">
        <v>8053</v>
      </c>
      <c r="G2523" t="s">
        <v>8050</v>
      </c>
      <c r="H2523" s="3">
        <v>32.575899999999997</v>
      </c>
      <c r="I2523" t="s">
        <v>8051</v>
      </c>
      <c r="J2523" t="s">
        <v>12078</v>
      </c>
      <c r="L2523" t="s">
        <v>8054</v>
      </c>
      <c r="M2523" t="str">
        <f>"https://www.artic.edu/iiif/2/"&amp;Table9[[#This Row],[Image ID]]&amp;"/full/843,/0/default.jpg"</f>
        <v>https://www.artic.edu/iiif/2/4bf91735-17c3-2065-1686-20d6adcc3e6f/full/843,/0/default.jpg</v>
      </c>
      <c r="N2523" s="3">
        <v>0.75</v>
      </c>
      <c r="O2523" s="3">
        <v>0.15</v>
      </c>
      <c r="P2523" s="3">
        <v>0.6</v>
      </c>
      <c r="Q2523" s="3">
        <v>0.62264066934585505</v>
      </c>
    </row>
    <row r="2524" spans="1:17" x14ac:dyDescent="0.45">
      <c r="A2524" s="3">
        <v>29730</v>
      </c>
      <c r="B2524" t="b">
        <v>0</v>
      </c>
      <c r="C2524" t="b">
        <v>1</v>
      </c>
      <c r="D2524" s="3">
        <v>1875</v>
      </c>
      <c r="E2524" s="3">
        <v>1875</v>
      </c>
      <c r="F2524" t="s">
        <v>6921</v>
      </c>
      <c r="G2524" t="s">
        <v>6922</v>
      </c>
      <c r="H2524" s="3">
        <v>24.4375</v>
      </c>
      <c r="I2524" t="s">
        <v>6923</v>
      </c>
      <c r="J2524" t="s">
        <v>12168</v>
      </c>
      <c r="L2524" t="s">
        <v>6924</v>
      </c>
      <c r="M2524" t="str">
        <f>"https://www.artic.edu/iiif/2/"&amp;Table9[[#This Row],[Image ID]]&amp;"/full/843,/0/default.jpg"</f>
        <v>https://www.artic.edu/iiif/2/51ce5b8f-0df4-0313-0468-1f38d3bd6370/full/843,/0/default.jpg</v>
      </c>
      <c r="N2524" s="3">
        <v>0.625</v>
      </c>
      <c r="O2524" s="3">
        <v>2.5000000000000001E-2</v>
      </c>
      <c r="P2524" s="3">
        <v>0.6</v>
      </c>
      <c r="Q2524" s="3">
        <v>0.73017334938049305</v>
      </c>
    </row>
    <row r="2525" spans="1:17" x14ac:dyDescent="0.45">
      <c r="A2525" s="3">
        <v>2158</v>
      </c>
      <c r="B2525" t="b">
        <v>0</v>
      </c>
      <c r="C2525" t="b">
        <v>1</v>
      </c>
      <c r="D2525" s="3">
        <v>1798</v>
      </c>
      <c r="E2525" s="3">
        <v>1798</v>
      </c>
      <c r="F2525" t="s">
        <v>5641</v>
      </c>
      <c r="G2525" t="s">
        <v>7</v>
      </c>
      <c r="H2525" s="3">
        <v>27.5792</v>
      </c>
      <c r="I2525" t="s">
        <v>5642</v>
      </c>
      <c r="J2525" t="s">
        <v>12290</v>
      </c>
      <c r="L2525" t="s">
        <v>5643</v>
      </c>
      <c r="M2525" t="str">
        <f>"https://www.artic.edu/iiif/2/"&amp;Table9[[#This Row],[Image ID]]&amp;"/full/843,/0/default.jpg"</f>
        <v>https://www.artic.edu/iiif/2/59bf5216-383d-c2d4-912a-f8cfcbdaa55a/full/843,/0/default.jpg</v>
      </c>
      <c r="N2525" s="3">
        <v>0.7</v>
      </c>
      <c r="O2525" s="3">
        <v>0.1</v>
      </c>
      <c r="P2525" s="3">
        <v>0.6</v>
      </c>
      <c r="Q2525" s="3">
        <v>0.86727130413055398</v>
      </c>
    </row>
    <row r="2526" spans="1:17" x14ac:dyDescent="0.45">
      <c r="A2526" s="3">
        <v>111632</v>
      </c>
      <c r="B2526" t="b">
        <v>0</v>
      </c>
      <c r="C2526" t="b">
        <v>1</v>
      </c>
      <c r="D2526" s="3">
        <v>1897</v>
      </c>
      <c r="E2526" s="3">
        <v>1897</v>
      </c>
      <c r="F2526" t="s">
        <v>1173</v>
      </c>
      <c r="G2526" t="s">
        <v>7</v>
      </c>
      <c r="H2526" s="3">
        <v>28.566700000000001</v>
      </c>
      <c r="I2526" t="s">
        <v>1174</v>
      </c>
      <c r="J2526" t="s">
        <v>12339</v>
      </c>
      <c r="L2526" t="s">
        <v>1175</v>
      </c>
      <c r="M2526" t="str">
        <f>"https://www.artic.edu/iiif/2/"&amp;Table9[[#This Row],[Image ID]]&amp;"/full/843,/0/default.jpg"</f>
        <v>https://www.artic.edu/iiif/2/5d1261c0-11bd-eb2c-91c5-653aa98c2b5a/full/843,/0/default.jpg</v>
      </c>
      <c r="N2526" s="3">
        <v>0.75</v>
      </c>
      <c r="O2526" s="3">
        <v>0.15</v>
      </c>
      <c r="P2526" s="3">
        <v>0.6</v>
      </c>
      <c r="Q2526" s="3">
        <v>0.55662381649017301</v>
      </c>
    </row>
    <row r="2527" spans="1:17" x14ac:dyDescent="0.45">
      <c r="A2527" s="3">
        <v>4092</v>
      </c>
      <c r="B2527" t="b">
        <v>0</v>
      </c>
      <c r="C2527" t="b">
        <v>1</v>
      </c>
      <c r="D2527" s="3">
        <v>1695</v>
      </c>
      <c r="E2527" s="3">
        <v>1705</v>
      </c>
      <c r="F2527" t="s">
        <v>7677</v>
      </c>
      <c r="G2527" t="s">
        <v>7</v>
      </c>
      <c r="H2527" s="3">
        <v>0</v>
      </c>
      <c r="I2527" t="s">
        <v>1316</v>
      </c>
      <c r="J2527" t="s">
        <v>12390</v>
      </c>
      <c r="L2527" t="s">
        <v>7678</v>
      </c>
      <c r="M2527" t="str">
        <f>"https://www.artic.edu/iiif/2/"&amp;Table9[[#This Row],[Image ID]]&amp;"/full/843,/0/default.jpg"</f>
        <v>https://www.artic.edu/iiif/2/60a6eba1-7d17-796d-df04-7d1f8b0f1f94/full/843,/0/default.jpg</v>
      </c>
      <c r="N2527" s="3">
        <v>0.85</v>
      </c>
      <c r="O2527" s="3">
        <v>0.25</v>
      </c>
      <c r="P2527" s="3">
        <v>0.6</v>
      </c>
      <c r="Q2527" s="3">
        <v>0.47237035632133401</v>
      </c>
    </row>
    <row r="2528" spans="1:17" x14ac:dyDescent="0.45">
      <c r="A2528" s="3">
        <v>15728</v>
      </c>
      <c r="B2528" t="b">
        <v>0</v>
      </c>
      <c r="C2528" t="b">
        <v>1</v>
      </c>
      <c r="D2528" s="3">
        <v>1914</v>
      </c>
      <c r="E2528" s="3">
        <v>1914</v>
      </c>
      <c r="F2528" t="s">
        <v>4112</v>
      </c>
      <c r="G2528" t="s">
        <v>1651</v>
      </c>
      <c r="H2528" s="3">
        <v>25.619299999999999</v>
      </c>
      <c r="I2528" t="s">
        <v>934</v>
      </c>
      <c r="J2528" t="s">
        <v>12435</v>
      </c>
      <c r="L2528" t="s">
        <v>4113</v>
      </c>
      <c r="M2528" t="str">
        <f>"https://www.artic.edu/iiif/2/"&amp;Table9[[#This Row],[Image ID]]&amp;"/full/843,/0/default.jpg"</f>
        <v>https://www.artic.edu/iiif/2/645c2079-016a-998d-411f-b0869349d9c0/full/843,/0/default.jpg</v>
      </c>
      <c r="N2528" s="3">
        <v>0.6</v>
      </c>
      <c r="O2528" s="3">
        <v>0</v>
      </c>
      <c r="P2528" s="3">
        <v>0.6</v>
      </c>
      <c r="Q2528" s="3">
        <v>0.67240518331527699</v>
      </c>
    </row>
    <row r="2529" spans="1:17" x14ac:dyDescent="0.45">
      <c r="A2529" s="3">
        <v>180711</v>
      </c>
      <c r="B2529" t="b">
        <v>0</v>
      </c>
      <c r="C2529" t="b">
        <v>1</v>
      </c>
      <c r="D2529" s="3">
        <v>1783</v>
      </c>
      <c r="E2529" s="3">
        <v>1785</v>
      </c>
      <c r="F2529" t="s">
        <v>4702</v>
      </c>
      <c r="G2529" t="s">
        <v>7</v>
      </c>
      <c r="H2529" s="3">
        <v>39.5961</v>
      </c>
      <c r="I2529" t="s">
        <v>2052</v>
      </c>
      <c r="J2529" t="s">
        <v>12486</v>
      </c>
      <c r="L2529" t="s">
        <v>4703</v>
      </c>
      <c r="M2529" t="str">
        <f>"https://www.artic.edu/iiif/2/"&amp;Table9[[#This Row],[Image ID]]&amp;"/full/843,/0/default.jpg"</f>
        <v>https://www.artic.edu/iiif/2/67b46720-1589-0d13-3597-f03c7b618094/full/843,/0/default.jpg</v>
      </c>
      <c r="N2529" s="3">
        <v>0.65</v>
      </c>
      <c r="O2529" s="3">
        <v>0.05</v>
      </c>
      <c r="P2529" s="3">
        <v>0.6</v>
      </c>
      <c r="Q2529" s="3">
        <v>0.54055744409561102</v>
      </c>
    </row>
    <row r="2530" spans="1:17" x14ac:dyDescent="0.45">
      <c r="A2530" s="3">
        <v>23075</v>
      </c>
      <c r="B2530" t="b">
        <v>0</v>
      </c>
      <c r="C2530" t="b">
        <v>1</v>
      </c>
      <c r="D2530" s="3">
        <v>1855</v>
      </c>
      <c r="E2530" s="3">
        <v>1870</v>
      </c>
      <c r="F2530" t="s">
        <v>6147</v>
      </c>
      <c r="G2530" t="s">
        <v>5745</v>
      </c>
      <c r="H2530" s="3">
        <v>27.496400000000001</v>
      </c>
      <c r="I2530" t="s">
        <v>516</v>
      </c>
      <c r="J2530" t="s">
        <v>12513</v>
      </c>
      <c r="L2530" t="s">
        <v>6148</v>
      </c>
      <c r="M2530" t="str">
        <f>"https://www.artic.edu/iiif/2/"&amp;Table9[[#This Row],[Image ID]]&amp;"/full/843,/0/default.jpg"</f>
        <v>https://www.artic.edu/iiif/2/69c4fcd7-5553-2e13-a65f-da26ba84766d/full/843,/0/default.jpg</v>
      </c>
      <c r="N2530" s="3">
        <v>0.7</v>
      </c>
      <c r="O2530" s="3">
        <v>0.1</v>
      </c>
      <c r="P2530" s="3">
        <v>0.6</v>
      </c>
      <c r="Q2530" s="3">
        <v>0.81083613634109497</v>
      </c>
    </row>
    <row r="2531" spans="1:17" x14ac:dyDescent="0.45">
      <c r="A2531" s="3">
        <v>16818</v>
      </c>
      <c r="B2531" t="b">
        <v>0</v>
      </c>
      <c r="C2531" t="b">
        <v>1</v>
      </c>
      <c r="D2531" s="3">
        <v>1887</v>
      </c>
      <c r="E2531" s="3">
        <v>1887</v>
      </c>
      <c r="F2531" t="s">
        <v>4598</v>
      </c>
      <c r="G2531" t="s">
        <v>4599</v>
      </c>
      <c r="H2531" s="3">
        <v>16.198</v>
      </c>
      <c r="I2531" t="s">
        <v>1337</v>
      </c>
      <c r="J2531" t="s">
        <v>12515</v>
      </c>
      <c r="L2531" t="s">
        <v>4600</v>
      </c>
      <c r="M2531" t="str">
        <f>"https://www.artic.edu/iiif/2/"&amp;Table9[[#This Row],[Image ID]]&amp;"/full/843,/0/default.jpg"</f>
        <v>https://www.artic.edu/iiif/2/69dbbcad-e538-e72b-5dca-5f7ba0819d52/full/843,/0/default.jpg</v>
      </c>
      <c r="N2531" s="3">
        <v>0.7</v>
      </c>
      <c r="O2531" s="3">
        <v>0.1</v>
      </c>
      <c r="P2531" s="3">
        <v>0.6</v>
      </c>
      <c r="Q2531" s="3">
        <v>0.56955325603485096</v>
      </c>
    </row>
    <row r="2532" spans="1:17" x14ac:dyDescent="0.45">
      <c r="A2532" s="3">
        <v>30928</v>
      </c>
      <c r="B2532" t="b">
        <v>0</v>
      </c>
      <c r="C2532" t="b">
        <v>1</v>
      </c>
      <c r="D2532" s="3">
        <v>1901</v>
      </c>
      <c r="E2532" s="3">
        <v>1901</v>
      </c>
      <c r="F2532" t="s">
        <v>6967</v>
      </c>
      <c r="G2532" t="s">
        <v>785</v>
      </c>
      <c r="H2532" s="3">
        <v>24.618500000000001</v>
      </c>
      <c r="I2532" t="s">
        <v>786</v>
      </c>
      <c r="J2532" t="s">
        <v>12627</v>
      </c>
      <c r="K2532" s="5" t="s">
        <v>115</v>
      </c>
      <c r="L2532" t="s">
        <v>6968</v>
      </c>
      <c r="M2532" t="str">
        <f>"https://www.artic.edu/iiif/2/"&amp;Table9[[#This Row],[Image ID]]&amp;"/full/843,/0/default.jpg"</f>
        <v>https://www.artic.edu/iiif/2/7182fe78-c4dd-c30d-2ae7-d1e018aacfd8/full/843,/0/default.jpg</v>
      </c>
      <c r="N2532" s="3">
        <v>0.75</v>
      </c>
      <c r="O2532" s="3">
        <v>0.15</v>
      </c>
      <c r="P2532" s="3">
        <v>0.6</v>
      </c>
      <c r="Q2532" s="3">
        <v>0.72193676233291604</v>
      </c>
    </row>
    <row r="2533" spans="1:17" x14ac:dyDescent="0.45">
      <c r="A2533" s="3">
        <v>149040</v>
      </c>
      <c r="B2533" t="b">
        <v>0</v>
      </c>
      <c r="C2533" t="b">
        <v>1</v>
      </c>
      <c r="D2533" s="3">
        <v>1770</v>
      </c>
      <c r="E2533" s="3">
        <v>1770</v>
      </c>
      <c r="F2533" t="s">
        <v>3743</v>
      </c>
      <c r="G2533" t="s">
        <v>3744</v>
      </c>
      <c r="H2533" s="3">
        <v>31.006599999999999</v>
      </c>
      <c r="I2533" t="s">
        <v>812</v>
      </c>
      <c r="J2533" t="s">
        <v>12726</v>
      </c>
      <c r="L2533" t="s">
        <v>3745</v>
      </c>
      <c r="M2533" t="str">
        <f>"https://www.artic.edu/iiif/2/"&amp;Table9[[#This Row],[Image ID]]&amp;"/full/843,/0/default.jpg"</f>
        <v>https://www.artic.edu/iiif/2/792cb462-ac52-0809-c39c-82eb8ac7f807/full/843,/0/default.jpg</v>
      </c>
      <c r="N2533" s="3">
        <v>0.72499999999999998</v>
      </c>
      <c r="O2533" s="3">
        <v>0.125</v>
      </c>
      <c r="P2533" s="3">
        <v>0.6</v>
      </c>
      <c r="Q2533" s="3">
        <v>0.64522886276245095</v>
      </c>
    </row>
    <row r="2534" spans="1:17" x14ac:dyDescent="0.45">
      <c r="A2534" s="3">
        <v>11813</v>
      </c>
      <c r="B2534" t="b">
        <v>0</v>
      </c>
      <c r="C2534" t="b">
        <v>1</v>
      </c>
      <c r="D2534" s="3">
        <v>1800</v>
      </c>
      <c r="E2534" s="3">
        <v>1908</v>
      </c>
      <c r="F2534" t="s">
        <v>2478</v>
      </c>
      <c r="G2534" t="s">
        <v>2474</v>
      </c>
      <c r="H2534" s="3">
        <v>45.7072</v>
      </c>
      <c r="J2534" t="s">
        <v>12729</v>
      </c>
      <c r="K2534" s="5" t="s">
        <v>278</v>
      </c>
      <c r="L2534" t="s">
        <v>2479</v>
      </c>
      <c r="M2534" t="str">
        <f>"https://www.artic.edu/iiif/2/"&amp;Table9[[#This Row],[Image ID]]&amp;"/full/843,/0/default.jpg"</f>
        <v>https://www.artic.edu/iiif/2/797e76aa-9e07-2f84-5095-bcb438120a73/full/843,/0/default.jpg</v>
      </c>
      <c r="N2534" s="3">
        <v>0.65</v>
      </c>
      <c r="O2534" s="3">
        <v>0.05</v>
      </c>
      <c r="P2534" s="3">
        <v>0.6</v>
      </c>
      <c r="Q2534" s="3">
        <v>0.778974950313568</v>
      </c>
    </row>
    <row r="2535" spans="1:17" x14ac:dyDescent="0.45">
      <c r="A2535" s="3">
        <v>110782</v>
      </c>
      <c r="B2535" t="b">
        <v>0</v>
      </c>
      <c r="C2535" t="b">
        <v>1</v>
      </c>
      <c r="D2535" s="3">
        <v>1580</v>
      </c>
      <c r="E2535" s="3">
        <v>1590</v>
      </c>
      <c r="F2535" t="s">
        <v>942</v>
      </c>
      <c r="G2535" t="s">
        <v>7</v>
      </c>
      <c r="H2535" s="3">
        <v>21.334199999999999</v>
      </c>
      <c r="I2535" t="s">
        <v>742</v>
      </c>
      <c r="J2535" t="s">
        <v>12794</v>
      </c>
      <c r="L2535" t="s">
        <v>943</v>
      </c>
      <c r="M2535" t="str">
        <f>"https://www.artic.edu/iiif/2/"&amp;Table9[[#This Row],[Image ID]]&amp;"/full/843,/0/default.jpg"</f>
        <v>https://www.artic.edu/iiif/2/7ee5e05c-9dfa-ef87-2dd9-2696da7dbc74/full/843,/0/default.jpg</v>
      </c>
      <c r="N2535" s="3">
        <v>0.75</v>
      </c>
      <c r="O2535" s="3">
        <v>0.15</v>
      </c>
      <c r="P2535" s="3">
        <v>0.6</v>
      </c>
      <c r="Q2535" s="3">
        <v>0.49026462435722301</v>
      </c>
    </row>
    <row r="2536" spans="1:17" x14ac:dyDescent="0.45">
      <c r="A2536" s="3">
        <v>114129</v>
      </c>
      <c r="B2536" t="b">
        <v>0</v>
      </c>
      <c r="C2536" t="b">
        <v>1</v>
      </c>
      <c r="D2536" s="3">
        <v>1802</v>
      </c>
      <c r="E2536" s="3">
        <v>1856</v>
      </c>
      <c r="F2536" t="s">
        <v>1560</v>
      </c>
      <c r="G2536" t="s">
        <v>1561</v>
      </c>
      <c r="H2536" s="3">
        <v>32.209499999999998</v>
      </c>
      <c r="I2536" t="s">
        <v>1562</v>
      </c>
      <c r="J2536" t="s">
        <v>12822</v>
      </c>
      <c r="L2536" t="s">
        <v>1563</v>
      </c>
      <c r="M2536" t="str">
        <f>"https://www.artic.edu/iiif/2/"&amp;Table9[[#This Row],[Image ID]]&amp;"/full/843,/0/default.jpg"</f>
        <v>https://www.artic.edu/iiif/2/8048b8f7-08f5-ea27-7581-c5dfd949aae2/full/843,/0/default.jpg</v>
      </c>
      <c r="N2536" s="3">
        <v>0.7</v>
      </c>
      <c r="O2536" s="3">
        <v>0.1</v>
      </c>
      <c r="P2536" s="3">
        <v>0.6</v>
      </c>
      <c r="Q2536" s="3">
        <v>0.54098981618881203</v>
      </c>
    </row>
    <row r="2537" spans="1:17" x14ac:dyDescent="0.45">
      <c r="A2537" s="3">
        <v>100919</v>
      </c>
      <c r="B2537" t="b">
        <v>0</v>
      </c>
      <c r="C2537" t="b">
        <v>1</v>
      </c>
      <c r="D2537" s="3">
        <v>1780</v>
      </c>
      <c r="E2537" s="3">
        <v>1820</v>
      </c>
      <c r="F2537" t="s">
        <v>154</v>
      </c>
      <c r="G2537" t="s">
        <v>155</v>
      </c>
      <c r="H2537" s="3">
        <v>36.532400000000003</v>
      </c>
      <c r="I2537" t="s">
        <v>156</v>
      </c>
      <c r="J2537" t="s">
        <v>12852</v>
      </c>
      <c r="L2537" t="s">
        <v>157</v>
      </c>
      <c r="M2537" t="str">
        <f>"https://www.artic.edu/iiif/2/"&amp;Table9[[#This Row],[Image ID]]&amp;"/full/843,/0/default.jpg"</f>
        <v>https://www.artic.edu/iiif/2/8290b54f-c9b4-b3ca-83d7-ddbd255af6a5/full/843,/0/default.jpg</v>
      </c>
      <c r="N2537" s="3">
        <v>0.75</v>
      </c>
      <c r="O2537" s="3">
        <v>0.15</v>
      </c>
      <c r="P2537" s="3">
        <v>0.6</v>
      </c>
      <c r="Q2537" s="3">
        <v>0.67457652091979903</v>
      </c>
    </row>
    <row r="2538" spans="1:17" x14ac:dyDescent="0.45">
      <c r="A2538" s="3">
        <v>68388</v>
      </c>
      <c r="B2538" t="b">
        <v>0</v>
      </c>
      <c r="C2538" t="b">
        <v>1</v>
      </c>
      <c r="D2538" s="3">
        <v>1870</v>
      </c>
      <c r="E2538" s="3">
        <v>1870</v>
      </c>
      <c r="F2538" t="s">
        <v>3750</v>
      </c>
      <c r="G2538" t="s">
        <v>7</v>
      </c>
      <c r="H2538" s="3">
        <v>35.924700000000001</v>
      </c>
      <c r="I2538" t="s">
        <v>908</v>
      </c>
      <c r="J2538" t="s">
        <v>12880</v>
      </c>
      <c r="L2538" t="s">
        <v>9344</v>
      </c>
      <c r="M2538" t="str">
        <f>"https://www.artic.edu/iiif/2/"&amp;Table9[[#This Row],[Image ID]]&amp;"/full/843,/0/default.jpg"</f>
        <v>https://www.artic.edu/iiif/2/842d212c-c755-f372-d73f-7d0581051c46/full/843,/0/default.jpg</v>
      </c>
      <c r="N2538" s="3">
        <v>0.75</v>
      </c>
      <c r="O2538" s="3">
        <v>0.15</v>
      </c>
      <c r="P2538" s="3">
        <v>0.6</v>
      </c>
      <c r="Q2538" s="3">
        <v>0.56756609678268399</v>
      </c>
    </row>
    <row r="2539" spans="1:17" x14ac:dyDescent="0.45">
      <c r="A2539" s="3">
        <v>14561</v>
      </c>
      <c r="B2539" t="b">
        <v>0</v>
      </c>
      <c r="C2539" t="b">
        <v>1</v>
      </c>
      <c r="D2539" s="3">
        <v>1885</v>
      </c>
      <c r="E2539" s="3">
        <v>1895</v>
      </c>
      <c r="F2539" t="s">
        <v>3362</v>
      </c>
      <c r="G2539" t="s">
        <v>7</v>
      </c>
      <c r="H2539" s="3">
        <v>25.3047</v>
      </c>
      <c r="I2539" t="s">
        <v>14591</v>
      </c>
      <c r="J2539" t="s">
        <v>12890</v>
      </c>
      <c r="K2539" s="5" t="s">
        <v>115</v>
      </c>
      <c r="L2539" t="s">
        <v>3363</v>
      </c>
      <c r="M2539" t="str">
        <f>"https://www.artic.edu/iiif/2/"&amp;Table9[[#This Row],[Image ID]]&amp;"/full/843,/0/default.jpg"</f>
        <v>https://www.artic.edu/iiif/2/84d735ec-8a8f-4605-a40d-2824506f373a/full/843,/0/default.jpg</v>
      </c>
      <c r="N2539" s="3">
        <v>0.7</v>
      </c>
      <c r="O2539" s="3">
        <v>0.1</v>
      </c>
      <c r="P2539" s="3">
        <v>0.6</v>
      </c>
      <c r="Q2539" s="3">
        <v>0.68906891345977705</v>
      </c>
    </row>
    <row r="2540" spans="1:17" x14ac:dyDescent="0.45">
      <c r="A2540" s="3">
        <v>217685</v>
      </c>
      <c r="B2540" t="b">
        <v>0</v>
      </c>
      <c r="C2540" t="b">
        <v>1</v>
      </c>
      <c r="D2540" s="3">
        <v>1895</v>
      </c>
      <c r="E2540" s="3">
        <v>1896</v>
      </c>
      <c r="F2540" t="s">
        <v>5737</v>
      </c>
      <c r="G2540" t="s">
        <v>3028</v>
      </c>
      <c r="H2540" s="3">
        <v>23.145900000000001</v>
      </c>
      <c r="I2540" t="s">
        <v>5727</v>
      </c>
      <c r="J2540" t="s">
        <v>11026</v>
      </c>
      <c r="K2540" s="5" t="s">
        <v>130</v>
      </c>
      <c r="L2540" t="s">
        <v>5738</v>
      </c>
      <c r="M2540" t="str">
        <f>"https://www.artic.edu/iiif/2/"&amp;Table9[[#This Row],[Image ID]]&amp;"/full/843,/0/default.jpg"</f>
        <v>https://www.artic.edu/iiif/2/8547debb-b333-113a-38f5-0151982d48a2/full/843,/0/default.jpg</v>
      </c>
      <c r="N2540" s="3">
        <v>0.7</v>
      </c>
      <c r="O2540" s="3">
        <v>0.1</v>
      </c>
      <c r="P2540" s="3">
        <v>0.6</v>
      </c>
      <c r="Q2540" s="3">
        <v>0.81370329856872503</v>
      </c>
    </row>
    <row r="2541" spans="1:17" x14ac:dyDescent="0.45">
      <c r="A2541" s="3">
        <v>115763</v>
      </c>
      <c r="B2541" t="b">
        <v>0</v>
      </c>
      <c r="C2541" t="b">
        <v>1</v>
      </c>
      <c r="D2541" s="3">
        <v>1835</v>
      </c>
      <c r="E2541" s="3">
        <v>1845</v>
      </c>
      <c r="F2541" t="s">
        <v>2091</v>
      </c>
      <c r="G2541" t="s">
        <v>2092</v>
      </c>
      <c r="H2541" s="3">
        <v>20.9236</v>
      </c>
      <c r="I2541" t="s">
        <v>2037</v>
      </c>
      <c r="J2541" t="s">
        <v>13029</v>
      </c>
      <c r="L2541" t="s">
        <v>2093</v>
      </c>
      <c r="M2541" t="str">
        <f>"https://www.artic.edu/iiif/2/"&amp;Table9[[#This Row],[Image ID]]&amp;"/full/843,/0/default.jpg"</f>
        <v>https://www.artic.edu/iiif/2/905aed33-aa78-1979-d1df-8b8c7c92ca8e/full/843,/0/default.jpg</v>
      </c>
      <c r="N2541" s="3">
        <v>0.65</v>
      </c>
      <c r="O2541" s="3">
        <v>0.05</v>
      </c>
      <c r="P2541" s="3">
        <v>0.6</v>
      </c>
      <c r="Q2541" s="3">
        <v>0.755068778991699</v>
      </c>
    </row>
    <row r="2542" spans="1:17" x14ac:dyDescent="0.45">
      <c r="A2542" s="3">
        <v>115444</v>
      </c>
      <c r="B2542" t="b">
        <v>0</v>
      </c>
      <c r="C2542" t="b">
        <v>1</v>
      </c>
      <c r="D2542" s="3">
        <v>1800</v>
      </c>
      <c r="E2542" s="3">
        <v>1899</v>
      </c>
      <c r="F2542" t="s">
        <v>1915</v>
      </c>
      <c r="G2542" t="s">
        <v>1913</v>
      </c>
      <c r="H2542" s="3">
        <v>26.561299999999999</v>
      </c>
      <c r="I2542" t="s">
        <v>1868</v>
      </c>
      <c r="J2542" t="s">
        <v>13054</v>
      </c>
      <c r="L2542" t="s">
        <v>1916</v>
      </c>
      <c r="M2542" t="str">
        <f>"https://www.artic.edu/iiif/2/"&amp;Table9[[#This Row],[Image ID]]&amp;"/full/843,/0/default.jpg"</f>
        <v>https://www.artic.edu/iiif/2/92474b7c-d426-714c-a7c0-7f3c6ba85775/full/843,/0/default.jpg</v>
      </c>
      <c r="N2542" s="3">
        <v>0.7</v>
      </c>
      <c r="O2542" s="3">
        <v>0.1</v>
      </c>
      <c r="P2542" s="3">
        <v>0.6</v>
      </c>
      <c r="Q2542" s="3">
        <v>0.73813450336456299</v>
      </c>
    </row>
    <row r="2543" spans="1:17" ht="99.75" x14ac:dyDescent="0.45">
      <c r="A2543" s="3">
        <v>80542</v>
      </c>
      <c r="B2543" t="b">
        <v>0</v>
      </c>
      <c r="C2543" t="b">
        <v>1</v>
      </c>
      <c r="D2543" s="3">
        <v>1401</v>
      </c>
      <c r="E2543" s="3">
        <v>1500</v>
      </c>
      <c r="F2543" t="s">
        <v>5478</v>
      </c>
      <c r="G2543" t="s">
        <v>75</v>
      </c>
      <c r="H2543" s="3">
        <v>43.215899999999998</v>
      </c>
      <c r="J2543" s="1" t="s">
        <v>13123</v>
      </c>
      <c r="L2543" t="s">
        <v>10012</v>
      </c>
      <c r="M2543" t="str">
        <f>"https://www.artic.edu/iiif/2/"&amp;Table9[[#This Row],[Image ID]]&amp;"/full/843,/0/default.jpg"</f>
        <v>https://www.artic.edu/iiif/2/97ddac6e-56af-1078-81f0-11c0d6313432/full/843,/0/default.jpg</v>
      </c>
      <c r="N2543" s="3">
        <v>0.75</v>
      </c>
      <c r="O2543" s="3">
        <v>0.15</v>
      </c>
      <c r="P2543" s="3">
        <v>0.6</v>
      </c>
      <c r="Q2543" s="3">
        <v>0.84901148080825795</v>
      </c>
    </row>
    <row r="2544" spans="1:17" x14ac:dyDescent="0.45">
      <c r="A2544" s="3">
        <v>111645</v>
      </c>
      <c r="B2544" t="b">
        <v>0</v>
      </c>
      <c r="C2544" t="b">
        <v>1</v>
      </c>
      <c r="D2544" s="3">
        <v>1654</v>
      </c>
      <c r="E2544" s="3">
        <v>1656</v>
      </c>
      <c r="F2544" t="s">
        <v>1191</v>
      </c>
      <c r="G2544" t="s">
        <v>75</v>
      </c>
      <c r="H2544" s="3">
        <v>23.378799999999998</v>
      </c>
      <c r="I2544" t="s">
        <v>1192</v>
      </c>
      <c r="J2544" t="s">
        <v>13181</v>
      </c>
      <c r="L2544" t="s">
        <v>1193</v>
      </c>
      <c r="M2544" t="str">
        <f>"https://www.artic.edu/iiif/2/"&amp;Table9[[#This Row],[Image ID]]&amp;"/full/843,/0/default.jpg"</f>
        <v>https://www.artic.edu/iiif/2/9c2c809d-7637-84b0-747c-0520fa16e901/full/843,/0/default.jpg</v>
      </c>
      <c r="N2544" s="3">
        <v>0.82499999999999996</v>
      </c>
      <c r="O2544" s="3">
        <v>0.22500000000000001</v>
      </c>
      <c r="P2544" s="3">
        <v>0.6</v>
      </c>
      <c r="Q2544" s="3">
        <v>0.61577582359313898</v>
      </c>
    </row>
    <row r="2545" spans="1:17" x14ac:dyDescent="0.45">
      <c r="A2545" s="3">
        <v>16782</v>
      </c>
      <c r="B2545" t="b">
        <v>0</v>
      </c>
      <c r="C2545" t="b">
        <v>1</v>
      </c>
      <c r="D2545" s="3">
        <v>1892</v>
      </c>
      <c r="E2545" s="3">
        <v>1892</v>
      </c>
      <c r="F2545" t="s">
        <v>4571</v>
      </c>
      <c r="G2545" t="s">
        <v>4572</v>
      </c>
      <c r="H2545" s="3">
        <v>30.540299999999998</v>
      </c>
      <c r="I2545" t="s">
        <v>1337</v>
      </c>
      <c r="J2545" t="s">
        <v>13222</v>
      </c>
      <c r="L2545" t="s">
        <v>4573</v>
      </c>
      <c r="M2545" t="str">
        <f>"https://www.artic.edu/iiif/2/"&amp;Table9[[#This Row],[Image ID]]&amp;"/full/843,/0/default.jpg"</f>
        <v>https://www.artic.edu/iiif/2/9f7e21db-5949-5566-7d77-1871a41916c7/full/843,/0/default.jpg</v>
      </c>
      <c r="N2545" s="3">
        <v>0.7</v>
      </c>
      <c r="O2545" s="3">
        <v>0.1</v>
      </c>
      <c r="P2545" s="3">
        <v>0.6</v>
      </c>
      <c r="Q2545" s="3">
        <v>0.62077987194061202</v>
      </c>
    </row>
    <row r="2546" spans="1:17" x14ac:dyDescent="0.45">
      <c r="A2546" s="3">
        <v>71106</v>
      </c>
      <c r="B2546" t="b">
        <v>0</v>
      </c>
      <c r="C2546" t="b">
        <v>1</v>
      </c>
      <c r="D2546" s="3">
        <v>1464</v>
      </c>
      <c r="E2546" s="3">
        <v>1464</v>
      </c>
      <c r="F2546" t="s">
        <v>9473</v>
      </c>
      <c r="G2546" t="s">
        <v>3523</v>
      </c>
      <c r="H2546" s="3">
        <v>39.409999999999997</v>
      </c>
      <c r="I2546" t="s">
        <v>9474</v>
      </c>
      <c r="J2546" t="s">
        <v>13240</v>
      </c>
      <c r="K2546" s="5" t="s">
        <v>278</v>
      </c>
      <c r="L2546" t="s">
        <v>9475</v>
      </c>
      <c r="M2546" t="str">
        <f>"https://www.artic.edu/iiif/2/"&amp;Table9[[#This Row],[Image ID]]&amp;"/full/843,/0/default.jpg"</f>
        <v>https://www.artic.edu/iiif/2/a08d47f8-5d0f-53b5-2b5e-c1d7fda55a89/full/843,/0/default.jpg</v>
      </c>
      <c r="N2546" s="3">
        <v>0.65</v>
      </c>
      <c r="O2546" s="3">
        <v>0.05</v>
      </c>
      <c r="P2546" s="3">
        <v>0.6</v>
      </c>
      <c r="Q2546" s="3">
        <v>0.71891695261001498</v>
      </c>
    </row>
    <row r="2547" spans="1:17" x14ac:dyDescent="0.45">
      <c r="A2547" s="3">
        <v>66042</v>
      </c>
      <c r="B2547" t="b">
        <v>0</v>
      </c>
      <c r="C2547" t="b">
        <v>1</v>
      </c>
      <c r="D2547" s="3">
        <v>1658</v>
      </c>
      <c r="E2547" s="3">
        <v>1658</v>
      </c>
      <c r="F2547" t="s">
        <v>9176</v>
      </c>
      <c r="G2547" t="s">
        <v>75</v>
      </c>
      <c r="H2547" s="3">
        <v>27.2315</v>
      </c>
      <c r="I2547" t="s">
        <v>9177</v>
      </c>
      <c r="J2547" t="s">
        <v>13285</v>
      </c>
      <c r="L2547" t="s">
        <v>9178</v>
      </c>
      <c r="M2547" t="str">
        <f>"https://www.artic.edu/iiif/2/"&amp;Table9[[#This Row],[Image ID]]&amp;"/full/843,/0/default.jpg"</f>
        <v>https://www.artic.edu/iiif/2/a3df48fa-a419-7c22-5e1a-cca92f84ad50/full/843,/0/default.jpg</v>
      </c>
      <c r="N2547" s="3">
        <v>0.7</v>
      </c>
      <c r="O2547" s="3">
        <v>0.1</v>
      </c>
      <c r="P2547" s="3">
        <v>0.6</v>
      </c>
      <c r="Q2547" s="3">
        <v>0.66464304924011197</v>
      </c>
    </row>
    <row r="2548" spans="1:17" ht="185.25" x14ac:dyDescent="0.45">
      <c r="A2548" s="3">
        <v>131912</v>
      </c>
      <c r="B2548" t="b">
        <v>0</v>
      </c>
      <c r="C2548" t="b">
        <v>1</v>
      </c>
      <c r="D2548" s="3">
        <v>1735</v>
      </c>
      <c r="E2548" s="3">
        <v>1745</v>
      </c>
      <c r="F2548" t="s">
        <v>3008</v>
      </c>
      <c r="G2548" t="s">
        <v>119</v>
      </c>
      <c r="H2548" s="3">
        <v>46.159500000000001</v>
      </c>
      <c r="J2548" s="1" t="s">
        <v>13344</v>
      </c>
      <c r="K2548" s="5" t="s">
        <v>4</v>
      </c>
      <c r="L2548" t="s">
        <v>3009</v>
      </c>
      <c r="M2548" t="str">
        <f>"https://www.artic.edu/iiif/2/"&amp;Table9[[#This Row],[Image ID]]&amp;"/full/843,/0/default.jpg"</f>
        <v>https://www.artic.edu/iiif/2/a7e14fce-b22c-a81e-ffb5-0809a239ccaa/full/843,/0/default.jpg</v>
      </c>
      <c r="N2548" s="3">
        <v>0.625</v>
      </c>
      <c r="O2548" s="3">
        <v>2.5000000000000001E-2</v>
      </c>
      <c r="P2548" s="3">
        <v>0.6</v>
      </c>
      <c r="Q2548" s="3">
        <v>0.73531401157379095</v>
      </c>
    </row>
    <row r="2549" spans="1:17" x14ac:dyDescent="0.45">
      <c r="A2549" s="3">
        <v>7577</v>
      </c>
      <c r="B2549" t="b">
        <v>0</v>
      </c>
      <c r="C2549" t="b">
        <v>1</v>
      </c>
      <c r="D2549" s="3">
        <v>1805</v>
      </c>
      <c r="E2549" s="3">
        <v>1809</v>
      </c>
      <c r="F2549" t="s">
        <v>9752</v>
      </c>
      <c r="G2549" t="s">
        <v>9753</v>
      </c>
      <c r="H2549" s="3">
        <v>8.5775000000000006</v>
      </c>
      <c r="I2549" t="s">
        <v>1312</v>
      </c>
      <c r="J2549" t="s">
        <v>13413</v>
      </c>
      <c r="L2549" t="s">
        <v>9754</v>
      </c>
      <c r="M2549" t="str">
        <f>"https://www.artic.edu/iiif/2/"&amp;Table9[[#This Row],[Image ID]]&amp;"/full/843,/0/default.jpg"</f>
        <v>https://www.artic.edu/iiif/2/ad7b87b9-9163-d124-fae2-c7fcbd4fe90b/full/843,/0/default.jpg</v>
      </c>
      <c r="N2549" s="3">
        <v>0.7</v>
      </c>
      <c r="O2549" s="3">
        <v>0.1</v>
      </c>
      <c r="P2549" s="3">
        <v>0.6</v>
      </c>
      <c r="Q2549" s="3">
        <v>0.66708058118820102</v>
      </c>
    </row>
    <row r="2550" spans="1:17" x14ac:dyDescent="0.45">
      <c r="A2550" s="3">
        <v>93781</v>
      </c>
      <c r="B2550" t="b">
        <v>0</v>
      </c>
      <c r="C2550" t="b">
        <v>1</v>
      </c>
      <c r="D2550" s="3">
        <v>1845</v>
      </c>
      <c r="E2550" s="3">
        <v>1855</v>
      </c>
      <c r="F2550" t="s">
        <v>10605</v>
      </c>
      <c r="G2550" t="s">
        <v>7</v>
      </c>
      <c r="H2550" s="3">
        <v>0</v>
      </c>
      <c r="I2550" t="s">
        <v>1129</v>
      </c>
      <c r="J2550" t="s">
        <v>13416</v>
      </c>
      <c r="L2550" t="s">
        <v>10606</v>
      </c>
      <c r="M2550" t="str">
        <f>"https://www.artic.edu/iiif/2/"&amp;Table9[[#This Row],[Image ID]]&amp;"/full/843,/0/default.jpg"</f>
        <v>https://www.artic.edu/iiif/2/adabaa14-19e7-a3fd-9995-4d962f94ec09/full/843,/0/default.jpg</v>
      </c>
      <c r="N2550" s="3">
        <v>0.85</v>
      </c>
      <c r="O2550" s="3">
        <v>0.25</v>
      </c>
      <c r="P2550" s="3">
        <v>0.6</v>
      </c>
      <c r="Q2550" s="3">
        <v>0.69390350580215399</v>
      </c>
    </row>
    <row r="2551" spans="1:17" x14ac:dyDescent="0.45">
      <c r="A2551" s="3">
        <v>115675</v>
      </c>
      <c r="B2551" t="b">
        <v>0</v>
      </c>
      <c r="C2551" t="b">
        <v>1</v>
      </c>
      <c r="D2551" s="3">
        <v>1800</v>
      </c>
      <c r="E2551" s="3">
        <v>1899</v>
      </c>
      <c r="F2551" t="s">
        <v>2057</v>
      </c>
      <c r="G2551" t="s">
        <v>2058</v>
      </c>
      <c r="H2551" s="3">
        <v>22.386800000000001</v>
      </c>
      <c r="I2551" t="s">
        <v>16</v>
      </c>
      <c r="J2551" t="s">
        <v>13446</v>
      </c>
      <c r="L2551" t="s">
        <v>2059</v>
      </c>
      <c r="M2551" t="str">
        <f>"https://www.artic.edu/iiif/2/"&amp;Table9[[#This Row],[Image ID]]&amp;"/full/843,/0/default.jpg"</f>
        <v>https://www.artic.edu/iiif/2/afcf03ef-6f26-78bf-d75e-ef0a2a803700/full/843,/0/default.jpg</v>
      </c>
      <c r="N2551" s="3">
        <v>0.7</v>
      </c>
      <c r="O2551" s="3">
        <v>0.1</v>
      </c>
      <c r="P2551" s="3">
        <v>0.6</v>
      </c>
      <c r="Q2551" s="3">
        <v>0.69370305538177401</v>
      </c>
    </row>
    <row r="2552" spans="1:17" x14ac:dyDescent="0.45">
      <c r="A2552" s="3">
        <v>11786</v>
      </c>
      <c r="B2552" t="b">
        <v>0</v>
      </c>
      <c r="C2552" t="b">
        <v>1</v>
      </c>
      <c r="D2552" s="3">
        <v>1420</v>
      </c>
      <c r="E2552" s="3">
        <v>1440</v>
      </c>
      <c r="F2552" t="s">
        <v>2456</v>
      </c>
      <c r="G2552" t="s">
        <v>2457</v>
      </c>
      <c r="H2552" s="3">
        <v>57.613300000000002</v>
      </c>
      <c r="I2552" t="s">
        <v>2458</v>
      </c>
      <c r="J2552" t="s">
        <v>13497</v>
      </c>
      <c r="K2552" s="5" t="s">
        <v>278</v>
      </c>
      <c r="L2552" t="s">
        <v>2459</v>
      </c>
      <c r="M2552" t="str">
        <f>"https://www.artic.edu/iiif/2/"&amp;Table9[[#This Row],[Image ID]]&amp;"/full/843,/0/default.jpg"</f>
        <v>https://www.artic.edu/iiif/2/b3f721e7-ed4a-5aba-bc53-97c083bb0181/full/843,/0/default.jpg</v>
      </c>
      <c r="N2552" s="3">
        <v>0.65</v>
      </c>
      <c r="O2552" s="3">
        <v>0.05</v>
      </c>
      <c r="P2552" s="3">
        <v>0.6</v>
      </c>
      <c r="Q2552" s="3">
        <v>0.76315170526504505</v>
      </c>
    </row>
    <row r="2553" spans="1:17" x14ac:dyDescent="0.45">
      <c r="A2553" s="3">
        <v>76890</v>
      </c>
      <c r="B2553" t="b">
        <v>0</v>
      </c>
      <c r="C2553" t="b">
        <v>1</v>
      </c>
      <c r="D2553" s="3">
        <v>1790</v>
      </c>
      <c r="E2553" s="3">
        <v>1800</v>
      </c>
      <c r="F2553" t="s">
        <v>9807</v>
      </c>
      <c r="G2553" t="s">
        <v>723</v>
      </c>
      <c r="H2553" s="3">
        <v>37.4572</v>
      </c>
      <c r="J2553" t="s">
        <v>13673</v>
      </c>
      <c r="L2553" t="s">
        <v>9808</v>
      </c>
      <c r="M2553" t="str">
        <f>"https://www.artic.edu/iiif/2/"&amp;Table9[[#This Row],[Image ID]]&amp;"/full/843,/0/default.jpg"</f>
        <v>https://www.artic.edu/iiif/2/c1e17623-1a51-8db0-e1d0-3eee0b41b4b2/full/843,/0/default.jpg</v>
      </c>
      <c r="N2553" s="3">
        <v>0.625</v>
      </c>
      <c r="O2553" s="3">
        <v>2.5000000000000001E-2</v>
      </c>
      <c r="P2553" s="3">
        <v>0.6</v>
      </c>
      <c r="Q2553" s="3">
        <v>0.70167738199233998</v>
      </c>
    </row>
    <row r="2554" spans="1:17" ht="85.5" x14ac:dyDescent="0.45">
      <c r="A2554" s="3">
        <v>87760</v>
      </c>
      <c r="B2554" t="b">
        <v>0</v>
      </c>
      <c r="C2554" t="b">
        <v>1</v>
      </c>
      <c r="D2554" s="3">
        <v>1520</v>
      </c>
      <c r="E2554" s="3">
        <v>1540</v>
      </c>
      <c r="F2554" t="s">
        <v>10400</v>
      </c>
      <c r="G2554" t="s">
        <v>75</v>
      </c>
      <c r="H2554" s="3">
        <v>41.233499999999999</v>
      </c>
      <c r="I2554" t="s">
        <v>1240</v>
      </c>
      <c r="J2554" s="1" t="s">
        <v>13675</v>
      </c>
      <c r="L2554" t="s">
        <v>10401</v>
      </c>
      <c r="M2554" t="str">
        <f>"https://www.artic.edu/iiif/2/"&amp;Table9[[#This Row],[Image ID]]&amp;"/full/843,/0/default.jpg"</f>
        <v>https://www.artic.edu/iiif/2/c210a649-8de9-866e-2a5f-0a506a02b19b/full/843,/0/default.jpg</v>
      </c>
      <c r="N2554" s="3">
        <v>0.65</v>
      </c>
      <c r="O2554" s="3">
        <v>0.05</v>
      </c>
      <c r="P2554" s="3">
        <v>0.6</v>
      </c>
      <c r="Q2554" s="3">
        <v>0.88824433088302601</v>
      </c>
    </row>
    <row r="2555" spans="1:17" x14ac:dyDescent="0.45">
      <c r="A2555" s="3">
        <v>111626</v>
      </c>
      <c r="B2555" t="b">
        <v>0</v>
      </c>
      <c r="C2555" t="b">
        <v>1</v>
      </c>
      <c r="D2555" s="3">
        <v>1890</v>
      </c>
      <c r="E2555" s="3">
        <v>1890</v>
      </c>
      <c r="F2555" t="s">
        <v>1162</v>
      </c>
      <c r="G2555" t="s">
        <v>7</v>
      </c>
      <c r="H2555" s="3">
        <v>0</v>
      </c>
      <c r="I2555" t="s">
        <v>14646</v>
      </c>
      <c r="J2555" t="s">
        <v>13754</v>
      </c>
      <c r="L2555" t="s">
        <v>1163</v>
      </c>
      <c r="M2555" t="str">
        <f>"https://www.artic.edu/iiif/2/"&amp;Table9[[#This Row],[Image ID]]&amp;"/full/843,/0/default.jpg"</f>
        <v>https://www.artic.edu/iiif/2/c8566357-e7cc-3040-4d1d-2c67669f3456/full/843,/0/default.jpg</v>
      </c>
      <c r="N2555" s="3">
        <v>0.65</v>
      </c>
      <c r="O2555" s="3">
        <v>0.05</v>
      </c>
      <c r="P2555" s="3">
        <v>0.6</v>
      </c>
      <c r="Q2555" s="3">
        <v>0.81113070249557495</v>
      </c>
    </row>
    <row r="2556" spans="1:17" x14ac:dyDescent="0.45">
      <c r="A2556" s="3">
        <v>111833</v>
      </c>
      <c r="B2556" t="b">
        <v>0</v>
      </c>
      <c r="C2556" t="b">
        <v>1</v>
      </c>
      <c r="D2556" s="3">
        <v>1776</v>
      </c>
      <c r="E2556" s="3">
        <v>1827</v>
      </c>
      <c r="F2556" t="s">
        <v>1264</v>
      </c>
      <c r="G2556" t="s">
        <v>1265</v>
      </c>
      <c r="H2556" s="3">
        <v>27.587</v>
      </c>
      <c r="I2556" t="s">
        <v>1266</v>
      </c>
      <c r="J2556" t="s">
        <v>13779</v>
      </c>
      <c r="L2556" t="s">
        <v>1267</v>
      </c>
      <c r="M2556" t="str">
        <f>"https://www.artic.edu/iiif/2/"&amp;Table9[[#This Row],[Image ID]]&amp;"/full/843,/0/default.jpg"</f>
        <v>https://www.artic.edu/iiif/2/ca1ae08d-8bd0-cb21-9c28-b75f2f2cf751/full/843,/0/default.jpg</v>
      </c>
      <c r="N2556" s="3">
        <v>0.72499999999999998</v>
      </c>
      <c r="O2556" s="3">
        <v>0.125</v>
      </c>
      <c r="P2556" s="3">
        <v>0.6</v>
      </c>
      <c r="Q2556" s="3">
        <v>0.649036645889282</v>
      </c>
    </row>
    <row r="2557" spans="1:17" x14ac:dyDescent="0.45">
      <c r="A2557" s="3">
        <v>160032</v>
      </c>
      <c r="B2557" t="b">
        <v>0</v>
      </c>
      <c r="C2557" t="b">
        <v>1</v>
      </c>
      <c r="D2557" s="3">
        <v>1875</v>
      </c>
      <c r="E2557" s="3">
        <v>1875</v>
      </c>
      <c r="F2557" t="s">
        <v>4237</v>
      </c>
      <c r="G2557" t="s">
        <v>7</v>
      </c>
      <c r="H2557" s="3">
        <v>29.953700000000001</v>
      </c>
      <c r="I2557" t="s">
        <v>2749</v>
      </c>
      <c r="J2557" t="s">
        <v>12312</v>
      </c>
      <c r="L2557" t="s">
        <v>4238</v>
      </c>
      <c r="M2557" t="str">
        <f>"https://www.artic.edu/iiif/2/"&amp;Table9[[#This Row],[Image ID]]&amp;"/full/843,/0/default.jpg"</f>
        <v>https://www.artic.edu/iiif/2/d5133cb6-4ea6-d2f6-3391-e1b47f3f1022/full/843,/0/default.jpg</v>
      </c>
      <c r="N2557" s="3">
        <v>0.7</v>
      </c>
      <c r="O2557" s="3">
        <v>0.1</v>
      </c>
      <c r="P2557" s="3">
        <v>0.6</v>
      </c>
      <c r="Q2557" s="3">
        <v>0.74326032400131203</v>
      </c>
    </row>
    <row r="2558" spans="1:17" x14ac:dyDescent="0.45">
      <c r="A2558" s="3">
        <v>61616</v>
      </c>
      <c r="B2558" t="b">
        <v>0</v>
      </c>
      <c r="C2558" t="b">
        <v>1</v>
      </c>
      <c r="D2558" s="3">
        <v>1884</v>
      </c>
      <c r="E2558" s="3">
        <v>1884</v>
      </c>
      <c r="F2558" t="s">
        <v>8810</v>
      </c>
      <c r="G2558" t="s">
        <v>75</v>
      </c>
      <c r="H2558" s="3">
        <v>47.047400000000003</v>
      </c>
      <c r="I2558" t="s">
        <v>3799</v>
      </c>
      <c r="J2558" t="s">
        <v>13933</v>
      </c>
      <c r="K2558" s="5" t="s">
        <v>115</v>
      </c>
      <c r="L2558" t="s">
        <v>8811</v>
      </c>
      <c r="M2558" t="str">
        <f>"https://www.artic.edu/iiif/2/"&amp;Table9[[#This Row],[Image ID]]&amp;"/full/843,/0/default.jpg"</f>
        <v>https://www.artic.edu/iiif/2/d6c806d3-5a81-22c5-11fb-04100ed93838/full/843,/0/default.jpg</v>
      </c>
      <c r="N2558" s="3">
        <v>0.7</v>
      </c>
      <c r="O2558" s="3">
        <v>0.1</v>
      </c>
      <c r="P2558" s="3">
        <v>0.6</v>
      </c>
      <c r="Q2558" s="3">
        <v>0.67237776517867998</v>
      </c>
    </row>
    <row r="2559" spans="1:17" x14ac:dyDescent="0.45">
      <c r="A2559" s="3">
        <v>61564</v>
      </c>
      <c r="B2559" t="b">
        <v>0</v>
      </c>
      <c r="C2559" t="b">
        <v>1</v>
      </c>
      <c r="D2559" s="3">
        <v>1845</v>
      </c>
      <c r="E2559" s="3">
        <v>1845</v>
      </c>
      <c r="F2559" t="s">
        <v>8805</v>
      </c>
      <c r="G2559" t="s">
        <v>8806</v>
      </c>
      <c r="H2559" s="3">
        <v>42.401800000000001</v>
      </c>
      <c r="I2559" t="s">
        <v>14686</v>
      </c>
      <c r="J2559" t="s">
        <v>14011</v>
      </c>
      <c r="L2559" t="s">
        <v>8807</v>
      </c>
      <c r="M2559" t="str">
        <f>"https://www.artic.edu/iiif/2/"&amp;Table9[[#This Row],[Image ID]]&amp;"/full/843,/0/default.jpg"</f>
        <v>https://www.artic.edu/iiif/2/dc28a17d-2967-1d8c-669d-8fbb031baa96/full/843,/0/default.jpg</v>
      </c>
      <c r="N2559" s="3">
        <v>0.7</v>
      </c>
      <c r="O2559" s="3">
        <v>0.1</v>
      </c>
      <c r="P2559" s="3">
        <v>0.6</v>
      </c>
      <c r="Q2559" s="3">
        <v>0.60086655616760198</v>
      </c>
    </row>
    <row r="2560" spans="1:17" x14ac:dyDescent="0.45">
      <c r="A2560" s="3">
        <v>75038</v>
      </c>
      <c r="B2560" t="b">
        <v>0</v>
      </c>
      <c r="C2560" t="b">
        <v>1</v>
      </c>
      <c r="D2560" s="3">
        <v>1893</v>
      </c>
      <c r="E2560" s="3">
        <v>1893</v>
      </c>
      <c r="F2560" t="s">
        <v>2686</v>
      </c>
      <c r="G2560" t="s">
        <v>9716</v>
      </c>
      <c r="H2560" s="3">
        <v>8.2302</v>
      </c>
      <c r="I2560" t="s">
        <v>510</v>
      </c>
      <c r="J2560" t="s">
        <v>14058</v>
      </c>
      <c r="L2560" t="s">
        <v>9717</v>
      </c>
      <c r="M2560" t="str">
        <f>"https://www.artic.edu/iiif/2/"&amp;Table9[[#This Row],[Image ID]]&amp;"/full/843,/0/default.jpg"</f>
        <v>https://www.artic.edu/iiif/2/dfd7f4b9-1fd7-6929-d076-5183bfa0681a/full/843,/0/default.jpg</v>
      </c>
      <c r="N2560" s="3">
        <v>0.72499999999999998</v>
      </c>
      <c r="O2560" s="3">
        <v>0.125</v>
      </c>
      <c r="P2560" s="3">
        <v>0.6</v>
      </c>
      <c r="Q2560" s="3">
        <v>0.74168986082077004</v>
      </c>
    </row>
    <row r="2561" spans="1:17" x14ac:dyDescent="0.45">
      <c r="A2561" s="3">
        <v>59927</v>
      </c>
      <c r="B2561" t="b">
        <v>0</v>
      </c>
      <c r="C2561" t="b">
        <v>1</v>
      </c>
      <c r="D2561" s="3">
        <v>1885</v>
      </c>
      <c r="E2561" s="3">
        <v>1885</v>
      </c>
      <c r="F2561" t="s">
        <v>14649</v>
      </c>
      <c r="G2561" t="s">
        <v>7</v>
      </c>
      <c r="H2561" s="3">
        <v>16.905799999999999</v>
      </c>
      <c r="I2561" t="s">
        <v>43</v>
      </c>
      <c r="J2561" t="s">
        <v>14235</v>
      </c>
      <c r="K2561" s="5" t="s">
        <v>9</v>
      </c>
      <c r="L2561" t="s">
        <v>8640</v>
      </c>
      <c r="M2561" t="str">
        <f>"https://www.artic.edu/iiif/2/"&amp;Table9[[#This Row],[Image ID]]&amp;"/full/843,/0/default.jpg"</f>
        <v>https://www.artic.edu/iiif/2/eaf98472-70cc-0005-c2c9-6109f549f24a/full/843,/0/default.jpg</v>
      </c>
      <c r="N2561" s="3">
        <v>0.65</v>
      </c>
      <c r="O2561" s="3">
        <v>0.05</v>
      </c>
      <c r="P2561" s="3">
        <v>0.6</v>
      </c>
      <c r="Q2561" s="3">
        <v>0.63207435607910101</v>
      </c>
    </row>
    <row r="2562" spans="1:17" x14ac:dyDescent="0.45">
      <c r="A2562" s="3">
        <v>80526</v>
      </c>
      <c r="B2562" t="b">
        <v>0</v>
      </c>
      <c r="C2562" t="b">
        <v>1</v>
      </c>
      <c r="D2562" s="3">
        <v>1465</v>
      </c>
      <c r="E2562" s="3">
        <v>1495</v>
      </c>
      <c r="F2562" t="s">
        <v>6583</v>
      </c>
      <c r="G2562" t="s">
        <v>103</v>
      </c>
      <c r="H2562" s="3">
        <v>39.9968</v>
      </c>
      <c r="I2562" t="s">
        <v>9996</v>
      </c>
      <c r="J2562" t="s">
        <v>9998</v>
      </c>
      <c r="L2562" t="s">
        <v>9997</v>
      </c>
      <c r="M2562" t="str">
        <f>"https://www.artic.edu/iiif/2/"&amp;Table9[[#This Row],[Image ID]]&amp;"/full/843,/0/default.jpg"</f>
        <v>https://www.artic.edu/iiif/2/eb49ab17-f2d9-275a-ee71-e8f0016b34aa/full/843,/0/default.jpg</v>
      </c>
      <c r="N2562" s="3">
        <v>0.75</v>
      </c>
      <c r="O2562" s="3">
        <v>0.15</v>
      </c>
      <c r="P2562" s="3">
        <v>0.6</v>
      </c>
      <c r="Q2562" s="3">
        <v>0.78875488042831399</v>
      </c>
    </row>
    <row r="2563" spans="1:17" x14ac:dyDescent="0.45">
      <c r="A2563" s="3">
        <v>46092</v>
      </c>
      <c r="B2563" t="b">
        <v>0</v>
      </c>
      <c r="C2563" t="b">
        <v>1</v>
      </c>
      <c r="D2563" s="3">
        <v>1880</v>
      </c>
      <c r="E2563" s="3">
        <v>1889</v>
      </c>
      <c r="F2563" t="s">
        <v>4213</v>
      </c>
      <c r="G2563" t="s">
        <v>7</v>
      </c>
      <c r="H2563" s="3">
        <v>35.304499999999997</v>
      </c>
      <c r="I2563" t="s">
        <v>7881</v>
      </c>
      <c r="J2563" t="s">
        <v>14260</v>
      </c>
      <c r="L2563" t="s">
        <v>7882</v>
      </c>
      <c r="M2563" t="str">
        <f>"https://www.artic.edu/iiif/2/"&amp;Table9[[#This Row],[Image ID]]&amp;"/full/843,/0/default.jpg"</f>
        <v>https://www.artic.edu/iiif/2/ec7fea8a-1b10-2ebe-7bb3-0c431f1a3f68/full/843,/0/default.jpg</v>
      </c>
      <c r="N2563" s="3">
        <v>0.65</v>
      </c>
      <c r="O2563" s="3">
        <v>0.05</v>
      </c>
      <c r="P2563" s="3">
        <v>0.6</v>
      </c>
      <c r="Q2563" s="3">
        <v>0.50151616334915095</v>
      </c>
    </row>
    <row r="2564" spans="1:17" x14ac:dyDescent="0.45">
      <c r="A2564" s="3">
        <v>21747</v>
      </c>
      <c r="B2564" t="b">
        <v>0</v>
      </c>
      <c r="C2564" t="b">
        <v>1</v>
      </c>
      <c r="D2564" s="3">
        <v>1776</v>
      </c>
      <c r="E2564" s="3">
        <v>1827</v>
      </c>
      <c r="F2564" t="s">
        <v>5707</v>
      </c>
      <c r="G2564" t="s">
        <v>5708</v>
      </c>
      <c r="H2564" s="3">
        <v>27.449300000000001</v>
      </c>
      <c r="I2564" t="s">
        <v>1266</v>
      </c>
      <c r="J2564" t="s">
        <v>14314</v>
      </c>
      <c r="L2564" t="s">
        <v>5709</v>
      </c>
      <c r="M2564" t="str">
        <f>"https://www.artic.edu/iiif/2/"&amp;Table9[[#This Row],[Image ID]]&amp;"/full/843,/0/default.jpg"</f>
        <v>https://www.artic.edu/iiif/2/f022e04a-80d8-948e-6ea9-a71682aae7dd/full/843,/0/default.jpg</v>
      </c>
      <c r="N2564" s="3">
        <v>0.82499999999999996</v>
      </c>
      <c r="O2564" s="3">
        <v>0.22500000000000001</v>
      </c>
      <c r="P2564" s="3">
        <v>0.6</v>
      </c>
      <c r="Q2564" s="3">
        <v>0.74556356668472201</v>
      </c>
    </row>
    <row r="2565" spans="1:17" x14ac:dyDescent="0.45">
      <c r="A2565" s="3">
        <v>61975</v>
      </c>
      <c r="B2565" t="b">
        <v>0</v>
      </c>
      <c r="C2565" t="b">
        <v>1</v>
      </c>
      <c r="D2565" s="3">
        <v>1750</v>
      </c>
      <c r="E2565" s="3">
        <v>1899</v>
      </c>
      <c r="F2565" t="s">
        <v>8849</v>
      </c>
      <c r="G2565" t="s">
        <v>8850</v>
      </c>
      <c r="H2565" s="3">
        <v>40.578200000000002</v>
      </c>
      <c r="I2565" t="s">
        <v>1300</v>
      </c>
      <c r="J2565" t="s">
        <v>14316</v>
      </c>
      <c r="L2565" t="s">
        <v>8851</v>
      </c>
      <c r="M2565" t="str">
        <f>"https://www.artic.edu/iiif/2/"&amp;Table9[[#This Row],[Image ID]]&amp;"/full/843,/0/default.jpg"</f>
        <v>https://www.artic.edu/iiif/2/f026dc5c-c114-b7b1-a406-512c610f5b83/full/843,/0/default.jpg</v>
      </c>
      <c r="N2565" s="3">
        <v>0.65</v>
      </c>
      <c r="O2565" s="3">
        <v>0.05</v>
      </c>
      <c r="P2565" s="3">
        <v>0.6</v>
      </c>
      <c r="Q2565" s="3">
        <v>0.70146203041076605</v>
      </c>
    </row>
    <row r="2566" spans="1:17" x14ac:dyDescent="0.45">
      <c r="A2566" s="3">
        <v>111074</v>
      </c>
      <c r="B2566" t="b">
        <v>0</v>
      </c>
      <c r="C2566" t="b">
        <v>1</v>
      </c>
      <c r="D2566" s="3">
        <v>1755</v>
      </c>
      <c r="E2566" s="3">
        <v>1765</v>
      </c>
      <c r="F2566" t="s">
        <v>1023</v>
      </c>
      <c r="G2566" t="s">
        <v>7</v>
      </c>
      <c r="H2566" s="3">
        <v>18.076899999999998</v>
      </c>
      <c r="I2566" t="s">
        <v>1024</v>
      </c>
      <c r="J2566" t="s">
        <v>14346</v>
      </c>
      <c r="L2566" t="s">
        <v>1025</v>
      </c>
      <c r="M2566" t="str">
        <f>"https://www.artic.edu/iiif/2/"&amp;Table9[[#This Row],[Image ID]]&amp;"/full/843,/0/default.jpg"</f>
        <v>https://www.artic.edu/iiif/2/f23f8a3b-66b8-9061-811c-c65dd0a32ebd/full/843,/0/default.jpg</v>
      </c>
      <c r="N2566" s="3">
        <v>0.75</v>
      </c>
      <c r="O2566" s="3">
        <v>0.15</v>
      </c>
      <c r="P2566" s="3">
        <v>0.6</v>
      </c>
      <c r="Q2566" s="3">
        <v>0.57798999547958296</v>
      </c>
    </row>
    <row r="2567" spans="1:17" x14ac:dyDescent="0.45">
      <c r="A2567" s="3">
        <v>77015</v>
      </c>
      <c r="B2567" t="b">
        <v>0</v>
      </c>
      <c r="C2567" t="b">
        <v>1</v>
      </c>
      <c r="D2567" s="3">
        <v>1325</v>
      </c>
      <c r="E2567" s="3">
        <v>1350</v>
      </c>
      <c r="F2567" t="s">
        <v>9816</v>
      </c>
      <c r="G2567" t="s">
        <v>9817</v>
      </c>
      <c r="H2567" s="3">
        <v>22.172799999999999</v>
      </c>
      <c r="I2567" t="s">
        <v>9818</v>
      </c>
      <c r="J2567" t="s">
        <v>14376</v>
      </c>
      <c r="K2567" s="5" t="s">
        <v>278</v>
      </c>
      <c r="L2567" t="s">
        <v>9819</v>
      </c>
      <c r="M2567" t="str">
        <f>"https://www.artic.edu/iiif/2/"&amp;Table9[[#This Row],[Image ID]]&amp;"/full/843,/0/default.jpg"</f>
        <v>https://www.artic.edu/iiif/2/f4d07254-5a78-d32d-0385-5d6c99749332/full/843,/0/default.jpg</v>
      </c>
      <c r="N2567" s="3">
        <v>0.6</v>
      </c>
      <c r="O2567" s="3">
        <v>0</v>
      </c>
      <c r="P2567" s="3">
        <v>0.6</v>
      </c>
      <c r="Q2567" s="3">
        <v>0.79990160465240401</v>
      </c>
    </row>
    <row r="2568" spans="1:17" x14ac:dyDescent="0.45">
      <c r="A2568" s="3">
        <v>894</v>
      </c>
      <c r="B2568" t="b">
        <v>0</v>
      </c>
      <c r="C2568" t="b">
        <v>1</v>
      </c>
      <c r="D2568" s="3">
        <v>1855</v>
      </c>
      <c r="E2568" s="3">
        <v>1865</v>
      </c>
      <c r="F2568" t="s">
        <v>1087</v>
      </c>
      <c r="G2568" t="s">
        <v>75</v>
      </c>
      <c r="H2568" s="3">
        <v>37.083199999999998</v>
      </c>
      <c r="I2568" t="s">
        <v>14558</v>
      </c>
      <c r="J2568" t="s">
        <v>14386</v>
      </c>
      <c r="L2568" t="s">
        <v>10455</v>
      </c>
      <c r="M2568" t="str">
        <f>"https://www.artic.edu/iiif/2/"&amp;Table9[[#This Row],[Image ID]]&amp;"/full/843,/0/default.jpg"</f>
        <v>https://www.artic.edu/iiif/2/f5731565-80bd-6d4c-8790-d0c252d92bd4/full/843,/0/default.jpg</v>
      </c>
      <c r="N2568" s="3">
        <v>0.65</v>
      </c>
      <c r="O2568" s="3">
        <v>0.05</v>
      </c>
      <c r="P2568" s="3">
        <v>0.6</v>
      </c>
      <c r="Q2568" s="3">
        <v>0.42134600877761802</v>
      </c>
    </row>
    <row r="2569" spans="1:17" x14ac:dyDescent="0.45">
      <c r="A2569" s="3">
        <v>133864</v>
      </c>
      <c r="B2569" t="b">
        <v>0</v>
      </c>
      <c r="C2569" t="b">
        <v>1</v>
      </c>
      <c r="D2569" s="3">
        <v>1870</v>
      </c>
      <c r="E2569" s="3">
        <v>1871</v>
      </c>
      <c r="F2569" t="s">
        <v>3080</v>
      </c>
      <c r="G2569" t="s">
        <v>75</v>
      </c>
      <c r="H2569" s="3">
        <v>42.779499999999999</v>
      </c>
      <c r="I2569" t="s">
        <v>3081</v>
      </c>
      <c r="J2569" t="s">
        <v>14399</v>
      </c>
      <c r="L2569" t="s">
        <v>3082</v>
      </c>
      <c r="M2569" t="str">
        <f>"https://www.artic.edu/iiif/2/"&amp;Table9[[#This Row],[Image ID]]&amp;"/full/843,/0/default.jpg"</f>
        <v>https://www.artic.edu/iiif/2/f66e2513-20d7-f876-c880-858d585e57fb/full/843,/0/default.jpg</v>
      </c>
      <c r="N2569" s="3">
        <v>0.65</v>
      </c>
      <c r="O2569" s="3">
        <v>0.05</v>
      </c>
      <c r="P2569" s="3">
        <v>0.6</v>
      </c>
      <c r="Q2569" s="3">
        <v>0.63052076101303101</v>
      </c>
    </row>
    <row r="2570" spans="1:17" x14ac:dyDescent="0.45">
      <c r="A2570" s="3">
        <v>16370</v>
      </c>
      <c r="B2570" t="b">
        <v>0</v>
      </c>
      <c r="C2570" t="b">
        <v>1</v>
      </c>
      <c r="D2570" s="3">
        <v>1633</v>
      </c>
      <c r="E2570" s="3">
        <v>1633</v>
      </c>
      <c r="F2570" t="s">
        <v>4395</v>
      </c>
      <c r="G2570" t="s">
        <v>75</v>
      </c>
      <c r="H2570" s="3">
        <v>16.059000000000001</v>
      </c>
      <c r="I2570" t="s">
        <v>4396</v>
      </c>
      <c r="J2570" t="s">
        <v>14487</v>
      </c>
      <c r="L2570" t="s">
        <v>4397</v>
      </c>
      <c r="M2570" t="str">
        <f>"https://www.artic.edu/iiif/2/"&amp;Table9[[#This Row],[Image ID]]&amp;"/full/843,/0/default.jpg"</f>
        <v>https://www.artic.edu/iiif/2/fc76abe6-5252-a690-dd1c-6e2480c0ffbb/full/843,/0/default.jpg</v>
      </c>
      <c r="N2570" s="3">
        <v>0.75</v>
      </c>
      <c r="O2570" s="3">
        <v>0.15</v>
      </c>
      <c r="P2570" s="3">
        <v>0.6</v>
      </c>
      <c r="Q2570" s="3">
        <v>0.45113548636436401</v>
      </c>
    </row>
    <row r="2571" spans="1:17" x14ac:dyDescent="0.45">
      <c r="A2571" s="3">
        <v>97903</v>
      </c>
      <c r="B2571" t="b">
        <v>0</v>
      </c>
      <c r="C2571" t="b">
        <v>0</v>
      </c>
      <c r="D2571" s="3">
        <v>1902</v>
      </c>
      <c r="E2571" s="3">
        <v>1902</v>
      </c>
      <c r="F2571" t="s">
        <v>10888</v>
      </c>
      <c r="G2571" t="s">
        <v>7</v>
      </c>
      <c r="H2571" s="3">
        <v>15.704000000000001</v>
      </c>
      <c r="I2571" t="s">
        <v>192</v>
      </c>
      <c r="J2571" t="s">
        <v>11067</v>
      </c>
      <c r="L2571" t="s">
        <v>10889</v>
      </c>
      <c r="M2571" t="str">
        <f>"https://www.artic.edu/iiif/2/"&amp;Table9[[#This Row],[Image ID]]&amp;"/full/843,/0/default.jpg"</f>
        <v>https://www.artic.edu/iiif/2/06b3c08f-04d5-c2f5-00e8-901bb0747ef1/full/843,/0/default.jpg</v>
      </c>
      <c r="N2571" s="3">
        <v>0.72499999999999998</v>
      </c>
      <c r="O2571" s="3">
        <v>0.125</v>
      </c>
      <c r="P2571" s="3">
        <v>0.6</v>
      </c>
      <c r="Q2571" s="3">
        <v>0.65362095832824696</v>
      </c>
    </row>
    <row r="2572" spans="1:17" x14ac:dyDescent="0.45">
      <c r="A2572" s="3">
        <v>153498</v>
      </c>
      <c r="B2572" t="b">
        <v>0</v>
      </c>
      <c r="C2572" t="b">
        <v>0</v>
      </c>
      <c r="D2572" s="3">
        <v>1941</v>
      </c>
      <c r="E2572" s="3">
        <v>1941</v>
      </c>
      <c r="F2572" t="s">
        <v>3944</v>
      </c>
      <c r="G2572" t="s">
        <v>7</v>
      </c>
      <c r="H2572" s="3">
        <v>47.6843</v>
      </c>
      <c r="I2572" t="s">
        <v>563</v>
      </c>
      <c r="J2572" t="s">
        <v>11088</v>
      </c>
      <c r="K2572" s="5" t="s">
        <v>2</v>
      </c>
      <c r="L2572" t="s">
        <v>3945</v>
      </c>
      <c r="M2572" t="str">
        <f>"https://www.artic.edu/iiif/2/"&amp;Table9[[#This Row],[Image ID]]&amp;"/full/843,/0/default.jpg"</f>
        <v>https://www.artic.edu/iiif/2/0814b40d-9680-05ba-ea4e-9ac32226f257/full/843,/0/default.jpg</v>
      </c>
      <c r="N2572" s="3">
        <v>0.65</v>
      </c>
      <c r="O2572" s="3">
        <v>0.05</v>
      </c>
      <c r="P2572" s="3">
        <v>0.6</v>
      </c>
      <c r="Q2572" s="3">
        <v>0.76980578899383501</v>
      </c>
    </row>
    <row r="2573" spans="1:17" x14ac:dyDescent="0.45">
      <c r="A2573" s="3">
        <v>184107</v>
      </c>
      <c r="B2573" t="b">
        <v>0</v>
      </c>
      <c r="C2573" t="b">
        <v>0</v>
      </c>
      <c r="D2573" s="3">
        <v>1999</v>
      </c>
      <c r="E2573" s="3">
        <v>1999</v>
      </c>
      <c r="F2573" t="s">
        <v>11</v>
      </c>
      <c r="G2573" t="s">
        <v>4803</v>
      </c>
      <c r="H2573" s="3">
        <v>2.0648</v>
      </c>
      <c r="I2573" t="s">
        <v>4804</v>
      </c>
      <c r="J2573" t="s">
        <v>11164</v>
      </c>
      <c r="L2573" t="s">
        <v>4805</v>
      </c>
      <c r="M2573" t="str">
        <f>"https://www.artic.edu/iiif/2/"&amp;Table9[[#This Row],[Image ID]]&amp;"/full/843,/0/default.jpg"</f>
        <v>https://www.artic.edu/iiif/2/0eba0dd0-055c-73d7-9694-ee55becedd88/full/843,/0/default.jpg</v>
      </c>
      <c r="N2573" s="3">
        <v>0.65</v>
      </c>
      <c r="O2573" s="3">
        <v>0.05</v>
      </c>
      <c r="P2573" s="3">
        <v>0.6</v>
      </c>
      <c r="Q2573" s="3">
        <v>0.58591294288635198</v>
      </c>
    </row>
    <row r="2574" spans="1:17" x14ac:dyDescent="0.45">
      <c r="A2574" s="3">
        <v>117354</v>
      </c>
      <c r="B2574" t="b">
        <v>0</v>
      </c>
      <c r="C2574" t="b">
        <v>0</v>
      </c>
      <c r="D2574" s="3">
        <v>1941</v>
      </c>
      <c r="E2574" s="3">
        <v>1941</v>
      </c>
      <c r="F2574" t="s">
        <v>2301</v>
      </c>
      <c r="G2574" t="s">
        <v>1769</v>
      </c>
      <c r="H2574" s="3">
        <v>22.9893</v>
      </c>
      <c r="I2574" t="s">
        <v>2302</v>
      </c>
      <c r="J2574" t="s">
        <v>11167</v>
      </c>
      <c r="L2574" t="s">
        <v>2303</v>
      </c>
      <c r="M2574" t="str">
        <f>"https://www.artic.edu/iiif/2/"&amp;Table9[[#This Row],[Image ID]]&amp;"/full/843,/0/default.jpg"</f>
        <v>https://www.artic.edu/iiif/2/0f0231bf-d420-5509-f36b-2b98f9fccb3a/full/843,/0/default.jpg</v>
      </c>
      <c r="N2574" s="3">
        <v>0.7</v>
      </c>
      <c r="O2574" s="3">
        <v>0.1</v>
      </c>
      <c r="P2574" s="3">
        <v>0.6</v>
      </c>
      <c r="Q2574" s="3">
        <v>0.85440057516098</v>
      </c>
    </row>
    <row r="2575" spans="1:17" x14ac:dyDescent="0.45">
      <c r="A2575" s="3">
        <v>83143</v>
      </c>
      <c r="B2575" t="b">
        <v>0</v>
      </c>
      <c r="C2575" t="b">
        <v>0</v>
      </c>
      <c r="D2575" s="3">
        <v>1921</v>
      </c>
      <c r="E2575" s="3">
        <v>1921</v>
      </c>
      <c r="F2575" t="s">
        <v>10204</v>
      </c>
      <c r="G2575" t="s">
        <v>10205</v>
      </c>
      <c r="H2575" s="3">
        <v>40.605499999999999</v>
      </c>
      <c r="I2575" t="s">
        <v>10206</v>
      </c>
      <c r="J2575" t="s">
        <v>11196</v>
      </c>
      <c r="L2575" t="s">
        <v>10207</v>
      </c>
      <c r="M2575" t="str">
        <f>"https://www.artic.edu/iiif/2/"&amp;Table9[[#This Row],[Image ID]]&amp;"/full/843,/0/default.jpg"</f>
        <v>https://www.artic.edu/iiif/2/11184783-1210-1927-4e8e-b9c732b01651/full/843,/0/default.jpg</v>
      </c>
      <c r="N2575" s="3">
        <v>0.72499999999999998</v>
      </c>
      <c r="O2575" s="3">
        <v>0.125</v>
      </c>
      <c r="P2575" s="3">
        <v>0.6</v>
      </c>
      <c r="Q2575" s="3">
        <v>0.65289700031280495</v>
      </c>
    </row>
    <row r="2576" spans="1:17" x14ac:dyDescent="0.45">
      <c r="A2576" s="3">
        <v>120817</v>
      </c>
      <c r="B2576" t="b">
        <v>0</v>
      </c>
      <c r="C2576" t="b">
        <v>0</v>
      </c>
      <c r="D2576" s="3">
        <v>1921</v>
      </c>
      <c r="E2576" s="3">
        <v>1921</v>
      </c>
      <c r="F2576" t="s">
        <v>72</v>
      </c>
      <c r="G2576" t="s">
        <v>75</v>
      </c>
      <c r="H2576" s="3">
        <v>72.386899999999997</v>
      </c>
      <c r="I2576" t="s">
        <v>313</v>
      </c>
      <c r="J2576" t="s">
        <v>11204</v>
      </c>
      <c r="L2576" t="s">
        <v>2658</v>
      </c>
      <c r="M2576" t="str">
        <f>"https://www.artic.edu/iiif/2/"&amp;Table9[[#This Row],[Image ID]]&amp;"/full/843,/0/default.jpg"</f>
        <v>https://www.artic.edu/iiif/2/11c44e48-d9d8-e6e2-2bd2-023ec14cbe13/full/843,/0/default.jpg</v>
      </c>
      <c r="N2576" s="3">
        <v>0.65</v>
      </c>
      <c r="O2576" s="3">
        <v>0.05</v>
      </c>
      <c r="P2576" s="3">
        <v>0.6</v>
      </c>
      <c r="Q2576" s="3">
        <v>0.88390725851058904</v>
      </c>
    </row>
    <row r="2577" spans="1:17" x14ac:dyDescent="0.45">
      <c r="A2577" s="3">
        <v>68517</v>
      </c>
      <c r="B2577" t="b">
        <v>0</v>
      </c>
      <c r="C2577" t="b">
        <v>0</v>
      </c>
      <c r="D2577" s="3">
        <v>1912</v>
      </c>
      <c r="E2577" s="3">
        <v>1912</v>
      </c>
      <c r="F2577" t="s">
        <v>9362</v>
      </c>
      <c r="G2577" t="s">
        <v>7</v>
      </c>
      <c r="H2577" s="3">
        <v>22.2837</v>
      </c>
      <c r="I2577" t="s">
        <v>6956</v>
      </c>
      <c r="J2577" t="s">
        <v>11216</v>
      </c>
      <c r="K2577" s="5" t="s">
        <v>9</v>
      </c>
      <c r="L2577" t="s">
        <v>9363</v>
      </c>
      <c r="M2577" t="str">
        <f>"https://www.artic.edu/iiif/2/"&amp;Table9[[#This Row],[Image ID]]&amp;"/full/843,/0/default.jpg"</f>
        <v>https://www.artic.edu/iiif/2/121ff54b-91fb-99d3-ba2f-52a28f5e4a8f/full/843,/0/default.jpg</v>
      </c>
      <c r="N2577" s="3">
        <v>0.7</v>
      </c>
      <c r="O2577" s="3">
        <v>0.1</v>
      </c>
      <c r="P2577" s="3">
        <v>0.6</v>
      </c>
      <c r="Q2577" s="3">
        <v>0.81136620044708196</v>
      </c>
    </row>
    <row r="2578" spans="1:17" x14ac:dyDescent="0.45">
      <c r="A2578" s="3">
        <v>44031</v>
      </c>
      <c r="B2578" t="b">
        <v>0</v>
      </c>
      <c r="C2578" t="b">
        <v>0</v>
      </c>
      <c r="D2578" s="3">
        <v>1932</v>
      </c>
      <c r="E2578" s="3">
        <v>1932</v>
      </c>
      <c r="F2578" t="s">
        <v>7747</v>
      </c>
      <c r="G2578" t="s">
        <v>1283</v>
      </c>
      <c r="H2578" s="3">
        <v>26.8186</v>
      </c>
      <c r="I2578" t="s">
        <v>1512</v>
      </c>
      <c r="J2578" t="s">
        <v>11250</v>
      </c>
      <c r="L2578" t="s">
        <v>7748</v>
      </c>
      <c r="M2578" t="str">
        <f>"https://www.artic.edu/iiif/2/"&amp;Table9[[#This Row],[Image ID]]&amp;"/full/843,/0/default.jpg"</f>
        <v>https://www.artic.edu/iiif/2/147542f4-be32-b5a9-3535-2f3d7918f7ab/full/843,/0/default.jpg</v>
      </c>
      <c r="N2578" s="3">
        <v>0.65</v>
      </c>
      <c r="O2578" s="3">
        <v>0.05</v>
      </c>
      <c r="P2578" s="3">
        <v>0.6</v>
      </c>
      <c r="Q2578" s="3">
        <v>0.61430114507675104</v>
      </c>
    </row>
    <row r="2579" spans="1:17" x14ac:dyDescent="0.45">
      <c r="A2579" s="3">
        <v>71248</v>
      </c>
      <c r="B2579" t="b">
        <v>0</v>
      </c>
      <c r="C2579" t="b">
        <v>0</v>
      </c>
      <c r="D2579" s="3">
        <v>1909</v>
      </c>
      <c r="E2579" s="3">
        <v>1919</v>
      </c>
      <c r="F2579" t="s">
        <v>2701</v>
      </c>
      <c r="G2579" t="s">
        <v>7</v>
      </c>
      <c r="H2579" s="3">
        <v>35.444600000000001</v>
      </c>
      <c r="I2579" t="s">
        <v>6808</v>
      </c>
      <c r="J2579" t="s">
        <v>11406</v>
      </c>
      <c r="L2579" t="s">
        <v>9478</v>
      </c>
      <c r="M2579" t="str">
        <f>"https://www.artic.edu/iiif/2/"&amp;Table9[[#This Row],[Image ID]]&amp;"/full/843,/0/default.jpg"</f>
        <v>https://www.artic.edu/iiif/2/1f15fc6c-eb8e-38c8-c1fa-95588223bf6c/full/843,/0/default.jpg</v>
      </c>
      <c r="N2579" s="3">
        <v>0.72499999999999998</v>
      </c>
      <c r="O2579" s="3">
        <v>0.125</v>
      </c>
      <c r="P2579" s="3">
        <v>0.6</v>
      </c>
      <c r="Q2579" s="3">
        <v>0.63754433393478305</v>
      </c>
    </row>
    <row r="2580" spans="1:17" x14ac:dyDescent="0.45">
      <c r="A2580" s="3">
        <v>60653</v>
      </c>
      <c r="B2580" t="b">
        <v>0</v>
      </c>
      <c r="C2580" t="b">
        <v>0</v>
      </c>
      <c r="D2580" s="3">
        <v>1972</v>
      </c>
      <c r="E2580" s="3">
        <v>1972</v>
      </c>
      <c r="F2580" t="s">
        <v>8739</v>
      </c>
      <c r="G2580" t="s">
        <v>8740</v>
      </c>
      <c r="H2580" s="3">
        <v>28.041399999999999</v>
      </c>
      <c r="I2580" t="s">
        <v>29</v>
      </c>
      <c r="J2580" t="s">
        <v>11460</v>
      </c>
      <c r="L2580" t="s">
        <v>8741</v>
      </c>
      <c r="M2580" t="str">
        <f>"https://www.artic.edu/iiif/2/"&amp;Table9[[#This Row],[Image ID]]&amp;"/full/843,/0/default.jpg"</f>
        <v>https://www.artic.edu/iiif/2/221c8fcb-e8b8-755b-e19d-ce83ba6996f6/full/843,/0/default.jpg</v>
      </c>
      <c r="N2580" s="3">
        <v>0.7</v>
      </c>
      <c r="O2580" s="3">
        <v>0.1</v>
      </c>
      <c r="P2580" s="3">
        <v>0.6</v>
      </c>
      <c r="Q2580" s="3">
        <v>0.75011998414993197</v>
      </c>
    </row>
    <row r="2581" spans="1:17" x14ac:dyDescent="0.45">
      <c r="A2581" s="3">
        <v>113688</v>
      </c>
      <c r="B2581" t="b">
        <v>0</v>
      </c>
      <c r="C2581" t="b">
        <v>0</v>
      </c>
      <c r="D2581" s="3">
        <v>1943</v>
      </c>
      <c r="E2581" s="3">
        <v>1948</v>
      </c>
      <c r="F2581" t="s">
        <v>562</v>
      </c>
      <c r="G2581" t="s">
        <v>1481</v>
      </c>
      <c r="H2581" s="3">
        <v>41.129399999999997</v>
      </c>
      <c r="I2581" t="s">
        <v>563</v>
      </c>
      <c r="J2581" t="s">
        <v>11499</v>
      </c>
      <c r="L2581" t="s">
        <v>1482</v>
      </c>
      <c r="M2581" t="str">
        <f>"https://www.artic.edu/iiif/2/"&amp;Table9[[#This Row],[Image ID]]&amp;"/full/843,/0/default.jpg"</f>
        <v>https://www.artic.edu/iiif/2/25503569-ae9d-fdfc-b612-d78b4ec19907/full/843,/0/default.jpg</v>
      </c>
      <c r="N2581" s="3">
        <v>0.625</v>
      </c>
      <c r="O2581" s="3">
        <v>2.5000000000000001E-2</v>
      </c>
      <c r="P2581" s="3">
        <v>0.6</v>
      </c>
      <c r="Q2581" s="3">
        <v>0.74427747726440396</v>
      </c>
    </row>
    <row r="2582" spans="1:17" x14ac:dyDescent="0.45">
      <c r="A2582" s="3">
        <v>63780</v>
      </c>
      <c r="B2582" t="b">
        <v>0</v>
      </c>
      <c r="C2582" t="b">
        <v>0</v>
      </c>
      <c r="D2582" s="3">
        <v>1934</v>
      </c>
      <c r="E2582" s="3">
        <v>1934</v>
      </c>
      <c r="F2582" t="s">
        <v>8945</v>
      </c>
      <c r="G2582" t="s">
        <v>249</v>
      </c>
      <c r="H2582" s="3">
        <v>0</v>
      </c>
      <c r="I2582" t="s">
        <v>1</v>
      </c>
      <c r="J2582" t="s">
        <v>11550</v>
      </c>
      <c r="L2582" t="s">
        <v>8946</v>
      </c>
      <c r="M2582" t="str">
        <f>"https://www.artic.edu/iiif/2/"&amp;Table9[[#This Row],[Image ID]]&amp;"/full/843,/0/default.jpg"</f>
        <v>https://www.artic.edu/iiif/2/27bec91b-ea27-851a-24b9-d1909ac2bf7f/full/843,/0/default.jpg</v>
      </c>
      <c r="N2582" s="3">
        <v>0.65</v>
      </c>
      <c r="O2582" s="3">
        <v>0.05</v>
      </c>
      <c r="P2582" s="3">
        <v>0.6</v>
      </c>
      <c r="Q2582" s="3">
        <v>0.735021531581878</v>
      </c>
    </row>
    <row r="2583" spans="1:17" x14ac:dyDescent="0.45">
      <c r="A2583" s="3">
        <v>156077</v>
      </c>
      <c r="B2583" t="b">
        <v>0</v>
      </c>
      <c r="C2583" t="b">
        <v>0</v>
      </c>
      <c r="D2583" s="3">
        <v>1994</v>
      </c>
      <c r="E2583" s="3">
        <v>1994</v>
      </c>
      <c r="F2583" t="s">
        <v>4060</v>
      </c>
      <c r="G2583" t="s">
        <v>7</v>
      </c>
      <c r="H2583" s="3">
        <v>10.7835</v>
      </c>
      <c r="I2583" t="s">
        <v>2941</v>
      </c>
      <c r="J2583" t="s">
        <v>11593</v>
      </c>
      <c r="L2583" t="s">
        <v>4061</v>
      </c>
      <c r="M2583" t="str">
        <f>"https://www.artic.edu/iiif/2/"&amp;Table9[[#This Row],[Image ID]]&amp;"/full/843,/0/default.jpg"</f>
        <v>https://www.artic.edu/iiif/2/2a637fc8-9360-2053-e867-92ee9d11586b/full/843,/0/default.jpg</v>
      </c>
      <c r="N2583" s="3">
        <v>0.65</v>
      </c>
      <c r="O2583" s="3">
        <v>0.05</v>
      </c>
      <c r="P2583" s="3">
        <v>0.6</v>
      </c>
      <c r="Q2583" s="3">
        <v>0.73482078313827504</v>
      </c>
    </row>
    <row r="2584" spans="1:17" x14ac:dyDescent="0.45">
      <c r="A2584" s="3">
        <v>8264</v>
      </c>
      <c r="B2584" t="b">
        <v>0</v>
      </c>
      <c r="C2584" t="b">
        <v>0</v>
      </c>
      <c r="D2584" s="3">
        <v>1928</v>
      </c>
      <c r="E2584" s="3">
        <v>1928</v>
      </c>
      <c r="F2584" t="s">
        <v>6773</v>
      </c>
      <c r="G2584" t="s">
        <v>4247</v>
      </c>
      <c r="H2584" s="3">
        <v>20.0763</v>
      </c>
      <c r="I2584" t="s">
        <v>914</v>
      </c>
      <c r="J2584" t="s">
        <v>11638</v>
      </c>
      <c r="L2584" t="s">
        <v>10194</v>
      </c>
      <c r="M2584" t="str">
        <f>"https://www.artic.edu/iiif/2/"&amp;Table9[[#This Row],[Image ID]]&amp;"/full/843,/0/default.jpg"</f>
        <v>https://www.artic.edu/iiif/2/2dceebb6-0091-6f07-98d3-b287e965d5dd/full/843,/0/default.jpg</v>
      </c>
      <c r="N2584" s="3">
        <v>0.6</v>
      </c>
      <c r="O2584" s="3">
        <v>0</v>
      </c>
      <c r="P2584" s="3">
        <v>0.6</v>
      </c>
      <c r="Q2584" s="3">
        <v>0.71659344434738104</v>
      </c>
    </row>
    <row r="2585" spans="1:17" x14ac:dyDescent="0.45">
      <c r="A2585" s="3">
        <v>104280</v>
      </c>
      <c r="B2585" t="b">
        <v>0</v>
      </c>
      <c r="C2585" t="b">
        <v>0</v>
      </c>
      <c r="D2585" s="3">
        <v>1920</v>
      </c>
      <c r="E2585" s="3">
        <v>1920</v>
      </c>
      <c r="F2585" t="s">
        <v>426</v>
      </c>
      <c r="G2585" t="s">
        <v>7</v>
      </c>
      <c r="H2585" s="3">
        <v>33.312600000000003</v>
      </c>
      <c r="I2585" t="s">
        <v>427</v>
      </c>
      <c r="J2585" t="s">
        <v>10973</v>
      </c>
      <c r="L2585" t="s">
        <v>428</v>
      </c>
      <c r="M2585" t="str">
        <f>"https://www.artic.edu/iiif/2/"&amp;Table9[[#This Row],[Image ID]]&amp;"/full/843,/0/default.jpg"</f>
        <v>https://www.artic.edu/iiif/2/35b30b33-55bb-33e0-614a-4eac485f4a14/full/843,/0/default.jpg</v>
      </c>
      <c r="N2585" s="3">
        <v>0.7</v>
      </c>
      <c r="O2585" s="3">
        <v>0.1</v>
      </c>
      <c r="P2585" s="3">
        <v>0.6</v>
      </c>
      <c r="Q2585" s="3">
        <v>0.76438099145889205</v>
      </c>
    </row>
    <row r="2586" spans="1:17" x14ac:dyDescent="0.45">
      <c r="A2586" s="3">
        <v>60287</v>
      </c>
      <c r="B2586" t="b">
        <v>0</v>
      </c>
      <c r="C2586" t="b">
        <v>0</v>
      </c>
      <c r="D2586" s="3">
        <v>1972</v>
      </c>
      <c r="E2586" s="3">
        <v>1972</v>
      </c>
      <c r="F2586" t="s">
        <v>8701</v>
      </c>
      <c r="G2586" t="s">
        <v>59</v>
      </c>
      <c r="H2586" s="3">
        <v>16.636700000000001</v>
      </c>
      <c r="I2586" t="s">
        <v>612</v>
      </c>
      <c r="J2586" t="s">
        <v>11814</v>
      </c>
      <c r="L2586" t="s">
        <v>8702</v>
      </c>
      <c r="M2586" t="str">
        <f>"https://www.artic.edu/iiif/2/"&amp;Table9[[#This Row],[Image ID]]&amp;"/full/843,/0/default.jpg"</f>
        <v>https://www.artic.edu/iiif/2/39a51b83-794b-1781-cf39-d5be0f842217/full/843,/0/default.jpg</v>
      </c>
      <c r="N2586" s="3">
        <v>0.65</v>
      </c>
      <c r="O2586" s="3">
        <v>0.05</v>
      </c>
      <c r="P2586" s="3">
        <v>0.6</v>
      </c>
      <c r="Q2586" s="3">
        <v>0.65129005908965998</v>
      </c>
    </row>
    <row r="2587" spans="1:17" x14ac:dyDescent="0.45">
      <c r="A2587" s="3">
        <v>78514</v>
      </c>
      <c r="B2587" t="b">
        <v>0</v>
      </c>
      <c r="C2587" t="b">
        <v>0</v>
      </c>
      <c r="D2587" s="3">
        <v>1919</v>
      </c>
      <c r="E2587" s="3">
        <v>1955</v>
      </c>
      <c r="F2587" t="s">
        <v>20</v>
      </c>
      <c r="G2587" t="s">
        <v>9844</v>
      </c>
      <c r="H2587" s="3">
        <v>46.354700000000001</v>
      </c>
      <c r="I2587" t="s">
        <v>14565</v>
      </c>
      <c r="J2587" t="s">
        <v>11923</v>
      </c>
      <c r="L2587" t="s">
        <v>9845</v>
      </c>
      <c r="M2587" t="str">
        <f>"https://www.artic.edu/iiif/2/"&amp;Table9[[#This Row],[Image ID]]&amp;"/full/843,/0/default.jpg"</f>
        <v>https://www.artic.edu/iiif/2/40752f55-55aa-b64a-1d5a-a1471996cc15/full/843,/0/default.jpg</v>
      </c>
      <c r="N2587" s="3">
        <v>0.72499999999999998</v>
      </c>
      <c r="O2587" s="3">
        <v>0.125</v>
      </c>
      <c r="P2587" s="3">
        <v>0.6</v>
      </c>
      <c r="Q2587" s="3">
        <v>0.81270235776901201</v>
      </c>
    </row>
    <row r="2588" spans="1:17" x14ac:dyDescent="0.45">
      <c r="A2588" s="3">
        <v>60542</v>
      </c>
      <c r="B2588" t="b">
        <v>0</v>
      </c>
      <c r="C2588" t="b">
        <v>0</v>
      </c>
      <c r="D2588" s="3">
        <v>1947</v>
      </c>
      <c r="E2588" s="3">
        <v>1947</v>
      </c>
      <c r="F2588" t="s">
        <v>8723</v>
      </c>
      <c r="G2588" t="s">
        <v>8724</v>
      </c>
      <c r="H2588" s="3">
        <v>23.419799999999999</v>
      </c>
      <c r="I2588" t="s">
        <v>293</v>
      </c>
      <c r="J2588" t="s">
        <v>11972</v>
      </c>
      <c r="L2588" t="s">
        <v>8725</v>
      </c>
      <c r="M2588" t="str">
        <f>"https://www.artic.edu/iiif/2/"&amp;Table9[[#This Row],[Image ID]]&amp;"/full/843,/0/default.jpg"</f>
        <v>https://www.artic.edu/iiif/2/437013e0-4894-4776-54c6-14029989e535/full/843,/0/default.jpg</v>
      </c>
      <c r="N2588" s="3">
        <v>0.625</v>
      </c>
      <c r="O2588" s="3">
        <v>2.5000000000000001E-2</v>
      </c>
      <c r="P2588" s="3">
        <v>0.6</v>
      </c>
      <c r="Q2588" s="3">
        <v>0.71968626976013095</v>
      </c>
    </row>
    <row r="2589" spans="1:17" x14ac:dyDescent="0.45">
      <c r="A2589" s="3">
        <v>52146</v>
      </c>
      <c r="B2589" t="b">
        <v>0</v>
      </c>
      <c r="C2589" t="b">
        <v>0</v>
      </c>
      <c r="D2589" s="3">
        <v>1898</v>
      </c>
      <c r="E2589" s="3">
        <v>1898</v>
      </c>
      <c r="F2589" t="s">
        <v>8176</v>
      </c>
      <c r="G2589" t="s">
        <v>7</v>
      </c>
      <c r="H2589" s="3">
        <v>43.400799999999997</v>
      </c>
      <c r="I2589" t="s">
        <v>852</v>
      </c>
      <c r="J2589" t="s">
        <v>12027</v>
      </c>
      <c r="K2589" s="5" t="s">
        <v>115</v>
      </c>
      <c r="L2589" t="s">
        <v>8177</v>
      </c>
      <c r="M2589" t="str">
        <f>"https://www.artic.edu/iiif/2/"&amp;Table9[[#This Row],[Image ID]]&amp;"/full/843,/0/default.jpg"</f>
        <v>https://www.artic.edu/iiif/2/47a66ae9-b3b8-82c9-beca-ad8cfd9c6a2a/full/843,/0/default.jpg</v>
      </c>
      <c r="N2589" s="3">
        <v>0.625</v>
      </c>
      <c r="O2589" s="3">
        <v>2.5000000000000001E-2</v>
      </c>
      <c r="P2589" s="3">
        <v>0.6</v>
      </c>
      <c r="Q2589" s="3">
        <v>0.58961862325668302</v>
      </c>
    </row>
    <row r="2590" spans="1:17" x14ac:dyDescent="0.45">
      <c r="A2590" s="3">
        <v>184890</v>
      </c>
      <c r="B2590" t="b">
        <v>0</v>
      </c>
      <c r="C2590" t="b">
        <v>0</v>
      </c>
      <c r="D2590" s="3">
        <v>2003</v>
      </c>
      <c r="E2590" s="3">
        <v>2003</v>
      </c>
      <c r="F2590" t="s">
        <v>4874</v>
      </c>
      <c r="G2590" t="s">
        <v>4823</v>
      </c>
      <c r="H2590" s="3">
        <v>11.079700000000001</v>
      </c>
      <c r="I2590" t="s">
        <v>293</v>
      </c>
      <c r="J2590" t="s">
        <v>10977</v>
      </c>
      <c r="K2590" s="5" t="s">
        <v>15</v>
      </c>
      <c r="L2590" t="s">
        <v>4875</v>
      </c>
      <c r="M2590" t="str">
        <f>"https://www.artic.edu/iiif/2/"&amp;Table9[[#This Row],[Image ID]]&amp;"/full/843,/0/default.jpg"</f>
        <v>https://www.artic.edu/iiif/2/553fe6ca-015d-c5d0-ec97-dc2a485512db/full/843,/0/default.jpg</v>
      </c>
      <c r="N2590" s="3">
        <v>0.72499999999999998</v>
      </c>
      <c r="O2590" s="3">
        <v>0.125</v>
      </c>
      <c r="P2590" s="3">
        <v>0.6</v>
      </c>
      <c r="Q2590" s="3">
        <v>0.81005179882049505</v>
      </c>
    </row>
    <row r="2591" spans="1:17" x14ac:dyDescent="0.45">
      <c r="A2591" s="3">
        <v>55964</v>
      </c>
      <c r="B2591" t="b">
        <v>0</v>
      </c>
      <c r="C2591" t="b">
        <v>0</v>
      </c>
      <c r="D2591" s="3">
        <v>1962</v>
      </c>
      <c r="E2591" s="3">
        <v>1965</v>
      </c>
      <c r="F2591" t="s">
        <v>8424</v>
      </c>
      <c r="G2591" t="s">
        <v>8425</v>
      </c>
      <c r="H2591" s="3">
        <v>35.3018</v>
      </c>
      <c r="I2591" t="s">
        <v>599</v>
      </c>
      <c r="J2591" t="s">
        <v>11739</v>
      </c>
      <c r="L2591" t="s">
        <v>8426</v>
      </c>
      <c r="M2591" t="str">
        <f>"https://www.artic.edu/iiif/2/"&amp;Table9[[#This Row],[Image ID]]&amp;"/full/843,/0/default.jpg"</f>
        <v>https://www.artic.edu/iiif/2/61ab88bc-be08-0aa5-dbb6-72e17d23b88d/full/843,/0/default.jpg</v>
      </c>
      <c r="N2591" s="3">
        <v>0.7</v>
      </c>
      <c r="O2591" s="3">
        <v>0.1</v>
      </c>
      <c r="P2591" s="3">
        <v>0.6</v>
      </c>
      <c r="Q2591" s="3">
        <v>0.69358897209167403</v>
      </c>
    </row>
    <row r="2592" spans="1:17" x14ac:dyDescent="0.45">
      <c r="A2592" s="3">
        <v>22369</v>
      </c>
      <c r="B2592" t="b">
        <v>0</v>
      </c>
      <c r="C2592" t="b">
        <v>0</v>
      </c>
      <c r="D2592" s="3">
        <v>1959</v>
      </c>
      <c r="E2592" s="3">
        <v>1959</v>
      </c>
      <c r="F2592" t="s">
        <v>5872</v>
      </c>
      <c r="G2592" t="s">
        <v>3093</v>
      </c>
      <c r="H2592" s="3">
        <v>17.152999999999999</v>
      </c>
      <c r="I2592" t="s">
        <v>5873</v>
      </c>
      <c r="J2592" t="s">
        <v>12480</v>
      </c>
      <c r="L2592" t="s">
        <v>5874</v>
      </c>
      <c r="M2592" t="str">
        <f>"https://www.artic.edu/iiif/2/"&amp;Table9[[#This Row],[Image ID]]&amp;"/full/843,/0/default.jpg"</f>
        <v>https://www.artic.edu/iiif/2/67086475-646c-8dbf-9730-a3cdea22e9b3/full/843,/0/default.jpg</v>
      </c>
      <c r="N2592" s="3">
        <v>0.65</v>
      </c>
      <c r="O2592" s="3">
        <v>0.05</v>
      </c>
      <c r="P2592" s="3">
        <v>0.6</v>
      </c>
      <c r="Q2592" s="3">
        <v>0.82070684432983398</v>
      </c>
    </row>
    <row r="2593" spans="1:17" x14ac:dyDescent="0.45">
      <c r="A2593" s="3">
        <v>158749</v>
      </c>
      <c r="B2593" t="b">
        <v>0</v>
      </c>
      <c r="C2593" t="b">
        <v>0</v>
      </c>
      <c r="D2593" s="3">
        <v>1957</v>
      </c>
      <c r="E2593" s="3">
        <v>1957</v>
      </c>
      <c r="F2593" t="s">
        <v>4157</v>
      </c>
      <c r="G2593" t="s">
        <v>7</v>
      </c>
      <c r="H2593" s="3">
        <v>52.907600000000002</v>
      </c>
      <c r="I2593" t="s">
        <v>144</v>
      </c>
      <c r="J2593" t="s">
        <v>12487</v>
      </c>
      <c r="K2593" s="5" t="s">
        <v>45</v>
      </c>
      <c r="L2593" t="s">
        <v>4158</v>
      </c>
      <c r="M2593" t="str">
        <f>"https://www.artic.edu/iiif/2/"&amp;Table9[[#This Row],[Image ID]]&amp;"/full/843,/0/default.jpg"</f>
        <v>https://www.artic.edu/iiif/2/67b6776b-09df-bf71-72e9-5b43446906b4/full/843,/0/default.jpg</v>
      </c>
      <c r="N2593" s="3">
        <v>0.625</v>
      </c>
      <c r="O2593" s="3">
        <v>2.5000000000000001E-2</v>
      </c>
      <c r="P2593" s="3">
        <v>0.6</v>
      </c>
      <c r="Q2593" s="3">
        <v>0.68498563766479403</v>
      </c>
    </row>
    <row r="2594" spans="1:17" x14ac:dyDescent="0.45">
      <c r="A2594" s="3">
        <v>132672</v>
      </c>
      <c r="B2594" t="b">
        <v>0</v>
      </c>
      <c r="C2594" t="b">
        <v>0</v>
      </c>
      <c r="D2594" s="3">
        <v>1963</v>
      </c>
      <c r="E2594" s="3">
        <v>1964</v>
      </c>
      <c r="F2594" t="s">
        <v>3019</v>
      </c>
      <c r="G2594" t="s">
        <v>7</v>
      </c>
      <c r="H2594" s="3">
        <v>136.1002</v>
      </c>
      <c r="I2594" t="s">
        <v>474</v>
      </c>
      <c r="J2594" t="s">
        <v>12555</v>
      </c>
      <c r="K2594" s="5" t="s">
        <v>149</v>
      </c>
      <c r="L2594" t="s">
        <v>3020</v>
      </c>
      <c r="M2594" t="str">
        <f>"https://www.artic.edu/iiif/2/"&amp;Table9[[#This Row],[Image ID]]&amp;"/full/843,/0/default.jpg"</f>
        <v>https://www.artic.edu/iiif/2/6c66d5f0-a6ff-09e5-6c9b-c4a5ca80e396/full/843,/0/default.jpg</v>
      </c>
      <c r="N2594" s="3">
        <v>0.7</v>
      </c>
      <c r="O2594" s="3">
        <v>0.1</v>
      </c>
      <c r="P2594" s="3">
        <v>0.6</v>
      </c>
      <c r="Q2594" s="3">
        <v>0.76245421171188299</v>
      </c>
    </row>
    <row r="2595" spans="1:17" x14ac:dyDescent="0.45">
      <c r="A2595" s="3">
        <v>184723</v>
      </c>
      <c r="B2595" t="b">
        <v>0</v>
      </c>
      <c r="C2595" t="b">
        <v>0</v>
      </c>
      <c r="D2595" s="3">
        <v>2003</v>
      </c>
      <c r="E2595" s="3">
        <v>2003</v>
      </c>
      <c r="F2595" t="s">
        <v>4825</v>
      </c>
      <c r="G2595" t="s">
        <v>4823</v>
      </c>
      <c r="H2595" s="3">
        <v>8.1447000000000003</v>
      </c>
      <c r="I2595" t="s">
        <v>293</v>
      </c>
      <c r="J2595" t="s">
        <v>10977</v>
      </c>
      <c r="K2595" s="5" t="s">
        <v>15</v>
      </c>
      <c r="L2595" t="s">
        <v>4826</v>
      </c>
      <c r="M2595" t="str">
        <f>"https://www.artic.edu/iiif/2/"&amp;Table9[[#This Row],[Image ID]]&amp;"/full/843,/0/default.jpg"</f>
        <v>https://www.artic.edu/iiif/2/6fca6c14-7f5c-0f13-a6c2-b0cf707de55a/full/843,/0/default.jpg</v>
      </c>
      <c r="N2595" s="3">
        <v>0.625</v>
      </c>
      <c r="O2595" s="3">
        <v>2.5000000000000001E-2</v>
      </c>
      <c r="P2595" s="3">
        <v>0.6</v>
      </c>
      <c r="Q2595" s="3">
        <v>0.87570971250534002</v>
      </c>
    </row>
    <row r="2596" spans="1:17" x14ac:dyDescent="0.45">
      <c r="A2596" s="3">
        <v>73644</v>
      </c>
      <c r="B2596" t="b">
        <v>0</v>
      </c>
      <c r="C2596" t="b">
        <v>0</v>
      </c>
      <c r="D2596" s="3">
        <v>1915</v>
      </c>
      <c r="E2596" s="3">
        <v>1915</v>
      </c>
      <c r="F2596" t="s">
        <v>9630</v>
      </c>
      <c r="G2596" t="s">
        <v>2328</v>
      </c>
      <c r="H2596" s="3">
        <v>25.495000000000001</v>
      </c>
      <c r="I2596" t="s">
        <v>761</v>
      </c>
      <c r="J2596" t="s">
        <v>12608</v>
      </c>
      <c r="K2596" s="5" t="s">
        <v>134</v>
      </c>
      <c r="L2596" t="s">
        <v>9631</v>
      </c>
      <c r="M2596" t="str">
        <f>"https://www.artic.edu/iiif/2/"&amp;Table9[[#This Row],[Image ID]]&amp;"/full/843,/0/default.jpg"</f>
        <v>https://www.artic.edu/iiif/2/7036097d-1d05-1548-a981-bc5177f9da4e/full/843,/0/default.jpg</v>
      </c>
      <c r="N2596" s="3">
        <v>0.6</v>
      </c>
      <c r="O2596" s="3">
        <v>0</v>
      </c>
      <c r="P2596" s="3">
        <v>0.6</v>
      </c>
      <c r="Q2596" s="3">
        <v>0.66357839107513406</v>
      </c>
    </row>
    <row r="2597" spans="1:17" x14ac:dyDescent="0.45">
      <c r="A2597" s="3">
        <v>18666</v>
      </c>
      <c r="B2597" t="b">
        <v>0</v>
      </c>
      <c r="C2597" t="b">
        <v>0</v>
      </c>
      <c r="D2597" s="3">
        <v>1915</v>
      </c>
      <c r="E2597" s="3">
        <v>1915</v>
      </c>
      <c r="F2597" t="s">
        <v>5062</v>
      </c>
      <c r="G2597" t="s">
        <v>5063</v>
      </c>
      <c r="H2597" s="3">
        <v>21.778099999999998</v>
      </c>
      <c r="I2597" t="s">
        <v>949</v>
      </c>
      <c r="J2597" t="s">
        <v>12675</v>
      </c>
      <c r="L2597" t="s">
        <v>5064</v>
      </c>
      <c r="M2597" t="str">
        <f>"https://www.artic.edu/iiif/2/"&amp;Table9[[#This Row],[Image ID]]&amp;"/full/843,/0/default.jpg"</f>
        <v>https://www.artic.edu/iiif/2/752a2a2e-72bb-f978-aba1-1a9c3e0daff3/full/843,/0/default.jpg</v>
      </c>
      <c r="N2597" s="3">
        <v>0.75</v>
      </c>
      <c r="O2597" s="3">
        <v>0.15</v>
      </c>
      <c r="P2597" s="3">
        <v>0.6</v>
      </c>
      <c r="Q2597" s="3">
        <v>0.63809669017791704</v>
      </c>
    </row>
    <row r="2598" spans="1:17" x14ac:dyDescent="0.45">
      <c r="A2598" s="3">
        <v>60259</v>
      </c>
      <c r="B2598" t="b">
        <v>0</v>
      </c>
      <c r="C2598" t="b">
        <v>0</v>
      </c>
      <c r="D2598" s="3">
        <v>1950</v>
      </c>
      <c r="E2598" s="3">
        <v>1950</v>
      </c>
      <c r="F2598" t="s">
        <v>8695</v>
      </c>
      <c r="G2598" t="s">
        <v>272</v>
      </c>
      <c r="H2598" s="3">
        <v>35.580100000000002</v>
      </c>
      <c r="I2598" t="s">
        <v>5986</v>
      </c>
      <c r="J2598" t="s">
        <v>12714</v>
      </c>
      <c r="K2598" s="5" t="s">
        <v>8693</v>
      </c>
      <c r="L2598" t="s">
        <v>8696</v>
      </c>
      <c r="M2598" t="str">
        <f>"https://www.artic.edu/iiif/2/"&amp;Table9[[#This Row],[Image ID]]&amp;"/full/843,/0/default.jpg"</f>
        <v>https://www.artic.edu/iiif/2/781513e2-b5bd-2b7c-3156-9db115f2d22f/full/843,/0/default.jpg</v>
      </c>
      <c r="N2598" s="3">
        <v>0.7</v>
      </c>
      <c r="O2598" s="3">
        <v>0.1</v>
      </c>
      <c r="P2598" s="3">
        <v>0.6</v>
      </c>
      <c r="Q2598" s="3">
        <v>0.77499592304229703</v>
      </c>
    </row>
    <row r="2599" spans="1:17" x14ac:dyDescent="0.45">
      <c r="A2599" s="3">
        <v>47271</v>
      </c>
      <c r="B2599" t="b">
        <v>0</v>
      </c>
      <c r="C2599" t="b">
        <v>0</v>
      </c>
      <c r="D2599" s="3">
        <v>1935</v>
      </c>
      <c r="E2599" s="3">
        <v>1957</v>
      </c>
      <c r="F2599" t="s">
        <v>7937</v>
      </c>
      <c r="G2599" t="s">
        <v>7938</v>
      </c>
      <c r="H2599" s="3">
        <v>51.9617</v>
      </c>
      <c r="I2599" t="s">
        <v>1509</v>
      </c>
      <c r="J2599" t="s">
        <v>12776</v>
      </c>
      <c r="L2599" t="s">
        <v>7939</v>
      </c>
      <c r="M2599" t="str">
        <f>"https://www.artic.edu/iiif/2/"&amp;Table9[[#This Row],[Image ID]]&amp;"/full/843,/0/default.jpg"</f>
        <v>https://www.artic.edu/iiif/2/7d4f7b4f-b1c8-a1e9-0064-74699938eb3d/full/843,/0/default.jpg</v>
      </c>
      <c r="N2599" s="3">
        <v>0.625</v>
      </c>
      <c r="O2599" s="3">
        <v>2.5000000000000001E-2</v>
      </c>
      <c r="P2599" s="3">
        <v>0.6</v>
      </c>
      <c r="Q2599" s="3">
        <v>0.77355092763900701</v>
      </c>
    </row>
    <row r="2600" spans="1:17" x14ac:dyDescent="0.45">
      <c r="A2600" s="3">
        <v>110983</v>
      </c>
      <c r="B2600" t="b">
        <v>0</v>
      </c>
      <c r="C2600" t="b">
        <v>0</v>
      </c>
      <c r="D2600" s="3">
        <v>1939</v>
      </c>
      <c r="E2600" s="3">
        <v>1939</v>
      </c>
      <c r="F2600" t="s">
        <v>987</v>
      </c>
      <c r="G2600" t="s">
        <v>7</v>
      </c>
      <c r="H2600" s="3">
        <v>31.351299999999998</v>
      </c>
      <c r="I2600" t="s">
        <v>988</v>
      </c>
      <c r="J2600" t="s">
        <v>12787</v>
      </c>
      <c r="L2600" t="s">
        <v>989</v>
      </c>
      <c r="M2600" t="str">
        <f>"https://www.artic.edu/iiif/2/"&amp;Table9[[#This Row],[Image ID]]&amp;"/full/843,/0/default.jpg"</f>
        <v>https://www.artic.edu/iiif/2/7e1637fc-1b8f-fe01-e1de-b6d929ce8ffc/full/843,/0/default.jpg</v>
      </c>
      <c r="N2600" s="3">
        <v>0.6</v>
      </c>
      <c r="O2600" s="3">
        <v>0</v>
      </c>
      <c r="P2600" s="3">
        <v>0.6</v>
      </c>
      <c r="Q2600" s="3">
        <v>0.72504752874374301</v>
      </c>
    </row>
    <row r="2601" spans="1:17" x14ac:dyDescent="0.45">
      <c r="A2601" s="3">
        <v>93867</v>
      </c>
      <c r="B2601" t="b">
        <v>0</v>
      </c>
      <c r="C2601" t="b">
        <v>0</v>
      </c>
      <c r="D2601" s="3">
        <v>1949</v>
      </c>
      <c r="E2601" s="3">
        <v>1959</v>
      </c>
      <c r="F2601" t="s">
        <v>10663</v>
      </c>
      <c r="G2601" t="s">
        <v>10664</v>
      </c>
      <c r="H2601" s="3">
        <v>27.998100000000001</v>
      </c>
      <c r="I2601" t="s">
        <v>526</v>
      </c>
      <c r="J2601" t="s">
        <v>12856</v>
      </c>
      <c r="L2601" t="s">
        <v>10665</v>
      </c>
      <c r="M2601" t="str">
        <f>"https://www.artic.edu/iiif/2/"&amp;Table9[[#This Row],[Image ID]]&amp;"/full/843,/0/default.jpg"</f>
        <v>https://www.artic.edu/iiif/2/82b5232a-e3f0-542c-e94a-6460d94fafd7/full/843,/0/default.jpg</v>
      </c>
      <c r="N2601" s="3">
        <v>0.7</v>
      </c>
      <c r="O2601" s="3">
        <v>0.1</v>
      </c>
      <c r="P2601" s="3">
        <v>0.6</v>
      </c>
      <c r="Q2601" s="3">
        <v>0.72113496065139704</v>
      </c>
    </row>
    <row r="2602" spans="1:17" x14ac:dyDescent="0.45">
      <c r="A2602" s="3">
        <v>110974</v>
      </c>
      <c r="B2602" t="b">
        <v>0</v>
      </c>
      <c r="C2602" t="b">
        <v>0</v>
      </c>
      <c r="D2602" s="3">
        <v>1936</v>
      </c>
      <c r="E2602" s="3">
        <v>1936</v>
      </c>
      <c r="F2602" t="s">
        <v>983</v>
      </c>
      <c r="G2602" t="s">
        <v>512</v>
      </c>
      <c r="H2602" s="3">
        <v>86.875399999999999</v>
      </c>
      <c r="I2602" t="s">
        <v>4769</v>
      </c>
      <c r="J2602" t="s">
        <v>12902</v>
      </c>
      <c r="L2602" t="s">
        <v>984</v>
      </c>
      <c r="M2602" t="str">
        <f>"https://www.artic.edu/iiif/2/"&amp;Table9[[#This Row],[Image ID]]&amp;"/full/843,/0/default.jpg"</f>
        <v>https://www.artic.edu/iiif/2/85ddc062-0cc4-431f-679b-b9a139fba241/full/843,/0/default.jpg</v>
      </c>
      <c r="N2602" s="3">
        <v>0.72499999999999998</v>
      </c>
      <c r="O2602" s="3">
        <v>0.125</v>
      </c>
      <c r="P2602" s="3">
        <v>0.6</v>
      </c>
      <c r="Q2602" s="3">
        <v>0.84793156385421697</v>
      </c>
    </row>
    <row r="2603" spans="1:17" x14ac:dyDescent="0.45">
      <c r="A2603" s="3">
        <v>93789</v>
      </c>
      <c r="B2603" t="b">
        <v>0</v>
      </c>
      <c r="C2603" t="b">
        <v>0</v>
      </c>
      <c r="D2603" s="3">
        <v>1955</v>
      </c>
      <c r="E2603" s="3">
        <v>1955</v>
      </c>
      <c r="F2603" t="s">
        <v>10615</v>
      </c>
      <c r="G2603" t="s">
        <v>7</v>
      </c>
      <c r="H2603" s="3">
        <v>29.951899999999998</v>
      </c>
      <c r="I2603" t="s">
        <v>2885</v>
      </c>
      <c r="J2603" t="s">
        <v>12966</v>
      </c>
      <c r="K2603" s="5" t="s">
        <v>45</v>
      </c>
      <c r="L2603" t="s">
        <v>10616</v>
      </c>
      <c r="M2603" t="str">
        <f>"https://www.artic.edu/iiif/2/"&amp;Table9[[#This Row],[Image ID]]&amp;"/full/843,/0/default.jpg"</f>
        <v>https://www.artic.edu/iiif/2/8b80ad4c-3e99-5f2f-c799-89432b5ff954/full/843,/0/default.jpg</v>
      </c>
      <c r="N2603" s="3">
        <v>0.7</v>
      </c>
      <c r="O2603" s="3">
        <v>0.1</v>
      </c>
      <c r="P2603" s="3">
        <v>0.6</v>
      </c>
      <c r="Q2603" s="3">
        <v>0.67271316051483099</v>
      </c>
    </row>
    <row r="2604" spans="1:17" x14ac:dyDescent="0.45">
      <c r="A2604" s="3">
        <v>64479</v>
      </c>
      <c r="B2604" t="b">
        <v>0</v>
      </c>
      <c r="C2604" t="b">
        <v>0</v>
      </c>
      <c r="D2604" s="3">
        <v>1906</v>
      </c>
      <c r="E2604" s="3">
        <v>1906</v>
      </c>
      <c r="F2604" t="s">
        <v>8991</v>
      </c>
      <c r="G2604" t="s">
        <v>7</v>
      </c>
      <c r="H2604" s="3">
        <v>23.168399999999998</v>
      </c>
      <c r="I2604" t="s">
        <v>590</v>
      </c>
      <c r="J2604" t="s">
        <v>11233</v>
      </c>
      <c r="K2604" s="5" t="s">
        <v>9</v>
      </c>
      <c r="L2604" t="s">
        <v>8992</v>
      </c>
      <c r="M2604" t="str">
        <f>"https://www.artic.edu/iiif/2/"&amp;Table9[[#This Row],[Image ID]]&amp;"/full/843,/0/default.jpg"</f>
        <v>https://www.artic.edu/iiif/2/8c92737a-9766-eb66-d0b2-1f042b219674/full/843,/0/default.jpg</v>
      </c>
      <c r="N2604" s="3">
        <v>0.7</v>
      </c>
      <c r="O2604" s="3">
        <v>0.1</v>
      </c>
      <c r="P2604" s="3">
        <v>0.6</v>
      </c>
      <c r="Q2604" s="3">
        <v>0.77086752653121904</v>
      </c>
    </row>
    <row r="2605" spans="1:17" x14ac:dyDescent="0.45">
      <c r="A2605" s="3">
        <v>129140</v>
      </c>
      <c r="B2605" t="b">
        <v>0</v>
      </c>
      <c r="C2605" t="b">
        <v>0</v>
      </c>
      <c r="D2605" s="3">
        <v>1944</v>
      </c>
      <c r="E2605" s="3">
        <v>1944</v>
      </c>
      <c r="F2605" t="s">
        <v>2860</v>
      </c>
      <c r="G2605" t="s">
        <v>2857</v>
      </c>
      <c r="H2605" s="3">
        <v>47.314999999999998</v>
      </c>
      <c r="I2605" t="s">
        <v>14549</v>
      </c>
      <c r="J2605" t="s">
        <v>11294</v>
      </c>
      <c r="L2605" t="s">
        <v>2861</v>
      </c>
      <c r="M2605" t="str">
        <f>"https://www.artic.edu/iiif/2/"&amp;Table9[[#This Row],[Image ID]]&amp;"/full/843,/0/default.jpg"</f>
        <v>https://www.artic.edu/iiif/2/913ad071-da92-7e8f-0708-cee60a7718a3/full/843,/0/default.jpg</v>
      </c>
      <c r="N2605" s="3">
        <v>0.75</v>
      </c>
      <c r="O2605" s="3">
        <v>0.15</v>
      </c>
      <c r="P2605" s="3">
        <v>0.6</v>
      </c>
      <c r="Q2605" s="3">
        <v>0.747758269309997</v>
      </c>
    </row>
    <row r="2606" spans="1:17" x14ac:dyDescent="0.45">
      <c r="A2606" s="3">
        <v>216534</v>
      </c>
      <c r="B2606" t="b">
        <v>0</v>
      </c>
      <c r="C2606" t="b">
        <v>0</v>
      </c>
      <c r="D2606" s="3">
        <v>1947</v>
      </c>
      <c r="E2606" s="3">
        <v>1947</v>
      </c>
      <c r="F2606" t="s">
        <v>5647</v>
      </c>
      <c r="G2606" t="s">
        <v>7</v>
      </c>
      <c r="H2606" s="3">
        <v>35.131999999999998</v>
      </c>
      <c r="I2606" t="s">
        <v>5648</v>
      </c>
      <c r="J2606" t="s">
        <v>13058</v>
      </c>
      <c r="L2606" t="s">
        <v>5649</v>
      </c>
      <c r="M2606" t="str">
        <f>"https://www.artic.edu/iiif/2/"&amp;Table9[[#This Row],[Image ID]]&amp;"/full/843,/0/default.jpg"</f>
        <v>https://www.artic.edu/iiif/2/92aa7957-5a52-7466-47c1-b4fe1f721eb5/full/843,/0/default.jpg</v>
      </c>
      <c r="N2606" s="3">
        <v>0.65</v>
      </c>
      <c r="O2606" s="3">
        <v>0.05</v>
      </c>
      <c r="P2606" s="3">
        <v>0.6</v>
      </c>
      <c r="Q2606" s="3">
        <v>0.64205247163772505</v>
      </c>
    </row>
    <row r="2607" spans="1:17" x14ac:dyDescent="0.45">
      <c r="A2607" s="3">
        <v>14810</v>
      </c>
      <c r="B2607" t="b">
        <v>0</v>
      </c>
      <c r="C2607" t="b">
        <v>0</v>
      </c>
      <c r="D2607" s="3">
        <v>1895</v>
      </c>
      <c r="E2607" s="3">
        <v>1933</v>
      </c>
      <c r="F2607" t="s">
        <v>3698</v>
      </c>
      <c r="G2607" t="s">
        <v>1536</v>
      </c>
      <c r="H2607" s="3">
        <v>17.2515</v>
      </c>
      <c r="I2607" t="s">
        <v>3699</v>
      </c>
      <c r="J2607" t="s">
        <v>13068</v>
      </c>
      <c r="L2607" t="s">
        <v>3700</v>
      </c>
      <c r="M2607" t="str">
        <f>"https://www.artic.edu/iiif/2/"&amp;Table9[[#This Row],[Image ID]]&amp;"/full/843,/0/default.jpg"</f>
        <v>https://www.artic.edu/iiif/2/93dce66e-50dc-e8d6-3300-f5d363ce4e65/full/843,/0/default.jpg</v>
      </c>
      <c r="N2607" s="3">
        <v>0.72499999999999998</v>
      </c>
      <c r="O2607" s="3">
        <v>0.125</v>
      </c>
      <c r="P2607" s="3">
        <v>0.6</v>
      </c>
      <c r="Q2607" s="3">
        <v>0.74473267793655396</v>
      </c>
    </row>
    <row r="2608" spans="1:17" x14ac:dyDescent="0.45">
      <c r="A2608" s="3">
        <v>145903</v>
      </c>
      <c r="B2608" t="b">
        <v>0</v>
      </c>
      <c r="C2608" t="b">
        <v>0</v>
      </c>
      <c r="D2608" s="3">
        <v>1917</v>
      </c>
      <c r="E2608" s="3">
        <v>1917</v>
      </c>
      <c r="F2608" t="s">
        <v>3416</v>
      </c>
      <c r="G2608" t="s">
        <v>3417</v>
      </c>
      <c r="H2608" s="3">
        <v>25.662299999999998</v>
      </c>
      <c r="I2608" t="s">
        <v>934</v>
      </c>
      <c r="J2608" t="s">
        <v>13118</v>
      </c>
      <c r="L2608" t="s">
        <v>3418</v>
      </c>
      <c r="M2608" t="str">
        <f>"https://www.artic.edu/iiif/2/"&amp;Table9[[#This Row],[Image ID]]&amp;"/full/843,/0/default.jpg"</f>
        <v>https://www.artic.edu/iiif/2/97ac2988-428b-e1c2-4227-83ea8941fe9e/full/843,/0/default.jpg</v>
      </c>
      <c r="N2608" s="3">
        <v>0.75</v>
      </c>
      <c r="O2608" s="3">
        <v>0.15</v>
      </c>
      <c r="P2608" s="3">
        <v>0.6</v>
      </c>
      <c r="Q2608" s="3">
        <v>0.62110096216201705</v>
      </c>
    </row>
    <row r="2609" spans="1:17" x14ac:dyDescent="0.45">
      <c r="A2609" s="3">
        <v>12925</v>
      </c>
      <c r="B2609" t="b">
        <v>0</v>
      </c>
      <c r="C2609" t="b">
        <v>0</v>
      </c>
      <c r="D2609" s="3">
        <v>1928</v>
      </c>
      <c r="E2609" s="3">
        <v>1928</v>
      </c>
      <c r="F2609" t="s">
        <v>2872</v>
      </c>
      <c r="G2609" t="s">
        <v>2873</v>
      </c>
      <c r="H2609" s="3">
        <v>14.236800000000001</v>
      </c>
      <c r="I2609" t="s">
        <v>748</v>
      </c>
      <c r="J2609" t="s">
        <v>13144</v>
      </c>
      <c r="L2609" t="s">
        <v>2874</v>
      </c>
      <c r="M2609" t="str">
        <f>"https://www.artic.edu/iiif/2/"&amp;Table9[[#This Row],[Image ID]]&amp;"/full/843,/0/default.jpg"</f>
        <v>https://www.artic.edu/iiif/2/9991c839-39b8-efba-8d9a-f0b69875a76b/full/843,/0/default.jpg</v>
      </c>
      <c r="N2609" s="3">
        <v>0.7</v>
      </c>
      <c r="O2609" s="3">
        <v>0.1</v>
      </c>
      <c r="P2609" s="3">
        <v>0.6</v>
      </c>
      <c r="Q2609" s="3">
        <v>0.87108737230300903</v>
      </c>
    </row>
    <row r="2610" spans="1:17" x14ac:dyDescent="0.45">
      <c r="A2610" s="3">
        <v>58233</v>
      </c>
      <c r="B2610" t="b">
        <v>0</v>
      </c>
      <c r="C2610" t="b">
        <v>0</v>
      </c>
      <c r="D2610" s="3">
        <v>1964</v>
      </c>
      <c r="E2610" s="3">
        <v>1964</v>
      </c>
      <c r="F2610" t="s">
        <v>8506</v>
      </c>
      <c r="G2610" t="s">
        <v>8507</v>
      </c>
      <c r="H2610" s="3">
        <v>60.422499999999999</v>
      </c>
      <c r="I2610" t="s">
        <v>7189</v>
      </c>
      <c r="J2610" t="s">
        <v>13151</v>
      </c>
      <c r="L2610" t="s">
        <v>8508</v>
      </c>
      <c r="M2610" t="str">
        <f>"https://www.artic.edu/iiif/2/"&amp;Table9[[#This Row],[Image ID]]&amp;"/full/843,/0/default.jpg"</f>
        <v>https://www.artic.edu/iiif/2/99e4b777-54c9-61a5-8eb7-7f8c5b9fc45a/full/843,/0/default.jpg</v>
      </c>
      <c r="N2610" s="3">
        <v>0.65</v>
      </c>
      <c r="O2610" s="3">
        <v>0.05</v>
      </c>
      <c r="P2610" s="3">
        <v>0.6</v>
      </c>
      <c r="Q2610" s="3">
        <v>0.78815841674804599</v>
      </c>
    </row>
    <row r="2611" spans="1:17" x14ac:dyDescent="0.45">
      <c r="A2611" s="3">
        <v>9320</v>
      </c>
      <c r="B2611" t="b">
        <v>0</v>
      </c>
      <c r="C2611" t="b">
        <v>0</v>
      </c>
      <c r="D2611" s="3">
        <v>1921</v>
      </c>
      <c r="E2611" s="3">
        <v>1921</v>
      </c>
      <c r="F2611" t="s">
        <v>6738</v>
      </c>
      <c r="G2611" t="s">
        <v>7</v>
      </c>
      <c r="H2611" s="3">
        <v>16.249300000000002</v>
      </c>
      <c r="I2611" t="s">
        <v>254</v>
      </c>
      <c r="J2611" t="s">
        <v>13172</v>
      </c>
      <c r="K2611" s="5" t="s">
        <v>9</v>
      </c>
      <c r="L2611" t="s">
        <v>10573</v>
      </c>
      <c r="M2611" t="str">
        <f>"https://www.artic.edu/iiif/2/"&amp;Table9[[#This Row],[Image ID]]&amp;"/full/843,/0/default.jpg"</f>
        <v>https://www.artic.edu/iiif/2/9b82ab4a-abee-0f04-5a4f-1fd4039ac341/full/843,/0/default.jpg</v>
      </c>
      <c r="N2611" s="3">
        <v>0.72499999999999998</v>
      </c>
      <c r="O2611" s="3">
        <v>0.125</v>
      </c>
      <c r="P2611" s="3">
        <v>0.6</v>
      </c>
      <c r="Q2611" s="3">
        <v>0.69381260871887196</v>
      </c>
    </row>
    <row r="2612" spans="1:17" x14ac:dyDescent="0.45">
      <c r="A2612" s="3">
        <v>4539</v>
      </c>
      <c r="B2612" t="b">
        <v>0</v>
      </c>
      <c r="C2612" t="b">
        <v>0</v>
      </c>
      <c r="D2612" s="3">
        <v>1892</v>
      </c>
      <c r="E2612" s="3">
        <v>1922</v>
      </c>
      <c r="F2612" t="s">
        <v>7852</v>
      </c>
      <c r="G2612" t="s">
        <v>7853</v>
      </c>
      <c r="H2612" s="3">
        <v>21.925899999999999</v>
      </c>
      <c r="I2612" t="s">
        <v>1304</v>
      </c>
      <c r="J2612" t="s">
        <v>13238</v>
      </c>
      <c r="L2612" t="s">
        <v>7854</v>
      </c>
      <c r="M2612" t="str">
        <f>"https://www.artic.edu/iiif/2/"&amp;Table9[[#This Row],[Image ID]]&amp;"/full/843,/0/default.jpg"</f>
        <v>https://www.artic.edu/iiif/2/a0774533-b4f8-1069-e9c5-91ce9620debc/full/843,/0/default.jpg</v>
      </c>
      <c r="N2612" s="3">
        <v>0.6</v>
      </c>
      <c r="O2612" s="3">
        <v>0</v>
      </c>
      <c r="P2612" s="3">
        <v>0.6</v>
      </c>
      <c r="Q2612" s="3">
        <v>0.627394318580627</v>
      </c>
    </row>
    <row r="2613" spans="1:17" x14ac:dyDescent="0.45">
      <c r="A2613" s="3">
        <v>64032</v>
      </c>
      <c r="B2613" t="b">
        <v>0</v>
      </c>
      <c r="C2613" t="b">
        <v>0</v>
      </c>
      <c r="D2613" s="3">
        <v>1625</v>
      </c>
      <c r="E2613" s="3">
        <v>1640</v>
      </c>
      <c r="F2613" t="s">
        <v>8964</v>
      </c>
      <c r="G2613" t="s">
        <v>75</v>
      </c>
      <c r="H2613" s="3">
        <v>54.881599999999999</v>
      </c>
      <c r="I2613" t="s">
        <v>8962</v>
      </c>
      <c r="J2613" t="s">
        <v>12287</v>
      </c>
      <c r="L2613" t="s">
        <v>8965</v>
      </c>
      <c r="M2613" t="str">
        <f>"https://www.artic.edu/iiif/2/"&amp;Table9[[#This Row],[Image ID]]&amp;"/full/843,/0/default.jpg"</f>
        <v>https://www.artic.edu/iiif/2/a8e5f1fa-28d5-5b99-61fc-f5d436afe933/full/843,/0/default.jpg</v>
      </c>
      <c r="N2613" s="3">
        <v>0.6</v>
      </c>
      <c r="O2613" s="3">
        <v>0</v>
      </c>
      <c r="P2613" s="3">
        <v>0.6</v>
      </c>
      <c r="Q2613" s="3">
        <v>0.59725725650787298</v>
      </c>
    </row>
    <row r="2614" spans="1:17" x14ac:dyDescent="0.45">
      <c r="A2614" s="3">
        <v>53649</v>
      </c>
      <c r="B2614" t="b">
        <v>0</v>
      </c>
      <c r="C2614" t="b">
        <v>0</v>
      </c>
      <c r="D2614" s="3">
        <v>1966</v>
      </c>
      <c r="E2614" s="3">
        <v>1966</v>
      </c>
      <c r="F2614" t="s">
        <v>8285</v>
      </c>
      <c r="G2614" t="s">
        <v>8286</v>
      </c>
      <c r="H2614" s="3">
        <v>40.750500000000002</v>
      </c>
      <c r="I2614" t="s">
        <v>2707</v>
      </c>
      <c r="J2614" t="s">
        <v>13371</v>
      </c>
      <c r="L2614" t="s">
        <v>8287</v>
      </c>
      <c r="M2614" t="str">
        <f>"https://www.artic.edu/iiif/2/"&amp;Table9[[#This Row],[Image ID]]&amp;"/full/843,/0/default.jpg"</f>
        <v>https://www.artic.edu/iiif/2/a9e2fe96-46c6-4b1b-c60a-93cb9a315e3f/full/843,/0/default.jpg</v>
      </c>
      <c r="N2614" s="3">
        <v>0.65</v>
      </c>
      <c r="O2614" s="3">
        <v>0.05</v>
      </c>
      <c r="P2614" s="3">
        <v>0.6</v>
      </c>
      <c r="Q2614" s="3">
        <v>0.72586280107498102</v>
      </c>
    </row>
    <row r="2615" spans="1:17" x14ac:dyDescent="0.45">
      <c r="A2615" s="3">
        <v>105533</v>
      </c>
      <c r="B2615" t="b">
        <v>0</v>
      </c>
      <c r="C2615" t="b">
        <v>0</v>
      </c>
      <c r="D2615" s="3">
        <v>1985</v>
      </c>
      <c r="E2615" s="3">
        <v>1985</v>
      </c>
      <c r="F2615" t="s">
        <v>532</v>
      </c>
      <c r="G2615" t="s">
        <v>7</v>
      </c>
      <c r="H2615" s="3">
        <v>55.165300000000002</v>
      </c>
      <c r="I2615" t="s">
        <v>533</v>
      </c>
      <c r="J2615" t="s">
        <v>13403</v>
      </c>
      <c r="L2615" t="s">
        <v>534</v>
      </c>
      <c r="M2615" t="str">
        <f>"https://www.artic.edu/iiif/2/"&amp;Table9[[#This Row],[Image ID]]&amp;"/full/843,/0/default.jpg"</f>
        <v>https://www.artic.edu/iiif/2/acc3f149-7049-89c0-98bf-59c92f106c74/full/843,/0/default.jpg</v>
      </c>
      <c r="N2615" s="3">
        <v>0.65</v>
      </c>
      <c r="O2615" s="3">
        <v>0.05</v>
      </c>
      <c r="P2615" s="3">
        <v>0.6</v>
      </c>
      <c r="Q2615" s="3">
        <v>0.84319889545440596</v>
      </c>
    </row>
    <row r="2616" spans="1:17" x14ac:dyDescent="0.45">
      <c r="A2616" s="3">
        <v>90439</v>
      </c>
      <c r="B2616" t="b">
        <v>0</v>
      </c>
      <c r="C2616" t="b">
        <v>0</v>
      </c>
      <c r="D2616" s="3">
        <v>1915</v>
      </c>
      <c r="E2616" s="3">
        <v>1915</v>
      </c>
      <c r="F2616" t="s">
        <v>72</v>
      </c>
      <c r="G2616" t="s">
        <v>7</v>
      </c>
      <c r="H2616" s="3">
        <v>40.214599999999997</v>
      </c>
      <c r="I2616" t="s">
        <v>14572</v>
      </c>
      <c r="J2616" t="s">
        <v>13404</v>
      </c>
      <c r="L2616" t="s">
        <v>10526</v>
      </c>
      <c r="M2616" t="str">
        <f>"https://www.artic.edu/iiif/2/"&amp;Table9[[#This Row],[Image ID]]&amp;"/full/843,/0/default.jpg"</f>
        <v>https://www.artic.edu/iiif/2/acca2f6b-ee63-00c6-5f87-e162920d7b20/full/843,/0/default.jpg</v>
      </c>
      <c r="N2616" s="3">
        <v>0.7</v>
      </c>
      <c r="O2616" s="3">
        <v>0.1</v>
      </c>
      <c r="P2616" s="3">
        <v>0.6</v>
      </c>
      <c r="Q2616" s="3">
        <v>0.752424776554107</v>
      </c>
    </row>
    <row r="2617" spans="1:17" x14ac:dyDescent="0.45">
      <c r="A2617" s="3">
        <v>129827</v>
      </c>
      <c r="B2617" t="b">
        <v>0</v>
      </c>
      <c r="C2617" t="b">
        <v>0</v>
      </c>
      <c r="D2617" s="3">
        <v>1941</v>
      </c>
      <c r="E2617" s="3">
        <v>1951</v>
      </c>
      <c r="F2617" t="s">
        <v>2947</v>
      </c>
      <c r="G2617" t="s">
        <v>2948</v>
      </c>
      <c r="H2617" s="3">
        <v>42.325699999999998</v>
      </c>
      <c r="I2617" t="s">
        <v>2949</v>
      </c>
      <c r="J2617" t="s">
        <v>13460</v>
      </c>
      <c r="L2617" t="s">
        <v>2950</v>
      </c>
      <c r="M2617" t="str">
        <f>"https://www.artic.edu/iiif/2/"&amp;Table9[[#This Row],[Image ID]]&amp;"/full/843,/0/default.jpg"</f>
        <v>https://www.artic.edu/iiif/2/b06ac8ac-b9c4-e733-e6cd-1920ea9f7884/full/843,/0/default.jpg</v>
      </c>
      <c r="N2617" s="3">
        <v>0.65</v>
      </c>
      <c r="O2617" s="3">
        <v>0.05</v>
      </c>
      <c r="P2617" s="3">
        <v>0.6</v>
      </c>
      <c r="Q2617" s="3">
        <v>0.75681424140930098</v>
      </c>
    </row>
    <row r="2618" spans="1:17" x14ac:dyDescent="0.45">
      <c r="A2618" s="3">
        <v>61680</v>
      </c>
      <c r="B2618" t="b">
        <v>0</v>
      </c>
      <c r="C2618" t="b">
        <v>0</v>
      </c>
      <c r="D2618" s="3">
        <v>1928</v>
      </c>
      <c r="E2618" s="3">
        <v>1944</v>
      </c>
      <c r="F2618" t="s">
        <v>8824</v>
      </c>
      <c r="G2618" t="s">
        <v>8825</v>
      </c>
      <c r="H2618" s="3">
        <v>14.879200000000001</v>
      </c>
      <c r="I2618" t="s">
        <v>8826</v>
      </c>
      <c r="J2618" t="s">
        <v>13476</v>
      </c>
      <c r="L2618" t="s">
        <v>8827</v>
      </c>
      <c r="M2618" t="str">
        <f>"https://www.artic.edu/iiif/2/"&amp;Table9[[#This Row],[Image ID]]&amp;"/full/843,/0/default.jpg"</f>
        <v>https://www.artic.edu/iiif/2/b1deb0bb-2248-4216-ce99-e5019b56db3f/full/843,/0/default.jpg</v>
      </c>
      <c r="N2618" s="3">
        <v>0.72499999999999998</v>
      </c>
      <c r="O2618" s="3">
        <v>0.125</v>
      </c>
      <c r="P2618" s="3">
        <v>0.6</v>
      </c>
      <c r="Q2618" s="3">
        <v>0.67935860157012895</v>
      </c>
    </row>
    <row r="2619" spans="1:17" x14ac:dyDescent="0.45">
      <c r="A2619" s="3">
        <v>94058</v>
      </c>
      <c r="B2619" t="b">
        <v>0</v>
      </c>
      <c r="C2619" t="b">
        <v>0</v>
      </c>
      <c r="D2619" s="3">
        <v>1961</v>
      </c>
      <c r="E2619" s="3">
        <v>1961</v>
      </c>
      <c r="F2619" t="s">
        <v>10716</v>
      </c>
      <c r="G2619" t="s">
        <v>10717</v>
      </c>
      <c r="H2619" s="3">
        <v>39.614800000000002</v>
      </c>
      <c r="I2619" t="s">
        <v>378</v>
      </c>
      <c r="J2619" t="s">
        <v>13482</v>
      </c>
      <c r="L2619" t="s">
        <v>10718</v>
      </c>
      <c r="M2619" t="str">
        <f>"https://www.artic.edu/iiif/2/"&amp;Table9[[#This Row],[Image ID]]&amp;"/full/843,/0/default.jpg"</f>
        <v>https://www.artic.edu/iiif/2/b269cdaa-745a-d455-590a-a8f9c5bbb70b/full/843,/0/default.jpg</v>
      </c>
      <c r="N2619" s="3">
        <v>0.72499999999999998</v>
      </c>
      <c r="O2619" s="3">
        <v>0.125</v>
      </c>
      <c r="P2619" s="3">
        <v>0.6</v>
      </c>
      <c r="Q2619" s="3">
        <v>0.82073605060577304</v>
      </c>
    </row>
    <row r="2620" spans="1:17" x14ac:dyDescent="0.45">
      <c r="A2620" s="3">
        <v>65826</v>
      </c>
      <c r="B2620" t="b">
        <v>0</v>
      </c>
      <c r="C2620" t="b">
        <v>0</v>
      </c>
      <c r="D2620" s="3">
        <v>1940</v>
      </c>
      <c r="E2620" s="3">
        <v>1940</v>
      </c>
      <c r="F2620" t="s">
        <v>9043</v>
      </c>
      <c r="G2620" t="s">
        <v>7</v>
      </c>
      <c r="H2620" s="3">
        <v>62.55</v>
      </c>
      <c r="I2620" t="s">
        <v>539</v>
      </c>
      <c r="J2620" t="s">
        <v>13535</v>
      </c>
      <c r="L2620" t="s">
        <v>9044</v>
      </c>
      <c r="M2620" t="str">
        <f>"https://www.artic.edu/iiif/2/"&amp;Table9[[#This Row],[Image ID]]&amp;"/full/843,/0/default.jpg"</f>
        <v>https://www.artic.edu/iiif/2/b6cb6d95-8ce6-91fe-c350-8caf808739b5/full/843,/0/default.jpg</v>
      </c>
      <c r="N2620" s="3">
        <v>0.65</v>
      </c>
      <c r="O2620" s="3">
        <v>0.05</v>
      </c>
      <c r="P2620" s="3">
        <v>0.6</v>
      </c>
      <c r="Q2620" s="3">
        <v>0.64139807224273604</v>
      </c>
    </row>
    <row r="2621" spans="1:17" x14ac:dyDescent="0.45">
      <c r="A2621" s="3">
        <v>146956</v>
      </c>
      <c r="B2621" t="b">
        <v>0</v>
      </c>
      <c r="C2621" t="b">
        <v>0</v>
      </c>
      <c r="D2621" s="3">
        <v>1959</v>
      </c>
      <c r="E2621" s="3">
        <v>1959</v>
      </c>
      <c r="F2621" t="s">
        <v>2824</v>
      </c>
      <c r="G2621" t="s">
        <v>3529</v>
      </c>
      <c r="H2621" s="3">
        <v>43.543500000000002</v>
      </c>
      <c r="I2621" t="s">
        <v>63</v>
      </c>
      <c r="J2621" t="s">
        <v>3531</v>
      </c>
      <c r="L2621" t="s">
        <v>3530</v>
      </c>
      <c r="M2621" t="str">
        <f>"https://www.artic.edu/iiif/2/"&amp;Table9[[#This Row],[Image ID]]&amp;"/full/843,/0/default.jpg"</f>
        <v>https://www.artic.edu/iiif/2/ba63ff6b-f045-6213-2d97-dd28aec39183/full/843,/0/default.jpg</v>
      </c>
      <c r="N2621" s="3">
        <v>0.625</v>
      </c>
      <c r="O2621" s="3">
        <v>2.5000000000000001E-2</v>
      </c>
      <c r="P2621" s="3">
        <v>0.6</v>
      </c>
      <c r="Q2621" s="3">
        <v>0.73697960376739502</v>
      </c>
    </row>
    <row r="2622" spans="1:17" x14ac:dyDescent="0.45">
      <c r="A2622" s="3">
        <v>14429</v>
      </c>
      <c r="B2622" t="b">
        <v>0</v>
      </c>
      <c r="C2622" t="b">
        <v>0</v>
      </c>
      <c r="D2622" s="3">
        <v>1904</v>
      </c>
      <c r="E2622" s="3">
        <v>1933</v>
      </c>
      <c r="F2622" t="s">
        <v>3320</v>
      </c>
      <c r="G2622" t="s">
        <v>642</v>
      </c>
      <c r="H2622" s="3">
        <v>22.430700000000002</v>
      </c>
      <c r="I2622" t="s">
        <v>3321</v>
      </c>
      <c r="J2622" t="s">
        <v>13652</v>
      </c>
      <c r="L2622" t="s">
        <v>3322</v>
      </c>
      <c r="M2622" t="str">
        <f>"https://www.artic.edu/iiif/2/"&amp;Table9[[#This Row],[Image ID]]&amp;"/full/843,/0/default.jpg"</f>
        <v>https://www.artic.edu/iiif/2/c0267ae0-ebaf-3e40-4bee-25954c5a86a8/full/843,/0/default.jpg</v>
      </c>
      <c r="N2622" s="3">
        <v>0.72499999999999998</v>
      </c>
      <c r="O2622" s="3">
        <v>0.125</v>
      </c>
      <c r="P2622" s="3">
        <v>0.6</v>
      </c>
      <c r="Q2622" s="3">
        <v>0.85114574432373002</v>
      </c>
    </row>
    <row r="2623" spans="1:17" x14ac:dyDescent="0.45">
      <c r="A2623" s="3">
        <v>211094</v>
      </c>
      <c r="B2623" t="b">
        <v>0</v>
      </c>
      <c r="C2623" t="b">
        <v>0</v>
      </c>
      <c r="D2623" s="3">
        <v>1915</v>
      </c>
      <c r="E2623" s="3">
        <v>1926</v>
      </c>
      <c r="F2623" t="s">
        <v>14614</v>
      </c>
      <c r="G2623" t="s">
        <v>5581</v>
      </c>
      <c r="H2623" s="3">
        <v>16.714099999999998</v>
      </c>
      <c r="I2623" t="s">
        <v>3637</v>
      </c>
      <c r="J2623" t="s">
        <v>13659</v>
      </c>
      <c r="L2623" t="s">
        <v>5582</v>
      </c>
      <c r="M2623" t="str">
        <f>"https://www.artic.edu/iiif/2/"&amp;Table9[[#This Row],[Image ID]]&amp;"/full/843,/0/default.jpg"</f>
        <v>https://www.artic.edu/iiif/2/c086c0b7-14c0-54c0-2fee-168e0b9206d6/full/843,/0/default.jpg</v>
      </c>
      <c r="N2623" s="3">
        <v>0.625</v>
      </c>
      <c r="O2623" s="3">
        <v>2.5000000000000001E-2</v>
      </c>
      <c r="P2623" s="3">
        <v>0.6</v>
      </c>
      <c r="Q2623" s="3">
        <v>0.63318592309951705</v>
      </c>
    </row>
    <row r="2624" spans="1:17" x14ac:dyDescent="0.45">
      <c r="A2624" s="3">
        <v>113056</v>
      </c>
      <c r="B2624" t="b">
        <v>0</v>
      </c>
      <c r="C2624" t="b">
        <v>0</v>
      </c>
      <c r="D2624" s="3">
        <v>1913</v>
      </c>
      <c r="E2624" s="3">
        <v>1923</v>
      </c>
      <c r="F2624" t="s">
        <v>1328</v>
      </c>
      <c r="G2624" t="s">
        <v>1329</v>
      </c>
      <c r="H2624" s="3">
        <v>72.011200000000002</v>
      </c>
      <c r="I2624" t="s">
        <v>1277</v>
      </c>
      <c r="J2624" t="s">
        <v>13731</v>
      </c>
      <c r="L2624" t="s">
        <v>1330</v>
      </c>
      <c r="M2624" t="str">
        <f>"https://www.artic.edu/iiif/2/"&amp;Table9[[#This Row],[Image ID]]&amp;"/full/843,/0/default.jpg"</f>
        <v>https://www.artic.edu/iiif/2/c71c3c07-b0fd-c610-1d29-053d0878a101/full/843,/0/default.jpg</v>
      </c>
      <c r="N2624" s="3">
        <v>0.65</v>
      </c>
      <c r="O2624" s="3">
        <v>0.05</v>
      </c>
      <c r="P2624" s="3">
        <v>0.6</v>
      </c>
      <c r="Q2624" s="3">
        <v>0.79391926527023304</v>
      </c>
    </row>
    <row r="2625" spans="1:17" x14ac:dyDescent="0.45">
      <c r="A2625" s="3">
        <v>158748</v>
      </c>
      <c r="B2625" t="b">
        <v>0</v>
      </c>
      <c r="C2625" t="b">
        <v>0</v>
      </c>
      <c r="D2625" s="3">
        <v>1945</v>
      </c>
      <c r="E2625" s="3">
        <v>1945</v>
      </c>
      <c r="F2625" t="s">
        <v>4155</v>
      </c>
      <c r="G2625" t="s">
        <v>7</v>
      </c>
      <c r="H2625" s="3">
        <v>29.1434</v>
      </c>
      <c r="I2625" t="s">
        <v>144</v>
      </c>
      <c r="J2625" t="s">
        <v>13750</v>
      </c>
      <c r="K2625" s="5" t="s">
        <v>45</v>
      </c>
      <c r="L2625" t="s">
        <v>4156</v>
      </c>
      <c r="M2625" t="str">
        <f>"https://www.artic.edu/iiif/2/"&amp;Table9[[#This Row],[Image ID]]&amp;"/full/843,/0/default.jpg"</f>
        <v>https://www.artic.edu/iiif/2/c7f347b6-2ec2-0d73-8a79-5c83e4d49c38/full/843,/0/default.jpg</v>
      </c>
      <c r="N2625" s="3">
        <v>0.625</v>
      </c>
      <c r="O2625" s="3">
        <v>2.5000000000000001E-2</v>
      </c>
      <c r="P2625" s="3">
        <v>0.6</v>
      </c>
      <c r="Q2625" s="3">
        <v>0.72579479217529297</v>
      </c>
    </row>
    <row r="2626" spans="1:17" x14ac:dyDescent="0.45">
      <c r="A2626" s="3">
        <v>79012</v>
      </c>
      <c r="B2626" t="b">
        <v>0</v>
      </c>
      <c r="C2626" t="b">
        <v>0</v>
      </c>
      <c r="D2626" s="3">
        <v>1860</v>
      </c>
      <c r="E2626" s="3">
        <v>1873</v>
      </c>
      <c r="F2626" t="s">
        <v>9857</v>
      </c>
      <c r="G2626" t="s">
        <v>2629</v>
      </c>
      <c r="H2626" s="3">
        <v>36.625100000000003</v>
      </c>
      <c r="I2626" t="s">
        <v>2630</v>
      </c>
      <c r="J2626" t="s">
        <v>13797</v>
      </c>
      <c r="L2626" t="s">
        <v>9858</v>
      </c>
      <c r="M2626" t="str">
        <f>"https://www.artic.edu/iiif/2/"&amp;Table9[[#This Row],[Image ID]]&amp;"/full/843,/0/default.jpg"</f>
        <v>https://www.artic.edu/iiif/2/cbb7a9d0-ee0f-3de2-e9bd-b84943e52672/full/843,/0/default.jpg</v>
      </c>
      <c r="N2626" s="3">
        <v>0.72499999999999998</v>
      </c>
      <c r="O2626" s="3">
        <v>0.125</v>
      </c>
      <c r="P2626" s="3">
        <v>0.6</v>
      </c>
      <c r="Q2626" s="3">
        <v>0.71981716156005804</v>
      </c>
    </row>
    <row r="2627" spans="1:17" x14ac:dyDescent="0.45">
      <c r="A2627" s="3">
        <v>151364</v>
      </c>
      <c r="B2627" t="b">
        <v>0</v>
      </c>
      <c r="C2627" t="b">
        <v>0</v>
      </c>
      <c r="D2627" s="3">
        <v>1938</v>
      </c>
      <c r="E2627" s="3">
        <v>1941</v>
      </c>
      <c r="F2627" t="s">
        <v>11</v>
      </c>
      <c r="G2627" t="s">
        <v>141</v>
      </c>
      <c r="H2627" s="3">
        <v>30.4998</v>
      </c>
      <c r="I2627" t="s">
        <v>848</v>
      </c>
      <c r="J2627" t="s">
        <v>13876</v>
      </c>
      <c r="L2627" t="s">
        <v>3829</v>
      </c>
      <c r="M2627" t="str">
        <f>"https://www.artic.edu/iiif/2/"&amp;Table9[[#This Row],[Image ID]]&amp;"/full/843,/0/default.jpg"</f>
        <v>https://www.artic.edu/iiif/2/d35a28b7-d36c-fce5-9131-5a1b934a3635/full/843,/0/default.jpg</v>
      </c>
      <c r="N2627" s="3">
        <v>0.65</v>
      </c>
      <c r="O2627" s="3">
        <v>0.05</v>
      </c>
      <c r="P2627" s="3">
        <v>0.6</v>
      </c>
      <c r="Q2627" s="3">
        <v>0.78850859403610196</v>
      </c>
    </row>
    <row r="2628" spans="1:17" x14ac:dyDescent="0.45">
      <c r="A2628" s="3">
        <v>63180</v>
      </c>
      <c r="B2628" t="b">
        <v>0</v>
      </c>
      <c r="C2628" t="b">
        <v>0</v>
      </c>
      <c r="D2628" s="3">
        <v>1917</v>
      </c>
      <c r="E2628" s="3">
        <v>1948</v>
      </c>
      <c r="F2628" t="s">
        <v>8925</v>
      </c>
      <c r="G2628" t="s">
        <v>642</v>
      </c>
      <c r="H2628" s="3">
        <v>28.347899999999999</v>
      </c>
      <c r="I2628" t="s">
        <v>5645</v>
      </c>
      <c r="J2628" t="s">
        <v>13889</v>
      </c>
      <c r="L2628" t="s">
        <v>8926</v>
      </c>
      <c r="M2628" t="str">
        <f>"https://www.artic.edu/iiif/2/"&amp;Table9[[#This Row],[Image ID]]&amp;"/full/843,/0/default.jpg"</f>
        <v>https://www.artic.edu/iiif/2/d405f006-5220-6b52-50b6-a65efd2a4c35/full/843,/0/default.jpg</v>
      </c>
      <c r="N2628" s="3">
        <v>0.65</v>
      </c>
      <c r="O2628" s="3">
        <v>0.05</v>
      </c>
      <c r="P2628" s="3">
        <v>0.6</v>
      </c>
      <c r="Q2628" s="3">
        <v>0.71292960643768299</v>
      </c>
    </row>
    <row r="2629" spans="1:17" x14ac:dyDescent="0.45">
      <c r="A2629" s="3">
        <v>181084</v>
      </c>
      <c r="B2629" t="b">
        <v>0</v>
      </c>
      <c r="C2629" t="b">
        <v>0</v>
      </c>
      <c r="D2629" s="3">
        <v>2002</v>
      </c>
      <c r="E2629" s="3">
        <v>2002</v>
      </c>
      <c r="F2629" t="s">
        <v>4710</v>
      </c>
      <c r="G2629" t="s">
        <v>7</v>
      </c>
      <c r="H2629" s="3">
        <v>13.535399999999999</v>
      </c>
      <c r="I2629" t="s">
        <v>3983</v>
      </c>
      <c r="J2629" t="s">
        <v>13900</v>
      </c>
      <c r="K2629" s="5" t="s">
        <v>15</v>
      </c>
      <c r="L2629" t="s">
        <v>4711</v>
      </c>
      <c r="M2629" t="str">
        <f>"https://www.artic.edu/iiif/2/"&amp;Table9[[#This Row],[Image ID]]&amp;"/full/843,/0/default.jpg"</f>
        <v>https://www.artic.edu/iiif/2/d4dda132-da5c-cefe-2e91-bfc2dcdf9ba9/full/843,/0/default.jpg</v>
      </c>
      <c r="N2629" s="3">
        <v>0.65</v>
      </c>
      <c r="O2629" s="3">
        <v>0.05</v>
      </c>
      <c r="P2629" s="3">
        <v>0.6</v>
      </c>
      <c r="Q2629" s="3">
        <v>0.87720924615859897</v>
      </c>
    </row>
    <row r="2630" spans="1:17" x14ac:dyDescent="0.45">
      <c r="A2630" s="3">
        <v>127262</v>
      </c>
      <c r="B2630" t="b">
        <v>0</v>
      </c>
      <c r="C2630" t="b">
        <v>0</v>
      </c>
      <c r="D2630" s="3">
        <v>1935</v>
      </c>
      <c r="E2630" s="3">
        <v>1942</v>
      </c>
      <c r="F2630" t="s">
        <v>2809</v>
      </c>
      <c r="G2630" t="s">
        <v>2810</v>
      </c>
      <c r="H2630" s="3">
        <v>43.7</v>
      </c>
      <c r="I2630" t="s">
        <v>2796</v>
      </c>
      <c r="J2630" t="s">
        <v>13938</v>
      </c>
      <c r="L2630" t="s">
        <v>2811</v>
      </c>
      <c r="M2630" t="str">
        <f>"https://www.artic.edu/iiif/2/"&amp;Table9[[#This Row],[Image ID]]&amp;"/full/843,/0/default.jpg"</f>
        <v>https://www.artic.edu/iiif/2/d7060341-814c-5ed8-885d-5ef46de616d7/full/843,/0/default.jpg</v>
      </c>
      <c r="N2630" s="3">
        <v>0.625</v>
      </c>
      <c r="O2630" s="3">
        <v>2.5000000000000001E-2</v>
      </c>
      <c r="P2630" s="3">
        <v>0.6</v>
      </c>
      <c r="Q2630" s="3">
        <v>0.71943145990371704</v>
      </c>
    </row>
    <row r="2631" spans="1:17" x14ac:dyDescent="0.45">
      <c r="A2631" s="3">
        <v>39845</v>
      </c>
      <c r="B2631" t="b">
        <v>0</v>
      </c>
      <c r="C2631" t="b">
        <v>0</v>
      </c>
      <c r="D2631" s="3">
        <v>1545</v>
      </c>
      <c r="E2631" s="3">
        <v>1555</v>
      </c>
      <c r="F2631" t="s">
        <v>14620</v>
      </c>
      <c r="G2631" t="s">
        <v>75</v>
      </c>
      <c r="H2631" s="3">
        <v>0</v>
      </c>
      <c r="I2631" t="s">
        <v>4362</v>
      </c>
      <c r="J2631" t="s">
        <v>7617</v>
      </c>
      <c r="L2631" t="s">
        <v>7616</v>
      </c>
      <c r="M2631" t="str">
        <f>"https://www.artic.edu/iiif/2/"&amp;Table9[[#This Row],[Image ID]]&amp;"/full/843,/0/default.jpg"</f>
        <v>https://www.artic.edu/iiif/2/d86f09ec-ad2e-e94a-fb48-e01c639dea5b/full/843,/0/default.jpg</v>
      </c>
      <c r="N2631" s="3">
        <v>0.72499999999999998</v>
      </c>
      <c r="O2631" s="3">
        <v>0.125</v>
      </c>
      <c r="P2631" s="3">
        <v>0.6</v>
      </c>
      <c r="Q2631" s="3">
        <v>0.72367328405380205</v>
      </c>
    </row>
    <row r="2632" spans="1:17" x14ac:dyDescent="0.45">
      <c r="A2632" s="3">
        <v>66941</v>
      </c>
      <c r="B2632" t="b">
        <v>0</v>
      </c>
      <c r="C2632" t="b">
        <v>0</v>
      </c>
      <c r="D2632" s="3">
        <v>1860</v>
      </c>
      <c r="E2632" s="3">
        <v>1908</v>
      </c>
      <c r="F2632" t="s">
        <v>9322</v>
      </c>
      <c r="G2632" t="s">
        <v>9323</v>
      </c>
      <c r="H2632" s="3">
        <v>15.042899999999999</v>
      </c>
      <c r="I2632" t="s">
        <v>68</v>
      </c>
      <c r="J2632" t="s">
        <v>13986</v>
      </c>
      <c r="L2632" t="s">
        <v>9324</v>
      </c>
      <c r="M2632" t="str">
        <f>"https://www.artic.edu/iiif/2/"&amp;Table9[[#This Row],[Image ID]]&amp;"/full/843,/0/default.jpg"</f>
        <v>https://www.artic.edu/iiif/2/da84c3aa-130c-40b9-e573-a70a01f898e6/full/843,/0/default.jpg</v>
      </c>
      <c r="N2632" s="3">
        <v>0.72499999999999998</v>
      </c>
      <c r="O2632" s="3">
        <v>0.125</v>
      </c>
      <c r="P2632" s="3">
        <v>0.6</v>
      </c>
      <c r="Q2632" s="3">
        <v>0.87398427724838201</v>
      </c>
    </row>
    <row r="2633" spans="1:17" x14ac:dyDescent="0.45">
      <c r="A2633" s="3">
        <v>118694</v>
      </c>
      <c r="B2633" t="b">
        <v>0</v>
      </c>
      <c r="C2633" t="b">
        <v>0</v>
      </c>
      <c r="D2633" s="3">
        <v>1957</v>
      </c>
      <c r="E2633" s="3">
        <v>1957</v>
      </c>
      <c r="F2633" t="s">
        <v>2056</v>
      </c>
      <c r="G2633" t="s">
        <v>2534</v>
      </c>
      <c r="H2633" s="3">
        <v>30.823</v>
      </c>
      <c r="I2633" t="s">
        <v>180</v>
      </c>
      <c r="J2633" t="s">
        <v>14002</v>
      </c>
      <c r="L2633" t="s">
        <v>2535</v>
      </c>
      <c r="M2633" t="str">
        <f>"https://www.artic.edu/iiif/2/"&amp;Table9[[#This Row],[Image ID]]&amp;"/full/843,/0/default.jpg"</f>
        <v>https://www.artic.edu/iiif/2/dbb43155-d06d-be4f-e583-647becae064e/full/843,/0/default.jpg</v>
      </c>
      <c r="N2633" s="3">
        <v>0.6</v>
      </c>
      <c r="O2633" s="3">
        <v>0</v>
      </c>
      <c r="P2633" s="3">
        <v>0.6</v>
      </c>
      <c r="Q2633" s="3">
        <v>0.58042079210281305</v>
      </c>
    </row>
    <row r="2634" spans="1:17" x14ac:dyDescent="0.45">
      <c r="A2634" s="3">
        <v>149784</v>
      </c>
      <c r="B2634" t="b">
        <v>0</v>
      </c>
      <c r="C2634" t="b">
        <v>0</v>
      </c>
      <c r="D2634" s="3">
        <v>1960</v>
      </c>
      <c r="E2634" s="3">
        <v>1960</v>
      </c>
      <c r="F2634" t="s">
        <v>3766</v>
      </c>
      <c r="G2634" t="s">
        <v>7</v>
      </c>
      <c r="H2634" s="3">
        <v>89.829599999999999</v>
      </c>
      <c r="I2634" t="s">
        <v>3767</v>
      </c>
      <c r="J2634" t="s">
        <v>14040</v>
      </c>
      <c r="L2634" t="s">
        <v>3768</v>
      </c>
      <c r="M2634" t="str">
        <f>"https://www.artic.edu/iiif/2/"&amp;Table9[[#This Row],[Image ID]]&amp;"/full/843,/0/default.jpg"</f>
        <v>https://www.artic.edu/iiif/2/de5fffbf-8f53-43e5-cd53-ab4b7b0c70de/full/843,/0/default.jpg</v>
      </c>
      <c r="N2634" s="3">
        <v>0.625</v>
      </c>
      <c r="O2634" s="3">
        <v>2.5000000000000001E-2</v>
      </c>
      <c r="P2634" s="3">
        <v>0.6</v>
      </c>
      <c r="Q2634" s="3">
        <v>0.85576862096786499</v>
      </c>
    </row>
    <row r="2635" spans="1:17" x14ac:dyDescent="0.45">
      <c r="A2635" s="3">
        <v>68395</v>
      </c>
      <c r="B2635" t="b">
        <v>0</v>
      </c>
      <c r="C2635" t="b">
        <v>0</v>
      </c>
      <c r="D2635" s="3">
        <v>1912</v>
      </c>
      <c r="E2635" s="3">
        <v>1912</v>
      </c>
      <c r="F2635" t="s">
        <v>14623</v>
      </c>
      <c r="G2635" t="s">
        <v>7</v>
      </c>
      <c r="H2635" s="3">
        <v>26.52</v>
      </c>
      <c r="I2635" t="s">
        <v>761</v>
      </c>
      <c r="J2635" t="s">
        <v>14119</v>
      </c>
      <c r="K2635" s="5" t="s">
        <v>134</v>
      </c>
      <c r="L2635" t="s">
        <v>9349</v>
      </c>
      <c r="M2635" t="str">
        <f>"https://www.artic.edu/iiif/2/"&amp;Table9[[#This Row],[Image ID]]&amp;"/full/843,/0/default.jpg"</f>
        <v>https://www.artic.edu/iiif/2/e33dae2e-dd61-2416-6671-0a695ae8a07b/full/843,/0/default.jpg</v>
      </c>
      <c r="N2635" s="3">
        <v>0.625</v>
      </c>
      <c r="O2635" s="3">
        <v>2.5000000000000001E-2</v>
      </c>
      <c r="P2635" s="3">
        <v>0.6</v>
      </c>
      <c r="Q2635" s="3">
        <v>0.818450987339019</v>
      </c>
    </row>
    <row r="2636" spans="1:17" x14ac:dyDescent="0.45">
      <c r="A2636" s="3">
        <v>113973</v>
      </c>
      <c r="B2636" t="b">
        <v>0</v>
      </c>
      <c r="C2636" t="b">
        <v>0</v>
      </c>
      <c r="D2636" s="3">
        <v>1976</v>
      </c>
      <c r="E2636" s="3">
        <v>1976</v>
      </c>
      <c r="F2636" t="s">
        <v>1535</v>
      </c>
      <c r="G2636" t="s">
        <v>1536</v>
      </c>
      <c r="H2636" s="3">
        <v>17.1493</v>
      </c>
      <c r="I2636" t="s">
        <v>1537</v>
      </c>
      <c r="J2636" t="s">
        <v>14133</v>
      </c>
      <c r="L2636" t="s">
        <v>1538</v>
      </c>
      <c r="M2636" t="str">
        <f>"https://www.artic.edu/iiif/2/"&amp;Table9[[#This Row],[Image ID]]&amp;"/full/843,/0/default.jpg"</f>
        <v>https://www.artic.edu/iiif/2/e3e6d426-cb09-ce95-9ca6-3855a080f0e5/full/843,/0/default.jpg</v>
      </c>
      <c r="N2636" s="3">
        <v>0.65</v>
      </c>
      <c r="O2636" s="3">
        <v>0.05</v>
      </c>
      <c r="P2636" s="3">
        <v>0.6</v>
      </c>
      <c r="Q2636" s="3">
        <v>0.42093279957771301</v>
      </c>
    </row>
    <row r="2637" spans="1:17" x14ac:dyDescent="0.45">
      <c r="A2637" s="3">
        <v>73496</v>
      </c>
      <c r="B2637" t="b">
        <v>0</v>
      </c>
      <c r="C2637" t="b">
        <v>0</v>
      </c>
      <c r="D2637" s="3">
        <v>1987</v>
      </c>
      <c r="E2637" s="3">
        <v>1987</v>
      </c>
      <c r="F2637" t="s">
        <v>3356</v>
      </c>
      <c r="G2637" t="s">
        <v>9625</v>
      </c>
      <c r="H2637" s="3">
        <v>15.897</v>
      </c>
      <c r="I2637" t="s">
        <v>866</v>
      </c>
      <c r="J2637" t="s">
        <v>14135</v>
      </c>
      <c r="L2637" t="s">
        <v>9626</v>
      </c>
      <c r="M2637" t="str">
        <f>"https://www.artic.edu/iiif/2/"&amp;Table9[[#This Row],[Image ID]]&amp;"/full/843,/0/default.jpg"</f>
        <v>https://www.artic.edu/iiif/2/e40cf9f8-df13-dc7b-532e-6603968ecab2/full/843,/0/default.jpg</v>
      </c>
      <c r="N2637" s="3">
        <v>0.7</v>
      </c>
      <c r="O2637" s="3">
        <v>0.1</v>
      </c>
      <c r="P2637" s="3">
        <v>0.6</v>
      </c>
      <c r="Q2637" s="3">
        <v>0.84913986921310403</v>
      </c>
    </row>
    <row r="2638" spans="1:17" x14ac:dyDescent="0.45">
      <c r="A2638" s="3">
        <v>65966</v>
      </c>
      <c r="B2638" t="b">
        <v>0</v>
      </c>
      <c r="C2638" t="b">
        <v>0</v>
      </c>
      <c r="D2638" s="3">
        <v>1917</v>
      </c>
      <c r="E2638" s="3">
        <v>1917</v>
      </c>
      <c r="F2638" t="s">
        <v>9122</v>
      </c>
      <c r="G2638" t="s">
        <v>9123</v>
      </c>
      <c r="H2638" s="3">
        <v>16.789300000000001</v>
      </c>
      <c r="I2638" t="s">
        <v>949</v>
      </c>
      <c r="J2638" t="s">
        <v>14206</v>
      </c>
      <c r="L2638" t="s">
        <v>9124</v>
      </c>
      <c r="M2638" t="str">
        <f>"https://www.artic.edu/iiif/2/"&amp;Table9[[#This Row],[Image ID]]&amp;"/full/843,/0/default.jpg"</f>
        <v>https://www.artic.edu/iiif/2/e8db304c-3c1b-fba5-124b-b87439fcda4f/full/843,/0/default.jpg</v>
      </c>
      <c r="N2638" s="3">
        <v>0.75</v>
      </c>
      <c r="O2638" s="3">
        <v>0.15</v>
      </c>
      <c r="P2638" s="3">
        <v>0.6</v>
      </c>
      <c r="Q2638" s="3">
        <v>0.70985370874404896</v>
      </c>
    </row>
    <row r="2639" spans="1:17" x14ac:dyDescent="0.45">
      <c r="A2639" s="3">
        <v>227588</v>
      </c>
      <c r="B2639" t="b">
        <v>0</v>
      </c>
      <c r="C2639" t="b">
        <v>0</v>
      </c>
      <c r="D2639" s="3">
        <v>1950</v>
      </c>
      <c r="E2639" s="3">
        <v>1950</v>
      </c>
      <c r="F2639" t="s">
        <v>11</v>
      </c>
      <c r="G2639" t="s">
        <v>5983</v>
      </c>
      <c r="H2639" s="3">
        <v>10.4034</v>
      </c>
      <c r="I2639" t="s">
        <v>3965</v>
      </c>
      <c r="J2639" t="s">
        <v>14215</v>
      </c>
      <c r="L2639" t="s">
        <v>5984</v>
      </c>
      <c r="M2639" t="str">
        <f>"https://www.artic.edu/iiif/2/"&amp;Table9[[#This Row],[Image ID]]&amp;"/full/843,/0/default.jpg"</f>
        <v>https://www.artic.edu/iiif/2/e97dd4b6-4bfa-b367-6fda-eb98ae90bd98/full/843,/0/default.jpg</v>
      </c>
      <c r="N2639" s="3">
        <v>0.625</v>
      </c>
      <c r="O2639" s="3">
        <v>2.5000000000000001E-2</v>
      </c>
      <c r="P2639" s="3">
        <v>0.6</v>
      </c>
      <c r="Q2639" s="3">
        <v>0.78641730546951205</v>
      </c>
    </row>
    <row r="2640" spans="1:17" x14ac:dyDescent="0.45">
      <c r="A2640" s="3">
        <v>72889</v>
      </c>
      <c r="B2640" t="b">
        <v>0</v>
      </c>
      <c r="C2640" t="b">
        <v>0</v>
      </c>
      <c r="D2640" s="3">
        <v>1936</v>
      </c>
      <c r="E2640" s="3">
        <v>1936</v>
      </c>
      <c r="F2640" t="s">
        <v>268</v>
      </c>
      <c r="G2640" t="s">
        <v>9583</v>
      </c>
      <c r="H2640" s="3">
        <v>59.660899999999998</v>
      </c>
      <c r="I2640" t="s">
        <v>4769</v>
      </c>
      <c r="J2640" t="s">
        <v>14360</v>
      </c>
      <c r="L2640" t="s">
        <v>9584</v>
      </c>
      <c r="M2640" t="str">
        <f>"https://www.artic.edu/iiif/2/"&amp;Table9[[#This Row],[Image ID]]&amp;"/full/843,/0/default.jpg"</f>
        <v>https://www.artic.edu/iiif/2/f2fc8911-5008-d7e5-3399-c32785e7a790/full/843,/0/default.jpg</v>
      </c>
      <c r="N2640" s="3">
        <v>0.65</v>
      </c>
      <c r="O2640" s="3">
        <v>0.05</v>
      </c>
      <c r="P2640" s="3">
        <v>0.6</v>
      </c>
      <c r="Q2640" s="3">
        <v>0.72778159379959095</v>
      </c>
    </row>
    <row r="2641" spans="1:17" x14ac:dyDescent="0.45">
      <c r="A2641" s="3">
        <v>17538</v>
      </c>
      <c r="B2641" t="b">
        <v>0</v>
      </c>
      <c r="C2641" t="b">
        <v>0</v>
      </c>
      <c r="D2641" s="3">
        <v>1904</v>
      </c>
      <c r="E2641" s="3">
        <v>1904</v>
      </c>
      <c r="F2641" t="s">
        <v>4657</v>
      </c>
      <c r="G2641" t="s">
        <v>4658</v>
      </c>
      <c r="H2641" s="3">
        <v>14.114699999999999</v>
      </c>
      <c r="I2641" t="s">
        <v>2957</v>
      </c>
      <c r="J2641" t="s">
        <v>14453</v>
      </c>
      <c r="L2641" t="s">
        <v>4659</v>
      </c>
      <c r="M2641" t="str">
        <f>"https://www.artic.edu/iiif/2/"&amp;Table9[[#This Row],[Image ID]]&amp;"/full/843,/0/default.jpg"</f>
        <v>https://www.artic.edu/iiif/2/f9fb3458-598d-a1cb-7a89-02f4fa5249b3/full/843,/0/default.jpg</v>
      </c>
      <c r="N2641" s="3">
        <v>0.65</v>
      </c>
      <c r="O2641" s="3">
        <v>0.05</v>
      </c>
      <c r="P2641" s="3">
        <v>0.6</v>
      </c>
      <c r="Q2641" s="3">
        <v>0.65677416324615401</v>
      </c>
    </row>
    <row r="2642" spans="1:17" x14ac:dyDescent="0.45">
      <c r="A2642" s="3">
        <v>14636</v>
      </c>
      <c r="B2642" t="b">
        <v>0</v>
      </c>
      <c r="C2642" t="b">
        <v>0</v>
      </c>
      <c r="D2642" s="3">
        <v>1901</v>
      </c>
      <c r="E2642" s="3">
        <v>1901</v>
      </c>
      <c r="F2642" t="s">
        <v>3443</v>
      </c>
      <c r="G2642" t="s">
        <v>3444</v>
      </c>
      <c r="H2642" s="3">
        <v>26.467500000000001</v>
      </c>
      <c r="I2642" t="s">
        <v>133</v>
      </c>
      <c r="J2642" t="s">
        <v>14461</v>
      </c>
      <c r="L2642" t="s">
        <v>3445</v>
      </c>
      <c r="M2642" t="str">
        <f>"https://www.artic.edu/iiif/2/"&amp;Table9[[#This Row],[Image ID]]&amp;"/full/843,/0/default.jpg"</f>
        <v>https://www.artic.edu/iiif/2/fa99a4c9-da69-1254-2038-64e4b755a49f/full/843,/0/default.jpg</v>
      </c>
      <c r="N2642" s="3">
        <v>0.625</v>
      </c>
      <c r="O2642" s="3">
        <v>2.5000000000000001E-2</v>
      </c>
      <c r="P2642" s="3">
        <v>0.6</v>
      </c>
      <c r="Q2642" s="3">
        <v>0.65169805288314797</v>
      </c>
    </row>
    <row r="2643" spans="1:17" x14ac:dyDescent="0.45">
      <c r="A2643" s="3">
        <v>28339</v>
      </c>
      <c r="B2643" t="b">
        <v>0</v>
      </c>
      <c r="C2643" t="b">
        <v>0</v>
      </c>
      <c r="D2643" s="3">
        <v>1920</v>
      </c>
      <c r="E2643" s="3">
        <v>1925</v>
      </c>
      <c r="F2643" t="s">
        <v>5125</v>
      </c>
      <c r="G2643" t="s">
        <v>75</v>
      </c>
      <c r="H2643" s="3">
        <v>22.605699999999999</v>
      </c>
      <c r="I2643" t="s">
        <v>14554</v>
      </c>
      <c r="J2643" t="s">
        <v>14467</v>
      </c>
      <c r="L2643" t="s">
        <v>6802</v>
      </c>
      <c r="M2643" t="str">
        <f>"https://www.artic.edu/iiif/2/"&amp;Table9[[#This Row],[Image ID]]&amp;"/full/843,/0/default.jpg"</f>
        <v>https://www.artic.edu/iiif/2/fafc6d1b-1165-a1cb-b8ef-8634a1a01764/full/843,/0/default.jpg</v>
      </c>
      <c r="N2643" s="3">
        <v>0.75</v>
      </c>
      <c r="O2643" s="3">
        <v>0.15</v>
      </c>
      <c r="P2643" s="3">
        <v>0.6</v>
      </c>
      <c r="Q2643" s="3">
        <v>0.59613025188446001</v>
      </c>
    </row>
    <row r="2644" spans="1:17" x14ac:dyDescent="0.45">
      <c r="A2644" s="3">
        <v>81568</v>
      </c>
      <c r="B2644" t="b">
        <v>0</v>
      </c>
      <c r="C2644" t="b">
        <v>1</v>
      </c>
      <c r="D2644" s="3">
        <v>1890</v>
      </c>
      <c r="E2644" s="3">
        <v>1895</v>
      </c>
      <c r="F2644" t="s">
        <v>1031</v>
      </c>
      <c r="G2644" t="s">
        <v>2611</v>
      </c>
      <c r="H2644" s="3">
        <v>0</v>
      </c>
      <c r="I2644" t="s">
        <v>14670</v>
      </c>
      <c r="J2644" t="s">
        <v>11495</v>
      </c>
      <c r="L2644" t="s">
        <v>10144</v>
      </c>
      <c r="M2644" t="str">
        <f>"https://www.artic.edu/iiif/2/"&amp;Table9[[#This Row],[Image ID]]&amp;"/full/843,/0/default.jpg"</f>
        <v>https://www.artic.edu/iiif/2/24a5f59f-8d6a-750d-31db-f4527d3ce884/full/843,/0/default.jpg</v>
      </c>
      <c r="N2644" s="3">
        <v>0.81</v>
      </c>
      <c r="O2644" s="3">
        <v>0.214</v>
      </c>
      <c r="P2644" s="3">
        <v>0.59600000000000009</v>
      </c>
      <c r="Q2644" s="3">
        <v>0.57534259557723999</v>
      </c>
    </row>
    <row r="2645" spans="1:17" x14ac:dyDescent="0.45">
      <c r="A2645" s="3">
        <v>114317</v>
      </c>
      <c r="B2645" t="b">
        <v>0</v>
      </c>
      <c r="C2645" t="b">
        <v>1</v>
      </c>
      <c r="D2645" s="3">
        <v>1842</v>
      </c>
      <c r="E2645" s="3">
        <v>1842</v>
      </c>
      <c r="F2645" t="s">
        <v>1579</v>
      </c>
      <c r="G2645" t="s">
        <v>1580</v>
      </c>
      <c r="H2645" s="3">
        <v>53.881999999999998</v>
      </c>
      <c r="I2645" t="s">
        <v>16</v>
      </c>
      <c r="J2645" t="s">
        <v>11512</v>
      </c>
      <c r="L2645" t="s">
        <v>1581</v>
      </c>
      <c r="M2645" t="str">
        <f>"https://www.artic.edu/iiif/2/"&amp;Table9[[#This Row],[Image ID]]&amp;"/full/843,/0/default.jpg"</f>
        <v>https://www.artic.edu/iiif/2/25fa739a-5a98-cbb1-1ee1-fc5b81a98a1d/full/843,/0/default.jpg</v>
      </c>
      <c r="N2645" s="3">
        <v>0.66700000000000004</v>
      </c>
      <c r="O2645" s="3">
        <v>7.0999999999999994E-2</v>
      </c>
      <c r="P2645" s="3">
        <v>0.59600000000000009</v>
      </c>
      <c r="Q2645" s="3">
        <v>0.68784886598587003</v>
      </c>
    </row>
    <row r="2646" spans="1:17" x14ac:dyDescent="0.45">
      <c r="A2646" s="3">
        <v>115901</v>
      </c>
      <c r="B2646" t="b">
        <v>0</v>
      </c>
      <c r="C2646" t="b">
        <v>1</v>
      </c>
      <c r="D2646" s="3">
        <v>1870</v>
      </c>
      <c r="E2646" s="3">
        <v>1880</v>
      </c>
      <c r="F2646" t="s">
        <v>2206</v>
      </c>
      <c r="G2646" t="s">
        <v>2207</v>
      </c>
      <c r="H2646" s="3">
        <v>37.472200000000001</v>
      </c>
      <c r="I2646" t="s">
        <v>868</v>
      </c>
      <c r="J2646" t="s">
        <v>12899</v>
      </c>
      <c r="L2646" t="s">
        <v>2208</v>
      </c>
      <c r="M2646" t="str">
        <f>"https://www.artic.edu/iiif/2/"&amp;Table9[[#This Row],[Image ID]]&amp;"/full/843,/0/default.jpg"</f>
        <v>https://www.artic.edu/iiif/2/85c55523-1e02-77c6-ed9d-3ca066081795/full/843,/0/default.jpg</v>
      </c>
      <c r="N2646" s="3">
        <v>0.81</v>
      </c>
      <c r="O2646" s="3">
        <v>0.214</v>
      </c>
      <c r="P2646" s="3">
        <v>0.59600000000000009</v>
      </c>
      <c r="Q2646" s="3">
        <v>0.53357440233230502</v>
      </c>
    </row>
    <row r="2647" spans="1:17" x14ac:dyDescent="0.45">
      <c r="A2647" s="3">
        <v>24684</v>
      </c>
      <c r="B2647" t="b">
        <v>0</v>
      </c>
      <c r="C2647" t="b">
        <v>1</v>
      </c>
      <c r="D2647" s="3">
        <v>1555</v>
      </c>
      <c r="E2647" s="3">
        <v>1565</v>
      </c>
      <c r="F2647" t="s">
        <v>6427</v>
      </c>
      <c r="G2647" t="s">
        <v>6428</v>
      </c>
      <c r="H2647" s="3">
        <v>41.595399999999998</v>
      </c>
      <c r="I2647" t="s">
        <v>6429</v>
      </c>
      <c r="J2647" t="s">
        <v>13153</v>
      </c>
      <c r="L2647" t="s">
        <v>6430</v>
      </c>
      <c r="M2647" t="str">
        <f>"https://www.artic.edu/iiif/2/"&amp;Table9[[#This Row],[Image ID]]&amp;"/full/843,/0/default.jpg"</f>
        <v>https://www.artic.edu/iiif/2/9a29cc5d-3779-c9ab-2aa2-0df7b6c3f391/full/843,/0/default.jpg</v>
      </c>
      <c r="N2647" s="3">
        <v>0.78600000000000003</v>
      </c>
      <c r="O2647" s="3">
        <v>0.19</v>
      </c>
      <c r="P2647" s="3">
        <v>0.59600000000000009</v>
      </c>
      <c r="Q2647" s="3">
        <v>0.80363404750823897</v>
      </c>
    </row>
    <row r="2648" spans="1:17" x14ac:dyDescent="0.45">
      <c r="A2648" s="3">
        <v>40507</v>
      </c>
      <c r="B2648" t="b">
        <v>0</v>
      </c>
      <c r="C2648" t="b">
        <v>1</v>
      </c>
      <c r="D2648" s="3">
        <v>1630</v>
      </c>
      <c r="E2648" s="3">
        <v>1670</v>
      </c>
      <c r="F2648" t="s">
        <v>7643</v>
      </c>
      <c r="G2648" t="s">
        <v>75</v>
      </c>
      <c r="H2648" s="3">
        <v>0</v>
      </c>
      <c r="I2648" t="s">
        <v>7644</v>
      </c>
      <c r="J2648" t="s">
        <v>14219</v>
      </c>
      <c r="L2648" t="s">
        <v>7645</v>
      </c>
      <c r="M2648" t="str">
        <f>"https://www.artic.edu/iiif/2/"&amp;Table9[[#This Row],[Image ID]]&amp;"/full/843,/0/default.jpg"</f>
        <v>https://www.artic.edu/iiif/2/e99fba95-e252-1cfc-4204-55d2f3143a5e/full/843,/0/default.jpg</v>
      </c>
      <c r="N2648" s="3">
        <v>0.66700000000000004</v>
      </c>
      <c r="O2648" s="3">
        <v>7.0999999999999994E-2</v>
      </c>
      <c r="P2648" s="3">
        <v>0.59600000000000009</v>
      </c>
      <c r="Q2648" s="3">
        <v>0.41204157471656799</v>
      </c>
    </row>
    <row r="2649" spans="1:17" x14ac:dyDescent="0.45">
      <c r="A2649" s="3">
        <v>36343</v>
      </c>
      <c r="B2649" t="b">
        <v>0</v>
      </c>
      <c r="C2649" t="b">
        <v>0</v>
      </c>
      <c r="D2649" s="3">
        <v>1969</v>
      </c>
      <c r="E2649" s="3">
        <v>1969</v>
      </c>
      <c r="F2649" t="s">
        <v>7219</v>
      </c>
      <c r="G2649" t="s">
        <v>7220</v>
      </c>
      <c r="H2649" s="3">
        <v>28.350200000000001</v>
      </c>
      <c r="I2649" t="s">
        <v>2280</v>
      </c>
      <c r="J2649" t="s">
        <v>11500</v>
      </c>
      <c r="L2649" t="s">
        <v>7221</v>
      </c>
      <c r="M2649" t="str">
        <f>"https://www.artic.edu/iiif/2/"&amp;Table9[[#This Row],[Image ID]]&amp;"/full/843,/0/default.jpg"</f>
        <v>https://www.artic.edu/iiif/2/255eb9f1-e364-76db-373f-7f1edad353dd/full/843,/0/default.jpg</v>
      </c>
      <c r="N2649" s="3">
        <v>0.66700000000000004</v>
      </c>
      <c r="O2649" s="3">
        <v>7.0999999999999994E-2</v>
      </c>
      <c r="P2649" s="3">
        <v>0.59600000000000009</v>
      </c>
      <c r="Q2649" s="3">
        <v>0.68469136953353804</v>
      </c>
    </row>
    <row r="2650" spans="1:17" x14ac:dyDescent="0.45">
      <c r="A2650" s="3">
        <v>153700</v>
      </c>
      <c r="B2650" t="b">
        <v>0</v>
      </c>
      <c r="C2650" t="b">
        <v>0</v>
      </c>
      <c r="D2650" s="3">
        <v>1950</v>
      </c>
      <c r="E2650" s="3">
        <v>1950</v>
      </c>
      <c r="F2650" t="s">
        <v>3949</v>
      </c>
      <c r="G2650" t="s">
        <v>7</v>
      </c>
      <c r="H2650" s="3">
        <v>9.6202000000000005</v>
      </c>
      <c r="I2650" t="s">
        <v>752</v>
      </c>
      <c r="J2650" t="s">
        <v>11849</v>
      </c>
      <c r="L2650" t="s">
        <v>3950</v>
      </c>
      <c r="M2650" t="str">
        <f>"https://www.artic.edu/iiif/2/"&amp;Table9[[#This Row],[Image ID]]&amp;"/full/843,/0/default.jpg"</f>
        <v>https://www.artic.edu/iiif/2/3b96d8d0-68c9-cb16-e5ea-6d7889a9928c/full/843,/0/default.jpg</v>
      </c>
      <c r="N2650" s="3">
        <v>0.66700000000000004</v>
      </c>
      <c r="O2650" s="3">
        <v>7.0999999999999994E-2</v>
      </c>
      <c r="P2650" s="3">
        <v>0.59600000000000009</v>
      </c>
      <c r="Q2650" s="3">
        <v>0.63038617372512795</v>
      </c>
    </row>
    <row r="2651" spans="1:17" x14ac:dyDescent="0.45">
      <c r="A2651" s="3">
        <v>237892</v>
      </c>
      <c r="B2651" t="b">
        <v>0</v>
      </c>
      <c r="C2651" t="b">
        <v>0</v>
      </c>
      <c r="D2651" s="3">
        <v>2010</v>
      </c>
      <c r="E2651" s="3">
        <v>2010</v>
      </c>
      <c r="F2651" t="s">
        <v>6312</v>
      </c>
      <c r="G2651" t="s">
        <v>59</v>
      </c>
      <c r="H2651" s="3">
        <v>96.947400000000002</v>
      </c>
      <c r="I2651" t="s">
        <v>6313</v>
      </c>
      <c r="J2651" t="s">
        <v>12824</v>
      </c>
      <c r="K2651" s="5" t="s">
        <v>15</v>
      </c>
      <c r="L2651" t="s">
        <v>6314</v>
      </c>
      <c r="M2651" t="str">
        <f>"https://www.artic.edu/iiif/2/"&amp;Table9[[#This Row],[Image ID]]&amp;"/full/843,/0/default.jpg"</f>
        <v>https://www.artic.edu/iiif/2/8064c3db-2152-f687-4c96-0fda8c5d217b/full/843,/0/default.jpg</v>
      </c>
      <c r="N2651" s="3">
        <v>0.78600000000000003</v>
      </c>
      <c r="O2651" s="3">
        <v>0.19</v>
      </c>
      <c r="P2651" s="3">
        <v>0.59600000000000009</v>
      </c>
      <c r="Q2651" s="3">
        <v>0.78284758329391402</v>
      </c>
    </row>
    <row r="2652" spans="1:17" x14ac:dyDescent="0.45">
      <c r="A2652" s="3">
        <v>133363</v>
      </c>
      <c r="B2652" t="b">
        <v>0</v>
      </c>
      <c r="C2652" t="b">
        <v>0</v>
      </c>
      <c r="D2652" s="3">
        <v>1945</v>
      </c>
      <c r="E2652" s="3">
        <v>1955</v>
      </c>
      <c r="F2652" t="s">
        <v>3027</v>
      </c>
      <c r="G2652" t="s">
        <v>3028</v>
      </c>
      <c r="H2652" s="3">
        <v>13.303599999999999</v>
      </c>
      <c r="I2652" t="s">
        <v>3029</v>
      </c>
      <c r="J2652" t="s">
        <v>13555</v>
      </c>
      <c r="K2652" s="5" t="s">
        <v>130</v>
      </c>
      <c r="L2652" t="s">
        <v>3030</v>
      </c>
      <c r="M2652" t="str">
        <f>"https://www.artic.edu/iiif/2/"&amp;Table9[[#This Row],[Image ID]]&amp;"/full/843,/0/default.jpg"</f>
        <v>https://www.artic.edu/iiif/2/b8f5b24e-d8f8-88f8-8869-b75f29a7601a/full/843,/0/default.jpg</v>
      </c>
      <c r="N2652" s="3">
        <v>0.66700000000000004</v>
      </c>
      <c r="O2652" s="3">
        <v>7.0999999999999994E-2</v>
      </c>
      <c r="P2652" s="3">
        <v>0.59600000000000009</v>
      </c>
      <c r="Q2652" s="3">
        <v>0.638197362422943</v>
      </c>
    </row>
    <row r="2653" spans="1:17" x14ac:dyDescent="0.45">
      <c r="A2653" s="3">
        <v>6786</v>
      </c>
      <c r="B2653" t="b">
        <v>0</v>
      </c>
      <c r="C2653" t="b">
        <v>0</v>
      </c>
      <c r="D2653" s="3">
        <v>1929</v>
      </c>
      <c r="E2653" s="3">
        <v>1929</v>
      </c>
      <c r="F2653" t="s">
        <v>9333</v>
      </c>
      <c r="G2653" t="s">
        <v>7</v>
      </c>
      <c r="H2653" s="3">
        <v>0</v>
      </c>
      <c r="I2653" t="s">
        <v>3319</v>
      </c>
      <c r="J2653" t="s">
        <v>14328</v>
      </c>
      <c r="L2653" t="s">
        <v>9334</v>
      </c>
      <c r="M2653" t="str">
        <f>"https://www.artic.edu/iiif/2/"&amp;Table9[[#This Row],[Image ID]]&amp;"/full/843,/0/default.jpg"</f>
        <v>https://www.artic.edu/iiif/2/f0c9e66a-4a6b-7b5e-019c-ad006cc306ac/full/843,/0/default.jpg</v>
      </c>
      <c r="N2653" s="3">
        <v>0.78600000000000003</v>
      </c>
      <c r="O2653" s="3">
        <v>0.19</v>
      </c>
      <c r="P2653" s="3">
        <v>0.59600000000000009</v>
      </c>
      <c r="Q2653" s="3">
        <v>0.65369009971618597</v>
      </c>
    </row>
    <row r="2654" spans="1:17" x14ac:dyDescent="0.45">
      <c r="A2654" s="3">
        <v>14692</v>
      </c>
      <c r="B2654" t="b">
        <v>0</v>
      </c>
      <c r="C2654" t="b">
        <v>0</v>
      </c>
      <c r="D2654" s="3">
        <v>1923</v>
      </c>
      <c r="E2654" s="3">
        <v>1923</v>
      </c>
      <c r="F2654" t="s">
        <v>3516</v>
      </c>
      <c r="G2654" t="s">
        <v>3517</v>
      </c>
      <c r="H2654" s="3">
        <v>41.637599999999999</v>
      </c>
      <c r="I2654" t="s">
        <v>1423</v>
      </c>
      <c r="J2654" t="s">
        <v>11608</v>
      </c>
      <c r="L2654" t="s">
        <v>3518</v>
      </c>
      <c r="M2654" t="str">
        <f>"https://www.artic.edu/iiif/2/"&amp;Table9[[#This Row],[Image ID]]&amp;"/full/843,/0/default.jpg"</f>
        <v>https://www.artic.edu/iiif/2/2b3deeec-4e66-5dcf-b3b4-8464402df1db/full/843,/0/default.jpg</v>
      </c>
      <c r="N2654" s="3">
        <v>0.64300000000000002</v>
      </c>
      <c r="O2654" s="3">
        <v>4.7E-2</v>
      </c>
      <c r="P2654" s="3">
        <v>0.59599999999999997</v>
      </c>
      <c r="Q2654" s="3">
        <v>0.63465535640716497</v>
      </c>
    </row>
    <row r="2655" spans="1:17" x14ac:dyDescent="0.45">
      <c r="A2655" s="3">
        <v>107289</v>
      </c>
      <c r="B2655" t="b">
        <v>0</v>
      </c>
      <c r="C2655" t="b">
        <v>0</v>
      </c>
      <c r="D2655" s="3">
        <v>1938</v>
      </c>
      <c r="E2655" s="3">
        <v>1982</v>
      </c>
      <c r="F2655" t="s">
        <v>630</v>
      </c>
      <c r="G2655" t="s">
        <v>631</v>
      </c>
      <c r="H2655" s="3">
        <v>16.706</v>
      </c>
      <c r="I2655" t="s">
        <v>632</v>
      </c>
      <c r="J2655" t="s">
        <v>13472</v>
      </c>
      <c r="L2655" t="s">
        <v>633</v>
      </c>
      <c r="M2655" t="str">
        <f>"https://www.artic.edu/iiif/2/"&amp;Table9[[#This Row],[Image ID]]&amp;"/full/843,/0/default.jpg"</f>
        <v>https://www.artic.edu/iiif/2/b1971704-62dc-f1ac-f585-d07419fec3bd/full/843,/0/default.jpg</v>
      </c>
      <c r="N2655" s="3">
        <v>0.64300000000000002</v>
      </c>
      <c r="O2655" s="3">
        <v>4.7E-2</v>
      </c>
      <c r="P2655" s="3">
        <v>0.59599999999999997</v>
      </c>
      <c r="Q2655" s="3">
        <v>0.67386317253112704</v>
      </c>
    </row>
    <row r="2656" spans="1:17" x14ac:dyDescent="0.45">
      <c r="A2656" s="3">
        <v>14647</v>
      </c>
      <c r="B2656" t="b">
        <v>0</v>
      </c>
      <c r="C2656" t="b">
        <v>1</v>
      </c>
      <c r="D2656" s="3">
        <v>1879</v>
      </c>
      <c r="E2656" s="3">
        <v>1879</v>
      </c>
      <c r="F2656" t="s">
        <v>3450</v>
      </c>
      <c r="G2656" t="s">
        <v>7</v>
      </c>
      <c r="H2656" s="3">
        <v>42.238500000000002</v>
      </c>
      <c r="I2656" t="s">
        <v>8</v>
      </c>
      <c r="J2656" t="s">
        <v>11251</v>
      </c>
      <c r="K2656" s="5" t="s">
        <v>9</v>
      </c>
      <c r="L2656" t="s">
        <v>3451</v>
      </c>
      <c r="M2656" t="str">
        <f>"https://www.artic.edu/iiif/2/"&amp;Table9[[#This Row],[Image ID]]&amp;"/full/843,/0/default.jpg"</f>
        <v>https://www.artic.edu/iiif/2/147e3ce7-1c08-fa84-57f7-f59d4ec90d3c/full/843,/0/default.jpg</v>
      </c>
      <c r="N2656" s="3">
        <v>0.71399999999999997</v>
      </c>
      <c r="O2656" s="3">
        <v>0.11899999999999999</v>
      </c>
      <c r="P2656" s="3">
        <v>0.59499999999999997</v>
      </c>
      <c r="Q2656" s="3">
        <v>0.80677229166030795</v>
      </c>
    </row>
    <row r="2657" spans="1:17" x14ac:dyDescent="0.45">
      <c r="A2657" s="3">
        <v>16821</v>
      </c>
      <c r="B2657" t="b">
        <v>0</v>
      </c>
      <c r="C2657" t="b">
        <v>1</v>
      </c>
      <c r="D2657" s="3">
        <v>1894</v>
      </c>
      <c r="E2657" s="3">
        <v>1894</v>
      </c>
      <c r="F2657" t="s">
        <v>4601</v>
      </c>
      <c r="G2657" t="s">
        <v>4602</v>
      </c>
      <c r="H2657" s="3">
        <v>14.8865</v>
      </c>
      <c r="I2657" t="s">
        <v>1337</v>
      </c>
      <c r="J2657" t="s">
        <v>11703</v>
      </c>
      <c r="L2657" t="s">
        <v>4603</v>
      </c>
      <c r="M2657" t="str">
        <f>"https://www.artic.edu/iiif/2/"&amp;Table9[[#This Row],[Image ID]]&amp;"/full/843,/0/default.jpg"</f>
        <v>https://www.artic.edu/iiif/2/32106368-7e47-4c41-b05b-8df4c415cc79/full/843,/0/default.jpg</v>
      </c>
      <c r="N2657" s="3">
        <v>0.69</v>
      </c>
      <c r="O2657" s="3">
        <v>9.5000000000000001E-2</v>
      </c>
      <c r="P2657" s="3">
        <v>0.59499999999999997</v>
      </c>
      <c r="Q2657" s="3">
        <v>0.43558114767074502</v>
      </c>
    </row>
    <row r="2658" spans="1:17" x14ac:dyDescent="0.45">
      <c r="A2658" s="3">
        <v>226550</v>
      </c>
      <c r="B2658" t="b">
        <v>0</v>
      </c>
      <c r="C2658" t="b">
        <v>1</v>
      </c>
      <c r="D2658" s="3">
        <v>1815</v>
      </c>
      <c r="E2658" s="3">
        <v>1825</v>
      </c>
      <c r="F2658" t="s">
        <v>5969</v>
      </c>
      <c r="G2658" t="s">
        <v>7</v>
      </c>
      <c r="H2658" s="3">
        <v>22.200900000000001</v>
      </c>
      <c r="I2658" t="s">
        <v>5970</v>
      </c>
      <c r="J2658" t="s">
        <v>12279</v>
      </c>
      <c r="L2658" t="s">
        <v>5971</v>
      </c>
      <c r="M2658" t="str">
        <f>"https://www.artic.edu/iiif/2/"&amp;Table9[[#This Row],[Image ID]]&amp;"/full/843,/0/default.jpg"</f>
        <v>https://www.artic.edu/iiif/2/59511df1-03d0-aea4-369a-959669ccfe51/full/843,/0/default.jpg</v>
      </c>
      <c r="N2658" s="3">
        <v>0.69</v>
      </c>
      <c r="O2658" s="3">
        <v>9.5000000000000001E-2</v>
      </c>
      <c r="P2658" s="3">
        <v>0.59499999999999997</v>
      </c>
      <c r="Q2658" s="3">
        <v>0.88211864233016901</v>
      </c>
    </row>
    <row r="2659" spans="1:17" x14ac:dyDescent="0.45">
      <c r="A2659" s="3">
        <v>250457</v>
      </c>
      <c r="B2659" t="b">
        <v>0</v>
      </c>
      <c r="C2659" t="b">
        <v>1</v>
      </c>
      <c r="D2659" s="3">
        <v>1885</v>
      </c>
      <c r="E2659" s="3">
        <v>1900</v>
      </c>
      <c r="F2659" t="s">
        <v>6482</v>
      </c>
      <c r="G2659" t="s">
        <v>75</v>
      </c>
      <c r="H2659" s="3">
        <v>30.127300000000002</v>
      </c>
      <c r="I2659" t="s">
        <v>14592</v>
      </c>
      <c r="J2659" t="s">
        <v>6484</v>
      </c>
      <c r="L2659" t="s">
        <v>6483</v>
      </c>
      <c r="M2659" t="str">
        <f>"https://www.artic.edu/iiif/2/"&amp;Table9[[#This Row],[Image ID]]&amp;"/full/843,/0/default.jpg"</f>
        <v>https://www.artic.edu/iiif/2/68b74f5d-dfc8-6f40-f819-06eab21cc26d/full/843,/0/default.jpg</v>
      </c>
      <c r="N2659" s="3">
        <v>0.71399999999999997</v>
      </c>
      <c r="O2659" s="3">
        <v>0.11899999999999999</v>
      </c>
      <c r="P2659" s="3">
        <v>0.59499999999999997</v>
      </c>
      <c r="Q2659" s="3">
        <v>0.55913919210433904</v>
      </c>
    </row>
    <row r="2660" spans="1:17" x14ac:dyDescent="0.45">
      <c r="A2660" s="3">
        <v>81525</v>
      </c>
      <c r="B2660" t="b">
        <v>0</v>
      </c>
      <c r="C2660" t="b">
        <v>1</v>
      </c>
      <c r="D2660" s="3">
        <v>1885</v>
      </c>
      <c r="E2660" s="3">
        <v>1895</v>
      </c>
      <c r="F2660" t="s">
        <v>727</v>
      </c>
      <c r="G2660" t="s">
        <v>434</v>
      </c>
      <c r="H2660" s="3">
        <v>44.633000000000003</v>
      </c>
      <c r="I2660" t="s">
        <v>1369</v>
      </c>
      <c r="J2660" t="s">
        <v>13592</v>
      </c>
      <c r="L2660" t="s">
        <v>10116</v>
      </c>
      <c r="M2660" t="str">
        <f>"https://www.artic.edu/iiif/2/"&amp;Table9[[#This Row],[Image ID]]&amp;"/full/843,/0/default.jpg"</f>
        <v>https://www.artic.edu/iiif/2/bba8ef2a-2af7-e111-1269-382f38d32fdd/full/843,/0/default.jpg</v>
      </c>
      <c r="N2660" s="3">
        <v>0.76200000000000001</v>
      </c>
      <c r="O2660" s="3">
        <v>0.16700000000000001</v>
      </c>
      <c r="P2660" s="3">
        <v>0.59499999999999997</v>
      </c>
      <c r="Q2660" s="3">
        <v>0.88019990921020497</v>
      </c>
    </row>
    <row r="2661" spans="1:17" x14ac:dyDescent="0.45">
      <c r="A2661" s="3">
        <v>81522</v>
      </c>
      <c r="B2661" t="b">
        <v>0</v>
      </c>
      <c r="C2661" t="b">
        <v>1</v>
      </c>
      <c r="D2661" s="3">
        <v>1857</v>
      </c>
      <c r="E2661" s="3">
        <v>1857</v>
      </c>
      <c r="F2661" t="s">
        <v>10114</v>
      </c>
      <c r="G2661" t="s">
        <v>7</v>
      </c>
      <c r="H2661" s="3">
        <v>19.175899999999999</v>
      </c>
      <c r="I2661" t="s">
        <v>14668</v>
      </c>
      <c r="J2661" t="s">
        <v>13612</v>
      </c>
      <c r="L2661" t="s">
        <v>10115</v>
      </c>
      <c r="M2661" t="str">
        <f>"https://www.artic.edu/iiif/2/"&amp;Table9[[#This Row],[Image ID]]&amp;"/full/843,/0/default.jpg"</f>
        <v>https://www.artic.edu/iiif/2/bd921daa-25ba-3a48-5b30-ad03d8a8bacb/full/843,/0/default.jpg</v>
      </c>
      <c r="N2661" s="3">
        <v>0.69</v>
      </c>
      <c r="O2661" s="3">
        <v>9.5000000000000001E-2</v>
      </c>
      <c r="P2661" s="3">
        <v>0.59499999999999997</v>
      </c>
      <c r="Q2661" s="3">
        <v>0.66641348600387496</v>
      </c>
    </row>
    <row r="2662" spans="1:17" x14ac:dyDescent="0.45">
      <c r="A2662" s="3">
        <v>31173</v>
      </c>
      <c r="B2662" t="b">
        <v>0</v>
      </c>
      <c r="C2662" t="b">
        <v>1</v>
      </c>
      <c r="D2662" s="3">
        <v>1665</v>
      </c>
      <c r="E2662" s="3">
        <v>1670</v>
      </c>
      <c r="F2662" t="s">
        <v>1556</v>
      </c>
      <c r="G2662" t="s">
        <v>7</v>
      </c>
      <c r="H2662" s="3">
        <v>39.454999999999998</v>
      </c>
      <c r="I2662" t="s">
        <v>1326</v>
      </c>
      <c r="J2662" t="s">
        <v>13678</v>
      </c>
      <c r="L2662" t="s">
        <v>6994</v>
      </c>
      <c r="M2662" t="str">
        <f>"https://www.artic.edu/iiif/2/"&amp;Table9[[#This Row],[Image ID]]&amp;"/full/843,/0/default.jpg"</f>
        <v>https://www.artic.edu/iiif/2/c216ea7d-91ed-72d4-3427-9df52e71ce18/full/843,/0/default.jpg</v>
      </c>
      <c r="N2662" s="3">
        <v>0.73799999999999999</v>
      </c>
      <c r="O2662" s="3">
        <v>0.14299999999999999</v>
      </c>
      <c r="P2662" s="3">
        <v>0.59499999999999997</v>
      </c>
      <c r="Q2662" s="3">
        <v>0.77356624603271396</v>
      </c>
    </row>
    <row r="2663" spans="1:17" x14ac:dyDescent="0.45">
      <c r="A2663" s="3">
        <v>101077</v>
      </c>
      <c r="B2663" t="b">
        <v>0</v>
      </c>
      <c r="C2663" t="b">
        <v>1</v>
      </c>
      <c r="D2663" s="3">
        <v>1695</v>
      </c>
      <c r="E2663" s="3">
        <v>1705</v>
      </c>
      <c r="F2663" t="s">
        <v>169</v>
      </c>
      <c r="G2663" t="s">
        <v>7</v>
      </c>
      <c r="H2663" s="3">
        <v>0.73270000000000002</v>
      </c>
      <c r="I2663" t="s">
        <v>170</v>
      </c>
      <c r="J2663" t="s">
        <v>13884</v>
      </c>
      <c r="L2663" t="s">
        <v>171</v>
      </c>
      <c r="M2663" t="str">
        <f>"https://www.artic.edu/iiif/2/"&amp;Table9[[#This Row],[Image ID]]&amp;"/full/843,/0/default.jpg"</f>
        <v>https://www.artic.edu/iiif/2/d39cc144-3e37-7fdf-a16b-c983218d82f7/full/843,/0/default.jpg</v>
      </c>
      <c r="N2663" s="3">
        <v>0.71399999999999997</v>
      </c>
      <c r="O2663" s="3">
        <v>0.11899999999999999</v>
      </c>
      <c r="P2663" s="3">
        <v>0.59499999999999997</v>
      </c>
      <c r="Q2663" s="3">
        <v>0.79430747032165505</v>
      </c>
    </row>
    <row r="2664" spans="1:17" x14ac:dyDescent="0.45">
      <c r="A2664" s="3">
        <v>25760</v>
      </c>
      <c r="B2664" t="b">
        <v>0</v>
      </c>
      <c r="C2664" t="b">
        <v>1</v>
      </c>
      <c r="D2664" s="3">
        <v>1390</v>
      </c>
      <c r="E2664" s="3">
        <v>1400</v>
      </c>
      <c r="F2664" t="s">
        <v>201</v>
      </c>
      <c r="G2664" t="s">
        <v>6581</v>
      </c>
      <c r="H2664" s="3">
        <v>59.9985</v>
      </c>
      <c r="I2664" t="s">
        <v>14698</v>
      </c>
      <c r="J2664" t="s">
        <v>14076</v>
      </c>
      <c r="L2664" t="s">
        <v>6582</v>
      </c>
      <c r="M2664" t="str">
        <f>"https://www.artic.edu/iiif/2/"&amp;Table9[[#This Row],[Image ID]]&amp;"/full/843,/0/default.jpg"</f>
        <v>https://www.artic.edu/iiif/2/e0f46736-df2f-6908-da04-41a82268d002/full/843,/0/default.jpg</v>
      </c>
      <c r="N2664" s="3">
        <v>0.64300000000000002</v>
      </c>
      <c r="O2664" s="3">
        <v>4.8000000000000001E-2</v>
      </c>
      <c r="P2664" s="3">
        <v>0.59499999999999997</v>
      </c>
      <c r="Q2664" s="3">
        <v>0.85464280843734697</v>
      </c>
    </row>
    <row r="2665" spans="1:17" x14ac:dyDescent="0.45">
      <c r="A2665" s="3">
        <v>110867</v>
      </c>
      <c r="B2665" t="b">
        <v>0</v>
      </c>
      <c r="C2665" t="b">
        <v>1</v>
      </c>
      <c r="D2665" s="3">
        <v>1880</v>
      </c>
      <c r="E2665" s="3">
        <v>1890</v>
      </c>
      <c r="F2665" t="s">
        <v>951</v>
      </c>
      <c r="G2665" t="s">
        <v>7</v>
      </c>
      <c r="H2665" s="3">
        <v>13.763</v>
      </c>
      <c r="I2665" t="s">
        <v>592</v>
      </c>
      <c r="J2665" t="s">
        <v>14403</v>
      </c>
      <c r="K2665" s="5" t="s">
        <v>9</v>
      </c>
      <c r="L2665" t="s">
        <v>952</v>
      </c>
      <c r="M2665" t="str">
        <f>"https://www.artic.edu/iiif/2/"&amp;Table9[[#This Row],[Image ID]]&amp;"/full/843,/0/default.jpg"</f>
        <v>https://www.artic.edu/iiif/2/f67d49b0-90a6-7aa3-29ab-77e5d1e9fd9c/full/843,/0/default.jpg</v>
      </c>
      <c r="N2665" s="3">
        <v>0.69</v>
      </c>
      <c r="O2665" s="3">
        <v>9.5000000000000001E-2</v>
      </c>
      <c r="P2665" s="3">
        <v>0.59499999999999997</v>
      </c>
      <c r="Q2665" s="3">
        <v>0.82808482646942105</v>
      </c>
    </row>
    <row r="2666" spans="1:17" x14ac:dyDescent="0.45">
      <c r="A2666" s="3">
        <v>25810</v>
      </c>
      <c r="B2666" t="b">
        <v>0</v>
      </c>
      <c r="C2666" t="b">
        <v>1</v>
      </c>
      <c r="D2666" s="3">
        <v>1875</v>
      </c>
      <c r="E2666" s="3">
        <v>1885</v>
      </c>
      <c r="F2666" t="s">
        <v>6621</v>
      </c>
      <c r="G2666" t="s">
        <v>7</v>
      </c>
      <c r="H2666" s="3">
        <v>0</v>
      </c>
      <c r="I2666" t="s">
        <v>14575</v>
      </c>
      <c r="J2666" t="s">
        <v>14469</v>
      </c>
      <c r="L2666" t="s">
        <v>6622</v>
      </c>
      <c r="M2666" t="str">
        <f>"https://www.artic.edu/iiif/2/"&amp;Table9[[#This Row],[Image ID]]&amp;"/full/843,/0/default.jpg"</f>
        <v>https://www.artic.edu/iiif/2/fb2e2757-1362-3ea0-ff55-fd25bfbc43b2/full/843,/0/default.jpg</v>
      </c>
      <c r="N2666" s="3">
        <v>0.64300000000000002</v>
      </c>
      <c r="O2666" s="3">
        <v>4.8000000000000001E-2</v>
      </c>
      <c r="P2666" s="3">
        <v>0.59499999999999997</v>
      </c>
      <c r="Q2666" s="3">
        <v>0.52868860960006703</v>
      </c>
    </row>
    <row r="2667" spans="1:17" x14ac:dyDescent="0.45">
      <c r="A2667" s="3">
        <v>102580</v>
      </c>
      <c r="B2667" t="b">
        <v>0</v>
      </c>
      <c r="C2667" t="b">
        <v>0</v>
      </c>
      <c r="D2667" s="3">
        <v>1964</v>
      </c>
      <c r="E2667" s="3">
        <v>1964</v>
      </c>
      <c r="F2667" t="s">
        <v>265</v>
      </c>
      <c r="G2667" t="s">
        <v>7</v>
      </c>
      <c r="H2667" s="3">
        <v>74.787400000000005</v>
      </c>
      <c r="I2667" t="s">
        <v>266</v>
      </c>
      <c r="J2667" t="s">
        <v>11229</v>
      </c>
      <c r="L2667" t="s">
        <v>267</v>
      </c>
      <c r="M2667" t="str">
        <f>"https://www.artic.edu/iiif/2/"&amp;Table9[[#This Row],[Image ID]]&amp;"/full/843,/0/default.jpg"</f>
        <v>https://www.artic.edu/iiif/2/12b68b79-ca4c-930d-0f05-1d329658e0df/full/843,/0/default.jpg</v>
      </c>
      <c r="N2667" s="3">
        <v>0.71399999999999997</v>
      </c>
      <c r="O2667" s="3">
        <v>0.11899999999999999</v>
      </c>
      <c r="P2667" s="3">
        <v>0.59499999999999997</v>
      </c>
      <c r="Q2667" s="3">
        <v>0.82114803791046098</v>
      </c>
    </row>
    <row r="2668" spans="1:17" x14ac:dyDescent="0.45">
      <c r="A2668" s="3">
        <v>16590</v>
      </c>
      <c r="B2668" t="b">
        <v>0</v>
      </c>
      <c r="C2668" t="b">
        <v>0</v>
      </c>
      <c r="D2668" s="3">
        <v>1904</v>
      </c>
      <c r="E2668" s="3">
        <v>1910</v>
      </c>
      <c r="F2668" t="s">
        <v>4500</v>
      </c>
      <c r="G2668" t="s">
        <v>75</v>
      </c>
      <c r="H2668" s="3">
        <v>28.1496</v>
      </c>
      <c r="I2668" t="s">
        <v>525</v>
      </c>
      <c r="J2668" t="s">
        <v>11598</v>
      </c>
      <c r="K2668" s="5" t="s">
        <v>115</v>
      </c>
      <c r="L2668" t="s">
        <v>4501</v>
      </c>
      <c r="M2668" t="str">
        <f>"https://www.artic.edu/iiif/2/"&amp;Table9[[#This Row],[Image ID]]&amp;"/full/843,/0/default.jpg"</f>
        <v>https://www.artic.edu/iiif/2/2acf7c4c-d3a9-e4f6-0343-4dcb75ec8b34/full/843,/0/default.jpg</v>
      </c>
      <c r="N2668" s="3">
        <v>0.64300000000000002</v>
      </c>
      <c r="O2668" s="3">
        <v>4.8000000000000001E-2</v>
      </c>
      <c r="P2668" s="3">
        <v>0.59499999999999997</v>
      </c>
      <c r="Q2668" s="3">
        <v>0.62242358922958296</v>
      </c>
    </row>
    <row r="2669" spans="1:17" x14ac:dyDescent="0.45">
      <c r="A2669" s="3">
        <v>107255</v>
      </c>
      <c r="B2669" t="b">
        <v>0</v>
      </c>
      <c r="C2669" t="b">
        <v>0</v>
      </c>
      <c r="D2669" s="3">
        <v>1968</v>
      </c>
      <c r="E2669" s="3">
        <v>1972</v>
      </c>
      <c r="F2669" t="s">
        <v>614</v>
      </c>
      <c r="G2669" t="s">
        <v>623</v>
      </c>
      <c r="H2669" s="3">
        <v>41.7455</v>
      </c>
      <c r="I2669" t="s">
        <v>612</v>
      </c>
      <c r="J2669" t="s">
        <v>11644</v>
      </c>
      <c r="L2669" t="s">
        <v>624</v>
      </c>
      <c r="M2669" t="str">
        <f>"https://www.artic.edu/iiif/2/"&amp;Table9[[#This Row],[Image ID]]&amp;"/full/843,/0/default.jpg"</f>
        <v>https://www.artic.edu/iiif/2/2e2de279-7029-9213-4143-88d530577e28/full/843,/0/default.jpg</v>
      </c>
      <c r="N2669" s="3">
        <v>0.69</v>
      </c>
      <c r="O2669" s="3">
        <v>9.5000000000000001E-2</v>
      </c>
      <c r="P2669" s="3">
        <v>0.59499999999999997</v>
      </c>
      <c r="Q2669" s="3">
        <v>0.76899760961532504</v>
      </c>
    </row>
    <row r="2670" spans="1:17" x14ac:dyDescent="0.45">
      <c r="A2670" s="3">
        <v>64489</v>
      </c>
      <c r="B2670" t="b">
        <v>0</v>
      </c>
      <c r="C2670" t="b">
        <v>0</v>
      </c>
      <c r="D2670" s="3">
        <v>1902</v>
      </c>
      <c r="E2670" s="3">
        <v>1902</v>
      </c>
      <c r="F2670" t="s">
        <v>8993</v>
      </c>
      <c r="G2670" t="s">
        <v>7</v>
      </c>
      <c r="H2670" s="3">
        <v>11.542199999999999</v>
      </c>
      <c r="I2670" t="s">
        <v>3196</v>
      </c>
      <c r="J2670" t="s">
        <v>11897</v>
      </c>
      <c r="K2670" s="5" t="s">
        <v>284</v>
      </c>
      <c r="L2670" t="s">
        <v>8994</v>
      </c>
      <c r="M2670" t="str">
        <f>"https://www.artic.edu/iiif/2/"&amp;Table9[[#This Row],[Image ID]]&amp;"/full/843,/0/default.jpg"</f>
        <v>https://www.artic.edu/iiif/2/3edec075-6e0b-0ccc-0036-5328de3e064c/full/843,/0/default.jpg</v>
      </c>
      <c r="N2670" s="3">
        <v>0.69</v>
      </c>
      <c r="O2670" s="3">
        <v>9.5000000000000001E-2</v>
      </c>
      <c r="P2670" s="3">
        <v>0.59499999999999997</v>
      </c>
      <c r="Q2670" s="3">
        <v>0.67198467254638605</v>
      </c>
    </row>
    <row r="2671" spans="1:17" x14ac:dyDescent="0.45">
      <c r="A2671" s="3">
        <v>114331</v>
      </c>
      <c r="B2671" t="b">
        <v>0</v>
      </c>
      <c r="C2671" t="b">
        <v>0</v>
      </c>
      <c r="D2671" s="3">
        <v>1895</v>
      </c>
      <c r="E2671" s="3">
        <v>1905</v>
      </c>
      <c r="F2671" t="s">
        <v>1624</v>
      </c>
      <c r="G2671" t="s">
        <v>1625</v>
      </c>
      <c r="H2671" s="3">
        <v>21.5151</v>
      </c>
      <c r="I2671" t="s">
        <v>1626</v>
      </c>
      <c r="J2671" t="s">
        <v>11994</v>
      </c>
      <c r="L2671" t="s">
        <v>1627</v>
      </c>
      <c r="M2671" t="str">
        <f>"https://www.artic.edu/iiif/2/"&amp;Table9[[#This Row],[Image ID]]&amp;"/full/843,/0/default.jpg"</f>
        <v>https://www.artic.edu/iiif/2/44c927dd-8e6d-7e10-5829-e111c9e62743/full/843,/0/default.jpg</v>
      </c>
      <c r="N2671" s="3">
        <v>0.71399999999999997</v>
      </c>
      <c r="O2671" s="3">
        <v>0.11899999999999999</v>
      </c>
      <c r="P2671" s="3">
        <v>0.59499999999999997</v>
      </c>
      <c r="Q2671" s="3">
        <v>0.62649303674697798</v>
      </c>
    </row>
    <row r="2672" spans="1:17" x14ac:dyDescent="0.45">
      <c r="A2672" s="3">
        <v>55694</v>
      </c>
      <c r="B2672" t="b">
        <v>0</v>
      </c>
      <c r="C2672" t="b">
        <v>0</v>
      </c>
      <c r="D2672" s="3">
        <v>1963</v>
      </c>
      <c r="E2672" s="3">
        <v>1965</v>
      </c>
      <c r="F2672" t="s">
        <v>8379</v>
      </c>
      <c r="G2672" t="s">
        <v>2247</v>
      </c>
      <c r="H2672" s="3">
        <v>49.119900000000001</v>
      </c>
      <c r="I2672" t="s">
        <v>599</v>
      </c>
      <c r="J2672" t="s">
        <v>11435</v>
      </c>
      <c r="L2672" t="s">
        <v>8380</v>
      </c>
      <c r="M2672" t="str">
        <f>"https://www.artic.edu/iiif/2/"&amp;Table9[[#This Row],[Image ID]]&amp;"/full/843,/0/default.jpg"</f>
        <v>https://www.artic.edu/iiif/2/5c2b0e26-7c53-0e36-ed77-27db951fc9f5/full/843,/0/default.jpg</v>
      </c>
      <c r="N2672" s="3">
        <v>0.76200000000000001</v>
      </c>
      <c r="O2672" s="3">
        <v>0.16700000000000001</v>
      </c>
      <c r="P2672" s="3">
        <v>0.59499999999999997</v>
      </c>
      <c r="Q2672" s="3">
        <v>0.75488072633743197</v>
      </c>
    </row>
    <row r="2673" spans="1:17" x14ac:dyDescent="0.45">
      <c r="A2673" s="3">
        <v>80358</v>
      </c>
      <c r="B2673" t="b">
        <v>0</v>
      </c>
      <c r="C2673" t="b">
        <v>0</v>
      </c>
      <c r="D2673" s="3">
        <v>1950</v>
      </c>
      <c r="E2673" s="3">
        <v>1950</v>
      </c>
      <c r="F2673" t="s">
        <v>775</v>
      </c>
      <c r="G2673" t="s">
        <v>9965</v>
      </c>
      <c r="H2673" s="3">
        <v>15.147600000000001</v>
      </c>
      <c r="I2673" t="s">
        <v>5319</v>
      </c>
      <c r="J2673" t="s">
        <v>12883</v>
      </c>
      <c r="L2673" t="s">
        <v>9966</v>
      </c>
      <c r="M2673" t="str">
        <f>"https://www.artic.edu/iiif/2/"&amp;Table9[[#This Row],[Image ID]]&amp;"/full/843,/0/default.jpg"</f>
        <v>https://www.artic.edu/iiif/2/8471177d-aeea-ffae-f5d0-4f967b89a3a4/full/843,/0/default.jpg</v>
      </c>
      <c r="N2673" s="3">
        <v>0.64300000000000002</v>
      </c>
      <c r="O2673" s="3">
        <v>4.8000000000000001E-2</v>
      </c>
      <c r="P2673" s="3">
        <v>0.59499999999999997</v>
      </c>
      <c r="Q2673" s="3">
        <v>0.77513867616653398</v>
      </c>
    </row>
    <row r="2674" spans="1:17" x14ac:dyDescent="0.45">
      <c r="A2674" s="3">
        <v>48681</v>
      </c>
      <c r="B2674" t="b">
        <v>0</v>
      </c>
      <c r="C2674" t="b">
        <v>0</v>
      </c>
      <c r="D2674" s="3">
        <v>1902</v>
      </c>
      <c r="E2674" s="3">
        <v>1968</v>
      </c>
      <c r="F2674" t="s">
        <v>8016</v>
      </c>
      <c r="G2674" t="s">
        <v>8017</v>
      </c>
      <c r="H2674" s="3">
        <v>35.071399999999997</v>
      </c>
      <c r="I2674" t="s">
        <v>753</v>
      </c>
      <c r="J2674" t="s">
        <v>13501</v>
      </c>
      <c r="L2674" t="s">
        <v>8018</v>
      </c>
      <c r="M2674" t="str">
        <f>"https://www.artic.edu/iiif/2/"&amp;Table9[[#This Row],[Image ID]]&amp;"/full/843,/0/default.jpg"</f>
        <v>https://www.artic.edu/iiif/2/b420a278-4eed-36ad-6372-783a0836596c/full/843,/0/default.jpg</v>
      </c>
      <c r="N2674" s="3">
        <v>0.69</v>
      </c>
      <c r="O2674" s="3">
        <v>9.5000000000000001E-2</v>
      </c>
      <c r="P2674" s="3">
        <v>0.59499999999999997</v>
      </c>
      <c r="Q2674" s="3">
        <v>0.77013576030731201</v>
      </c>
    </row>
    <row r="2675" spans="1:17" x14ac:dyDescent="0.45">
      <c r="A2675" s="3">
        <v>184922</v>
      </c>
      <c r="B2675" t="b">
        <v>0</v>
      </c>
      <c r="C2675" t="b">
        <v>0</v>
      </c>
      <c r="D2675" s="3">
        <v>2003</v>
      </c>
      <c r="E2675" s="3">
        <v>2003</v>
      </c>
      <c r="F2675" t="s">
        <v>4902</v>
      </c>
      <c r="G2675" t="s">
        <v>4823</v>
      </c>
      <c r="H2675" s="3">
        <v>6.7680999999999996</v>
      </c>
      <c r="I2675" t="s">
        <v>293</v>
      </c>
      <c r="J2675" t="s">
        <v>10977</v>
      </c>
      <c r="K2675" s="5" t="s">
        <v>15</v>
      </c>
      <c r="L2675" t="s">
        <v>4903</v>
      </c>
      <c r="M2675" t="str">
        <f>"https://www.artic.edu/iiif/2/"&amp;Table9[[#This Row],[Image ID]]&amp;"/full/843,/0/default.jpg"</f>
        <v>https://www.artic.edu/iiif/2/bc0f8d93-6218-89a7-74ea-f30997943d71/full/843,/0/default.jpg</v>
      </c>
      <c r="N2675" s="3">
        <v>0.73799999999999999</v>
      </c>
      <c r="O2675" s="3">
        <v>0.14299999999999999</v>
      </c>
      <c r="P2675" s="3">
        <v>0.59499999999999997</v>
      </c>
      <c r="Q2675" s="3">
        <v>0.82111722230911199</v>
      </c>
    </row>
    <row r="2676" spans="1:17" x14ac:dyDescent="0.45">
      <c r="A2676" s="3">
        <v>153698</v>
      </c>
      <c r="B2676" t="b">
        <v>0</v>
      </c>
      <c r="C2676" t="b">
        <v>0</v>
      </c>
      <c r="D2676" s="3">
        <v>1906</v>
      </c>
      <c r="E2676" s="3">
        <v>1906</v>
      </c>
      <c r="F2676" t="s">
        <v>3633</v>
      </c>
      <c r="G2676" t="s">
        <v>7</v>
      </c>
      <c r="H2676" s="3">
        <v>54.347799999999999</v>
      </c>
      <c r="I2676" t="s">
        <v>523</v>
      </c>
      <c r="J2676" t="s">
        <v>13910</v>
      </c>
      <c r="L2676" t="s">
        <v>3946</v>
      </c>
      <c r="M2676" t="str">
        <f>"https://www.artic.edu/iiif/2/"&amp;Table9[[#This Row],[Image ID]]&amp;"/full/843,/0/default.jpg"</f>
        <v>https://www.artic.edu/iiif/2/d585b957-3864-90eb-280e-a1fe4af1291b/full/843,/0/default.jpg</v>
      </c>
      <c r="N2676" s="3">
        <v>0.69</v>
      </c>
      <c r="O2676" s="3">
        <v>9.5000000000000001E-2</v>
      </c>
      <c r="P2676" s="3">
        <v>0.59499999999999997</v>
      </c>
      <c r="Q2676" s="3">
        <v>0.62911188602447499</v>
      </c>
    </row>
    <row r="2677" spans="1:17" x14ac:dyDescent="0.45">
      <c r="A2677" s="3">
        <v>24219</v>
      </c>
      <c r="B2677" t="b">
        <v>0</v>
      </c>
      <c r="C2677" t="b">
        <v>0</v>
      </c>
      <c r="D2677" s="3">
        <v>1927</v>
      </c>
      <c r="E2677" s="3">
        <v>1927</v>
      </c>
      <c r="F2677" t="s">
        <v>567</v>
      </c>
      <c r="G2677" t="s">
        <v>7</v>
      </c>
      <c r="H2677" s="3">
        <v>48.319800000000001</v>
      </c>
      <c r="I2677" t="s">
        <v>14589</v>
      </c>
      <c r="J2677" t="s">
        <v>13796</v>
      </c>
      <c r="L2677" t="s">
        <v>6378</v>
      </c>
      <c r="M2677" t="str">
        <f>"https://www.artic.edu/iiif/2/"&amp;Table9[[#This Row],[Image ID]]&amp;"/full/843,/0/default.jpg"</f>
        <v>https://www.artic.edu/iiif/2/e237cd70-b5dd-10e6-1bef-23cfcd0741a1/full/843,/0/default.jpg</v>
      </c>
      <c r="N2677" s="3">
        <v>0.64300000000000002</v>
      </c>
      <c r="O2677" s="3">
        <v>4.8000000000000001E-2</v>
      </c>
      <c r="P2677" s="3">
        <v>0.59499999999999997</v>
      </c>
      <c r="Q2677" s="3">
        <v>0.77521216869354204</v>
      </c>
    </row>
    <row r="2678" spans="1:17" x14ac:dyDescent="0.45">
      <c r="A2678" s="3">
        <v>93020</v>
      </c>
      <c r="B2678" t="b">
        <v>0</v>
      </c>
      <c r="C2678" t="b">
        <v>0</v>
      </c>
      <c r="D2678" s="3">
        <v>1911</v>
      </c>
      <c r="E2678" s="3">
        <v>1930</v>
      </c>
      <c r="F2678" t="s">
        <v>10568</v>
      </c>
      <c r="G2678" t="s">
        <v>10569</v>
      </c>
      <c r="H2678" s="3">
        <v>21.413900000000002</v>
      </c>
      <c r="I2678" t="s">
        <v>14577</v>
      </c>
      <c r="J2678" t="s">
        <v>14280</v>
      </c>
      <c r="L2678" t="s">
        <v>10570</v>
      </c>
      <c r="M2678" t="str">
        <f>"https://www.artic.edu/iiif/2/"&amp;Table9[[#This Row],[Image ID]]&amp;"/full/843,/0/default.jpg"</f>
        <v>https://www.artic.edu/iiif/2/eda6cba6-d1f4-67dd-de47-94a89b728d31/full/843,/0/default.jpg</v>
      </c>
      <c r="N2678" s="3">
        <v>0.71399999999999997</v>
      </c>
      <c r="O2678" s="3">
        <v>0.11899999999999999</v>
      </c>
      <c r="P2678" s="3">
        <v>0.59499999999999997</v>
      </c>
      <c r="Q2678" s="3">
        <v>0.75345718860626198</v>
      </c>
    </row>
    <row r="2679" spans="1:17" x14ac:dyDescent="0.45">
      <c r="A2679" s="3">
        <v>115551</v>
      </c>
      <c r="B2679" t="b">
        <v>0</v>
      </c>
      <c r="C2679" t="b">
        <v>1</v>
      </c>
      <c r="D2679" s="3">
        <v>1772</v>
      </c>
      <c r="E2679" s="3">
        <v>1798</v>
      </c>
      <c r="F2679" t="s">
        <v>2012</v>
      </c>
      <c r="G2679" t="s">
        <v>2013</v>
      </c>
      <c r="H2679" s="3">
        <v>32.973799999999997</v>
      </c>
      <c r="I2679" t="s">
        <v>2014</v>
      </c>
      <c r="J2679" t="s">
        <v>13819</v>
      </c>
      <c r="L2679" t="s">
        <v>2015</v>
      </c>
      <c r="M2679" t="str">
        <f>"https://www.artic.edu/iiif/2/"&amp;Table9[[#This Row],[Image ID]]&amp;"/full/843,/0/default.jpg"</f>
        <v>https://www.artic.edu/iiif/2/cdb4523d-84bf-6cd0-1bad-967ae6d04b6d/full/843,/0/default.jpg</v>
      </c>
      <c r="N2679" s="3">
        <v>0.70699999999999996</v>
      </c>
      <c r="O2679" s="3">
        <v>0.11600000000000001</v>
      </c>
      <c r="P2679" s="3">
        <v>0.59099999999999997</v>
      </c>
      <c r="Q2679" s="3">
        <v>0.616319060325622</v>
      </c>
    </row>
    <row r="2680" spans="1:17" x14ac:dyDescent="0.45">
      <c r="A2680" s="3">
        <v>35226</v>
      </c>
      <c r="B2680" t="b">
        <v>0</v>
      </c>
      <c r="C2680" t="b">
        <v>1</v>
      </c>
      <c r="D2680" s="3">
        <v>1492</v>
      </c>
      <c r="E2680" s="3">
        <v>1505</v>
      </c>
      <c r="F2680" t="s">
        <v>292</v>
      </c>
      <c r="G2680" t="s">
        <v>7165</v>
      </c>
      <c r="H2680" s="3">
        <v>51.524500000000003</v>
      </c>
      <c r="I2680" t="s">
        <v>7166</v>
      </c>
      <c r="J2680" t="s">
        <v>14043</v>
      </c>
      <c r="L2680" t="s">
        <v>7167</v>
      </c>
      <c r="M2680" t="str">
        <f>"https://www.artic.edu/iiif/2/"&amp;Table9[[#This Row],[Image ID]]&amp;"/full/843,/0/default.jpg"</f>
        <v>https://www.artic.edu/iiif/2/de6ea525-c0a3-b5ec-6061-d65d3ed0e5a8/full/843,/0/default.jpg</v>
      </c>
      <c r="N2680" s="3">
        <v>0.61399999999999999</v>
      </c>
      <c r="O2680" s="3">
        <v>2.3E-2</v>
      </c>
      <c r="P2680" s="3">
        <v>0.59099999999999997</v>
      </c>
      <c r="Q2680" s="3">
        <v>0.84286695718765203</v>
      </c>
    </row>
    <row r="2681" spans="1:17" x14ac:dyDescent="0.45">
      <c r="A2681" s="3">
        <v>50285</v>
      </c>
      <c r="B2681" t="b">
        <v>0</v>
      </c>
      <c r="C2681" t="b">
        <v>0</v>
      </c>
      <c r="D2681" s="3">
        <v>1928</v>
      </c>
      <c r="E2681" s="3">
        <v>1976</v>
      </c>
      <c r="F2681" t="s">
        <v>8084</v>
      </c>
      <c r="G2681" t="s">
        <v>8085</v>
      </c>
      <c r="H2681" s="3">
        <v>39.462299999999999</v>
      </c>
      <c r="I2681" t="s">
        <v>5973</v>
      </c>
      <c r="J2681" t="s">
        <v>11520</v>
      </c>
      <c r="L2681" t="s">
        <v>8086</v>
      </c>
      <c r="M2681" t="str">
        <f>"https://www.artic.edu/iiif/2/"&amp;Table9[[#This Row],[Image ID]]&amp;"/full/843,/0/default.jpg"</f>
        <v>https://www.artic.edu/iiif/2/264d02d2-ff2b-2a3c-5a85-0b0472dd51b9/full/843,/0/default.jpg</v>
      </c>
      <c r="N2681" s="3">
        <v>0.65900000000000003</v>
      </c>
      <c r="O2681" s="3">
        <v>6.8000000000000005E-2</v>
      </c>
      <c r="P2681" s="3">
        <v>0.59099999999999997</v>
      </c>
      <c r="Q2681" s="3">
        <v>0.70226645469665505</v>
      </c>
    </row>
    <row r="2682" spans="1:17" x14ac:dyDescent="0.45">
      <c r="A2682" s="3">
        <v>65854</v>
      </c>
      <c r="B2682" t="b">
        <v>0</v>
      </c>
      <c r="C2682" t="b">
        <v>0</v>
      </c>
      <c r="D2682" s="3">
        <v>1907</v>
      </c>
      <c r="E2682" s="3">
        <v>1917</v>
      </c>
      <c r="F2682" t="s">
        <v>9070</v>
      </c>
      <c r="G2682" t="s">
        <v>7</v>
      </c>
      <c r="H2682" s="3">
        <v>34.669400000000003</v>
      </c>
      <c r="I2682" t="s">
        <v>2113</v>
      </c>
      <c r="J2682" t="s">
        <v>14383</v>
      </c>
      <c r="L2682" t="s">
        <v>9071</v>
      </c>
      <c r="M2682" t="str">
        <f>"https://www.artic.edu/iiif/2/"&amp;Table9[[#This Row],[Image ID]]&amp;"/full/843,/0/default.jpg"</f>
        <v>https://www.artic.edu/iiif/2/f541abc9-41b6-e1d9-264f-b09899dd60d8/full/843,/0/default.jpg</v>
      </c>
      <c r="N2682" s="3">
        <v>0.61399999999999999</v>
      </c>
      <c r="O2682" s="3">
        <v>2.3E-2</v>
      </c>
      <c r="P2682" s="3">
        <v>0.59099999999999997</v>
      </c>
      <c r="Q2682" s="3">
        <v>0.64020240306854204</v>
      </c>
    </row>
    <row r="2683" spans="1:17" x14ac:dyDescent="0.45">
      <c r="A2683" s="3">
        <v>39028</v>
      </c>
      <c r="B2683" t="b">
        <v>0</v>
      </c>
      <c r="C2683" t="b">
        <v>1</v>
      </c>
      <c r="D2683" s="3">
        <v>1808</v>
      </c>
      <c r="E2683" s="3">
        <v>1854</v>
      </c>
      <c r="F2683" t="s">
        <v>7384</v>
      </c>
      <c r="G2683" t="s">
        <v>7385</v>
      </c>
      <c r="H2683" s="3">
        <v>36.359400000000001</v>
      </c>
      <c r="I2683" t="s">
        <v>7307</v>
      </c>
      <c r="J2683" t="s">
        <v>13599</v>
      </c>
      <c r="L2683" t="s">
        <v>7386</v>
      </c>
      <c r="M2683" t="str">
        <f>"https://www.artic.edu/iiif/2/"&amp;Table9[[#This Row],[Image ID]]&amp;"/full/843,/0/default.jpg"</f>
        <v>https://www.artic.edu/iiif/2/bc671ac7-ae50-62fe-d799-5cab56672b35/full/843,/0/default.jpg</v>
      </c>
      <c r="N2683" s="3">
        <v>0.73199999999999998</v>
      </c>
      <c r="O2683" s="3">
        <v>0.14299999999999999</v>
      </c>
      <c r="P2683" s="3">
        <v>0.58899999999999997</v>
      </c>
      <c r="Q2683" s="3">
        <v>0.67020344734191895</v>
      </c>
    </row>
    <row r="2684" spans="1:17" x14ac:dyDescent="0.45">
      <c r="A2684" s="3">
        <v>115685</v>
      </c>
      <c r="B2684" t="b">
        <v>0</v>
      </c>
      <c r="C2684" t="b">
        <v>1</v>
      </c>
      <c r="D2684" s="3">
        <v>1800</v>
      </c>
      <c r="E2684" s="3">
        <v>1899</v>
      </c>
      <c r="F2684" t="s">
        <v>2068</v>
      </c>
      <c r="G2684" t="s">
        <v>2069</v>
      </c>
      <c r="H2684" s="3">
        <v>18.760100000000001</v>
      </c>
      <c r="I2684" t="s">
        <v>16</v>
      </c>
      <c r="J2684" t="s">
        <v>11469</v>
      </c>
      <c r="L2684" t="s">
        <v>2070</v>
      </c>
      <c r="M2684" t="str">
        <f>"https://www.artic.edu/iiif/2/"&amp;Table9[[#This Row],[Image ID]]&amp;"/full/843,/0/default.jpg"</f>
        <v>https://www.artic.edu/iiif/2/22e93e5d-1396-4b08-7270-f8c4c5ea8cb7/full/843,/0/default.jpg</v>
      </c>
      <c r="N2684" s="3">
        <v>0.68300000000000005</v>
      </c>
      <c r="O2684" s="3">
        <v>9.5000000000000001E-2</v>
      </c>
      <c r="P2684" s="3">
        <v>0.58800000000000008</v>
      </c>
      <c r="Q2684" s="3">
        <v>0.64107316732406605</v>
      </c>
    </row>
    <row r="2685" spans="1:17" x14ac:dyDescent="0.45">
      <c r="A2685" s="3">
        <v>42969</v>
      </c>
      <c r="B2685" t="b">
        <v>0</v>
      </c>
      <c r="C2685" t="b">
        <v>0</v>
      </c>
      <c r="D2685" s="3">
        <v>1925</v>
      </c>
      <c r="E2685" s="3">
        <v>1935</v>
      </c>
      <c r="F2685" t="s">
        <v>7721</v>
      </c>
      <c r="G2685" t="s">
        <v>7722</v>
      </c>
      <c r="H2685" s="3">
        <v>41.518300000000004</v>
      </c>
      <c r="I2685" t="s">
        <v>498</v>
      </c>
      <c r="J2685" t="s">
        <v>14516</v>
      </c>
      <c r="L2685" t="s">
        <v>7723</v>
      </c>
      <c r="M2685" t="str">
        <f>"https://www.artic.edu/iiif/2/"&amp;Table9[[#This Row],[Image ID]]&amp;"/full/843,/0/default.jpg"</f>
        <v>https://www.artic.edu/iiif/2/fea50f9b-8f23-b467-e065-76687bf2aec1/full/843,/0/default.jpg</v>
      </c>
      <c r="N2685" s="3">
        <v>0.70699999999999996</v>
      </c>
      <c r="O2685" s="3">
        <v>0.11899999999999999</v>
      </c>
      <c r="P2685" s="3">
        <v>0.58799999999999997</v>
      </c>
      <c r="Q2685" s="3">
        <v>0.858783960342407</v>
      </c>
    </row>
    <row r="2686" spans="1:17" x14ac:dyDescent="0.45">
      <c r="A2686" s="3">
        <v>39807</v>
      </c>
      <c r="B2686" t="b">
        <v>0</v>
      </c>
      <c r="C2686" t="b">
        <v>1</v>
      </c>
      <c r="D2686" s="3">
        <v>1885</v>
      </c>
      <c r="E2686" s="3">
        <v>1885</v>
      </c>
      <c r="F2686" t="s">
        <v>7607</v>
      </c>
      <c r="G2686" t="s">
        <v>7608</v>
      </c>
      <c r="H2686" s="3">
        <v>23.6599</v>
      </c>
      <c r="I2686" t="s">
        <v>1287</v>
      </c>
      <c r="J2686" t="s">
        <v>11700</v>
      </c>
      <c r="L2686" t="s">
        <v>7609</v>
      </c>
      <c r="M2686" t="str">
        <f>"https://www.artic.edu/iiif/2/"&amp;Table9[[#This Row],[Image ID]]&amp;"/full/843,/0/default.jpg"</f>
        <v>https://www.artic.edu/iiif/2/31b9e8ca-9f64-9ac0-4d81-3f70583b2567/full/843,/0/default.jpg</v>
      </c>
      <c r="N2686" s="3">
        <v>0.65900000000000003</v>
      </c>
      <c r="O2686" s="3">
        <v>7.2999999999999995E-2</v>
      </c>
      <c r="P2686" s="3">
        <v>0.58600000000000008</v>
      </c>
      <c r="Q2686" s="3">
        <v>0.78289550542831399</v>
      </c>
    </row>
    <row r="2687" spans="1:17" x14ac:dyDescent="0.45">
      <c r="A2687" s="3">
        <v>49425</v>
      </c>
      <c r="B2687" t="b">
        <v>0</v>
      </c>
      <c r="C2687" t="b">
        <v>1</v>
      </c>
      <c r="D2687" s="3">
        <v>1856</v>
      </c>
      <c r="E2687" s="3">
        <v>1857</v>
      </c>
      <c r="F2687" t="s">
        <v>8046</v>
      </c>
      <c r="G2687" t="s">
        <v>7</v>
      </c>
      <c r="H2687" s="3">
        <v>22.1751</v>
      </c>
      <c r="I2687" t="s">
        <v>8047</v>
      </c>
      <c r="J2687" t="s">
        <v>11808</v>
      </c>
      <c r="L2687" t="s">
        <v>8048</v>
      </c>
      <c r="M2687" t="str">
        <f>"https://www.artic.edu/iiif/2/"&amp;Table9[[#This Row],[Image ID]]&amp;"/full/843,/0/default.jpg"</f>
        <v>https://www.artic.edu/iiif/2/3938ca9e-f376-7f58-7bde-0030c2a4e4f3/full/843,/0/default.jpg</v>
      </c>
      <c r="N2687" s="3">
        <v>0.65900000000000003</v>
      </c>
      <c r="O2687" s="3">
        <v>7.2999999999999995E-2</v>
      </c>
      <c r="P2687" s="3">
        <v>0.58600000000000008</v>
      </c>
      <c r="Q2687" s="3">
        <v>0.56213438510894698</v>
      </c>
    </row>
    <row r="2688" spans="1:17" x14ac:dyDescent="0.45">
      <c r="A2688" s="3">
        <v>20597</v>
      </c>
      <c r="B2688" t="b">
        <v>0</v>
      </c>
      <c r="C2688" t="b">
        <v>1</v>
      </c>
      <c r="D2688" s="3">
        <v>1771</v>
      </c>
      <c r="E2688" s="3">
        <v>1793</v>
      </c>
      <c r="F2688" t="s">
        <v>5479</v>
      </c>
      <c r="G2688" t="s">
        <v>7</v>
      </c>
      <c r="H2688" s="3">
        <v>0</v>
      </c>
      <c r="I2688" t="s">
        <v>1024</v>
      </c>
      <c r="J2688" t="s">
        <v>12644</v>
      </c>
      <c r="L2688" t="s">
        <v>5480</v>
      </c>
      <c r="M2688" t="str">
        <f>"https://www.artic.edu/iiif/2/"&amp;Table9[[#This Row],[Image ID]]&amp;"/full/843,/0/default.jpg"</f>
        <v>https://www.artic.edu/iiif/2/7321b007-adde-0acb-9d5b-0f57c8f3fcf1/full/843,/0/default.jpg</v>
      </c>
      <c r="N2688" s="3">
        <v>0.65900000000000003</v>
      </c>
      <c r="O2688" s="3">
        <v>7.2999999999999995E-2</v>
      </c>
      <c r="P2688" s="3">
        <v>0.58600000000000008</v>
      </c>
      <c r="Q2688" s="3">
        <v>0.467060476541519</v>
      </c>
    </row>
    <row r="2689" spans="1:17" x14ac:dyDescent="0.45">
      <c r="A2689" s="3">
        <v>118687</v>
      </c>
      <c r="B2689" t="b">
        <v>0</v>
      </c>
      <c r="C2689" t="b">
        <v>0</v>
      </c>
      <c r="D2689" s="3">
        <v>1924</v>
      </c>
      <c r="E2689" s="3">
        <v>1924</v>
      </c>
      <c r="F2689" t="s">
        <v>2529</v>
      </c>
      <c r="G2689" t="s">
        <v>2530</v>
      </c>
      <c r="H2689" s="3">
        <v>69.986400000000003</v>
      </c>
      <c r="I2689" t="s">
        <v>180</v>
      </c>
      <c r="J2689" t="s">
        <v>11568</v>
      </c>
      <c r="L2689" t="s">
        <v>2531</v>
      </c>
      <c r="M2689" t="str">
        <f>"https://www.artic.edu/iiif/2/"&amp;Table9[[#This Row],[Image ID]]&amp;"/full/843,/0/default.jpg"</f>
        <v>https://www.artic.edu/iiif/2/28e63b46-0162-c93d-5370-f448ada5aa7f/full/843,/0/default.jpg</v>
      </c>
      <c r="N2689" s="3">
        <v>0.65900000000000003</v>
      </c>
      <c r="O2689" s="3">
        <v>7.2999999999999995E-2</v>
      </c>
      <c r="P2689" s="3">
        <v>0.58600000000000008</v>
      </c>
      <c r="Q2689" s="3">
        <v>0.90218758583068803</v>
      </c>
    </row>
    <row r="2690" spans="1:17" x14ac:dyDescent="0.45">
      <c r="A2690" s="3">
        <v>73669</v>
      </c>
      <c r="B2690" t="b">
        <v>0</v>
      </c>
      <c r="C2690" t="b">
        <v>0</v>
      </c>
      <c r="D2690" s="3">
        <v>1933</v>
      </c>
      <c r="E2690" s="3">
        <v>1933</v>
      </c>
      <c r="F2690" t="s">
        <v>9644</v>
      </c>
      <c r="G2690" t="s">
        <v>75</v>
      </c>
      <c r="H2690" s="3">
        <v>28.657599999999999</v>
      </c>
      <c r="I2690" t="s">
        <v>3943</v>
      </c>
      <c r="J2690" t="s">
        <v>11765</v>
      </c>
      <c r="K2690" s="5" t="s">
        <v>2</v>
      </c>
      <c r="L2690" t="s">
        <v>9645</v>
      </c>
      <c r="M2690" t="str">
        <f>"https://www.artic.edu/iiif/2/"&amp;Table9[[#This Row],[Image ID]]&amp;"/full/843,/0/default.jpg"</f>
        <v>https://www.artic.edu/iiif/2/36cba2a3-82c5-ac50-a029-8ef405db4368/full/843,/0/default.jpg</v>
      </c>
      <c r="N2690" s="3">
        <v>0.65900000000000003</v>
      </c>
      <c r="O2690" s="3">
        <v>7.2999999999999995E-2</v>
      </c>
      <c r="P2690" s="3">
        <v>0.58600000000000008</v>
      </c>
      <c r="Q2690" s="3">
        <v>0.62752234935760498</v>
      </c>
    </row>
    <row r="2691" spans="1:17" x14ac:dyDescent="0.45">
      <c r="A2691" s="3">
        <v>120672</v>
      </c>
      <c r="B2691" t="b">
        <v>0</v>
      </c>
      <c r="C2691" t="b">
        <v>0</v>
      </c>
      <c r="D2691" s="3">
        <v>1905</v>
      </c>
      <c r="E2691" s="3">
        <v>1910</v>
      </c>
      <c r="F2691" t="s">
        <v>2656</v>
      </c>
      <c r="G2691" t="s">
        <v>7</v>
      </c>
      <c r="H2691" s="3">
        <v>0</v>
      </c>
      <c r="I2691" t="s">
        <v>14689</v>
      </c>
      <c r="J2691" t="s">
        <v>13362</v>
      </c>
      <c r="L2691" t="s">
        <v>2657</v>
      </c>
      <c r="M2691" t="str">
        <f>"https://www.artic.edu/iiif/2/"&amp;Table9[[#This Row],[Image ID]]&amp;"/full/843,/0/default.jpg"</f>
        <v>https://www.artic.edu/iiif/2/a8eadbd0-f4a1-0934-0470-3a53557fae7f/full/843,/0/default.jpg</v>
      </c>
      <c r="N2691" s="3">
        <v>0.65900000000000003</v>
      </c>
      <c r="O2691" s="3">
        <v>7.2999999999999995E-2</v>
      </c>
      <c r="P2691" s="3">
        <v>0.58600000000000008</v>
      </c>
      <c r="Q2691" s="3">
        <v>0.69247579574584905</v>
      </c>
    </row>
    <row r="2692" spans="1:17" x14ac:dyDescent="0.45">
      <c r="A2692" s="3">
        <v>46134</v>
      </c>
      <c r="B2692" t="b">
        <v>0</v>
      </c>
      <c r="C2692" t="b">
        <v>0</v>
      </c>
      <c r="D2692" s="3">
        <v>1958</v>
      </c>
      <c r="E2692" s="3">
        <v>1958</v>
      </c>
      <c r="F2692" t="s">
        <v>7883</v>
      </c>
      <c r="G2692" t="s">
        <v>7</v>
      </c>
      <c r="H2692" s="3">
        <v>65.361699999999999</v>
      </c>
      <c r="I2692" t="s">
        <v>60</v>
      </c>
      <c r="J2692" t="s">
        <v>13836</v>
      </c>
      <c r="L2692" t="s">
        <v>7884</v>
      </c>
      <c r="M2692" t="str">
        <f>"https://www.artic.edu/iiif/2/"&amp;Table9[[#This Row],[Image ID]]&amp;"/full/843,/0/default.jpg"</f>
        <v>https://www.artic.edu/iiif/2/cf8ef405-4be2-f656-7ee5-3833c35b7277/full/843,/0/default.jpg</v>
      </c>
      <c r="N2692" s="3">
        <v>0.65900000000000003</v>
      </c>
      <c r="O2692" s="3">
        <v>7.2999999999999995E-2</v>
      </c>
      <c r="P2692" s="3">
        <v>0.58600000000000008</v>
      </c>
      <c r="Q2692" s="3">
        <v>0.85681241750717096</v>
      </c>
    </row>
    <row r="2693" spans="1:17" x14ac:dyDescent="0.45">
      <c r="A2693" s="3">
        <v>51723</v>
      </c>
      <c r="B2693" t="b">
        <v>0</v>
      </c>
      <c r="C2693" t="b">
        <v>0</v>
      </c>
      <c r="D2693" s="3">
        <v>1913</v>
      </c>
      <c r="E2693" s="3">
        <v>1913</v>
      </c>
      <c r="F2693" t="s">
        <v>8166</v>
      </c>
      <c r="G2693" t="s">
        <v>8167</v>
      </c>
      <c r="H2693" s="3">
        <v>28.704799999999999</v>
      </c>
      <c r="I2693" t="s">
        <v>2555</v>
      </c>
      <c r="J2693" t="s">
        <v>14026</v>
      </c>
      <c r="L2693" t="s">
        <v>8168</v>
      </c>
      <c r="M2693" t="str">
        <f>"https://www.artic.edu/iiif/2/"&amp;Table9[[#This Row],[Image ID]]&amp;"/full/843,/0/default.jpg"</f>
        <v>https://www.artic.edu/iiif/2/dd521f46-c380-5d14-51d0-da4ededc4c88/full/843,/0/default.jpg</v>
      </c>
      <c r="N2693" s="3">
        <v>0.65900000000000003</v>
      </c>
      <c r="O2693" s="3">
        <v>7.2999999999999995E-2</v>
      </c>
      <c r="P2693" s="3">
        <v>0.58600000000000008</v>
      </c>
      <c r="Q2693" s="3">
        <v>0.71676379442214899</v>
      </c>
    </row>
    <row r="2694" spans="1:17" x14ac:dyDescent="0.45">
      <c r="A2694" s="3">
        <v>106557</v>
      </c>
      <c r="B2694" t="b">
        <v>0</v>
      </c>
      <c r="C2694" t="b">
        <v>0</v>
      </c>
      <c r="D2694" s="3">
        <v>1913</v>
      </c>
      <c r="E2694" s="3">
        <v>1913</v>
      </c>
      <c r="F2694" t="s">
        <v>574</v>
      </c>
      <c r="G2694" t="s">
        <v>7</v>
      </c>
      <c r="H2694" s="3">
        <v>20.683700000000002</v>
      </c>
      <c r="I2694" t="s">
        <v>575</v>
      </c>
      <c r="J2694" t="s">
        <v>14199</v>
      </c>
      <c r="K2694" s="5" t="s">
        <v>9</v>
      </c>
      <c r="L2694" t="s">
        <v>576</v>
      </c>
      <c r="M2694" t="str">
        <f>"https://www.artic.edu/iiif/2/"&amp;Table9[[#This Row],[Image ID]]&amp;"/full/843,/0/default.jpg"</f>
        <v>https://www.artic.edu/iiif/2/e88c48eb-a293-3401-03b8-b885e9e21bd3/full/843,/0/default.jpg</v>
      </c>
      <c r="N2694" s="3">
        <v>0.65900000000000003</v>
      </c>
      <c r="O2694" s="3">
        <v>7.2999999999999995E-2</v>
      </c>
      <c r="P2694" s="3">
        <v>0.58600000000000008</v>
      </c>
      <c r="Q2694" s="3">
        <v>0.44793516397476102</v>
      </c>
    </row>
    <row r="2695" spans="1:17" x14ac:dyDescent="0.45">
      <c r="A2695" s="3">
        <v>97292</v>
      </c>
      <c r="B2695" t="b">
        <v>0</v>
      </c>
      <c r="C2695" t="b">
        <v>1</v>
      </c>
      <c r="D2695" s="3">
        <v>1890</v>
      </c>
      <c r="E2695" s="3">
        <v>1890</v>
      </c>
      <c r="F2695" t="s">
        <v>10811</v>
      </c>
      <c r="G2695" t="s">
        <v>7</v>
      </c>
      <c r="H2695" s="3">
        <v>79.528599999999997</v>
      </c>
      <c r="I2695" t="s">
        <v>10812</v>
      </c>
      <c r="J2695" t="s">
        <v>11075</v>
      </c>
      <c r="K2695" s="5" t="s">
        <v>9</v>
      </c>
      <c r="L2695" t="s">
        <v>10813</v>
      </c>
      <c r="M2695" t="str">
        <f>"https://www.artic.edu/iiif/2/"&amp;Table9[[#This Row],[Image ID]]&amp;"/full/843,/0/default.jpg"</f>
        <v>https://www.artic.edu/iiif/2/0787ea3c-9c03-65a2-adeb-5f5343794324/full/843,/0/default.jpg</v>
      </c>
      <c r="N2695" s="3">
        <v>0.73199999999999998</v>
      </c>
      <c r="O2695" s="3">
        <v>0.14599999999999999</v>
      </c>
      <c r="P2695" s="3">
        <v>0.58599999999999997</v>
      </c>
      <c r="Q2695" s="3">
        <v>0.55351614952087402</v>
      </c>
    </row>
    <row r="2696" spans="1:17" x14ac:dyDescent="0.45">
      <c r="A2696" s="3">
        <v>110760</v>
      </c>
      <c r="B2696" t="b">
        <v>0</v>
      </c>
      <c r="C2696" t="b">
        <v>1</v>
      </c>
      <c r="D2696" s="3">
        <v>1435</v>
      </c>
      <c r="E2696" s="3">
        <v>1445</v>
      </c>
      <c r="F2696" t="s">
        <v>930</v>
      </c>
      <c r="G2696" t="s">
        <v>103</v>
      </c>
      <c r="H2696" s="3">
        <v>37.452399999999997</v>
      </c>
      <c r="I2696" t="s">
        <v>931</v>
      </c>
      <c r="J2696" t="s">
        <v>11467</v>
      </c>
      <c r="L2696" t="s">
        <v>932</v>
      </c>
      <c r="M2696" t="str">
        <f>"https://www.artic.edu/iiif/2/"&amp;Table9[[#This Row],[Image ID]]&amp;"/full/843,/0/default.jpg"</f>
        <v>https://www.artic.edu/iiif/2/2295d601-573b-72f8-9760-cfec0d116b48/full/843,/0/default.jpg</v>
      </c>
      <c r="N2696" s="3">
        <v>0.63400000000000001</v>
      </c>
      <c r="O2696" s="3">
        <v>4.8000000000000001E-2</v>
      </c>
      <c r="P2696" s="3">
        <v>0.58599999999999997</v>
      </c>
      <c r="Q2696" s="3">
        <v>0.68258798122405995</v>
      </c>
    </row>
    <row r="2697" spans="1:17" x14ac:dyDescent="0.45">
      <c r="A2697" s="3">
        <v>84096</v>
      </c>
      <c r="B2697" t="b">
        <v>0</v>
      </c>
      <c r="C2697" t="b">
        <v>1</v>
      </c>
      <c r="D2697" s="3">
        <v>1645</v>
      </c>
      <c r="E2697" s="3">
        <v>1655</v>
      </c>
      <c r="F2697" t="s">
        <v>10258</v>
      </c>
      <c r="G2697" t="s">
        <v>7</v>
      </c>
      <c r="H2697" s="3">
        <v>0</v>
      </c>
      <c r="I2697" t="s">
        <v>10259</v>
      </c>
      <c r="J2697" t="s">
        <v>11896</v>
      </c>
      <c r="L2697" t="s">
        <v>10260</v>
      </c>
      <c r="M2697" t="str">
        <f>"https://www.artic.edu/iiif/2/"&amp;Table9[[#This Row],[Image ID]]&amp;"/full/843,/0/default.jpg"</f>
        <v>https://www.artic.edu/iiif/2/3ecca8f0-53ab-a7b8-b115-fa8e9b3a7a3b/full/843,/0/default.jpg</v>
      </c>
      <c r="N2697" s="3">
        <v>0.61</v>
      </c>
      <c r="O2697" s="3">
        <v>2.4E-2</v>
      </c>
      <c r="P2697" s="3">
        <v>0.58599999999999997</v>
      </c>
      <c r="Q2697" s="3">
        <v>0.59101003408431996</v>
      </c>
    </row>
    <row r="2698" spans="1:17" x14ac:dyDescent="0.45">
      <c r="A2698" s="3">
        <v>8953</v>
      </c>
      <c r="B2698" t="b">
        <v>0</v>
      </c>
      <c r="C2698" t="b">
        <v>1</v>
      </c>
      <c r="D2698" s="3">
        <v>1609</v>
      </c>
      <c r="E2698" s="3">
        <v>1610</v>
      </c>
      <c r="F2698" t="s">
        <v>10458</v>
      </c>
      <c r="G2698" t="s">
        <v>75</v>
      </c>
      <c r="H2698" s="3">
        <v>37.148800000000001</v>
      </c>
      <c r="I2698" t="s">
        <v>79</v>
      </c>
      <c r="J2698" t="s">
        <v>13363</v>
      </c>
      <c r="L2698" t="s">
        <v>10459</v>
      </c>
      <c r="M2698" t="str">
        <f>"https://www.artic.edu/iiif/2/"&amp;Table9[[#This Row],[Image ID]]&amp;"/full/843,/0/default.jpg"</f>
        <v>https://www.artic.edu/iiif/2/a8fd8a92-d5fd-bb98-5d70-f970ab1788b8/full/843,/0/default.jpg</v>
      </c>
      <c r="N2698" s="3">
        <v>0.61</v>
      </c>
      <c r="O2698" s="3">
        <v>2.4E-2</v>
      </c>
      <c r="P2698" s="3">
        <v>0.58599999999999997</v>
      </c>
      <c r="Q2698" s="3">
        <v>0.66018754243850697</v>
      </c>
    </row>
    <row r="2699" spans="1:17" x14ac:dyDescent="0.45">
      <c r="A2699" s="3">
        <v>38885</v>
      </c>
      <c r="B2699" t="b">
        <v>0</v>
      </c>
      <c r="C2699" t="b">
        <v>1</v>
      </c>
      <c r="D2699" s="3">
        <v>1788</v>
      </c>
      <c r="E2699" s="3">
        <v>1827</v>
      </c>
      <c r="F2699" t="s">
        <v>7302</v>
      </c>
      <c r="G2699" t="s">
        <v>7303</v>
      </c>
      <c r="H2699" s="3">
        <v>21.062899999999999</v>
      </c>
      <c r="I2699" t="s">
        <v>1266</v>
      </c>
      <c r="J2699" t="s">
        <v>13962</v>
      </c>
      <c r="L2699" t="s">
        <v>7304</v>
      </c>
      <c r="M2699" t="str">
        <f>"https://www.artic.edu/iiif/2/"&amp;Table9[[#This Row],[Image ID]]&amp;"/full/843,/0/default.jpg"</f>
        <v>https://www.artic.edu/iiif/2/d8a6c3c7-bf03-3603-d82f-c2a786c6058a/full/843,/0/default.jpg</v>
      </c>
      <c r="N2699" s="3">
        <v>0.73199999999999998</v>
      </c>
      <c r="O2699" s="3">
        <v>0.14599999999999999</v>
      </c>
      <c r="P2699" s="3">
        <v>0.58599999999999997</v>
      </c>
      <c r="Q2699" s="3">
        <v>0.75542521476745605</v>
      </c>
    </row>
    <row r="2700" spans="1:17" x14ac:dyDescent="0.45">
      <c r="A2700" s="3">
        <v>28548</v>
      </c>
      <c r="B2700" t="b">
        <v>0</v>
      </c>
      <c r="C2700" t="b">
        <v>0</v>
      </c>
      <c r="D2700" s="3">
        <v>1910</v>
      </c>
      <c r="E2700" s="3">
        <v>1920</v>
      </c>
      <c r="F2700" t="s">
        <v>6811</v>
      </c>
      <c r="G2700" t="s">
        <v>7</v>
      </c>
      <c r="H2700" s="3">
        <v>48.409399999999998</v>
      </c>
      <c r="I2700" t="s">
        <v>2575</v>
      </c>
      <c r="J2700" t="s">
        <v>11562</v>
      </c>
      <c r="L2700" t="s">
        <v>6812</v>
      </c>
      <c r="M2700" t="str">
        <f>"https://www.artic.edu/iiif/2/"&amp;Table9[[#This Row],[Image ID]]&amp;"/full/843,/0/default.jpg"</f>
        <v>https://www.artic.edu/iiif/2/28834991-650e-202c-d5e1-51f4236e9cef/full/843,/0/default.jpg</v>
      </c>
      <c r="N2700" s="3">
        <v>0.61</v>
      </c>
      <c r="O2700" s="3">
        <v>2.4E-2</v>
      </c>
      <c r="P2700" s="3">
        <v>0.58599999999999997</v>
      </c>
      <c r="Q2700" s="3">
        <v>0.83174574375152499</v>
      </c>
    </row>
    <row r="2701" spans="1:17" x14ac:dyDescent="0.45">
      <c r="A2701" s="3">
        <v>146987</v>
      </c>
      <c r="B2701" t="b">
        <v>0</v>
      </c>
      <c r="C2701" t="b">
        <v>0</v>
      </c>
      <c r="D2701" s="3">
        <v>1955</v>
      </c>
      <c r="E2701" s="3">
        <v>1956</v>
      </c>
      <c r="F2701" t="s">
        <v>3546</v>
      </c>
      <c r="G2701" t="s">
        <v>141</v>
      </c>
      <c r="H2701" s="3">
        <v>32.487400000000001</v>
      </c>
      <c r="I2701" t="s">
        <v>2461</v>
      </c>
      <c r="J2701" t="s">
        <v>12154</v>
      </c>
      <c r="L2701" t="s">
        <v>3547</v>
      </c>
      <c r="M2701" t="str">
        <f>"https://www.artic.edu/iiif/2/"&amp;Table9[[#This Row],[Image ID]]&amp;"/full/843,/0/default.jpg"</f>
        <v>https://www.artic.edu/iiif/2/51422f20-27e4-80fe-fa64-0feaad72ec63/full/843,/0/default.jpg</v>
      </c>
      <c r="N2701" s="3">
        <v>0.73199999999999998</v>
      </c>
      <c r="O2701" s="3">
        <v>0.14599999999999999</v>
      </c>
      <c r="P2701" s="3">
        <v>0.58599999999999997</v>
      </c>
      <c r="Q2701" s="3">
        <v>0.71479761600494296</v>
      </c>
    </row>
    <row r="2702" spans="1:17" x14ac:dyDescent="0.45">
      <c r="A2702" s="3">
        <v>93854</v>
      </c>
      <c r="B2702" t="b">
        <v>0</v>
      </c>
      <c r="C2702" t="b">
        <v>0</v>
      </c>
      <c r="D2702" s="3">
        <v>1929</v>
      </c>
      <c r="E2702" s="3">
        <v>1929</v>
      </c>
      <c r="F2702" t="s">
        <v>10655</v>
      </c>
      <c r="G2702" t="s">
        <v>10656</v>
      </c>
      <c r="H2702" s="3">
        <v>35.110599999999998</v>
      </c>
      <c r="I2702" t="s">
        <v>1322</v>
      </c>
      <c r="J2702" t="s">
        <v>12212</v>
      </c>
      <c r="L2702" t="s">
        <v>10657</v>
      </c>
      <c r="M2702" t="str">
        <f>"https://www.artic.edu/iiif/2/"&amp;Table9[[#This Row],[Image ID]]&amp;"/full/843,/0/default.jpg"</f>
        <v>https://www.artic.edu/iiif/2/54b65ede-b9d0-550c-07e2-5fb9a117b9c6/full/843,/0/default.jpg</v>
      </c>
      <c r="N2702" s="3">
        <v>0.61</v>
      </c>
      <c r="O2702" s="3">
        <v>2.4E-2</v>
      </c>
      <c r="P2702" s="3">
        <v>0.58599999999999997</v>
      </c>
      <c r="Q2702" s="3">
        <v>0.80905491113662698</v>
      </c>
    </row>
    <row r="2703" spans="1:17" x14ac:dyDescent="0.45">
      <c r="A2703" s="3">
        <v>80321</v>
      </c>
      <c r="B2703" t="b">
        <v>0</v>
      </c>
      <c r="C2703" t="b">
        <v>0</v>
      </c>
      <c r="D2703" s="3">
        <v>1915</v>
      </c>
      <c r="E2703" s="3">
        <v>1915</v>
      </c>
      <c r="F2703" t="s">
        <v>9946</v>
      </c>
      <c r="G2703" t="s">
        <v>9947</v>
      </c>
      <c r="H2703" s="3">
        <v>46.237299999999998</v>
      </c>
      <c r="I2703" t="s">
        <v>14564</v>
      </c>
      <c r="J2703" t="s">
        <v>12292</v>
      </c>
      <c r="L2703" t="s">
        <v>9948</v>
      </c>
      <c r="M2703" t="str">
        <f>"https://www.artic.edu/iiif/2/"&amp;Table9[[#This Row],[Image ID]]&amp;"/full/843,/0/default.jpg"</f>
        <v>https://www.artic.edu/iiif/2/5a2a4c6d-6afd-5583-ad8a-c2c40425bf06/full/843,/0/default.jpg</v>
      </c>
      <c r="N2703" s="3">
        <v>0.61</v>
      </c>
      <c r="O2703" s="3">
        <v>2.4E-2</v>
      </c>
      <c r="P2703" s="3">
        <v>0.58599999999999997</v>
      </c>
      <c r="Q2703" s="3">
        <v>0.82490652799606301</v>
      </c>
    </row>
    <row r="2704" spans="1:17" x14ac:dyDescent="0.45">
      <c r="A2704" s="3">
        <v>77615</v>
      </c>
      <c r="B2704" t="b">
        <v>0</v>
      </c>
      <c r="C2704" t="b">
        <v>0</v>
      </c>
      <c r="D2704" s="3">
        <v>1933</v>
      </c>
      <c r="E2704" s="3">
        <v>1933</v>
      </c>
      <c r="F2704" t="s">
        <v>9830</v>
      </c>
      <c r="G2704" t="s">
        <v>7</v>
      </c>
      <c r="H2704" s="3">
        <v>51.338700000000003</v>
      </c>
      <c r="I2704" t="s">
        <v>4769</v>
      </c>
      <c r="J2704" t="s">
        <v>12761</v>
      </c>
      <c r="L2704" t="s">
        <v>9831</v>
      </c>
      <c r="M2704" t="str">
        <f>"https://www.artic.edu/iiif/2/"&amp;Table9[[#This Row],[Image ID]]&amp;"/full/843,/0/default.jpg"</f>
        <v>https://www.artic.edu/iiif/2/7bd4542d-3e84-e21a-d259-8d22e20bee0a/full/843,/0/default.jpg</v>
      </c>
      <c r="N2704" s="3">
        <v>0.73199999999999998</v>
      </c>
      <c r="O2704" s="3">
        <v>0.14599999999999999</v>
      </c>
      <c r="P2704" s="3">
        <v>0.58599999999999997</v>
      </c>
      <c r="Q2704" s="3">
        <v>0.77050858736038197</v>
      </c>
    </row>
    <row r="2705" spans="1:17" x14ac:dyDescent="0.45">
      <c r="A2705" s="3">
        <v>82509</v>
      </c>
      <c r="B2705" t="b">
        <v>0</v>
      </c>
      <c r="C2705" t="b">
        <v>0</v>
      </c>
      <c r="D2705" s="3">
        <v>1930</v>
      </c>
      <c r="E2705" s="3">
        <v>1930</v>
      </c>
      <c r="F2705" t="s">
        <v>9206</v>
      </c>
      <c r="G2705" t="s">
        <v>7</v>
      </c>
      <c r="H2705" s="3">
        <v>25.857800000000001</v>
      </c>
      <c r="I2705" t="s">
        <v>10185</v>
      </c>
      <c r="J2705" t="s">
        <v>12778</v>
      </c>
      <c r="L2705" t="s">
        <v>10186</v>
      </c>
      <c r="M2705" t="str">
        <f>"https://www.artic.edu/iiif/2/"&amp;Table9[[#This Row],[Image ID]]&amp;"/full/843,/0/default.jpg"</f>
        <v>https://www.artic.edu/iiif/2/7d6e2c73-0bf3-84e0-01c6-a456eba87204/full/843,/0/default.jpg</v>
      </c>
      <c r="N2705" s="3">
        <v>0.73199999999999998</v>
      </c>
      <c r="O2705" s="3">
        <v>0.14599999999999999</v>
      </c>
      <c r="P2705" s="3">
        <v>0.58599999999999997</v>
      </c>
      <c r="Q2705" s="3">
        <v>0.56220781803131104</v>
      </c>
    </row>
    <row r="2706" spans="1:17" x14ac:dyDescent="0.45">
      <c r="A2706" s="3">
        <v>86297</v>
      </c>
      <c r="B2706" t="b">
        <v>0</v>
      </c>
      <c r="C2706" t="b">
        <v>1</v>
      </c>
      <c r="D2706" s="3">
        <v>1870</v>
      </c>
      <c r="E2706" s="3">
        <v>1875</v>
      </c>
      <c r="F2706" t="s">
        <v>10325</v>
      </c>
      <c r="G2706" t="s">
        <v>7</v>
      </c>
      <c r="H2706" s="3">
        <v>31.411999999999999</v>
      </c>
      <c r="I2706" t="s">
        <v>14595</v>
      </c>
      <c r="J2706" t="s">
        <v>12572</v>
      </c>
      <c r="L2706" t="s">
        <v>10326</v>
      </c>
      <c r="M2706" t="str">
        <f>"https://www.artic.edu/iiif/2/"&amp;Table9[[#This Row],[Image ID]]&amp;"/full/843,/0/default.jpg"</f>
        <v>https://www.artic.edu/iiif/2/6e7e8593-f529-4b73-9f96-75ff24623fe9/full/843,/0/default.jpg</v>
      </c>
      <c r="N2706" s="3">
        <v>0.68300000000000005</v>
      </c>
      <c r="O2706" s="3">
        <v>9.8000000000000004E-2</v>
      </c>
      <c r="P2706" s="3">
        <v>0.58500000000000008</v>
      </c>
      <c r="Q2706" s="3">
        <v>0.54675269126892001</v>
      </c>
    </row>
    <row r="2707" spans="1:17" x14ac:dyDescent="0.45">
      <c r="A2707" s="3">
        <v>39110</v>
      </c>
      <c r="B2707" t="b">
        <v>0</v>
      </c>
      <c r="C2707" t="b">
        <v>1</v>
      </c>
      <c r="D2707" s="3">
        <v>1815</v>
      </c>
      <c r="E2707" s="3">
        <v>1880</v>
      </c>
      <c r="F2707" t="s">
        <v>7445</v>
      </c>
      <c r="G2707" t="s">
        <v>7446</v>
      </c>
      <c r="H2707" s="3">
        <v>15.969799999999999</v>
      </c>
      <c r="I2707" t="s">
        <v>7440</v>
      </c>
      <c r="J2707" t="s">
        <v>12857</v>
      </c>
      <c r="L2707" t="s">
        <v>7447</v>
      </c>
      <c r="M2707" t="str">
        <f>"https://www.artic.edu/iiif/2/"&amp;Table9[[#This Row],[Image ID]]&amp;"/full/843,/0/default.jpg"</f>
        <v>https://www.artic.edu/iiif/2/82c3d0b0-3ca9-8576-429c-4764c23c5a68/full/843,/0/default.jpg</v>
      </c>
      <c r="N2707" s="3">
        <v>0.68300000000000005</v>
      </c>
      <c r="O2707" s="3">
        <v>9.8000000000000004E-2</v>
      </c>
      <c r="P2707" s="3">
        <v>0.58500000000000008</v>
      </c>
      <c r="Q2707" s="3">
        <v>0.83317345380783003</v>
      </c>
    </row>
    <row r="2708" spans="1:17" x14ac:dyDescent="0.45">
      <c r="A2708" s="3">
        <v>117538</v>
      </c>
      <c r="B2708" t="b">
        <v>0</v>
      </c>
      <c r="C2708" t="b">
        <v>1</v>
      </c>
      <c r="D2708" s="3">
        <v>1801</v>
      </c>
      <c r="E2708" s="3">
        <v>1900</v>
      </c>
      <c r="F2708" t="s">
        <v>2358</v>
      </c>
      <c r="G2708" t="s">
        <v>1632</v>
      </c>
      <c r="H2708" s="3">
        <v>27.849599999999999</v>
      </c>
      <c r="J2708" t="s">
        <v>13644</v>
      </c>
      <c r="L2708" t="s">
        <v>2359</v>
      </c>
      <c r="M2708" t="str">
        <f>"https://www.artic.edu/iiif/2/"&amp;Table9[[#This Row],[Image ID]]&amp;"/full/843,/0/default.jpg"</f>
        <v>https://www.artic.edu/iiif/2/bfb9f3f6-507b-5451-d4be-808f98a66c2a/full/843,/0/default.jpg</v>
      </c>
      <c r="N2708" s="3">
        <v>0.80500000000000005</v>
      </c>
      <c r="O2708" s="3">
        <v>0.22</v>
      </c>
      <c r="P2708" s="3">
        <v>0.58500000000000008</v>
      </c>
      <c r="Q2708" s="3">
        <v>0.47549194097518899</v>
      </c>
    </row>
    <row r="2709" spans="1:17" x14ac:dyDescent="0.45">
      <c r="A2709" s="3">
        <v>15156</v>
      </c>
      <c r="B2709" t="b">
        <v>0</v>
      </c>
      <c r="C2709" t="b">
        <v>0</v>
      </c>
      <c r="D2709" s="3">
        <v>1961</v>
      </c>
      <c r="E2709" s="3">
        <v>1961</v>
      </c>
      <c r="F2709" t="s">
        <v>3841</v>
      </c>
      <c r="G2709" t="s">
        <v>7</v>
      </c>
      <c r="H2709" s="3">
        <v>96.093500000000006</v>
      </c>
      <c r="I2709" t="s">
        <v>266</v>
      </c>
      <c r="J2709" t="s">
        <v>11425</v>
      </c>
      <c r="L2709" t="s">
        <v>3842</v>
      </c>
      <c r="M2709" t="str">
        <f>"https://www.artic.edu/iiif/2/"&amp;Table9[[#This Row],[Image ID]]&amp;"/full/843,/0/default.jpg"</f>
        <v>https://www.artic.edu/iiif/2/1fdbfe10-de4e-63a9-1bfd-04facf08d54d/full/843,/0/default.jpg</v>
      </c>
      <c r="N2709" s="3">
        <v>0.68300000000000005</v>
      </c>
      <c r="O2709" s="3">
        <v>9.8000000000000004E-2</v>
      </c>
      <c r="P2709" s="3">
        <v>0.58500000000000008</v>
      </c>
      <c r="Q2709" s="3">
        <v>0.72979122400283802</v>
      </c>
    </row>
    <row r="2710" spans="1:17" x14ac:dyDescent="0.45">
      <c r="A2710" s="3">
        <v>70065</v>
      </c>
      <c r="B2710" t="b">
        <v>0</v>
      </c>
      <c r="C2710" t="b">
        <v>0</v>
      </c>
      <c r="D2710" s="3">
        <v>1913</v>
      </c>
      <c r="E2710" s="3">
        <v>1913</v>
      </c>
      <c r="F2710" t="s">
        <v>9023</v>
      </c>
      <c r="G2710" t="s">
        <v>7</v>
      </c>
      <c r="H2710" s="3">
        <v>27.917899999999999</v>
      </c>
      <c r="I2710" t="s">
        <v>9431</v>
      </c>
      <c r="J2710" t="s">
        <v>11651</v>
      </c>
      <c r="K2710" s="5" t="s">
        <v>9</v>
      </c>
      <c r="L2710" t="s">
        <v>9432</v>
      </c>
      <c r="M2710" t="str">
        <f>"https://www.artic.edu/iiif/2/"&amp;Table9[[#This Row],[Image ID]]&amp;"/full/843,/0/default.jpg"</f>
        <v>https://www.artic.edu/iiif/2/2e796bd8-4e0b-f55a-7c69-75a70a3e97d7/full/843,/0/default.jpg</v>
      </c>
      <c r="N2710" s="3">
        <v>0.68300000000000005</v>
      </c>
      <c r="O2710" s="3">
        <v>9.8000000000000004E-2</v>
      </c>
      <c r="P2710" s="3">
        <v>0.58500000000000008</v>
      </c>
      <c r="Q2710" s="3">
        <v>0.59415179491043002</v>
      </c>
    </row>
    <row r="2711" spans="1:17" x14ac:dyDescent="0.45">
      <c r="A2711" s="3">
        <v>182700</v>
      </c>
      <c r="B2711" t="b">
        <v>0</v>
      </c>
      <c r="C2711" t="b">
        <v>0</v>
      </c>
      <c r="D2711" s="3">
        <v>1920</v>
      </c>
      <c r="E2711" s="3">
        <v>1928</v>
      </c>
      <c r="F2711" t="s">
        <v>14582</v>
      </c>
      <c r="G2711" t="s">
        <v>3118</v>
      </c>
      <c r="H2711" s="3">
        <v>44.763800000000003</v>
      </c>
      <c r="I2711" t="s">
        <v>865</v>
      </c>
      <c r="J2711" t="s">
        <v>12115</v>
      </c>
      <c r="L2711" t="s">
        <v>4766</v>
      </c>
      <c r="M2711" t="str">
        <f>"https://www.artic.edu/iiif/2/"&amp;Table9[[#This Row],[Image ID]]&amp;"/full/843,/0/default.jpg"</f>
        <v>https://www.artic.edu/iiif/2/4e6e0dfe-0120-5099-06d3-7b7a13e5c535/full/843,/0/default.jpg</v>
      </c>
      <c r="N2711" s="3">
        <v>0.68300000000000005</v>
      </c>
      <c r="O2711" s="3">
        <v>9.8000000000000004E-2</v>
      </c>
      <c r="P2711" s="3">
        <v>0.58500000000000008</v>
      </c>
      <c r="Q2711" s="3">
        <v>0.67346179485321001</v>
      </c>
    </row>
    <row r="2712" spans="1:17" x14ac:dyDescent="0.45">
      <c r="A2712" s="3">
        <v>63990</v>
      </c>
      <c r="B2712" t="b">
        <v>0</v>
      </c>
      <c r="C2712" t="b">
        <v>0</v>
      </c>
      <c r="D2712" s="3">
        <v>1923</v>
      </c>
      <c r="E2712" s="3">
        <v>1933</v>
      </c>
      <c r="F2712" t="s">
        <v>8951</v>
      </c>
      <c r="G2712" t="s">
        <v>8952</v>
      </c>
      <c r="H2712" s="3">
        <v>16.158100000000001</v>
      </c>
      <c r="I2712" t="s">
        <v>40</v>
      </c>
      <c r="J2712" t="s">
        <v>12916</v>
      </c>
      <c r="L2712" t="s">
        <v>8953</v>
      </c>
      <c r="M2712" t="str">
        <f>"https://www.artic.edu/iiif/2/"&amp;Table9[[#This Row],[Image ID]]&amp;"/full/843,/0/default.jpg"</f>
        <v>https://www.artic.edu/iiif/2/87a116f3-12bb-0ac3-df95-aae108579e28/full/843,/0/default.jpg</v>
      </c>
      <c r="N2712" s="3">
        <v>0.68300000000000005</v>
      </c>
      <c r="O2712" s="3">
        <v>9.8000000000000004E-2</v>
      </c>
      <c r="P2712" s="3">
        <v>0.58500000000000008</v>
      </c>
      <c r="Q2712" s="3">
        <v>0.79645907878875699</v>
      </c>
    </row>
    <row r="2713" spans="1:17" x14ac:dyDescent="0.45">
      <c r="A2713" s="3">
        <v>20314</v>
      </c>
      <c r="B2713" t="b">
        <v>0</v>
      </c>
      <c r="C2713" t="b">
        <v>0</v>
      </c>
      <c r="D2713" s="3">
        <v>1907</v>
      </c>
      <c r="E2713" s="3">
        <v>1917</v>
      </c>
      <c r="F2713" t="s">
        <v>5372</v>
      </c>
      <c r="G2713" t="s">
        <v>7</v>
      </c>
      <c r="H2713" s="3">
        <v>23.515899999999998</v>
      </c>
      <c r="I2713" t="s">
        <v>2988</v>
      </c>
      <c r="J2713" t="s">
        <v>13044</v>
      </c>
      <c r="L2713" t="s">
        <v>5373</v>
      </c>
      <c r="M2713" t="str">
        <f>"https://www.artic.edu/iiif/2/"&amp;Table9[[#This Row],[Image ID]]&amp;"/full/843,/0/default.jpg"</f>
        <v>https://www.artic.edu/iiif/2/918925aa-d340-2e84-0e17-d3997752b24c/full/843,/0/default.jpg</v>
      </c>
      <c r="N2713" s="3">
        <v>0.68300000000000005</v>
      </c>
      <c r="O2713" s="3">
        <v>9.8000000000000004E-2</v>
      </c>
      <c r="P2713" s="3">
        <v>0.58500000000000008</v>
      </c>
      <c r="Q2713" s="3">
        <v>0.58588027954101496</v>
      </c>
    </row>
    <row r="2714" spans="1:17" x14ac:dyDescent="0.45">
      <c r="A2714" s="3">
        <v>225669</v>
      </c>
      <c r="B2714" t="b">
        <v>0</v>
      </c>
      <c r="C2714" t="b">
        <v>0</v>
      </c>
      <c r="D2714" s="3">
        <v>1926</v>
      </c>
      <c r="E2714" s="3">
        <v>1926</v>
      </c>
      <c r="F2714" t="s">
        <v>5909</v>
      </c>
      <c r="G2714" t="s">
        <v>5910</v>
      </c>
      <c r="H2714" s="3">
        <v>33.028799999999997</v>
      </c>
      <c r="I2714" t="s">
        <v>5911</v>
      </c>
      <c r="J2714" t="s">
        <v>13267</v>
      </c>
      <c r="L2714" t="s">
        <v>5912</v>
      </c>
      <c r="M2714" t="str">
        <f>"https://www.artic.edu/iiif/2/"&amp;Table9[[#This Row],[Image ID]]&amp;"/full/843,/0/default.jpg"</f>
        <v>https://www.artic.edu/iiif/2/a2b1cbe5-ae42-d39d-3f0d-54f540ebefe4/full/843,/0/default.jpg</v>
      </c>
      <c r="N2714" s="3">
        <v>0.68300000000000005</v>
      </c>
      <c r="O2714" s="3">
        <v>9.8000000000000004E-2</v>
      </c>
      <c r="P2714" s="3">
        <v>0.58500000000000008</v>
      </c>
      <c r="Q2714" s="3">
        <v>0.66919463872909501</v>
      </c>
    </row>
    <row r="2715" spans="1:17" x14ac:dyDescent="0.45">
      <c r="A2715" s="3">
        <v>228861</v>
      </c>
      <c r="B2715" t="b">
        <v>0</v>
      </c>
      <c r="C2715" t="b">
        <v>0</v>
      </c>
      <c r="D2715" s="3">
        <v>2014</v>
      </c>
      <c r="E2715" s="3">
        <v>2014</v>
      </c>
      <c r="F2715" t="s">
        <v>6043</v>
      </c>
      <c r="G2715" t="s">
        <v>6044</v>
      </c>
      <c r="H2715" s="3">
        <v>15.638199999999999</v>
      </c>
      <c r="I2715" t="s">
        <v>6045</v>
      </c>
      <c r="J2715" t="s">
        <v>13778</v>
      </c>
      <c r="K2715" s="5" t="s">
        <v>15</v>
      </c>
      <c r="L2715" t="s">
        <v>6046</v>
      </c>
      <c r="M2715" t="str">
        <f>"https://www.artic.edu/iiif/2/"&amp;Table9[[#This Row],[Image ID]]&amp;"/full/843,/0/default.jpg"</f>
        <v>https://www.artic.edu/iiif/2/ca1921d6-ce8a-03fc-270b-9fa0fdabd892/full/843,/0/default.jpg</v>
      </c>
      <c r="N2715" s="3">
        <v>0.68300000000000005</v>
      </c>
      <c r="O2715" s="3">
        <v>9.8000000000000004E-2</v>
      </c>
      <c r="P2715" s="3">
        <v>0.58500000000000008</v>
      </c>
      <c r="Q2715" s="3">
        <v>0.74144136905670099</v>
      </c>
    </row>
    <row r="2716" spans="1:17" x14ac:dyDescent="0.45">
      <c r="A2716" s="3">
        <v>182385</v>
      </c>
      <c r="B2716" t="b">
        <v>0</v>
      </c>
      <c r="C2716" t="b">
        <v>0</v>
      </c>
      <c r="D2716" s="3">
        <v>1898</v>
      </c>
      <c r="E2716" s="3">
        <v>1898</v>
      </c>
      <c r="F2716" t="s">
        <v>4752</v>
      </c>
      <c r="G2716" t="s">
        <v>7</v>
      </c>
      <c r="H2716" s="3">
        <v>34.055900000000001</v>
      </c>
      <c r="I2716" t="s">
        <v>4746</v>
      </c>
      <c r="J2716" t="s">
        <v>13798</v>
      </c>
      <c r="L2716" t="s">
        <v>4753</v>
      </c>
      <c r="M2716" t="str">
        <f>"https://www.artic.edu/iiif/2/"&amp;Table9[[#This Row],[Image ID]]&amp;"/full/843,/0/default.jpg"</f>
        <v>https://www.artic.edu/iiif/2/cbcb12f9-a6f1-f793-5a55-44a5218f6c2e/full/843,/0/default.jpg</v>
      </c>
      <c r="N2716" s="3">
        <v>0.68300000000000005</v>
      </c>
      <c r="O2716" s="3">
        <v>9.8000000000000004E-2</v>
      </c>
      <c r="P2716" s="3">
        <v>0.58500000000000008</v>
      </c>
      <c r="Q2716" s="3">
        <v>0.67179632186889604</v>
      </c>
    </row>
    <row r="2717" spans="1:17" x14ac:dyDescent="0.45">
      <c r="A2717" s="3">
        <v>8267</v>
      </c>
      <c r="B2717" t="b">
        <v>0</v>
      </c>
      <c r="C2717" t="b">
        <v>0</v>
      </c>
      <c r="D2717" s="3">
        <v>1930</v>
      </c>
      <c r="E2717" s="3">
        <v>1930</v>
      </c>
      <c r="F2717" t="s">
        <v>10195</v>
      </c>
      <c r="G2717" t="s">
        <v>2945</v>
      </c>
      <c r="H2717" s="3">
        <v>30.731100000000001</v>
      </c>
      <c r="I2717" t="s">
        <v>636</v>
      </c>
      <c r="J2717" t="s">
        <v>14201</v>
      </c>
      <c r="L2717" t="s">
        <v>10196</v>
      </c>
      <c r="M2717" t="str">
        <f>"https://www.artic.edu/iiif/2/"&amp;Table9[[#This Row],[Image ID]]&amp;"/full/843,/0/default.jpg"</f>
        <v>https://www.artic.edu/iiif/2/e89de053-03f9-1107-80c6-698d7848d344/full/843,/0/default.jpg</v>
      </c>
      <c r="N2717" s="3">
        <v>0.68300000000000005</v>
      </c>
      <c r="O2717" s="3">
        <v>9.8000000000000004E-2</v>
      </c>
      <c r="P2717" s="3">
        <v>0.58500000000000008</v>
      </c>
      <c r="Q2717" s="3">
        <v>0.85016208887100198</v>
      </c>
    </row>
    <row r="2718" spans="1:17" x14ac:dyDescent="0.45">
      <c r="A2718" s="3">
        <v>144984</v>
      </c>
      <c r="B2718" t="b">
        <v>0</v>
      </c>
      <c r="C2718" t="b">
        <v>1</v>
      </c>
      <c r="D2718" s="3">
        <v>1775</v>
      </c>
      <c r="E2718" s="3">
        <v>1825</v>
      </c>
      <c r="F2718" t="s">
        <v>3337</v>
      </c>
      <c r="G2718" t="s">
        <v>306</v>
      </c>
      <c r="H2718" s="3">
        <v>31.361899999999999</v>
      </c>
      <c r="J2718" t="s">
        <v>11347</v>
      </c>
      <c r="K2718" s="5" t="s">
        <v>5</v>
      </c>
      <c r="L2718" t="s">
        <v>3338</v>
      </c>
      <c r="M2718" t="str">
        <f>"https://www.artic.edu/iiif/2/"&amp;Table9[[#This Row],[Image ID]]&amp;"/full/843,/0/default.jpg"</f>
        <v>https://www.artic.edu/iiif/2/1b5b2c7a-972a-0489-a352-afbd8b7b9151/full/843,/0/default.jpg</v>
      </c>
      <c r="N2718" s="3">
        <v>0.70699999999999996</v>
      </c>
      <c r="O2718" s="3">
        <v>0.122</v>
      </c>
      <c r="P2718" s="3">
        <v>0.58499999999999996</v>
      </c>
      <c r="Q2718" s="3">
        <v>0.65296941995620705</v>
      </c>
    </row>
    <row r="2719" spans="1:17" x14ac:dyDescent="0.45">
      <c r="A2719" s="3">
        <v>12104</v>
      </c>
      <c r="B2719" t="b">
        <v>0</v>
      </c>
      <c r="C2719" t="b">
        <v>1</v>
      </c>
      <c r="D2719" s="3">
        <v>1828</v>
      </c>
      <c r="E2719" s="3">
        <v>1867</v>
      </c>
      <c r="F2719" t="s">
        <v>2662</v>
      </c>
      <c r="G2719" t="s">
        <v>2663</v>
      </c>
      <c r="H2719" s="3">
        <v>23.4331</v>
      </c>
      <c r="I2719" t="s">
        <v>1060</v>
      </c>
      <c r="J2719" t="s">
        <v>11348</v>
      </c>
      <c r="L2719" t="s">
        <v>2664</v>
      </c>
      <c r="M2719" t="str">
        <f>"https://www.artic.edu/iiif/2/"&amp;Table9[[#This Row],[Image ID]]&amp;"/full/843,/0/default.jpg"</f>
        <v>https://www.artic.edu/iiif/2/1b5f6f80-f43d-f710-7759-6b95de9d2c87/full/843,/0/default.jpg</v>
      </c>
      <c r="N2719" s="3">
        <v>0.63400000000000001</v>
      </c>
      <c r="O2719" s="3">
        <v>4.9000000000000002E-2</v>
      </c>
      <c r="P2719" s="3">
        <v>0.58499999999999996</v>
      </c>
      <c r="Q2719" s="3">
        <v>0.88875883817672696</v>
      </c>
    </row>
    <row r="2720" spans="1:17" x14ac:dyDescent="0.45">
      <c r="A2720" s="3">
        <v>115138</v>
      </c>
      <c r="B2720" t="b">
        <v>0</v>
      </c>
      <c r="C2720" t="b">
        <v>1</v>
      </c>
      <c r="D2720" s="3">
        <v>1854</v>
      </c>
      <c r="E2720" s="3">
        <v>1854</v>
      </c>
      <c r="F2720" t="s">
        <v>1793</v>
      </c>
      <c r="G2720" t="s">
        <v>1651</v>
      </c>
      <c r="H2720" s="3">
        <v>39.177500000000002</v>
      </c>
      <c r="I2720" t="s">
        <v>1555</v>
      </c>
      <c r="J2720" t="s">
        <v>11607</v>
      </c>
      <c r="L2720" t="s">
        <v>1794</v>
      </c>
      <c r="M2720" t="str">
        <f>"https://www.artic.edu/iiif/2/"&amp;Table9[[#This Row],[Image ID]]&amp;"/full/843,/0/default.jpg"</f>
        <v>https://www.artic.edu/iiif/2/2c4fd255-2811-bc77-aaab-d31d71a217e5/full/843,/0/default.jpg</v>
      </c>
      <c r="N2720" s="3">
        <v>0.878</v>
      </c>
      <c r="O2720" s="3">
        <v>0.29299999999999998</v>
      </c>
      <c r="P2720" s="3">
        <v>0.58499999999999996</v>
      </c>
      <c r="Q2720" s="3">
        <v>0.66982179880142201</v>
      </c>
    </row>
    <row r="2721" spans="1:17" x14ac:dyDescent="0.45">
      <c r="A2721" s="3">
        <v>16447</v>
      </c>
      <c r="B2721" t="b">
        <v>0</v>
      </c>
      <c r="C2721" t="b">
        <v>1</v>
      </c>
      <c r="D2721" s="3">
        <v>1869</v>
      </c>
      <c r="E2721" s="3">
        <v>1883</v>
      </c>
      <c r="F2721" t="s">
        <v>4430</v>
      </c>
      <c r="G2721" t="s">
        <v>4431</v>
      </c>
      <c r="H2721" s="3">
        <v>32.396900000000002</v>
      </c>
      <c r="I2721" t="s">
        <v>14553</v>
      </c>
      <c r="J2721" t="s">
        <v>12281</v>
      </c>
      <c r="L2721" t="s">
        <v>4432</v>
      </c>
      <c r="M2721" t="str">
        <f>"https://www.artic.edu/iiif/2/"&amp;Table9[[#This Row],[Image ID]]&amp;"/full/843,/0/default.jpg"</f>
        <v>https://www.artic.edu/iiif/2/595cf156-b46b-6fd6-8c32-7dfe1f4e9307/full/843,/0/default.jpg</v>
      </c>
      <c r="N2721" s="3">
        <v>0.63400000000000001</v>
      </c>
      <c r="O2721" s="3">
        <v>4.9000000000000002E-2</v>
      </c>
      <c r="P2721" s="3">
        <v>0.58499999999999996</v>
      </c>
      <c r="Q2721" s="3">
        <v>0.447530657052993</v>
      </c>
    </row>
    <row r="2722" spans="1:17" x14ac:dyDescent="0.45">
      <c r="A2722" s="3">
        <v>14790</v>
      </c>
      <c r="B2722" t="b">
        <v>0</v>
      </c>
      <c r="C2722" t="b">
        <v>1</v>
      </c>
      <c r="D2722" s="3">
        <v>1776</v>
      </c>
      <c r="E2722" s="3">
        <v>1827</v>
      </c>
      <c r="F2722" t="s">
        <v>3679</v>
      </c>
      <c r="G2722" t="s">
        <v>3680</v>
      </c>
      <c r="H2722" s="3">
        <v>18.008800000000001</v>
      </c>
      <c r="I2722" t="s">
        <v>1266</v>
      </c>
      <c r="J2722" t="s">
        <v>13089</v>
      </c>
      <c r="L2722" t="s">
        <v>3681</v>
      </c>
      <c r="M2722" t="str">
        <f>"https://www.artic.edu/iiif/2/"&amp;Table9[[#This Row],[Image ID]]&amp;"/full/843,/0/default.jpg"</f>
        <v>https://www.artic.edu/iiif/2/959e250c-5ffe-f5f2-4c54-bcf035188cb0/full/843,/0/default.jpg</v>
      </c>
      <c r="N2722" s="3">
        <v>0.70699999999999996</v>
      </c>
      <c r="O2722" s="3">
        <v>0.122</v>
      </c>
      <c r="P2722" s="3">
        <v>0.58499999999999996</v>
      </c>
      <c r="Q2722" s="3">
        <v>0.66285622119903498</v>
      </c>
    </row>
    <row r="2723" spans="1:17" x14ac:dyDescent="0.45">
      <c r="A2723" s="3">
        <v>155215</v>
      </c>
      <c r="B2723" t="b">
        <v>0</v>
      </c>
      <c r="C2723" t="b">
        <v>1</v>
      </c>
      <c r="D2723" s="3">
        <v>1824</v>
      </c>
      <c r="E2723" s="3">
        <v>1824</v>
      </c>
      <c r="F2723" t="s">
        <v>2325</v>
      </c>
      <c r="G2723" t="s">
        <v>4006</v>
      </c>
      <c r="H2723" s="3">
        <v>32.617899999999999</v>
      </c>
      <c r="I2723" t="s">
        <v>1280</v>
      </c>
      <c r="J2723" t="s">
        <v>13409</v>
      </c>
      <c r="L2723" t="s">
        <v>4007</v>
      </c>
      <c r="M2723" t="str">
        <f>"https://www.artic.edu/iiif/2/"&amp;Table9[[#This Row],[Image ID]]&amp;"/full/843,/0/default.jpg"</f>
        <v>https://www.artic.edu/iiif/2/ad32391b-2bb8-9347-cb77-bf699cb51ebc/full/843,/0/default.jpg</v>
      </c>
      <c r="N2723" s="3">
        <v>0.70699999999999996</v>
      </c>
      <c r="O2723" s="3">
        <v>0.122</v>
      </c>
      <c r="P2723" s="3">
        <v>0.58499999999999996</v>
      </c>
      <c r="Q2723" s="3">
        <v>0.52051275968551602</v>
      </c>
    </row>
    <row r="2724" spans="1:17" x14ac:dyDescent="0.45">
      <c r="A2724" s="3">
        <v>53064</v>
      </c>
      <c r="B2724" t="b">
        <v>0</v>
      </c>
      <c r="C2724" t="b">
        <v>1</v>
      </c>
      <c r="D2724" s="3">
        <v>1735</v>
      </c>
      <c r="E2724" s="3">
        <v>1745</v>
      </c>
      <c r="F2724" t="s">
        <v>8236</v>
      </c>
      <c r="G2724" t="s">
        <v>7</v>
      </c>
      <c r="H2724" s="3">
        <v>24.0151</v>
      </c>
      <c r="I2724" t="s">
        <v>7686</v>
      </c>
      <c r="J2724" t="s">
        <v>13516</v>
      </c>
      <c r="L2724" t="s">
        <v>8237</v>
      </c>
      <c r="M2724" t="str">
        <f>"https://www.artic.edu/iiif/2/"&amp;Table9[[#This Row],[Image ID]]&amp;"/full/843,/0/default.jpg"</f>
        <v>https://www.artic.edu/iiif/2/b5944ae0-5c91-20dd-79af-33a523393c33/full/843,/0/default.jpg</v>
      </c>
      <c r="N2724" s="3">
        <v>0.78</v>
      </c>
      <c r="O2724" s="3">
        <v>0.19500000000000001</v>
      </c>
      <c r="P2724" s="3">
        <v>0.58499999999999996</v>
      </c>
      <c r="Q2724" s="3">
        <v>0.70714783668518</v>
      </c>
    </row>
    <row r="2725" spans="1:17" x14ac:dyDescent="0.45">
      <c r="A2725" s="3">
        <v>11571</v>
      </c>
      <c r="B2725" t="b">
        <v>0</v>
      </c>
      <c r="C2725" t="b">
        <v>1</v>
      </c>
      <c r="D2725" s="3">
        <v>1815</v>
      </c>
      <c r="E2725" s="3">
        <v>1841</v>
      </c>
      <c r="F2725" t="s">
        <v>2077</v>
      </c>
      <c r="G2725" t="s">
        <v>2078</v>
      </c>
      <c r="H2725" s="3">
        <v>17.206800000000001</v>
      </c>
      <c r="I2725" t="s">
        <v>1297</v>
      </c>
      <c r="J2725" t="s">
        <v>13807</v>
      </c>
      <c r="L2725" t="s">
        <v>2079</v>
      </c>
      <c r="M2725" t="str">
        <f>"https://www.artic.edu/iiif/2/"&amp;Table9[[#This Row],[Image ID]]&amp;"/full/843,/0/default.jpg"</f>
        <v>https://www.artic.edu/iiif/2/cc6da6f3-4df0-3e8a-1e64-7329d4517689/full/843,/0/default.jpg</v>
      </c>
      <c r="N2725" s="3">
        <v>0.78</v>
      </c>
      <c r="O2725" s="3">
        <v>0.19500000000000001</v>
      </c>
      <c r="P2725" s="3">
        <v>0.58499999999999996</v>
      </c>
      <c r="Q2725" s="3">
        <v>0.75032341480255105</v>
      </c>
    </row>
    <row r="2726" spans="1:17" x14ac:dyDescent="0.45">
      <c r="A2726" s="3">
        <v>31923</v>
      </c>
      <c r="B2726" t="b">
        <v>0</v>
      </c>
      <c r="C2726" t="b">
        <v>1</v>
      </c>
      <c r="D2726" s="3">
        <v>1900</v>
      </c>
      <c r="E2726" s="3">
        <v>1900</v>
      </c>
      <c r="F2726" t="s">
        <v>7033</v>
      </c>
      <c r="G2726" t="s">
        <v>687</v>
      </c>
      <c r="H2726" s="3">
        <v>24.4983</v>
      </c>
      <c r="I2726" t="s">
        <v>3875</v>
      </c>
      <c r="J2726" t="s">
        <v>13841</v>
      </c>
      <c r="L2726" t="s">
        <v>7034</v>
      </c>
      <c r="M2726" t="str">
        <f>"https://www.artic.edu/iiif/2/"&amp;Table9[[#This Row],[Image ID]]&amp;"/full/843,/0/default.jpg"</f>
        <v>https://www.artic.edu/iiif/2/cfc29577-a594-de0b-9db7-4fcce8003ad0/full/843,/0/default.jpg</v>
      </c>
      <c r="N2726" s="3">
        <v>0.63400000000000001</v>
      </c>
      <c r="O2726" s="3">
        <v>4.9000000000000002E-2</v>
      </c>
      <c r="P2726" s="3">
        <v>0.58499999999999996</v>
      </c>
      <c r="Q2726" s="3">
        <v>0.66492998600006104</v>
      </c>
    </row>
    <row r="2727" spans="1:17" x14ac:dyDescent="0.45">
      <c r="A2727" s="3">
        <v>65847</v>
      </c>
      <c r="B2727" t="b">
        <v>0</v>
      </c>
      <c r="C2727" t="b">
        <v>1</v>
      </c>
      <c r="D2727" s="3">
        <v>1890</v>
      </c>
      <c r="E2727" s="3">
        <v>1899</v>
      </c>
      <c r="F2727" t="s">
        <v>9061</v>
      </c>
      <c r="G2727" t="s">
        <v>7</v>
      </c>
      <c r="H2727" s="3">
        <v>28.3293</v>
      </c>
      <c r="I2727" t="s">
        <v>9062</v>
      </c>
      <c r="J2727" t="s">
        <v>13914</v>
      </c>
      <c r="L2727" t="s">
        <v>9063</v>
      </c>
      <c r="M2727" t="str">
        <f>"https://www.artic.edu/iiif/2/"&amp;Table9[[#This Row],[Image ID]]&amp;"/full/843,/0/default.jpg"</f>
        <v>https://www.artic.edu/iiif/2/d5b9b3c8-66b4-d061-43ee-307cc42e1ae6/full/843,/0/default.jpg</v>
      </c>
      <c r="N2727" s="3">
        <v>0.70699999999999996</v>
      </c>
      <c r="O2727" s="3">
        <v>0.122</v>
      </c>
      <c r="P2727" s="3">
        <v>0.58499999999999996</v>
      </c>
      <c r="Q2727" s="3">
        <v>0.72784423828125</v>
      </c>
    </row>
    <row r="2728" spans="1:17" x14ac:dyDescent="0.45">
      <c r="A2728" s="3">
        <v>115154</v>
      </c>
      <c r="B2728" t="b">
        <v>0</v>
      </c>
      <c r="C2728" t="b">
        <v>1</v>
      </c>
      <c r="D2728" s="3">
        <v>1890</v>
      </c>
      <c r="E2728" s="3">
        <v>1890</v>
      </c>
      <c r="F2728" t="s">
        <v>1806</v>
      </c>
      <c r="G2728" t="s">
        <v>1807</v>
      </c>
      <c r="H2728" s="3">
        <v>27.0989</v>
      </c>
      <c r="I2728" t="s">
        <v>1808</v>
      </c>
      <c r="J2728" t="s">
        <v>14128</v>
      </c>
      <c r="L2728" t="s">
        <v>1809</v>
      </c>
      <c r="M2728" t="str">
        <f>"https://www.artic.edu/iiif/2/"&amp;Table9[[#This Row],[Image ID]]&amp;"/full/843,/0/default.jpg"</f>
        <v>https://www.artic.edu/iiif/2/e3ce94ad-1874-9165-dc2b-426846e520f1/full/843,/0/default.jpg</v>
      </c>
      <c r="N2728" s="3">
        <v>0.70699999999999996</v>
      </c>
      <c r="O2728" s="3">
        <v>0.122</v>
      </c>
      <c r="P2728" s="3">
        <v>0.58499999999999996</v>
      </c>
      <c r="Q2728" s="3">
        <v>0.64304435253143299</v>
      </c>
    </row>
    <row r="2729" spans="1:17" x14ac:dyDescent="0.45">
      <c r="A2729" s="3">
        <v>81038</v>
      </c>
      <c r="B2729" t="b">
        <v>0</v>
      </c>
      <c r="C2729" t="b">
        <v>0</v>
      </c>
      <c r="D2729" s="3">
        <v>1899</v>
      </c>
      <c r="E2729" s="3">
        <v>1922</v>
      </c>
      <c r="F2729" t="s">
        <v>10085</v>
      </c>
      <c r="G2729" t="s">
        <v>10086</v>
      </c>
      <c r="H2729" s="3">
        <v>37.650199999999998</v>
      </c>
      <c r="I2729" t="s">
        <v>9926</v>
      </c>
      <c r="J2729" t="s">
        <v>11764</v>
      </c>
      <c r="L2729" t="s">
        <v>10087</v>
      </c>
      <c r="M2729" t="str">
        <f>"https://www.artic.edu/iiif/2/"&amp;Table9[[#This Row],[Image ID]]&amp;"/full/843,/0/default.jpg"</f>
        <v>https://www.artic.edu/iiif/2/36c6eda8-edb0-c1b8-5d2c-1690e31591e7/full/843,/0/default.jpg</v>
      </c>
      <c r="N2729" s="3">
        <v>0.63400000000000001</v>
      </c>
      <c r="O2729" s="3">
        <v>4.9000000000000002E-2</v>
      </c>
      <c r="P2729" s="3">
        <v>0.58499999999999996</v>
      </c>
      <c r="Q2729" s="3">
        <v>0.71870648860931396</v>
      </c>
    </row>
    <row r="2730" spans="1:17" x14ac:dyDescent="0.45">
      <c r="A2730" s="3">
        <v>61122</v>
      </c>
      <c r="B2730" t="b">
        <v>0</v>
      </c>
      <c r="C2730" t="b">
        <v>0</v>
      </c>
      <c r="D2730" s="3">
        <v>1865</v>
      </c>
      <c r="E2730" s="3">
        <v>1885</v>
      </c>
      <c r="F2730" t="s">
        <v>8768</v>
      </c>
      <c r="G2730" t="s">
        <v>7</v>
      </c>
      <c r="H2730" s="3">
        <v>16.755500000000001</v>
      </c>
      <c r="J2730" t="s">
        <v>11911</v>
      </c>
      <c r="L2730" t="s">
        <v>8769</v>
      </c>
      <c r="M2730" t="str">
        <f>"https://www.artic.edu/iiif/2/"&amp;Table9[[#This Row],[Image ID]]&amp;"/full/843,/0/default.jpg"</f>
        <v>https://www.artic.edu/iiif/2/3f929f3c-1c14-0f6b-ffeb-a8a21176fee2/full/843,/0/default.jpg</v>
      </c>
      <c r="N2730" s="3">
        <v>0.63400000000000001</v>
      </c>
      <c r="O2730" s="3">
        <v>4.9000000000000002E-2</v>
      </c>
      <c r="P2730" s="3">
        <v>0.58499999999999996</v>
      </c>
      <c r="Q2730" s="3">
        <v>0.74306958913803101</v>
      </c>
    </row>
    <row r="2731" spans="1:17" x14ac:dyDescent="0.45">
      <c r="A2731" s="3">
        <v>9081</v>
      </c>
      <c r="B2731" t="b">
        <v>0</v>
      </c>
      <c r="C2731" t="b">
        <v>0</v>
      </c>
      <c r="D2731" s="3">
        <v>1917</v>
      </c>
      <c r="E2731" s="3">
        <v>1920</v>
      </c>
      <c r="F2731" t="s">
        <v>10538</v>
      </c>
      <c r="G2731" t="s">
        <v>14600</v>
      </c>
      <c r="H2731" s="3">
        <v>13.523899999999999</v>
      </c>
      <c r="I2731" t="s">
        <v>10539</v>
      </c>
      <c r="J2731" t="s">
        <v>12846</v>
      </c>
      <c r="L2731" t="s">
        <v>10540</v>
      </c>
      <c r="M2731" t="str">
        <f>"https://www.artic.edu/iiif/2/"&amp;Table9[[#This Row],[Image ID]]&amp;"/full/843,/0/default.jpg"</f>
        <v>https://www.artic.edu/iiif/2/8233c6e1-19ab-d6cc-dd91-6e9317b2d19c/full/843,/0/default.jpg</v>
      </c>
      <c r="N2731" s="3">
        <v>0.63400000000000001</v>
      </c>
      <c r="O2731" s="3">
        <v>4.9000000000000002E-2</v>
      </c>
      <c r="P2731" s="3">
        <v>0.58499999999999996</v>
      </c>
      <c r="Q2731" s="3">
        <v>0.87456917762756303</v>
      </c>
    </row>
    <row r="2732" spans="1:17" x14ac:dyDescent="0.45">
      <c r="A2732" s="3">
        <v>120082</v>
      </c>
      <c r="B2732" t="b">
        <v>0</v>
      </c>
      <c r="C2732" t="b">
        <v>0</v>
      </c>
      <c r="D2732" s="3">
        <v>1859</v>
      </c>
      <c r="E2732" s="3">
        <v>1860</v>
      </c>
      <c r="F2732" t="s">
        <v>2614</v>
      </c>
      <c r="G2732" t="s">
        <v>2611</v>
      </c>
      <c r="H2732" s="3">
        <v>28.924700000000001</v>
      </c>
      <c r="I2732" t="s">
        <v>2615</v>
      </c>
      <c r="J2732" t="s">
        <v>13349</v>
      </c>
      <c r="L2732" t="s">
        <v>2616</v>
      </c>
      <c r="M2732" t="str">
        <f>"https://www.artic.edu/iiif/2/"&amp;Table9[[#This Row],[Image ID]]&amp;"/full/843,/0/default.jpg"</f>
        <v>https://www.artic.edu/iiif/2/a828a8cd-9ed9-6d27-8cc0-ccfb8444b0e7/full/843,/0/default.jpg</v>
      </c>
      <c r="N2732" s="3">
        <v>0.70699999999999996</v>
      </c>
      <c r="O2732" s="3">
        <v>0.122</v>
      </c>
      <c r="P2732" s="3">
        <v>0.58499999999999996</v>
      </c>
      <c r="Q2732" s="3">
        <v>0.58300334215164096</v>
      </c>
    </row>
    <row r="2733" spans="1:17" x14ac:dyDescent="0.45">
      <c r="A2733" s="3">
        <v>95997</v>
      </c>
      <c r="B2733" t="b">
        <v>0</v>
      </c>
      <c r="C2733" t="b">
        <v>0</v>
      </c>
      <c r="D2733" s="3">
        <v>1765</v>
      </c>
      <c r="E2733" s="3">
        <v>1775</v>
      </c>
      <c r="F2733" t="s">
        <v>10784</v>
      </c>
      <c r="G2733" t="s">
        <v>7</v>
      </c>
      <c r="H2733" s="3">
        <v>30.821200000000001</v>
      </c>
      <c r="I2733" t="s">
        <v>7154</v>
      </c>
      <c r="J2733" t="s">
        <v>10786</v>
      </c>
      <c r="L2733" t="s">
        <v>10785</v>
      </c>
      <c r="M2733" t="str">
        <f>"https://www.artic.edu/iiif/2/"&amp;Table9[[#This Row],[Image ID]]&amp;"/full/843,/0/default.jpg"</f>
        <v>https://www.artic.edu/iiif/2/d1889b69-77d9-eb66-48df-7593ea39956f/full/843,/0/default.jpg</v>
      </c>
      <c r="N2733" s="3">
        <v>0.75600000000000001</v>
      </c>
      <c r="O2733" s="3">
        <v>0.17100000000000001</v>
      </c>
      <c r="P2733" s="3">
        <v>0.58499999999999996</v>
      </c>
      <c r="Q2733" s="3">
        <v>0.59351766109466497</v>
      </c>
    </row>
    <row r="2734" spans="1:17" x14ac:dyDescent="0.45">
      <c r="A2734" s="3">
        <v>62656</v>
      </c>
      <c r="B2734" t="b">
        <v>0</v>
      </c>
      <c r="C2734" t="b">
        <v>0</v>
      </c>
      <c r="D2734" s="3">
        <v>1940</v>
      </c>
      <c r="E2734" s="3">
        <v>1940</v>
      </c>
      <c r="F2734" t="s">
        <v>589</v>
      </c>
      <c r="G2734" t="s">
        <v>5014</v>
      </c>
      <c r="H2734" s="3">
        <v>17.034600000000001</v>
      </c>
      <c r="I2734" t="s">
        <v>378</v>
      </c>
      <c r="J2734" t="s">
        <v>13998</v>
      </c>
      <c r="L2734" t="s">
        <v>8914</v>
      </c>
      <c r="M2734" t="str">
        <f>"https://www.artic.edu/iiif/2/"&amp;Table9[[#This Row],[Image ID]]&amp;"/full/843,/0/default.jpg"</f>
        <v>https://www.artic.edu/iiif/2/db64e9cf-c51f-edad-962b-cd7d76d1c266/full/843,/0/default.jpg</v>
      </c>
      <c r="N2734" s="3">
        <v>0.63400000000000001</v>
      </c>
      <c r="O2734" s="3">
        <v>4.9000000000000002E-2</v>
      </c>
      <c r="P2734" s="3">
        <v>0.58499999999999996</v>
      </c>
      <c r="Q2734" s="3">
        <v>0.47958219051361001</v>
      </c>
    </row>
    <row r="2735" spans="1:17" x14ac:dyDescent="0.45">
      <c r="A2735" s="3">
        <v>52995</v>
      </c>
      <c r="B2735" t="b">
        <v>0</v>
      </c>
      <c r="C2735" t="b">
        <v>0</v>
      </c>
      <c r="D2735" s="3">
        <v>1912</v>
      </c>
      <c r="E2735" s="3">
        <v>1912</v>
      </c>
      <c r="F2735" t="s">
        <v>8215</v>
      </c>
      <c r="G2735" t="s">
        <v>7</v>
      </c>
      <c r="H2735" s="3">
        <v>0</v>
      </c>
      <c r="I2735" t="s">
        <v>462</v>
      </c>
      <c r="J2735" t="s">
        <v>14042</v>
      </c>
      <c r="L2735" t="s">
        <v>8216</v>
      </c>
      <c r="M2735" t="str">
        <f>"https://www.artic.edu/iiif/2/"&amp;Table9[[#This Row],[Image ID]]&amp;"/full/843,/0/default.jpg"</f>
        <v>https://www.artic.edu/iiif/2/de6450e9-93a7-a19c-2d70-dfdc98e505b9/full/843,/0/default.jpg</v>
      </c>
      <c r="N2735" s="3">
        <v>0.63400000000000001</v>
      </c>
      <c r="O2735" s="3">
        <v>4.9000000000000002E-2</v>
      </c>
      <c r="P2735" s="3">
        <v>0.58499999999999996</v>
      </c>
      <c r="Q2735" s="3">
        <v>0.72529709339141801</v>
      </c>
    </row>
    <row r="2736" spans="1:17" x14ac:dyDescent="0.45">
      <c r="A2736" s="3">
        <v>35145</v>
      </c>
      <c r="B2736" t="b">
        <v>0</v>
      </c>
      <c r="C2736" t="b">
        <v>1</v>
      </c>
      <c r="D2736" s="3">
        <v>1855</v>
      </c>
      <c r="E2736" s="3">
        <v>1855</v>
      </c>
      <c r="F2736" t="s">
        <v>5353</v>
      </c>
      <c r="G2736" t="s">
        <v>24</v>
      </c>
      <c r="H2736" s="3">
        <v>0</v>
      </c>
      <c r="I2736" t="s">
        <v>7147</v>
      </c>
      <c r="J2736" t="s">
        <v>12951</v>
      </c>
      <c r="L2736" t="s">
        <v>7148</v>
      </c>
      <c r="M2736" t="str">
        <f>"https://www.artic.edu/iiif/2/"&amp;Table9[[#This Row],[Image ID]]&amp;"/full/843,/0/default.jpg"</f>
        <v>https://www.artic.edu/iiif/2/8a842898-2164-97ca-d746-8eab031fb3ed/full/843,/0/default.jpg</v>
      </c>
      <c r="N2736" s="3">
        <v>0.79100000000000004</v>
      </c>
      <c r="O2736" s="3">
        <v>0.20899999999999999</v>
      </c>
      <c r="P2736" s="3">
        <v>0.58200000000000007</v>
      </c>
      <c r="Q2736" s="3">
        <v>0.55775535106658902</v>
      </c>
    </row>
    <row r="2737" spans="1:17" x14ac:dyDescent="0.45">
      <c r="A2737" s="3">
        <v>16905</v>
      </c>
      <c r="B2737" t="b">
        <v>0</v>
      </c>
      <c r="C2737" t="b">
        <v>0</v>
      </c>
      <c r="D2737" s="3">
        <v>1922</v>
      </c>
      <c r="E2737" s="3">
        <v>1935</v>
      </c>
      <c r="F2737" t="s">
        <v>4626</v>
      </c>
      <c r="G2737" t="s">
        <v>4627</v>
      </c>
      <c r="H2737" s="3">
        <v>20.7378</v>
      </c>
      <c r="I2737" t="s">
        <v>460</v>
      </c>
      <c r="J2737" t="s">
        <v>11701</v>
      </c>
      <c r="L2737" t="s">
        <v>4628</v>
      </c>
      <c r="M2737" t="str">
        <f>"https://www.artic.edu/iiif/2/"&amp;Table9[[#This Row],[Image ID]]&amp;"/full/843,/0/default.jpg"</f>
        <v>https://www.artic.edu/iiif/2/31d16456-9af2-f283-11aa-c3c2c28c6995/full/843,/0/default.jpg</v>
      </c>
      <c r="N2737" s="3">
        <v>0.79100000000000004</v>
      </c>
      <c r="O2737" s="3">
        <v>0.20899999999999999</v>
      </c>
      <c r="P2737" s="3">
        <v>0.58200000000000007</v>
      </c>
      <c r="Q2737" s="3">
        <v>0.68985182046890203</v>
      </c>
    </row>
    <row r="2738" spans="1:17" x14ac:dyDescent="0.45">
      <c r="A2738" s="3">
        <v>68784</v>
      </c>
      <c r="B2738" t="b">
        <v>0</v>
      </c>
      <c r="C2738" t="b">
        <v>1</v>
      </c>
      <c r="D2738" s="3">
        <v>1867</v>
      </c>
      <c r="E2738" s="3">
        <v>1867</v>
      </c>
      <c r="F2738" t="s">
        <v>9368</v>
      </c>
      <c r="G2738" t="s">
        <v>7</v>
      </c>
      <c r="H2738" s="3">
        <v>41.010599999999997</v>
      </c>
      <c r="I2738" t="s">
        <v>908</v>
      </c>
      <c r="J2738" t="s">
        <v>12983</v>
      </c>
      <c r="L2738" t="s">
        <v>9369</v>
      </c>
      <c r="M2738" t="str">
        <f>"https://www.artic.edu/iiif/2/"&amp;Table9[[#This Row],[Image ID]]&amp;"/full/843,/0/default.jpg"</f>
        <v>https://www.artic.edu/iiif/2/8c63372e-dfd6-ab25-cfc8-a6569f25f0c8/full/843,/0/default.jpg</v>
      </c>
      <c r="N2738" s="3">
        <v>0.69799999999999995</v>
      </c>
      <c r="O2738" s="3">
        <v>0.11600000000000001</v>
      </c>
      <c r="P2738" s="3">
        <v>0.58199999999999996</v>
      </c>
      <c r="Q2738" s="3">
        <v>0.53729206323623602</v>
      </c>
    </row>
    <row r="2739" spans="1:17" x14ac:dyDescent="0.45">
      <c r="A2739" s="3">
        <v>7463</v>
      </c>
      <c r="B2739" t="b">
        <v>0</v>
      </c>
      <c r="C2739" t="b">
        <v>1</v>
      </c>
      <c r="D2739" s="3">
        <v>1590</v>
      </c>
      <c r="E2739" s="3">
        <v>1709</v>
      </c>
      <c r="F2739" t="s">
        <v>9693</v>
      </c>
      <c r="G2739" t="s">
        <v>9694</v>
      </c>
      <c r="H2739" s="3">
        <v>31.335999999999999</v>
      </c>
      <c r="I2739" t="s">
        <v>9695</v>
      </c>
      <c r="J2739" t="s">
        <v>13839</v>
      </c>
      <c r="L2739" t="s">
        <v>9696</v>
      </c>
      <c r="M2739" t="str">
        <f>"https://www.artic.edu/iiif/2/"&amp;Table9[[#This Row],[Image ID]]&amp;"/full/843,/0/default.jpg"</f>
        <v>https://www.artic.edu/iiif/2/cfa9cc3f-2470-a9ec-7e81-f50a95425760/full/843,/0/default.jpg</v>
      </c>
      <c r="N2739" s="3">
        <v>0.69799999999999995</v>
      </c>
      <c r="O2739" s="3">
        <v>0.11600000000000001</v>
      </c>
      <c r="P2739" s="3">
        <v>0.58199999999999996</v>
      </c>
      <c r="Q2739" s="3">
        <v>0.73559212684631303</v>
      </c>
    </row>
    <row r="2740" spans="1:17" x14ac:dyDescent="0.45">
      <c r="A2740" s="3">
        <v>208319</v>
      </c>
      <c r="B2740" t="b">
        <v>0</v>
      </c>
      <c r="C2740" t="b">
        <v>0</v>
      </c>
      <c r="D2740" s="3">
        <v>1943</v>
      </c>
      <c r="E2740" s="3">
        <v>1943</v>
      </c>
      <c r="F2740" t="s">
        <v>5523</v>
      </c>
      <c r="G2740" t="s">
        <v>7</v>
      </c>
      <c r="H2740" s="3">
        <v>41.211599999999997</v>
      </c>
      <c r="I2740" t="s">
        <v>849</v>
      </c>
      <c r="J2740" t="s">
        <v>11238</v>
      </c>
      <c r="K2740" s="5" t="s">
        <v>45</v>
      </c>
      <c r="L2740" t="s">
        <v>5524</v>
      </c>
      <c r="M2740" t="str">
        <f>"https://www.artic.edu/iiif/2/"&amp;Table9[[#This Row],[Image ID]]&amp;"/full/843,/0/default.jpg"</f>
        <v>https://www.artic.edu/iiif/2/1370e04c-dfbe-f71e-3a78-4e26459736ce/full/843,/0/default.jpg</v>
      </c>
      <c r="N2740" s="3">
        <v>0.69799999999999995</v>
      </c>
      <c r="O2740" s="3">
        <v>0.11600000000000001</v>
      </c>
      <c r="P2740" s="3">
        <v>0.58199999999999996</v>
      </c>
      <c r="Q2740" s="3">
        <v>0.809672951698303</v>
      </c>
    </row>
    <row r="2741" spans="1:17" x14ac:dyDescent="0.45">
      <c r="A2741" s="3">
        <v>117565</v>
      </c>
      <c r="B2741" t="b">
        <v>0</v>
      </c>
      <c r="C2741" t="b">
        <v>0</v>
      </c>
      <c r="D2741" s="3">
        <v>1935</v>
      </c>
      <c r="E2741" s="3">
        <v>1935</v>
      </c>
      <c r="F2741" t="s">
        <v>2380</v>
      </c>
      <c r="G2741" t="s">
        <v>2381</v>
      </c>
      <c r="H2741" s="3">
        <v>33.290799999999997</v>
      </c>
      <c r="I2741" t="s">
        <v>2379</v>
      </c>
      <c r="J2741" t="s">
        <v>13124</v>
      </c>
      <c r="L2741" t="s">
        <v>2382</v>
      </c>
      <c r="M2741" t="str">
        <f>"https://www.artic.edu/iiif/2/"&amp;Table9[[#This Row],[Image ID]]&amp;"/full/843,/0/default.jpg"</f>
        <v>https://www.artic.edu/iiif/2/98102535-6705-4257-7b87-69ca43db6351/full/843,/0/default.jpg</v>
      </c>
      <c r="N2741" s="3">
        <v>0.60499999999999998</v>
      </c>
      <c r="O2741" s="3">
        <v>2.3E-2</v>
      </c>
      <c r="P2741" s="3">
        <v>0.58199999999999996</v>
      </c>
      <c r="Q2741" s="3">
        <v>0.84380650520324696</v>
      </c>
    </row>
    <row r="2742" spans="1:17" x14ac:dyDescent="0.45">
      <c r="A2742" s="3">
        <v>21194</v>
      </c>
      <c r="B2742" t="b">
        <v>0</v>
      </c>
      <c r="C2742" t="b">
        <v>0</v>
      </c>
      <c r="D2742" s="3">
        <v>1933</v>
      </c>
      <c r="E2742" s="3">
        <v>1933</v>
      </c>
      <c r="F2742" t="s">
        <v>5591</v>
      </c>
      <c r="G2742" t="s">
        <v>5592</v>
      </c>
      <c r="H2742" s="3">
        <v>29.892499999999998</v>
      </c>
      <c r="I2742" t="s">
        <v>2517</v>
      </c>
      <c r="J2742" t="s">
        <v>13280</v>
      </c>
      <c r="L2742" t="s">
        <v>5593</v>
      </c>
      <c r="M2742" t="str">
        <f>"https://www.artic.edu/iiif/2/"&amp;Table9[[#This Row],[Image ID]]&amp;"/full/843,/0/default.jpg"</f>
        <v>https://www.artic.edu/iiif/2/a37c8193-781c-8bea-30d0-c523211524dc/full/843,/0/default.jpg</v>
      </c>
      <c r="N2742" s="3">
        <v>0.69799999999999995</v>
      </c>
      <c r="O2742" s="3">
        <v>0.11600000000000001</v>
      </c>
      <c r="P2742" s="3">
        <v>0.58199999999999996</v>
      </c>
      <c r="Q2742" s="3">
        <v>0.60824525356292702</v>
      </c>
    </row>
    <row r="2743" spans="1:17" x14ac:dyDescent="0.45">
      <c r="A2743" s="3">
        <v>21777</v>
      </c>
      <c r="B2743" t="b">
        <v>0</v>
      </c>
      <c r="C2743" t="b">
        <v>1</v>
      </c>
      <c r="D2743" s="3">
        <v>1791</v>
      </c>
      <c r="E2743" s="3">
        <v>1791</v>
      </c>
      <c r="F2743" t="s">
        <v>5747</v>
      </c>
      <c r="G2743" t="s">
        <v>5748</v>
      </c>
      <c r="H2743" s="3">
        <v>31.880099999999999</v>
      </c>
      <c r="I2743" t="s">
        <v>1266</v>
      </c>
      <c r="J2743" t="s">
        <v>13174</v>
      </c>
      <c r="L2743" t="s">
        <v>5749</v>
      </c>
      <c r="M2743" t="str">
        <f>"https://www.artic.edu/iiif/2/"&amp;Table9[[#This Row],[Image ID]]&amp;"/full/843,/0/default.jpg"</f>
        <v>https://www.artic.edu/iiif/2/9bc3fdd3-32e7-7a1d-e98d-2f2827bc51b1/full/843,/0/default.jpg</v>
      </c>
      <c r="N2743" s="3">
        <v>0.67400000000000004</v>
      </c>
      <c r="O2743" s="3">
        <v>9.2999999999999999E-2</v>
      </c>
      <c r="P2743" s="3">
        <v>0.58100000000000007</v>
      </c>
      <c r="Q2743" s="3">
        <v>0.56895214319229104</v>
      </c>
    </row>
    <row r="2744" spans="1:17" x14ac:dyDescent="0.45">
      <c r="A2744" s="3">
        <v>39597</v>
      </c>
      <c r="B2744" t="b">
        <v>0</v>
      </c>
      <c r="C2744" t="b">
        <v>1</v>
      </c>
      <c r="D2744" s="3">
        <v>1807</v>
      </c>
      <c r="E2744" s="3">
        <v>1809</v>
      </c>
      <c r="F2744" t="s">
        <v>7587</v>
      </c>
      <c r="G2744" t="s">
        <v>7588</v>
      </c>
      <c r="H2744" s="3">
        <v>24.352</v>
      </c>
      <c r="I2744" t="s">
        <v>1359</v>
      </c>
      <c r="J2744" t="s">
        <v>12385</v>
      </c>
      <c r="L2744" t="s">
        <v>7589</v>
      </c>
      <c r="M2744" t="str">
        <f>"https://www.artic.edu/iiif/2/"&amp;Table9[[#This Row],[Image ID]]&amp;"/full/843,/0/default.jpg"</f>
        <v>https://www.artic.edu/iiif/2/606beaaf-543c-8025-bf4d-4ef7217c457f/full/843,/0/default.jpg</v>
      </c>
      <c r="N2744" s="3">
        <v>0.65100000000000002</v>
      </c>
      <c r="O2744" s="3">
        <v>7.0000000000000007E-2</v>
      </c>
      <c r="P2744" s="3">
        <v>0.58099999999999996</v>
      </c>
      <c r="Q2744" s="3">
        <v>0.65854322910308805</v>
      </c>
    </row>
    <row r="2745" spans="1:17" x14ac:dyDescent="0.45">
      <c r="A2745" s="3">
        <v>71551</v>
      </c>
      <c r="B2745" t="b">
        <v>0</v>
      </c>
      <c r="C2745" t="b">
        <v>1</v>
      </c>
      <c r="D2745" s="3">
        <v>1470</v>
      </c>
      <c r="E2745" s="3">
        <v>1480</v>
      </c>
      <c r="F2745" t="s">
        <v>9504</v>
      </c>
      <c r="G2745" t="s">
        <v>9505</v>
      </c>
      <c r="H2745" s="3">
        <v>35.443899999999999</v>
      </c>
      <c r="J2745" t="s">
        <v>13189</v>
      </c>
      <c r="K2745" s="5" t="s">
        <v>278</v>
      </c>
      <c r="L2745" t="s">
        <v>9506</v>
      </c>
      <c r="M2745" t="str">
        <f>"https://www.artic.edu/iiif/2/"&amp;Table9[[#This Row],[Image ID]]&amp;"/full/843,/0/default.jpg"</f>
        <v>https://www.artic.edu/iiif/2/9ccb4351-44a9-e983-58f0-99dc528c48f4/full/843,/0/default.jpg</v>
      </c>
      <c r="N2745" s="3">
        <v>0.65100000000000002</v>
      </c>
      <c r="O2745" s="3">
        <v>7.0000000000000007E-2</v>
      </c>
      <c r="P2745" s="3">
        <v>0.58099999999999996</v>
      </c>
      <c r="Q2745" s="3">
        <v>0.72021698951721103</v>
      </c>
    </row>
    <row r="2746" spans="1:17" x14ac:dyDescent="0.45">
      <c r="A2746" s="3">
        <v>81574</v>
      </c>
      <c r="B2746" t="b">
        <v>0</v>
      </c>
      <c r="C2746" t="b">
        <v>1</v>
      </c>
      <c r="D2746" s="3">
        <v>1863</v>
      </c>
      <c r="E2746" s="3">
        <v>1863</v>
      </c>
      <c r="F2746" t="s">
        <v>10147</v>
      </c>
      <c r="G2746" t="s">
        <v>7</v>
      </c>
      <c r="H2746" s="3">
        <v>14.915699999999999</v>
      </c>
      <c r="I2746" t="s">
        <v>527</v>
      </c>
      <c r="J2746" t="s">
        <v>14325</v>
      </c>
      <c r="K2746" s="5" t="s">
        <v>9</v>
      </c>
      <c r="L2746" t="s">
        <v>10148</v>
      </c>
      <c r="M2746" t="str">
        <f>"https://www.artic.edu/iiif/2/"&amp;Table9[[#This Row],[Image ID]]&amp;"/full/843,/0/default.jpg"</f>
        <v>https://www.artic.edu/iiif/2/f0b3ff64-d68e-3fd2-ffc9-5470eb9fea6e/full/843,/0/default.jpg</v>
      </c>
      <c r="N2746" s="3">
        <v>0.74399999999999999</v>
      </c>
      <c r="O2746" s="3">
        <v>0.16300000000000001</v>
      </c>
      <c r="P2746" s="3">
        <v>0.58099999999999996</v>
      </c>
      <c r="Q2746" s="3">
        <v>0.614657282829284</v>
      </c>
    </row>
    <row r="2747" spans="1:17" x14ac:dyDescent="0.45">
      <c r="A2747" s="3">
        <v>117702</v>
      </c>
      <c r="B2747" t="b">
        <v>0</v>
      </c>
      <c r="C2747" t="b">
        <v>0</v>
      </c>
      <c r="D2747" s="3">
        <v>1911</v>
      </c>
      <c r="E2747" s="3">
        <v>1911</v>
      </c>
      <c r="F2747" t="s">
        <v>2409</v>
      </c>
      <c r="G2747" t="s">
        <v>7</v>
      </c>
      <c r="H2747" s="3">
        <v>16.936900000000001</v>
      </c>
      <c r="I2747" t="s">
        <v>2410</v>
      </c>
      <c r="J2747" t="s">
        <v>14107</v>
      </c>
      <c r="L2747" t="s">
        <v>2411</v>
      </c>
      <c r="M2747" t="str">
        <f>"https://www.artic.edu/iiif/2/"&amp;Table9[[#This Row],[Image ID]]&amp;"/full/843,/0/default.jpg"</f>
        <v>https://www.artic.edu/iiif/2/e24cdf40-ac21-84f7-d884-26b9bf00add9/full/843,/0/default.jpg</v>
      </c>
      <c r="N2747" s="3">
        <v>0.65100000000000002</v>
      </c>
      <c r="O2747" s="3">
        <v>7.0000000000000007E-2</v>
      </c>
      <c r="P2747" s="3">
        <v>0.58099999999999996</v>
      </c>
      <c r="Q2747" s="3">
        <v>0.54872959852218595</v>
      </c>
    </row>
    <row r="2748" spans="1:17" x14ac:dyDescent="0.45">
      <c r="A2748" s="3">
        <v>15720</v>
      </c>
      <c r="B2748" t="b">
        <v>0</v>
      </c>
      <c r="C2748" t="b">
        <v>1</v>
      </c>
      <c r="D2748" s="3">
        <v>1790</v>
      </c>
      <c r="E2748" s="3">
        <v>1790</v>
      </c>
      <c r="F2748" t="s">
        <v>4107</v>
      </c>
      <c r="G2748" t="s">
        <v>75</v>
      </c>
      <c r="H2748" s="3">
        <v>37.237099999999998</v>
      </c>
      <c r="I2748" t="s">
        <v>4108</v>
      </c>
      <c r="J2748" t="s">
        <v>13271</v>
      </c>
      <c r="L2748" t="s">
        <v>4109</v>
      </c>
      <c r="M2748" t="str">
        <f>"https://www.artic.edu/iiif/2/"&amp;Table9[[#This Row],[Image ID]]&amp;"/full/843,/0/default.jpg"</f>
        <v>https://www.artic.edu/iiif/2/a2e9aad2-dd14-ae12-6c44-6811229b3619/full/843,/0/default.jpg</v>
      </c>
      <c r="N2748" s="3">
        <v>0.77500000000000002</v>
      </c>
      <c r="O2748" s="3">
        <v>0.19500000000000001</v>
      </c>
      <c r="P2748" s="3">
        <v>0.58000000000000007</v>
      </c>
      <c r="Q2748" s="3">
        <v>0.44751334190368602</v>
      </c>
    </row>
    <row r="2749" spans="1:17" x14ac:dyDescent="0.45">
      <c r="A2749" s="3">
        <v>39042</v>
      </c>
      <c r="B2749" t="b">
        <v>0</v>
      </c>
      <c r="C2749" t="b">
        <v>1</v>
      </c>
      <c r="D2749" s="3">
        <v>1818</v>
      </c>
      <c r="E2749" s="3">
        <v>1827</v>
      </c>
      <c r="F2749" t="s">
        <v>7392</v>
      </c>
      <c r="G2749" t="s">
        <v>7393</v>
      </c>
      <c r="H2749" s="3">
        <v>21.6844</v>
      </c>
      <c r="I2749" t="s">
        <v>1266</v>
      </c>
      <c r="J2749" t="s">
        <v>12059</v>
      </c>
      <c r="L2749" t="s">
        <v>7394</v>
      </c>
      <c r="M2749" t="str">
        <f>"https://www.artic.edu/iiif/2/"&amp;Table9[[#This Row],[Image ID]]&amp;"/full/843,/0/default.jpg"</f>
        <v>https://www.artic.edu/iiif/2/4a4b2cde-106f-b8c3-b09e-e1053c74d940/full/843,/0/default.jpg</v>
      </c>
      <c r="N2749" s="3">
        <v>0.75</v>
      </c>
      <c r="O2749" s="3">
        <v>0.17100000000000001</v>
      </c>
      <c r="P2749" s="3">
        <v>0.57899999999999996</v>
      </c>
      <c r="Q2749" s="3">
        <v>0.77045387029647805</v>
      </c>
    </row>
    <row r="2750" spans="1:17" x14ac:dyDescent="0.45">
      <c r="A2750" s="3">
        <v>80586</v>
      </c>
      <c r="B2750" t="b">
        <v>0</v>
      </c>
      <c r="C2750" t="b">
        <v>1</v>
      </c>
      <c r="D2750" s="3">
        <v>1912</v>
      </c>
      <c r="E2750" s="3">
        <v>1922</v>
      </c>
      <c r="F2750" t="s">
        <v>904</v>
      </c>
      <c r="G2750" t="s">
        <v>7</v>
      </c>
      <c r="H2750" s="3">
        <v>29.639299999999999</v>
      </c>
      <c r="I2750" t="s">
        <v>910</v>
      </c>
      <c r="J2750" t="s">
        <v>14139</v>
      </c>
      <c r="L2750" t="s">
        <v>10034</v>
      </c>
      <c r="M2750" t="str">
        <f>"https://www.artic.edu/iiif/2/"&amp;Table9[[#This Row],[Image ID]]&amp;"/full/843,/0/default.jpg"</f>
        <v>https://www.artic.edu/iiif/2/e458fc80-cb2e-f5c0-3c81-8c24b0bdc15b/full/843,/0/default.jpg</v>
      </c>
      <c r="N2750" s="3">
        <v>0.72499999999999998</v>
      </c>
      <c r="O2750" s="3">
        <v>0.14599999999999999</v>
      </c>
      <c r="P2750" s="3">
        <v>0.57899999999999996</v>
      </c>
      <c r="Q2750" s="3">
        <v>0.81553894281387296</v>
      </c>
    </row>
    <row r="2751" spans="1:17" x14ac:dyDescent="0.45">
      <c r="A2751" s="3">
        <v>5504</v>
      </c>
      <c r="B2751" t="b">
        <v>0</v>
      </c>
      <c r="C2751" t="b">
        <v>0</v>
      </c>
      <c r="D2751" s="3">
        <v>1701</v>
      </c>
      <c r="E2751" s="3">
        <v>1800</v>
      </c>
      <c r="F2751" t="s">
        <v>8316</v>
      </c>
      <c r="H2751" s="3">
        <v>33.24</v>
      </c>
      <c r="I2751" t="s">
        <v>8317</v>
      </c>
      <c r="L2751" t="s">
        <v>8318</v>
      </c>
      <c r="M2751" t="str">
        <f>"https://www.artic.edu/iiif/2/"&amp;Table9[[#This Row],[Image ID]]&amp;"/full/843,/0/default.jpg"</f>
        <v>https://www.artic.edu/iiif/2/707ae10c-f5ec-9577-4584-5453e601fca0/full/843,/0/default.jpg</v>
      </c>
      <c r="N2751" s="3">
        <v>0.72499999999999998</v>
      </c>
      <c r="O2751" s="3">
        <v>0.14599999999999999</v>
      </c>
      <c r="P2751" s="3">
        <v>0.57899999999999996</v>
      </c>
      <c r="Q2751" s="3">
        <v>0.65879148244857699</v>
      </c>
    </row>
    <row r="2752" spans="1:17" x14ac:dyDescent="0.45">
      <c r="A2752" s="3">
        <v>59967</v>
      </c>
      <c r="B2752" t="b">
        <v>0</v>
      </c>
      <c r="C2752" t="b">
        <v>0</v>
      </c>
      <c r="D2752" s="3">
        <v>1918</v>
      </c>
      <c r="E2752" s="3">
        <v>1928</v>
      </c>
      <c r="F2752" t="s">
        <v>8665</v>
      </c>
      <c r="G2752" t="s">
        <v>7</v>
      </c>
      <c r="H2752" s="3">
        <v>39.495899999999999</v>
      </c>
      <c r="I2752" t="s">
        <v>6262</v>
      </c>
      <c r="J2752" t="s">
        <v>12756</v>
      </c>
      <c r="L2752" t="s">
        <v>8666</v>
      </c>
      <c r="M2752" t="str">
        <f>"https://www.artic.edu/iiif/2/"&amp;Table9[[#This Row],[Image ID]]&amp;"/full/843,/0/default.jpg"</f>
        <v>https://www.artic.edu/iiif/2/7b3b8278-694a-f990-76e8-984573b36997/full/843,/0/default.jpg</v>
      </c>
      <c r="N2752" s="3">
        <v>0.72499999999999998</v>
      </c>
      <c r="O2752" s="3">
        <v>0.14599999999999999</v>
      </c>
      <c r="P2752" s="3">
        <v>0.57899999999999996</v>
      </c>
      <c r="Q2752" s="3">
        <v>0.60469925403594904</v>
      </c>
    </row>
    <row r="2753" spans="1:17" x14ac:dyDescent="0.45">
      <c r="A2753" s="3">
        <v>81551</v>
      </c>
      <c r="B2753" t="b">
        <v>0</v>
      </c>
      <c r="C2753" t="b">
        <v>1</v>
      </c>
      <c r="D2753" s="3">
        <v>1893</v>
      </c>
      <c r="E2753" s="3">
        <v>1893</v>
      </c>
      <c r="F2753" t="s">
        <v>10131</v>
      </c>
      <c r="G2753" t="s">
        <v>7</v>
      </c>
      <c r="H2753" s="3">
        <v>25.503499999999999</v>
      </c>
      <c r="I2753" t="s">
        <v>288</v>
      </c>
      <c r="J2753" t="s">
        <v>11184</v>
      </c>
      <c r="K2753" s="5" t="s">
        <v>9</v>
      </c>
      <c r="L2753" t="s">
        <v>10132</v>
      </c>
      <c r="M2753" t="str">
        <f>"https://www.artic.edu/iiif/2/"&amp;Table9[[#This Row],[Image ID]]&amp;"/full/843,/0/default.jpg"</f>
        <v>https://www.artic.edu/iiif/2/0ff20364-c795-c2ca-c1e8-e5a848f09554/full/843,/0/default.jpg</v>
      </c>
      <c r="N2753" s="3">
        <v>0.7</v>
      </c>
      <c r="O2753" s="3">
        <v>0.122</v>
      </c>
      <c r="P2753" s="3">
        <v>0.57799999999999996</v>
      </c>
      <c r="Q2753" s="3">
        <v>0.58789753913879395</v>
      </c>
    </row>
    <row r="2754" spans="1:17" x14ac:dyDescent="0.45">
      <c r="A2754" s="3">
        <v>874</v>
      </c>
      <c r="B2754" t="b">
        <v>0</v>
      </c>
      <c r="C2754" t="b">
        <v>1</v>
      </c>
      <c r="D2754" s="3">
        <v>1890</v>
      </c>
      <c r="E2754" s="3">
        <v>1900</v>
      </c>
      <c r="F2754" t="s">
        <v>2056</v>
      </c>
      <c r="G2754" t="s">
        <v>7</v>
      </c>
      <c r="H2754" s="3">
        <v>25.696300000000001</v>
      </c>
      <c r="I2754" t="s">
        <v>197</v>
      </c>
      <c r="J2754" t="s">
        <v>11827</v>
      </c>
      <c r="L2754" t="s">
        <v>10380</v>
      </c>
      <c r="M2754" t="str">
        <f>"https://www.artic.edu/iiif/2/"&amp;Table9[[#This Row],[Image ID]]&amp;"/full/843,/0/default.jpg"</f>
        <v>https://www.artic.edu/iiif/2/3a34f988-f779-2e96-1786-8945b6b9c87d/full/843,/0/default.jpg</v>
      </c>
      <c r="N2754" s="3">
        <v>0.7</v>
      </c>
      <c r="O2754" s="3">
        <v>0.122</v>
      </c>
      <c r="P2754" s="3">
        <v>0.57799999999999996</v>
      </c>
      <c r="Q2754" s="3">
        <v>0.48822343349456698</v>
      </c>
    </row>
    <row r="2755" spans="1:17" x14ac:dyDescent="0.45">
      <c r="A2755" s="3">
        <v>35175</v>
      </c>
      <c r="B2755" t="b">
        <v>0</v>
      </c>
      <c r="C2755" t="b">
        <v>1</v>
      </c>
      <c r="D2755" s="3">
        <v>1643</v>
      </c>
      <c r="E2755" s="3">
        <v>1643</v>
      </c>
      <c r="F2755" t="s">
        <v>7155</v>
      </c>
      <c r="G2755" t="s">
        <v>7</v>
      </c>
      <c r="H2755" s="3">
        <v>19.6677</v>
      </c>
      <c r="I2755" t="s">
        <v>7156</v>
      </c>
      <c r="J2755" t="s">
        <v>11998</v>
      </c>
      <c r="L2755" t="s">
        <v>7157</v>
      </c>
      <c r="M2755" t="str">
        <f>"https://www.artic.edu/iiif/2/"&amp;Table9[[#This Row],[Image ID]]&amp;"/full/843,/0/default.jpg"</f>
        <v>https://www.artic.edu/iiif/2/451ba11b-1cfc-da58-d7f7-ec7f8734ae83/full/843,/0/default.jpg</v>
      </c>
      <c r="N2755" s="3">
        <v>0.7</v>
      </c>
      <c r="O2755" s="3">
        <v>0.122</v>
      </c>
      <c r="P2755" s="3">
        <v>0.57799999999999996</v>
      </c>
      <c r="Q2755" s="3">
        <v>0.55743795633315996</v>
      </c>
    </row>
    <row r="2756" spans="1:17" x14ac:dyDescent="0.45">
      <c r="A2756" s="3">
        <v>81028</v>
      </c>
      <c r="B2756" t="b">
        <v>0</v>
      </c>
      <c r="C2756" t="b">
        <v>0</v>
      </c>
      <c r="D2756" s="3">
        <v>1899</v>
      </c>
      <c r="E2756" s="3">
        <v>1921</v>
      </c>
      <c r="F2756" t="s">
        <v>10070</v>
      </c>
      <c r="G2756" t="s">
        <v>10071</v>
      </c>
      <c r="H2756" s="3">
        <v>38.655099999999997</v>
      </c>
      <c r="I2756" t="s">
        <v>9926</v>
      </c>
      <c r="J2756" t="s">
        <v>13440</v>
      </c>
      <c r="L2756" t="s">
        <v>10072</v>
      </c>
      <c r="M2756" t="str">
        <f>"https://www.artic.edu/iiif/2/"&amp;Table9[[#This Row],[Image ID]]&amp;"/full/843,/0/default.jpg"</f>
        <v>https://www.artic.edu/iiif/2/af6c2cc2-aa2f-ab60-0264-140fe9d832a4/full/843,/0/default.jpg</v>
      </c>
      <c r="N2756" s="3">
        <v>0.7</v>
      </c>
      <c r="O2756" s="3">
        <v>0.122</v>
      </c>
      <c r="P2756" s="3">
        <v>0.57799999999999996</v>
      </c>
      <c r="Q2756" s="3">
        <v>0.63850748538970903</v>
      </c>
    </row>
    <row r="2757" spans="1:17" x14ac:dyDescent="0.45">
      <c r="A2757" s="3">
        <v>15279</v>
      </c>
      <c r="B2757" t="b">
        <v>0</v>
      </c>
      <c r="C2757" t="b">
        <v>1</v>
      </c>
      <c r="D2757" s="3">
        <v>1880</v>
      </c>
      <c r="E2757" s="3">
        <v>1890</v>
      </c>
      <c r="F2757" t="s">
        <v>3928</v>
      </c>
      <c r="G2757" t="s">
        <v>7</v>
      </c>
      <c r="H2757" s="3">
        <v>0</v>
      </c>
      <c r="I2757" t="s">
        <v>3929</v>
      </c>
      <c r="J2757" t="s">
        <v>11218</v>
      </c>
      <c r="L2757" t="s">
        <v>3930</v>
      </c>
      <c r="M2757" t="str">
        <f>"https://www.artic.edu/iiif/2/"&amp;Table9[[#This Row],[Image ID]]&amp;"/full/843,/0/default.jpg"</f>
        <v>https://www.artic.edu/iiif/2/12514262-7163-403d-80a2-2c64e57325f2/full/843,/0/default.jpg</v>
      </c>
      <c r="N2757" s="3">
        <v>0.65</v>
      </c>
      <c r="O2757" s="3">
        <v>7.2999999999999995E-2</v>
      </c>
      <c r="P2757" s="3">
        <v>0.57700000000000007</v>
      </c>
      <c r="Q2757" s="3">
        <v>0.48854306340217502</v>
      </c>
    </row>
    <row r="2758" spans="1:17" x14ac:dyDescent="0.45">
      <c r="A2758" s="3">
        <v>242024</v>
      </c>
      <c r="B2758" t="b">
        <v>0</v>
      </c>
      <c r="C2758" t="b">
        <v>1</v>
      </c>
      <c r="D2758" s="3">
        <v>1858</v>
      </c>
      <c r="E2758" s="3">
        <v>1858</v>
      </c>
      <c r="F2758" t="s">
        <v>6372</v>
      </c>
      <c r="G2758" t="s">
        <v>6373</v>
      </c>
      <c r="H2758" s="3">
        <v>24.253299999999999</v>
      </c>
      <c r="I2758" t="s">
        <v>2877</v>
      </c>
      <c r="J2758" t="s">
        <v>14493</v>
      </c>
      <c r="L2758" t="s">
        <v>6374</v>
      </c>
      <c r="M2758" t="str">
        <f>"https://www.artic.edu/iiif/2/"&amp;Table9[[#This Row],[Image ID]]&amp;"/full/843,/0/default.jpg"</f>
        <v>https://www.artic.edu/iiif/2/fcf63579-f9cd-746e-ee6d-9808cef7c6c1/full/843,/0/default.jpg</v>
      </c>
      <c r="N2758" s="3">
        <v>0.67500000000000004</v>
      </c>
      <c r="O2758" s="3">
        <v>9.8000000000000004E-2</v>
      </c>
      <c r="P2758" s="3">
        <v>0.57700000000000007</v>
      </c>
      <c r="Q2758" s="3">
        <v>0.60644191503524703</v>
      </c>
    </row>
    <row r="2759" spans="1:17" x14ac:dyDescent="0.45">
      <c r="A2759" s="3">
        <v>44852</v>
      </c>
      <c r="B2759" t="b">
        <v>0</v>
      </c>
      <c r="C2759" t="b">
        <v>0</v>
      </c>
      <c r="D2759" s="3">
        <v>1928</v>
      </c>
      <c r="E2759" s="3">
        <v>1938</v>
      </c>
      <c r="F2759" t="s">
        <v>14712</v>
      </c>
      <c r="G2759" t="s">
        <v>7803</v>
      </c>
      <c r="H2759" s="3">
        <v>58.463900000000002</v>
      </c>
      <c r="I2759" t="s">
        <v>14637</v>
      </c>
      <c r="J2759" t="s">
        <v>13934</v>
      </c>
      <c r="L2759" t="s">
        <v>7804</v>
      </c>
      <c r="M2759" t="str">
        <f>"https://www.artic.edu/iiif/2/"&amp;Table9[[#This Row],[Image ID]]&amp;"/full/843,/0/default.jpg"</f>
        <v>https://www.artic.edu/iiif/2/d6d442e8-4c4c-75d1-4e1a-06e536fabd4d/full/843,/0/default.jpg</v>
      </c>
      <c r="N2759" s="3">
        <v>0.67500000000000004</v>
      </c>
      <c r="O2759" s="3">
        <v>9.8000000000000004E-2</v>
      </c>
      <c r="P2759" s="3">
        <v>0.57700000000000007</v>
      </c>
      <c r="Q2759" s="3">
        <v>0.62932473421096802</v>
      </c>
    </row>
    <row r="2760" spans="1:17" x14ac:dyDescent="0.45">
      <c r="A2760" s="3">
        <v>145244</v>
      </c>
      <c r="B2760" t="b">
        <v>0</v>
      </c>
      <c r="C2760" t="b">
        <v>0</v>
      </c>
      <c r="D2760" s="3">
        <v>1919</v>
      </c>
      <c r="E2760" s="3">
        <v>1919</v>
      </c>
      <c r="F2760" t="s">
        <v>3351</v>
      </c>
      <c r="G2760" t="s">
        <v>3352</v>
      </c>
      <c r="H2760" s="3">
        <v>54.303199999999997</v>
      </c>
      <c r="I2760" t="s">
        <v>40</v>
      </c>
      <c r="J2760" t="s">
        <v>13872</v>
      </c>
      <c r="L2760" t="s">
        <v>3353</v>
      </c>
      <c r="M2760" t="str">
        <f>"https://www.artic.edu/iiif/2/"&amp;Table9[[#This Row],[Image ID]]&amp;"/full/843,/0/default.jpg"</f>
        <v>https://www.artic.edu/iiif/2/d308a86f-44fd-c4f0-5cf9-e746590a1d40/full/843,/0/default.jpg</v>
      </c>
      <c r="N2760" s="3">
        <v>0.625</v>
      </c>
      <c r="O2760" s="3">
        <v>4.9000000000000002E-2</v>
      </c>
      <c r="P2760" s="3">
        <v>0.57599999999999996</v>
      </c>
      <c r="Q2760" s="3">
        <v>0.81778585910797097</v>
      </c>
    </row>
    <row r="2761" spans="1:17" x14ac:dyDescent="0.45">
      <c r="A2761" s="3">
        <v>114043</v>
      </c>
      <c r="B2761" t="b">
        <v>0</v>
      </c>
      <c r="C2761" t="b">
        <v>1</v>
      </c>
      <c r="D2761" s="3">
        <v>1747</v>
      </c>
      <c r="E2761" s="3">
        <v>1785</v>
      </c>
      <c r="F2761" t="s">
        <v>1540</v>
      </c>
      <c r="G2761" t="s">
        <v>1541</v>
      </c>
      <c r="H2761" s="3">
        <v>33.862000000000002</v>
      </c>
      <c r="I2761" t="s">
        <v>1542</v>
      </c>
      <c r="J2761" t="s">
        <v>11051</v>
      </c>
      <c r="L2761" t="s">
        <v>1543</v>
      </c>
      <c r="M2761" t="str">
        <f>"https://www.artic.edu/iiif/2/"&amp;Table9[[#This Row],[Image ID]]&amp;"/full/843,/0/default.jpg"</f>
        <v>https://www.artic.edu/iiif/2/05403685-9b2a-8782-0e7a-a3d5b5fb8595/full/843,/0/default.jpg</v>
      </c>
      <c r="N2761" s="3">
        <v>0.67500000000000004</v>
      </c>
      <c r="O2761" s="3">
        <v>0.1</v>
      </c>
      <c r="P2761" s="3">
        <v>0.57500000000000007</v>
      </c>
      <c r="Q2761" s="3">
        <v>0.81992536783218295</v>
      </c>
    </row>
    <row r="2762" spans="1:17" x14ac:dyDescent="0.45">
      <c r="A2762" s="3">
        <v>880</v>
      </c>
      <c r="B2762" t="b">
        <v>0</v>
      </c>
      <c r="C2762" t="b">
        <v>1</v>
      </c>
      <c r="D2762" s="3">
        <v>1871</v>
      </c>
      <c r="E2762" s="3">
        <v>1871</v>
      </c>
      <c r="F2762" t="s">
        <v>3437</v>
      </c>
      <c r="G2762" t="s">
        <v>75</v>
      </c>
      <c r="H2762" s="3">
        <v>28.020499999999998</v>
      </c>
      <c r="I2762" t="s">
        <v>14669</v>
      </c>
      <c r="J2762" t="s">
        <v>11181</v>
      </c>
      <c r="L2762" t="s">
        <v>10408</v>
      </c>
      <c r="M2762" t="str">
        <f>"https://www.artic.edu/iiif/2/"&amp;Table9[[#This Row],[Image ID]]&amp;"/full/843,/0/default.jpg"</f>
        <v>https://www.artic.edu/iiif/2/0faa1fea-aaaa-83bf-8324-8b7f90266dd2/full/843,/0/default.jpg</v>
      </c>
      <c r="N2762" s="3">
        <v>0.8</v>
      </c>
      <c r="O2762" s="3">
        <v>0.22500000000000001</v>
      </c>
      <c r="P2762" s="3">
        <v>0.57500000000000007</v>
      </c>
      <c r="Q2762" s="3">
        <v>0.524680376052856</v>
      </c>
    </row>
    <row r="2763" spans="1:17" x14ac:dyDescent="0.45">
      <c r="A2763" s="3">
        <v>16309</v>
      </c>
      <c r="B2763" t="b">
        <v>0</v>
      </c>
      <c r="C2763" t="b">
        <v>1</v>
      </c>
      <c r="D2763" s="3">
        <v>1490</v>
      </c>
      <c r="E2763" s="3">
        <v>1500</v>
      </c>
      <c r="F2763" t="s">
        <v>14557</v>
      </c>
      <c r="G2763" t="s">
        <v>75</v>
      </c>
      <c r="H2763" s="3">
        <v>55.389200000000002</v>
      </c>
      <c r="I2763" t="s">
        <v>1007</v>
      </c>
      <c r="J2763" t="s">
        <v>11188</v>
      </c>
      <c r="L2763" t="s">
        <v>4354</v>
      </c>
      <c r="M2763" t="str">
        <f>"https://www.artic.edu/iiif/2/"&amp;Table9[[#This Row],[Image ID]]&amp;"/full/843,/0/default.jpg"</f>
        <v>https://www.artic.edu/iiif/2/107b6ab1-0554-535c-6f55-788e4fd90f37/full/843,/0/default.jpg</v>
      </c>
      <c r="N2763" s="3">
        <v>0.67500000000000004</v>
      </c>
      <c r="O2763" s="3">
        <v>0.1</v>
      </c>
      <c r="P2763" s="3">
        <v>0.57500000000000007</v>
      </c>
      <c r="Q2763" s="3">
        <v>0.85488319396972601</v>
      </c>
    </row>
    <row r="2764" spans="1:17" x14ac:dyDescent="0.45">
      <c r="A2764" s="3">
        <v>19112</v>
      </c>
      <c r="B2764" t="b">
        <v>0</v>
      </c>
      <c r="C2764" t="b">
        <v>1</v>
      </c>
      <c r="D2764" s="3">
        <v>1705</v>
      </c>
      <c r="E2764" s="3">
        <v>1715</v>
      </c>
      <c r="F2764" t="s">
        <v>5187</v>
      </c>
      <c r="G2764" t="s">
        <v>2314</v>
      </c>
      <c r="H2764" s="3">
        <v>11.522399999999999</v>
      </c>
      <c r="I2764" t="s">
        <v>2968</v>
      </c>
      <c r="J2764" t="s">
        <v>11222</v>
      </c>
      <c r="K2764" s="5" t="s">
        <v>13</v>
      </c>
      <c r="L2764" t="s">
        <v>5188</v>
      </c>
      <c r="M2764" t="str">
        <f>"https://www.artic.edu/iiif/2/"&amp;Table9[[#This Row],[Image ID]]&amp;"/full/843,/0/default.jpg"</f>
        <v>https://www.artic.edu/iiif/2/126fb1b6-17b4-f3d5-fc29-dd6672eabd12/full/843,/0/default.jpg</v>
      </c>
      <c r="N2764" s="3">
        <v>0.65</v>
      </c>
      <c r="O2764" s="3">
        <v>7.4999999999999997E-2</v>
      </c>
      <c r="P2764" s="3">
        <v>0.57500000000000007</v>
      </c>
      <c r="Q2764" s="3">
        <v>0.67390495538711503</v>
      </c>
    </row>
    <row r="2765" spans="1:17" x14ac:dyDescent="0.45">
      <c r="A2765" s="3">
        <v>93783</v>
      </c>
      <c r="B2765" t="b">
        <v>0</v>
      </c>
      <c r="C2765" t="b">
        <v>1</v>
      </c>
      <c r="D2765" s="3">
        <v>1795</v>
      </c>
      <c r="E2765" s="3">
        <v>1805</v>
      </c>
      <c r="F2765" t="s">
        <v>10609</v>
      </c>
      <c r="G2765" t="s">
        <v>7</v>
      </c>
      <c r="H2765" s="3">
        <v>29.4679</v>
      </c>
      <c r="I2765" t="s">
        <v>1726</v>
      </c>
      <c r="J2765" t="s">
        <v>11473</v>
      </c>
      <c r="L2765" t="s">
        <v>10610</v>
      </c>
      <c r="M2765" t="str">
        <f>"https://www.artic.edu/iiif/2/"&amp;Table9[[#This Row],[Image ID]]&amp;"/full/843,/0/default.jpg"</f>
        <v>https://www.artic.edu/iiif/2/2308f4e9-7554-872a-a7bb-5835ef7d7d7f/full/843,/0/default.jpg</v>
      </c>
      <c r="N2765" s="3">
        <v>0.67500000000000004</v>
      </c>
      <c r="O2765" s="3">
        <v>0.1</v>
      </c>
      <c r="P2765" s="3">
        <v>0.57500000000000007</v>
      </c>
      <c r="Q2765" s="3">
        <v>0.67881268262863104</v>
      </c>
    </row>
    <row r="2766" spans="1:17" x14ac:dyDescent="0.45">
      <c r="A2766" s="3">
        <v>152437</v>
      </c>
      <c r="B2766" t="b">
        <v>0</v>
      </c>
      <c r="C2766" t="b">
        <v>1</v>
      </c>
      <c r="D2766" s="3">
        <v>1906</v>
      </c>
      <c r="E2766" s="3">
        <v>1906</v>
      </c>
      <c r="F2766" t="s">
        <v>3891</v>
      </c>
      <c r="G2766" t="s">
        <v>7</v>
      </c>
      <c r="H2766" s="3">
        <v>13.781599999999999</v>
      </c>
      <c r="I2766" t="s">
        <v>3892</v>
      </c>
      <c r="J2766" t="s">
        <v>11613</v>
      </c>
      <c r="L2766" t="s">
        <v>3893</v>
      </c>
      <c r="M2766" t="str">
        <f>"https://www.artic.edu/iiif/2/"&amp;Table9[[#This Row],[Image ID]]&amp;"/full/843,/0/default.jpg"</f>
        <v>https://www.artic.edu/iiif/2/2b99326e-ba24-a0d4-1be3-d32c89143d36/full/843,/0/default.jpg</v>
      </c>
      <c r="N2766" s="3">
        <v>0.67500000000000004</v>
      </c>
      <c r="O2766" s="3">
        <v>0.1</v>
      </c>
      <c r="P2766" s="3">
        <v>0.57500000000000007</v>
      </c>
      <c r="Q2766" s="3">
        <v>0.42991393804550099</v>
      </c>
    </row>
    <row r="2767" spans="1:17" x14ac:dyDescent="0.45">
      <c r="A2767" s="3">
        <v>16237</v>
      </c>
      <c r="B2767" t="b">
        <v>0</v>
      </c>
      <c r="C2767" t="b">
        <v>1</v>
      </c>
      <c r="D2767" s="3">
        <v>1265</v>
      </c>
      <c r="E2767" s="3">
        <v>1275</v>
      </c>
      <c r="F2767" t="s">
        <v>201</v>
      </c>
      <c r="G2767" t="s">
        <v>103</v>
      </c>
      <c r="H2767" s="3">
        <v>54.602899999999998</v>
      </c>
      <c r="J2767" t="s">
        <v>11809</v>
      </c>
      <c r="L2767" t="s">
        <v>4322</v>
      </c>
      <c r="M2767" t="str">
        <f>"https://www.artic.edu/iiif/2/"&amp;Table9[[#This Row],[Image ID]]&amp;"/full/843,/0/default.jpg"</f>
        <v>https://www.artic.edu/iiif/2/3952a506-2776-5613-1693-e5c96c4708f2/full/843,/0/default.jpg</v>
      </c>
      <c r="N2767" s="3">
        <v>0.65</v>
      </c>
      <c r="O2767" s="3">
        <v>7.4999999999999997E-2</v>
      </c>
      <c r="P2767" s="3">
        <v>0.57500000000000007</v>
      </c>
      <c r="Q2767" s="3">
        <v>0.80153828859329201</v>
      </c>
    </row>
    <row r="2768" spans="1:17" x14ac:dyDescent="0.45">
      <c r="A2768" s="3">
        <v>75974</v>
      </c>
      <c r="B2768" t="b">
        <v>0</v>
      </c>
      <c r="C2768" t="b">
        <v>1</v>
      </c>
      <c r="D2768" s="3">
        <v>1565</v>
      </c>
      <c r="E2768" s="3">
        <v>1575</v>
      </c>
      <c r="F2768" t="s">
        <v>9764</v>
      </c>
      <c r="G2768" t="s">
        <v>7</v>
      </c>
      <c r="H2768" s="3">
        <v>9.1937999999999995</v>
      </c>
      <c r="I2768" t="s">
        <v>7654</v>
      </c>
      <c r="J2768" t="s">
        <v>12048</v>
      </c>
      <c r="L2768" t="s">
        <v>9765</v>
      </c>
      <c r="M2768" t="str">
        <f>"https://www.artic.edu/iiif/2/"&amp;Table9[[#This Row],[Image ID]]&amp;"/full/843,/0/default.jpg"</f>
        <v>https://www.artic.edu/iiif/2/494a09fc-407c-8329-06b3-fbf364a594b2/full/843,/0/default.jpg</v>
      </c>
      <c r="N2768" s="3">
        <v>0.92500000000000004</v>
      </c>
      <c r="O2768" s="3">
        <v>0.35</v>
      </c>
      <c r="P2768" s="3">
        <v>0.57500000000000007</v>
      </c>
      <c r="Q2768" s="3">
        <v>0.79727780818939198</v>
      </c>
    </row>
    <row r="2769" spans="1:17" x14ac:dyDescent="0.45">
      <c r="A2769" s="3">
        <v>100354</v>
      </c>
      <c r="B2769" t="b">
        <v>0</v>
      </c>
      <c r="C2769" t="b">
        <v>1</v>
      </c>
      <c r="D2769" s="3">
        <v>1440</v>
      </c>
      <c r="E2769" s="3">
        <v>1455</v>
      </c>
      <c r="F2769" t="s">
        <v>102</v>
      </c>
      <c r="G2769" t="s">
        <v>103</v>
      </c>
      <c r="H2769" s="3">
        <v>50.540500000000002</v>
      </c>
      <c r="I2769" t="s">
        <v>104</v>
      </c>
      <c r="J2769" t="s">
        <v>12083</v>
      </c>
      <c r="L2769" t="s">
        <v>105</v>
      </c>
      <c r="M2769" t="str">
        <f>"https://www.artic.edu/iiif/2/"&amp;Table9[[#This Row],[Image ID]]&amp;"/full/843,/0/default.jpg"</f>
        <v>https://www.artic.edu/iiif/2/4c673558-2a11-d484-fd72-026e7618bcfd/full/843,/0/default.jpg</v>
      </c>
      <c r="N2769" s="3">
        <v>0.67500000000000004</v>
      </c>
      <c r="O2769" s="3">
        <v>0.1</v>
      </c>
      <c r="P2769" s="3">
        <v>0.57500000000000007</v>
      </c>
      <c r="Q2769" s="3">
        <v>0.62720751762390103</v>
      </c>
    </row>
    <row r="2770" spans="1:17" x14ac:dyDescent="0.45">
      <c r="A2770" s="3">
        <v>110541</v>
      </c>
      <c r="B2770" t="b">
        <v>0</v>
      </c>
      <c r="C2770" t="b">
        <v>1</v>
      </c>
      <c r="D2770" s="3">
        <v>1871</v>
      </c>
      <c r="E2770" s="3">
        <v>1871</v>
      </c>
      <c r="F2770" t="s">
        <v>359</v>
      </c>
      <c r="G2770" t="s">
        <v>7</v>
      </c>
      <c r="H2770" s="3">
        <v>15.1813</v>
      </c>
      <c r="I2770" t="s">
        <v>288</v>
      </c>
      <c r="J2770" t="s">
        <v>12118</v>
      </c>
      <c r="K2770" s="5" t="s">
        <v>9</v>
      </c>
      <c r="L2770" t="s">
        <v>903</v>
      </c>
      <c r="M2770" t="str">
        <f>"https://www.artic.edu/iiif/2/"&amp;Table9[[#This Row],[Image ID]]&amp;"/full/843,/0/default.jpg"</f>
        <v>https://www.artic.edu/iiif/2/4eb368b5-3b66-ae2c-bd4a-2643015e05fc/full/843,/0/default.jpg</v>
      </c>
      <c r="N2770" s="3">
        <v>0.8</v>
      </c>
      <c r="O2770" s="3">
        <v>0.22500000000000001</v>
      </c>
      <c r="P2770" s="3">
        <v>0.57500000000000007</v>
      </c>
      <c r="Q2770" s="3">
        <v>0.54388970136642401</v>
      </c>
    </row>
    <row r="2771" spans="1:17" x14ac:dyDescent="0.45">
      <c r="A2771" s="3">
        <v>61258</v>
      </c>
      <c r="B2771" t="b">
        <v>0</v>
      </c>
      <c r="C2771" t="b">
        <v>1</v>
      </c>
      <c r="D2771" s="3">
        <v>1815</v>
      </c>
      <c r="E2771" s="3">
        <v>1825</v>
      </c>
      <c r="F2771" t="s">
        <v>8794</v>
      </c>
      <c r="G2771" t="s">
        <v>8795</v>
      </c>
      <c r="H2771" s="3">
        <v>38.578299999999999</v>
      </c>
      <c r="I2771" t="s">
        <v>4642</v>
      </c>
      <c r="J2771" t="s">
        <v>12201</v>
      </c>
      <c r="L2771" t="s">
        <v>8796</v>
      </c>
      <c r="M2771" t="str">
        <f>"https://www.artic.edu/iiif/2/"&amp;Table9[[#This Row],[Image ID]]&amp;"/full/843,/0/default.jpg"</f>
        <v>https://www.artic.edu/iiif/2/54163ffb-d3a7-f614-2f74-9c35692c296e/full/843,/0/default.jpg</v>
      </c>
      <c r="N2771" s="3">
        <v>0.65</v>
      </c>
      <c r="O2771" s="3">
        <v>7.4999999999999997E-2</v>
      </c>
      <c r="P2771" s="3">
        <v>0.57500000000000007</v>
      </c>
      <c r="Q2771" s="3">
        <v>0.44409245252609197</v>
      </c>
    </row>
    <row r="2772" spans="1:17" x14ac:dyDescent="0.45">
      <c r="A2772" s="3">
        <v>94127</v>
      </c>
      <c r="B2772" t="b">
        <v>0</v>
      </c>
      <c r="C2772" t="b">
        <v>1</v>
      </c>
      <c r="D2772" s="3">
        <v>1848</v>
      </c>
      <c r="E2772" s="3">
        <v>1848</v>
      </c>
      <c r="F2772" t="s">
        <v>10733</v>
      </c>
      <c r="G2772" t="s">
        <v>7</v>
      </c>
      <c r="H2772" s="3">
        <v>30.317599999999999</v>
      </c>
      <c r="I2772" t="s">
        <v>908</v>
      </c>
      <c r="J2772" t="s">
        <v>12664</v>
      </c>
      <c r="L2772" t="s">
        <v>10734</v>
      </c>
      <c r="M2772" t="str">
        <f>"https://www.artic.edu/iiif/2/"&amp;Table9[[#This Row],[Image ID]]&amp;"/full/843,/0/default.jpg"</f>
        <v>https://www.artic.edu/iiif/2/74688577-011f-6b8f-bab7-ac459cb9c889/full/843,/0/default.jpg</v>
      </c>
      <c r="N2772" s="3">
        <v>0.8</v>
      </c>
      <c r="O2772" s="3">
        <v>0.22500000000000001</v>
      </c>
      <c r="P2772" s="3">
        <v>0.57500000000000007</v>
      </c>
      <c r="Q2772" s="3">
        <v>0.53056406974792403</v>
      </c>
    </row>
    <row r="2773" spans="1:17" x14ac:dyDescent="0.45">
      <c r="A2773" s="3">
        <v>52563</v>
      </c>
      <c r="B2773" t="b">
        <v>0</v>
      </c>
      <c r="C2773" t="b">
        <v>1</v>
      </c>
      <c r="D2773" s="3">
        <v>1835</v>
      </c>
      <c r="E2773" s="3">
        <v>1891</v>
      </c>
      <c r="F2773" t="s">
        <v>8187</v>
      </c>
      <c r="G2773" t="s">
        <v>8188</v>
      </c>
      <c r="H2773" s="3">
        <v>20.440799999999999</v>
      </c>
      <c r="I2773" t="s">
        <v>3081</v>
      </c>
      <c r="J2773" t="s">
        <v>12765</v>
      </c>
      <c r="L2773" t="s">
        <v>8189</v>
      </c>
      <c r="M2773" t="str">
        <f>"https://www.artic.edu/iiif/2/"&amp;Table9[[#This Row],[Image ID]]&amp;"/full/843,/0/default.jpg"</f>
        <v>https://www.artic.edu/iiif/2/7c3ea0e2-4c31-e22a-e08c-e6eb6fef1597/full/843,/0/default.jpg</v>
      </c>
      <c r="N2773" s="3">
        <v>0.65</v>
      </c>
      <c r="O2773" s="3">
        <v>7.4999999999999997E-2</v>
      </c>
      <c r="P2773" s="3">
        <v>0.57500000000000007</v>
      </c>
      <c r="Q2773" s="3">
        <v>0.83943647146224898</v>
      </c>
    </row>
    <row r="2774" spans="1:17" x14ac:dyDescent="0.45">
      <c r="A2774" s="3">
        <v>115216</v>
      </c>
      <c r="B2774" t="b">
        <v>0</v>
      </c>
      <c r="C2774" t="b">
        <v>1</v>
      </c>
      <c r="D2774" s="3">
        <v>1852</v>
      </c>
      <c r="E2774" s="3">
        <v>1852</v>
      </c>
      <c r="F2774" t="s">
        <v>1874</v>
      </c>
      <c r="G2774" t="s">
        <v>164</v>
      </c>
      <c r="H2774" s="3">
        <v>37.934699999999999</v>
      </c>
      <c r="I2774" t="s">
        <v>1555</v>
      </c>
      <c r="J2774" t="s">
        <v>12928</v>
      </c>
      <c r="L2774" t="s">
        <v>1875</v>
      </c>
      <c r="M2774" t="str">
        <f>"https://www.artic.edu/iiif/2/"&amp;Table9[[#This Row],[Image ID]]&amp;"/full/843,/0/default.jpg"</f>
        <v>https://www.artic.edu/iiif/2/8863c643-4d5e-eaeb-9427-3db4971dd10c/full/843,/0/default.jpg</v>
      </c>
      <c r="N2774" s="3">
        <v>0.65</v>
      </c>
      <c r="O2774" s="3">
        <v>7.4999999999999997E-2</v>
      </c>
      <c r="P2774" s="3">
        <v>0.57500000000000007</v>
      </c>
      <c r="Q2774" s="3">
        <v>0.81506741046905495</v>
      </c>
    </row>
    <row r="2775" spans="1:17" x14ac:dyDescent="0.45">
      <c r="A2775" s="3">
        <v>115196</v>
      </c>
      <c r="B2775" t="b">
        <v>0</v>
      </c>
      <c r="C2775" t="b">
        <v>1</v>
      </c>
      <c r="D2775" s="3">
        <v>1843</v>
      </c>
      <c r="E2775" s="3">
        <v>1843</v>
      </c>
      <c r="F2775" t="s">
        <v>1836</v>
      </c>
      <c r="G2775" t="s">
        <v>1837</v>
      </c>
      <c r="H2775" s="3">
        <v>15.661099999999999</v>
      </c>
      <c r="I2775" t="s">
        <v>1555</v>
      </c>
      <c r="J2775" t="s">
        <v>13600</v>
      </c>
      <c r="L2775" t="s">
        <v>1838</v>
      </c>
      <c r="M2775" t="str">
        <f>"https://www.artic.edu/iiif/2/"&amp;Table9[[#This Row],[Image ID]]&amp;"/full/843,/0/default.jpg"</f>
        <v>https://www.artic.edu/iiif/2/bca578d6-db35-d7b3-8168-517c8146c1de/full/843,/0/default.jpg</v>
      </c>
      <c r="N2775" s="3">
        <v>0.67500000000000004</v>
      </c>
      <c r="O2775" s="3">
        <v>0.1</v>
      </c>
      <c r="P2775" s="3">
        <v>0.57500000000000007</v>
      </c>
      <c r="Q2775" s="3">
        <v>0.70648097991943304</v>
      </c>
    </row>
    <row r="2776" spans="1:17" x14ac:dyDescent="0.45">
      <c r="A2776" s="3">
        <v>16785</v>
      </c>
      <c r="B2776" t="b">
        <v>0</v>
      </c>
      <c r="C2776" t="b">
        <v>1</v>
      </c>
      <c r="D2776" s="3">
        <v>1890</v>
      </c>
      <c r="E2776" s="3">
        <v>1890</v>
      </c>
      <c r="F2776" t="s">
        <v>4574</v>
      </c>
      <c r="G2776" t="s">
        <v>4575</v>
      </c>
      <c r="H2776" s="3">
        <v>19.026700000000002</v>
      </c>
      <c r="I2776" t="s">
        <v>1337</v>
      </c>
      <c r="J2776" t="s">
        <v>13318</v>
      </c>
      <c r="L2776" t="s">
        <v>4576</v>
      </c>
      <c r="M2776" t="str">
        <f>"https://www.artic.edu/iiif/2/"&amp;Table9[[#This Row],[Image ID]]&amp;"/full/843,/0/default.jpg"</f>
        <v>https://www.artic.edu/iiif/2/c3152f34-b272-5bc5-bf52-031c467bb57a/full/843,/0/default.jpg</v>
      </c>
      <c r="N2776" s="3">
        <v>0.65</v>
      </c>
      <c r="O2776" s="3">
        <v>7.4999999999999997E-2</v>
      </c>
      <c r="P2776" s="3">
        <v>0.57500000000000007</v>
      </c>
      <c r="Q2776" s="3">
        <v>0.71958357095718295</v>
      </c>
    </row>
    <row r="2777" spans="1:17" x14ac:dyDescent="0.45">
      <c r="A2777" s="3">
        <v>21771</v>
      </c>
      <c r="B2777" t="b">
        <v>0</v>
      </c>
      <c r="C2777" t="b">
        <v>1</v>
      </c>
      <c r="D2777" s="3">
        <v>1791</v>
      </c>
      <c r="E2777" s="3">
        <v>1791</v>
      </c>
      <c r="F2777" t="s">
        <v>5741</v>
      </c>
      <c r="G2777" t="s">
        <v>5742</v>
      </c>
      <c r="H2777" s="3">
        <v>26.849699999999999</v>
      </c>
      <c r="I2777" t="s">
        <v>1266</v>
      </c>
      <c r="J2777" t="s">
        <v>13697</v>
      </c>
      <c r="L2777" t="s">
        <v>5743</v>
      </c>
      <c r="M2777" t="str">
        <f>"https://www.artic.edu/iiif/2/"&amp;Table9[[#This Row],[Image ID]]&amp;"/full/843,/0/default.jpg"</f>
        <v>https://www.artic.edu/iiif/2/c47e06bd-564e-5c98-196f-d8b3cc611af0/full/843,/0/default.jpg</v>
      </c>
      <c r="N2777" s="3">
        <v>0.8</v>
      </c>
      <c r="O2777" s="3">
        <v>0.22500000000000001</v>
      </c>
      <c r="P2777" s="3">
        <v>0.57500000000000007</v>
      </c>
      <c r="Q2777" s="3">
        <v>0.66216564178466797</v>
      </c>
    </row>
    <row r="2778" spans="1:17" x14ac:dyDescent="0.45">
      <c r="A2778" s="3">
        <v>72359</v>
      </c>
      <c r="B2778" t="b">
        <v>0</v>
      </c>
      <c r="C2778" t="b">
        <v>1</v>
      </c>
      <c r="D2778" s="3">
        <v>1795</v>
      </c>
      <c r="E2778" s="3">
        <v>1851</v>
      </c>
      <c r="F2778" t="s">
        <v>14</v>
      </c>
      <c r="G2778" t="s">
        <v>9563</v>
      </c>
      <c r="H2778" s="3">
        <v>30.537099999999999</v>
      </c>
      <c r="I2778" t="s">
        <v>868</v>
      </c>
      <c r="J2778" t="s">
        <v>13749</v>
      </c>
      <c r="L2778" t="s">
        <v>9564</v>
      </c>
      <c r="M2778" t="str">
        <f>"https://www.artic.edu/iiif/2/"&amp;Table9[[#This Row],[Image ID]]&amp;"/full/843,/0/default.jpg"</f>
        <v>https://www.artic.edu/iiif/2/c7f25a3f-9ac1-ff9e-7576-0289daa9f7e3/full/843,/0/default.jpg</v>
      </c>
      <c r="N2778" s="3">
        <v>0.65</v>
      </c>
      <c r="O2778" s="3">
        <v>7.4999999999999997E-2</v>
      </c>
      <c r="P2778" s="3">
        <v>0.57500000000000007</v>
      </c>
      <c r="Q2778" s="3">
        <v>0.74594223499298096</v>
      </c>
    </row>
    <row r="2779" spans="1:17" x14ac:dyDescent="0.45">
      <c r="A2779" s="3">
        <v>114328</v>
      </c>
      <c r="B2779" t="b">
        <v>0</v>
      </c>
      <c r="C2779" t="b">
        <v>1</v>
      </c>
      <c r="D2779" s="3">
        <v>1800</v>
      </c>
      <c r="E2779" s="3">
        <v>1899</v>
      </c>
      <c r="F2779" t="s">
        <v>1614</v>
      </c>
      <c r="G2779" t="s">
        <v>1615</v>
      </c>
      <c r="H2779" s="3">
        <v>26.732500000000002</v>
      </c>
      <c r="I2779" t="s">
        <v>16</v>
      </c>
      <c r="J2779" t="s">
        <v>13816</v>
      </c>
      <c r="L2779" t="s">
        <v>1616</v>
      </c>
      <c r="M2779" t="str">
        <f>"https://www.artic.edu/iiif/2/"&amp;Table9[[#This Row],[Image ID]]&amp;"/full/843,/0/default.jpg"</f>
        <v>https://www.artic.edu/iiif/2/cd694d77-69d1-5638-098d-c67cc048ea9e/full/843,/0/default.jpg</v>
      </c>
      <c r="N2779" s="3">
        <v>0.67500000000000004</v>
      </c>
      <c r="O2779" s="3">
        <v>0.1</v>
      </c>
      <c r="P2779" s="3">
        <v>0.57500000000000007</v>
      </c>
      <c r="Q2779" s="3">
        <v>0.54758399724960305</v>
      </c>
    </row>
    <row r="2780" spans="1:17" x14ac:dyDescent="0.45">
      <c r="A2780" s="3">
        <v>115227</v>
      </c>
      <c r="B2780" t="b">
        <v>0</v>
      </c>
      <c r="C2780" t="b">
        <v>1</v>
      </c>
      <c r="D2780" s="3">
        <v>1848</v>
      </c>
      <c r="E2780" s="3">
        <v>1848</v>
      </c>
      <c r="F2780" t="s">
        <v>1892</v>
      </c>
      <c r="G2780" t="s">
        <v>1893</v>
      </c>
      <c r="H2780" s="3">
        <v>25.820599999999999</v>
      </c>
      <c r="I2780" t="s">
        <v>1555</v>
      </c>
      <c r="J2780" t="s">
        <v>11496</v>
      </c>
      <c r="L2780" t="s">
        <v>1894</v>
      </c>
      <c r="M2780" t="str">
        <f>"https://www.artic.edu/iiif/2/"&amp;Table9[[#This Row],[Image ID]]&amp;"/full/843,/0/default.jpg"</f>
        <v>https://www.artic.edu/iiif/2/d07ff858-7ff6-0832-4346-841f1873899a/full/843,/0/default.jpg</v>
      </c>
      <c r="N2780" s="3">
        <v>0.65</v>
      </c>
      <c r="O2780" s="3">
        <v>7.4999999999999997E-2</v>
      </c>
      <c r="P2780" s="3">
        <v>0.57500000000000007</v>
      </c>
      <c r="Q2780" s="3">
        <v>0.73516952991485596</v>
      </c>
    </row>
    <row r="2781" spans="1:17" x14ac:dyDescent="0.45">
      <c r="A2781" s="3">
        <v>31884</v>
      </c>
      <c r="B2781" t="b">
        <v>0</v>
      </c>
      <c r="C2781" t="b">
        <v>1</v>
      </c>
      <c r="D2781" s="3">
        <v>1300</v>
      </c>
      <c r="E2781" s="3">
        <v>1500</v>
      </c>
      <c r="F2781" t="s">
        <v>7031</v>
      </c>
      <c r="G2781" t="s">
        <v>3858</v>
      </c>
      <c r="H2781" s="3">
        <v>37.845399999999998</v>
      </c>
      <c r="J2781" t="s">
        <v>13867</v>
      </c>
      <c r="K2781" s="5" t="s">
        <v>278</v>
      </c>
      <c r="L2781" t="s">
        <v>7032</v>
      </c>
      <c r="M2781" t="str">
        <f>"https://www.artic.edu/iiif/2/"&amp;Table9[[#This Row],[Image ID]]&amp;"/full/843,/0/default.jpg"</f>
        <v>https://www.artic.edu/iiif/2/d258b6e5-ace8-dda7-b8b4-360dcdfab059/full/843,/0/default.jpg</v>
      </c>
      <c r="N2781" s="3">
        <v>0.67500000000000004</v>
      </c>
      <c r="O2781" s="3">
        <v>0.1</v>
      </c>
      <c r="P2781" s="3">
        <v>0.57500000000000007</v>
      </c>
      <c r="Q2781" s="3">
        <v>0.80839335918426503</v>
      </c>
    </row>
    <row r="2782" spans="1:17" x14ac:dyDescent="0.45">
      <c r="A2782" s="3">
        <v>36257</v>
      </c>
      <c r="B2782" t="b">
        <v>0</v>
      </c>
      <c r="C2782" t="b">
        <v>0</v>
      </c>
      <c r="D2782" s="3">
        <v>1971</v>
      </c>
      <c r="E2782" s="3">
        <v>1971</v>
      </c>
      <c r="F2782" t="s">
        <v>11</v>
      </c>
      <c r="G2782" t="s">
        <v>7215</v>
      </c>
      <c r="H2782" s="3">
        <v>0</v>
      </c>
      <c r="I2782" t="s">
        <v>7216</v>
      </c>
      <c r="J2782" t="s">
        <v>11006</v>
      </c>
      <c r="L2782" t="s">
        <v>7217</v>
      </c>
      <c r="M2782" t="str">
        <f>"https://www.artic.edu/iiif/2/"&amp;Table9[[#This Row],[Image ID]]&amp;"/full/843,/0/default.jpg"</f>
        <v>https://www.artic.edu/iiif/2/02972e87-fe2d-1bb6-34e6-0b9a07959ead/full/843,/0/default.jpg</v>
      </c>
      <c r="N2782" s="3">
        <v>0.65</v>
      </c>
      <c r="O2782" s="3">
        <v>7.4999999999999997E-2</v>
      </c>
      <c r="P2782" s="3">
        <v>0.57500000000000007</v>
      </c>
      <c r="Q2782" s="3">
        <v>0.73359656333923295</v>
      </c>
    </row>
    <row r="2783" spans="1:17" x14ac:dyDescent="0.45">
      <c r="A2783" s="3">
        <v>11103</v>
      </c>
      <c r="B2783" t="b">
        <v>0</v>
      </c>
      <c r="C2783" t="b">
        <v>0</v>
      </c>
      <c r="D2783" s="3">
        <v>1959</v>
      </c>
      <c r="E2783" s="3">
        <v>1959</v>
      </c>
      <c r="F2783" t="s">
        <v>1002</v>
      </c>
      <c r="G2783" t="s">
        <v>1003</v>
      </c>
      <c r="H2783" s="3">
        <v>13.803900000000001</v>
      </c>
      <c r="I2783" t="s">
        <v>1004</v>
      </c>
      <c r="J2783" t="s">
        <v>11318</v>
      </c>
      <c r="L2783" t="s">
        <v>1005</v>
      </c>
      <c r="M2783" t="str">
        <f>"https://www.artic.edu/iiif/2/"&amp;Table9[[#This Row],[Image ID]]&amp;"/full/843,/0/default.jpg"</f>
        <v>https://www.artic.edu/iiif/2/193f501c-d953-1e78-b21c-91ec9a5212ef/full/843,/0/default.jpg</v>
      </c>
      <c r="N2783" s="3">
        <v>0.65</v>
      </c>
      <c r="O2783" s="3">
        <v>7.4999999999999997E-2</v>
      </c>
      <c r="P2783" s="3">
        <v>0.57500000000000007</v>
      </c>
      <c r="Q2783" s="3">
        <v>0.73655086755752497</v>
      </c>
    </row>
    <row r="2784" spans="1:17" x14ac:dyDescent="0.45">
      <c r="A2784" s="3">
        <v>127251</v>
      </c>
      <c r="B2784" t="b">
        <v>0</v>
      </c>
      <c r="C2784" t="b">
        <v>0</v>
      </c>
      <c r="D2784" s="3">
        <v>1939</v>
      </c>
      <c r="E2784" s="3">
        <v>1939</v>
      </c>
      <c r="F2784" t="s">
        <v>2800</v>
      </c>
      <c r="G2784" t="s">
        <v>2801</v>
      </c>
      <c r="H2784" s="3">
        <v>40.0227</v>
      </c>
      <c r="I2784" t="s">
        <v>2796</v>
      </c>
      <c r="J2784" t="s">
        <v>11423</v>
      </c>
      <c r="L2784" t="s">
        <v>2802</v>
      </c>
      <c r="M2784" t="str">
        <f>"https://www.artic.edu/iiif/2/"&amp;Table9[[#This Row],[Image ID]]&amp;"/full/843,/0/default.jpg"</f>
        <v>https://www.artic.edu/iiif/2/1fcd56fc-b1b1-7e9d-2eef-87a1456b9aba/full/843,/0/default.jpg</v>
      </c>
      <c r="N2784" s="3">
        <v>0.65</v>
      </c>
      <c r="O2784" s="3">
        <v>7.4999999999999997E-2</v>
      </c>
      <c r="P2784" s="3">
        <v>0.57500000000000007</v>
      </c>
      <c r="Q2784" s="3">
        <v>0.87356072664260798</v>
      </c>
    </row>
    <row r="2785" spans="1:17" x14ac:dyDescent="0.45">
      <c r="A2785" s="3">
        <v>3411</v>
      </c>
      <c r="B2785" t="b">
        <v>0</v>
      </c>
      <c r="C2785" t="b">
        <v>0</v>
      </c>
      <c r="D2785" s="3">
        <v>1890</v>
      </c>
      <c r="E2785" s="3">
        <v>1910</v>
      </c>
      <c r="F2785" t="s">
        <v>7096</v>
      </c>
      <c r="G2785" t="s">
        <v>7097</v>
      </c>
      <c r="H2785" s="3">
        <v>21.242699999999999</v>
      </c>
      <c r="I2785" t="s">
        <v>16</v>
      </c>
      <c r="J2785" t="s">
        <v>11565</v>
      </c>
      <c r="L2785" t="s">
        <v>7098</v>
      </c>
      <c r="M2785" t="str">
        <f>"https://www.artic.edu/iiif/2/"&amp;Table9[[#This Row],[Image ID]]&amp;"/full/843,/0/default.jpg"</f>
        <v>https://www.artic.edu/iiif/2/28c341f3-c8ea-eb3b-4e7e-4d4c4b054a14/full/843,/0/default.jpg</v>
      </c>
      <c r="N2785" s="3">
        <v>0.65</v>
      </c>
      <c r="O2785" s="3">
        <v>7.4999999999999997E-2</v>
      </c>
      <c r="P2785" s="3">
        <v>0.57500000000000007</v>
      </c>
      <c r="Q2785" s="3">
        <v>0.75434666872024503</v>
      </c>
    </row>
    <row r="2786" spans="1:17" x14ac:dyDescent="0.45">
      <c r="A2786" s="3">
        <v>184923</v>
      </c>
      <c r="B2786" t="b">
        <v>0</v>
      </c>
      <c r="C2786" t="b">
        <v>0</v>
      </c>
      <c r="D2786" s="3">
        <v>2003</v>
      </c>
      <c r="E2786" s="3">
        <v>2003</v>
      </c>
      <c r="F2786" t="s">
        <v>4904</v>
      </c>
      <c r="G2786" t="s">
        <v>4823</v>
      </c>
      <c r="H2786" s="3">
        <v>10.056800000000001</v>
      </c>
      <c r="I2786" t="s">
        <v>293</v>
      </c>
      <c r="J2786" t="s">
        <v>10977</v>
      </c>
      <c r="K2786" s="5" t="s">
        <v>15</v>
      </c>
      <c r="L2786" t="s">
        <v>4905</v>
      </c>
      <c r="M2786" t="str">
        <f>"https://www.artic.edu/iiif/2/"&amp;Table9[[#This Row],[Image ID]]&amp;"/full/843,/0/default.jpg"</f>
        <v>https://www.artic.edu/iiif/2/3b711c17-dd50-d879-be4d-b1e9a01c3a38/full/843,/0/default.jpg</v>
      </c>
      <c r="N2786" s="3">
        <v>0.67500000000000004</v>
      </c>
      <c r="O2786" s="3">
        <v>0.1</v>
      </c>
      <c r="P2786" s="3">
        <v>0.57500000000000007</v>
      </c>
      <c r="Q2786" s="3">
        <v>0.84320116043090798</v>
      </c>
    </row>
    <row r="2787" spans="1:17" x14ac:dyDescent="0.45">
      <c r="A2787" s="3">
        <v>68407</v>
      </c>
      <c r="B2787" t="b">
        <v>0</v>
      </c>
      <c r="C2787" t="b">
        <v>0</v>
      </c>
      <c r="D2787" s="3">
        <v>1918</v>
      </c>
      <c r="E2787" s="3">
        <v>1918</v>
      </c>
      <c r="F2787" t="s">
        <v>9353</v>
      </c>
      <c r="G2787" t="s">
        <v>7</v>
      </c>
      <c r="H2787" s="3">
        <v>33.755200000000002</v>
      </c>
      <c r="I2787" t="s">
        <v>14574</v>
      </c>
      <c r="J2787" t="s">
        <v>11846</v>
      </c>
      <c r="L2787" t="s">
        <v>9354</v>
      </c>
      <c r="M2787" t="str">
        <f>"https://www.artic.edu/iiif/2/"&amp;Table9[[#This Row],[Image ID]]&amp;"/full/843,/0/default.jpg"</f>
        <v>https://www.artic.edu/iiif/2/3b82d9b3-fc9a-1ee3-0f8c-ed351450338d/full/843,/0/default.jpg</v>
      </c>
      <c r="N2787" s="3">
        <v>0.67500000000000004</v>
      </c>
      <c r="O2787" s="3">
        <v>0.1</v>
      </c>
      <c r="P2787" s="3">
        <v>0.57500000000000007</v>
      </c>
      <c r="Q2787" s="3">
        <v>0.69293791055679299</v>
      </c>
    </row>
    <row r="2788" spans="1:17" x14ac:dyDescent="0.45">
      <c r="A2788" s="3">
        <v>208330</v>
      </c>
      <c r="B2788" t="b">
        <v>0</v>
      </c>
      <c r="C2788" t="b">
        <v>0</v>
      </c>
      <c r="D2788" s="3">
        <v>1916</v>
      </c>
      <c r="E2788" s="3">
        <v>1918</v>
      </c>
      <c r="F2788" t="s">
        <v>5525</v>
      </c>
      <c r="G2788" t="s">
        <v>5526</v>
      </c>
      <c r="H2788" s="3">
        <v>34.631500000000003</v>
      </c>
      <c r="I2788" t="s">
        <v>5527</v>
      </c>
      <c r="J2788" t="s">
        <v>11925</v>
      </c>
      <c r="K2788" s="5" t="s">
        <v>45</v>
      </c>
      <c r="L2788" t="s">
        <v>5528</v>
      </c>
      <c r="M2788" t="str">
        <f>"https://www.artic.edu/iiif/2/"&amp;Table9[[#This Row],[Image ID]]&amp;"/full/843,/0/default.jpg"</f>
        <v>https://www.artic.edu/iiif/2/40776097-7f12-0fdb-a9a3-eb9e03514a21/full/843,/0/default.jpg</v>
      </c>
      <c r="N2788" s="3">
        <v>0.65</v>
      </c>
      <c r="O2788" s="3">
        <v>7.4999999999999997E-2</v>
      </c>
      <c r="P2788" s="3">
        <v>0.57500000000000007</v>
      </c>
      <c r="Q2788" s="3">
        <v>0.71760016679763705</v>
      </c>
    </row>
    <row r="2789" spans="1:17" x14ac:dyDescent="0.45">
      <c r="A2789" s="3">
        <v>111321</v>
      </c>
      <c r="B2789" t="b">
        <v>0</v>
      </c>
      <c r="C2789" t="b">
        <v>0</v>
      </c>
      <c r="D2789" s="3">
        <v>1922</v>
      </c>
      <c r="E2789" s="3">
        <v>1922</v>
      </c>
      <c r="F2789" t="s">
        <v>1066</v>
      </c>
      <c r="G2789" t="s">
        <v>1067</v>
      </c>
      <c r="H2789" s="3">
        <v>30.325199999999999</v>
      </c>
      <c r="I2789" t="s">
        <v>1068</v>
      </c>
      <c r="J2789" t="s">
        <v>11999</v>
      </c>
      <c r="L2789" t="s">
        <v>1069</v>
      </c>
      <c r="M2789" t="str">
        <f>"https://www.artic.edu/iiif/2/"&amp;Table9[[#This Row],[Image ID]]&amp;"/full/843,/0/default.jpg"</f>
        <v>https://www.artic.edu/iiif/2/452d1ed7-970a-d3b8-28c9-8dbf889722ca/full/843,/0/default.jpg</v>
      </c>
      <c r="N2789" s="3">
        <v>0.67500000000000004</v>
      </c>
      <c r="O2789" s="3">
        <v>0.1</v>
      </c>
      <c r="P2789" s="3">
        <v>0.57500000000000007</v>
      </c>
      <c r="Q2789" s="3">
        <v>0.70765638351440396</v>
      </c>
    </row>
    <row r="2790" spans="1:17" x14ac:dyDescent="0.45">
      <c r="A2790" s="3">
        <v>93812</v>
      </c>
      <c r="B2790" t="b">
        <v>0</v>
      </c>
      <c r="C2790" t="b">
        <v>0</v>
      </c>
      <c r="D2790" s="3">
        <v>1942</v>
      </c>
      <c r="E2790" s="3">
        <v>1943</v>
      </c>
      <c r="F2790" t="s">
        <v>10645</v>
      </c>
      <c r="G2790" t="s">
        <v>7</v>
      </c>
      <c r="H2790" s="3">
        <v>11.606199999999999</v>
      </c>
      <c r="I2790" t="s">
        <v>378</v>
      </c>
      <c r="J2790" t="s">
        <v>12260</v>
      </c>
      <c r="K2790" s="5" t="s">
        <v>2</v>
      </c>
      <c r="L2790" t="s">
        <v>10646</v>
      </c>
      <c r="M2790" t="str">
        <f>"https://www.artic.edu/iiif/2/"&amp;Table9[[#This Row],[Image ID]]&amp;"/full/843,/0/default.jpg"</f>
        <v>https://www.artic.edu/iiif/2/577e1fb9-0542-07c7-ba31-4260e6ebecf4/full/843,/0/default.jpg</v>
      </c>
      <c r="N2790" s="3">
        <v>0.67500000000000004</v>
      </c>
      <c r="O2790" s="3">
        <v>0.1</v>
      </c>
      <c r="P2790" s="3">
        <v>0.57500000000000007</v>
      </c>
      <c r="Q2790" s="3">
        <v>0.67154467105865401</v>
      </c>
    </row>
    <row r="2791" spans="1:17" x14ac:dyDescent="0.45">
      <c r="A2791" s="3">
        <v>48685</v>
      </c>
      <c r="B2791" t="b">
        <v>0</v>
      </c>
      <c r="C2791" t="b">
        <v>0</v>
      </c>
      <c r="D2791" s="3">
        <v>1898</v>
      </c>
      <c r="E2791" s="3">
        <v>1943</v>
      </c>
      <c r="F2791" t="s">
        <v>8022</v>
      </c>
      <c r="G2791" t="s">
        <v>8023</v>
      </c>
      <c r="H2791" s="3">
        <v>53.482300000000002</v>
      </c>
      <c r="I2791" t="s">
        <v>3024</v>
      </c>
      <c r="J2791" t="s">
        <v>12280</v>
      </c>
      <c r="L2791" t="s">
        <v>8024</v>
      </c>
      <c r="M2791" t="str">
        <f>"https://www.artic.edu/iiif/2/"&amp;Table9[[#This Row],[Image ID]]&amp;"/full/843,/0/default.jpg"</f>
        <v>https://www.artic.edu/iiif/2/5955099b-7e11-bf53-eb90-e6b3cd7c66a5/full/843,/0/default.jpg</v>
      </c>
      <c r="N2791" s="3">
        <v>0.67500000000000004</v>
      </c>
      <c r="O2791" s="3">
        <v>0.1</v>
      </c>
      <c r="P2791" s="3">
        <v>0.57500000000000007</v>
      </c>
      <c r="Q2791" s="3">
        <v>0.72572708129882801</v>
      </c>
    </row>
    <row r="2792" spans="1:17" x14ac:dyDescent="0.45">
      <c r="A2792" s="3">
        <v>158456</v>
      </c>
      <c r="B2792" t="b">
        <v>0</v>
      </c>
      <c r="C2792" t="b">
        <v>0</v>
      </c>
      <c r="D2792" s="3">
        <v>1996</v>
      </c>
      <c r="E2792" s="3">
        <v>1996</v>
      </c>
      <c r="F2792" t="s">
        <v>11</v>
      </c>
      <c r="G2792" t="s">
        <v>4142</v>
      </c>
      <c r="H2792" s="3">
        <v>4.3966000000000003</v>
      </c>
      <c r="I2792" t="s">
        <v>3779</v>
      </c>
      <c r="J2792" t="s">
        <v>12540</v>
      </c>
      <c r="L2792" t="s">
        <v>4143</v>
      </c>
      <c r="M2792" t="str">
        <f>"https://www.artic.edu/iiif/2/"&amp;Table9[[#This Row],[Image ID]]&amp;"/full/843,/0/default.jpg"</f>
        <v>https://www.artic.edu/iiif/2/6b63ae4f-2cbb-a486-db22-48d530dc7449/full/843,/0/default.jpg</v>
      </c>
      <c r="N2792" s="3">
        <v>0.67500000000000004</v>
      </c>
      <c r="O2792" s="3">
        <v>0.1</v>
      </c>
      <c r="P2792" s="3">
        <v>0.57500000000000007</v>
      </c>
      <c r="Q2792" s="3">
        <v>0.81389713287353505</v>
      </c>
    </row>
    <row r="2793" spans="1:17" x14ac:dyDescent="0.45">
      <c r="A2793" s="3">
        <v>117567</v>
      </c>
      <c r="B2793" t="b">
        <v>0</v>
      </c>
      <c r="C2793" t="b">
        <v>0</v>
      </c>
      <c r="D2793" s="3">
        <v>1954</v>
      </c>
      <c r="E2793" s="3">
        <v>1954</v>
      </c>
      <c r="F2793" t="s">
        <v>2387</v>
      </c>
      <c r="G2793" t="s">
        <v>2388</v>
      </c>
      <c r="H2793" s="3">
        <v>13.695600000000001</v>
      </c>
      <c r="I2793" t="s">
        <v>2389</v>
      </c>
      <c r="J2793" t="s">
        <v>12549</v>
      </c>
      <c r="L2793" t="s">
        <v>2390</v>
      </c>
      <c r="M2793" t="str">
        <f>"https://www.artic.edu/iiif/2/"&amp;Table9[[#This Row],[Image ID]]&amp;"/full/843,/0/default.jpg"</f>
        <v>https://www.artic.edu/iiif/2/6bff7838-d11e-82e5-3448-14b9253f3554/full/843,/0/default.jpg</v>
      </c>
      <c r="N2793" s="3">
        <v>0.65</v>
      </c>
      <c r="O2793" s="3">
        <v>7.4999999999999997E-2</v>
      </c>
      <c r="P2793" s="3">
        <v>0.57500000000000007</v>
      </c>
      <c r="Q2793" s="3">
        <v>0.82125324010848999</v>
      </c>
    </row>
    <row r="2794" spans="1:17" x14ac:dyDescent="0.45">
      <c r="A2794" s="3">
        <v>145874</v>
      </c>
      <c r="B2794" t="b">
        <v>0</v>
      </c>
      <c r="C2794" t="b">
        <v>0</v>
      </c>
      <c r="D2794" s="3">
        <v>1945</v>
      </c>
      <c r="E2794" s="3">
        <v>1945</v>
      </c>
      <c r="F2794" t="s">
        <v>3408</v>
      </c>
      <c r="G2794" t="s">
        <v>3409</v>
      </c>
      <c r="H2794" s="3">
        <v>13.6671</v>
      </c>
      <c r="I2794" t="s">
        <v>1275</v>
      </c>
      <c r="J2794" t="s">
        <v>12602</v>
      </c>
      <c r="L2794" t="s">
        <v>3410</v>
      </c>
      <c r="M2794" t="str">
        <f>"https://www.artic.edu/iiif/2/"&amp;Table9[[#This Row],[Image ID]]&amp;"/full/843,/0/default.jpg"</f>
        <v>https://www.artic.edu/iiif/2/6fd0cfb3-b882-e261-715e-091b277988e4/full/843,/0/default.jpg</v>
      </c>
      <c r="N2794" s="3">
        <v>0.65</v>
      </c>
      <c r="O2794" s="3">
        <v>7.4999999999999997E-2</v>
      </c>
      <c r="P2794" s="3">
        <v>0.57500000000000007</v>
      </c>
      <c r="Q2794" s="3">
        <v>0.75640678405761697</v>
      </c>
    </row>
    <row r="2795" spans="1:17" x14ac:dyDescent="0.45">
      <c r="A2795" s="3">
        <v>186382</v>
      </c>
      <c r="B2795" t="b">
        <v>0</v>
      </c>
      <c r="C2795" t="b">
        <v>0</v>
      </c>
      <c r="D2795" s="3">
        <v>2004</v>
      </c>
      <c r="E2795" s="3">
        <v>2004</v>
      </c>
      <c r="F2795" t="s">
        <v>5053</v>
      </c>
      <c r="G2795" t="s">
        <v>5054</v>
      </c>
      <c r="H2795" s="3">
        <v>20.069299999999998</v>
      </c>
      <c r="I2795" t="s">
        <v>5055</v>
      </c>
      <c r="J2795" t="s">
        <v>12663</v>
      </c>
      <c r="K2795" s="5" t="s">
        <v>15</v>
      </c>
      <c r="L2795" t="s">
        <v>5056</v>
      </c>
      <c r="M2795" t="str">
        <f>"https://www.artic.edu/iiif/2/"&amp;Table9[[#This Row],[Image ID]]&amp;"/full/843,/0/default.jpg"</f>
        <v>https://www.artic.edu/iiif/2/7455f781-559f-86cb-3485-38759127e103/full/843,/0/default.jpg</v>
      </c>
      <c r="N2795" s="3">
        <v>0.67500000000000004</v>
      </c>
      <c r="O2795" s="3">
        <v>0.1</v>
      </c>
      <c r="P2795" s="3">
        <v>0.57500000000000007</v>
      </c>
      <c r="Q2795" s="3">
        <v>0.704473316669464</v>
      </c>
    </row>
    <row r="2796" spans="1:17" x14ac:dyDescent="0.45">
      <c r="A2796" s="3">
        <v>236824</v>
      </c>
      <c r="B2796" t="b">
        <v>0</v>
      </c>
      <c r="C2796" t="b">
        <v>0</v>
      </c>
      <c r="D2796" s="3">
        <v>2015</v>
      </c>
      <c r="E2796" s="3">
        <v>2015</v>
      </c>
      <c r="F2796" t="s">
        <v>6290</v>
      </c>
      <c r="G2796" t="s">
        <v>6291</v>
      </c>
      <c r="H2796" s="3">
        <v>33.159599999999998</v>
      </c>
      <c r="I2796" t="s">
        <v>6045</v>
      </c>
      <c r="J2796" t="s">
        <v>12878</v>
      </c>
      <c r="K2796" s="5" t="s">
        <v>15</v>
      </c>
      <c r="L2796" t="s">
        <v>6295</v>
      </c>
      <c r="M2796" t="str">
        <f>"https://www.artic.edu/iiif/2/"&amp;Table9[[#This Row],[Image ID]]&amp;"/full/843,/0/default.jpg"</f>
        <v>https://www.artic.edu/iiif/2/841fd85f-2e80-3196-ce2f-043fa5f9c2de/full/843,/0/default.jpg</v>
      </c>
      <c r="N2796" s="3">
        <v>0.65</v>
      </c>
      <c r="O2796" s="3">
        <v>7.4999999999999997E-2</v>
      </c>
      <c r="P2796" s="3">
        <v>0.57500000000000007</v>
      </c>
      <c r="Q2796" s="3">
        <v>0.754375100135803</v>
      </c>
    </row>
    <row r="2797" spans="1:17" x14ac:dyDescent="0.45">
      <c r="A2797" s="3">
        <v>62373</v>
      </c>
      <c r="B2797" t="b">
        <v>0</v>
      </c>
      <c r="C2797" t="b">
        <v>0</v>
      </c>
      <c r="D2797" s="3">
        <v>1917</v>
      </c>
      <c r="E2797" s="3">
        <v>1917</v>
      </c>
      <c r="F2797" t="s">
        <v>8896</v>
      </c>
      <c r="G2797" t="s">
        <v>3411</v>
      </c>
      <c r="H2797" s="3">
        <v>29.658300000000001</v>
      </c>
      <c r="I2797" t="s">
        <v>2404</v>
      </c>
      <c r="J2797" t="s">
        <v>13019</v>
      </c>
      <c r="L2797" t="s">
        <v>8897</v>
      </c>
      <c r="M2797" t="str">
        <f>"https://www.artic.edu/iiif/2/"&amp;Table9[[#This Row],[Image ID]]&amp;"/full/843,/0/default.jpg"</f>
        <v>https://www.artic.edu/iiif/2/8f82f2fd-1935-c0e9-0552-d537d4162d81/full/843,/0/default.jpg</v>
      </c>
      <c r="N2797" s="3">
        <v>0.67500000000000004</v>
      </c>
      <c r="O2797" s="3">
        <v>0.1</v>
      </c>
      <c r="P2797" s="3">
        <v>0.57500000000000007</v>
      </c>
      <c r="Q2797" s="3">
        <v>0.74086612462997403</v>
      </c>
    </row>
    <row r="2798" spans="1:17" x14ac:dyDescent="0.45">
      <c r="A2798" s="3">
        <v>60525</v>
      </c>
      <c r="B2798" t="b">
        <v>0</v>
      </c>
      <c r="C2798" t="b">
        <v>0</v>
      </c>
      <c r="D2798" s="3">
        <v>1980</v>
      </c>
      <c r="E2798" s="3">
        <v>1980</v>
      </c>
      <c r="F2798" t="s">
        <v>8717</v>
      </c>
      <c r="G2798" t="s">
        <v>8718</v>
      </c>
      <c r="H2798" s="3">
        <v>14.4635</v>
      </c>
      <c r="I2798" t="s">
        <v>2434</v>
      </c>
      <c r="J2798" t="s">
        <v>12223</v>
      </c>
      <c r="L2798" t="s">
        <v>8719</v>
      </c>
      <c r="M2798" t="str">
        <f>"https://www.artic.edu/iiif/2/"&amp;Table9[[#This Row],[Image ID]]&amp;"/full/843,/0/default.jpg"</f>
        <v>https://www.artic.edu/iiif/2/9a8d2a58-40e6-7c16-eb55-ab960252ac33/full/843,/0/default.jpg</v>
      </c>
      <c r="N2798" s="3">
        <v>0.65</v>
      </c>
      <c r="O2798" s="3">
        <v>7.4999999999999997E-2</v>
      </c>
      <c r="P2798" s="3">
        <v>0.57500000000000007</v>
      </c>
      <c r="Q2798" s="3">
        <v>0.62645882368087702</v>
      </c>
    </row>
    <row r="2799" spans="1:17" x14ac:dyDescent="0.45">
      <c r="A2799" s="3">
        <v>210386</v>
      </c>
      <c r="B2799" t="b">
        <v>0</v>
      </c>
      <c r="C2799" t="b">
        <v>0</v>
      </c>
      <c r="D2799" s="3">
        <v>1911</v>
      </c>
      <c r="E2799" s="3">
        <v>1911</v>
      </c>
      <c r="F2799" t="s">
        <v>1397</v>
      </c>
      <c r="G2799" t="s">
        <v>5564</v>
      </c>
      <c r="H2799" s="3">
        <v>23.2438</v>
      </c>
      <c r="I2799" t="s">
        <v>2393</v>
      </c>
      <c r="J2799" t="s">
        <v>13173</v>
      </c>
      <c r="K2799" s="5" t="s">
        <v>45</v>
      </c>
      <c r="L2799" t="s">
        <v>5565</v>
      </c>
      <c r="M2799" t="str">
        <f>"https://www.artic.edu/iiif/2/"&amp;Table9[[#This Row],[Image ID]]&amp;"/full/843,/0/default.jpg"</f>
        <v>https://www.artic.edu/iiif/2/9b978986-b3c3-18b1-539e-7df8d0949fab/full/843,/0/default.jpg</v>
      </c>
      <c r="N2799" s="3">
        <v>0.65</v>
      </c>
      <c r="O2799" s="3">
        <v>7.4999999999999997E-2</v>
      </c>
      <c r="P2799" s="3">
        <v>0.57500000000000007</v>
      </c>
      <c r="Q2799" s="3">
        <v>0.68282568454742398</v>
      </c>
    </row>
    <row r="2800" spans="1:17" x14ac:dyDescent="0.45">
      <c r="A2800" s="3">
        <v>129854</v>
      </c>
      <c r="B2800" t="b">
        <v>0</v>
      </c>
      <c r="C2800" t="b">
        <v>0</v>
      </c>
      <c r="D2800" s="3">
        <v>1936</v>
      </c>
      <c r="E2800" s="3">
        <v>1936</v>
      </c>
      <c r="F2800" t="s">
        <v>2961</v>
      </c>
      <c r="G2800" t="s">
        <v>512</v>
      </c>
      <c r="H2800" s="3">
        <v>71.146299999999997</v>
      </c>
      <c r="I2800" t="s">
        <v>4769</v>
      </c>
      <c r="J2800" t="s">
        <v>13286</v>
      </c>
      <c r="L2800" t="s">
        <v>2962</v>
      </c>
      <c r="M2800" t="str">
        <f>"https://www.artic.edu/iiif/2/"&amp;Table9[[#This Row],[Image ID]]&amp;"/full/843,/0/default.jpg"</f>
        <v>https://www.artic.edu/iiif/2/a3eb2691-7469-0925-1649-8a22a6600c7a/full/843,/0/default.jpg</v>
      </c>
      <c r="N2800" s="3">
        <v>0.67500000000000004</v>
      </c>
      <c r="O2800" s="3">
        <v>0.1</v>
      </c>
      <c r="P2800" s="3">
        <v>0.57500000000000007</v>
      </c>
      <c r="Q2800" s="3">
        <v>0.70077502727508501</v>
      </c>
    </row>
    <row r="2801" spans="1:17" x14ac:dyDescent="0.45">
      <c r="A2801" s="3">
        <v>80236</v>
      </c>
      <c r="B2801" t="b">
        <v>0</v>
      </c>
      <c r="C2801" t="b">
        <v>0</v>
      </c>
      <c r="D2801" s="3">
        <v>1953</v>
      </c>
      <c r="E2801" s="3">
        <v>1953</v>
      </c>
      <c r="F2801" t="s">
        <v>9933</v>
      </c>
      <c r="G2801" t="s">
        <v>9934</v>
      </c>
      <c r="H2801" s="3">
        <v>15.237399999999999</v>
      </c>
      <c r="I2801" t="s">
        <v>6542</v>
      </c>
      <c r="J2801" t="s">
        <v>13419</v>
      </c>
      <c r="L2801" t="s">
        <v>9935</v>
      </c>
      <c r="M2801" t="str">
        <f>"https://www.artic.edu/iiif/2/"&amp;Table9[[#This Row],[Image ID]]&amp;"/full/843,/0/default.jpg"</f>
        <v>https://www.artic.edu/iiif/2/add98cf0-9758-5598-784d-fad21548f66d/full/843,/0/default.jpg</v>
      </c>
      <c r="N2801" s="3">
        <v>0.67500000000000004</v>
      </c>
      <c r="O2801" s="3">
        <v>0.1</v>
      </c>
      <c r="P2801" s="3">
        <v>0.57500000000000007</v>
      </c>
      <c r="Q2801" s="3">
        <v>0.63904291391372603</v>
      </c>
    </row>
    <row r="2802" spans="1:17" x14ac:dyDescent="0.45">
      <c r="A2802" s="3">
        <v>68708</v>
      </c>
      <c r="B2802" t="b">
        <v>0</v>
      </c>
      <c r="C2802" t="b">
        <v>0</v>
      </c>
      <c r="D2802" s="3">
        <v>1912</v>
      </c>
      <c r="E2802" s="3">
        <v>1912</v>
      </c>
      <c r="F2802" t="s">
        <v>9366</v>
      </c>
      <c r="G2802" t="s">
        <v>7</v>
      </c>
      <c r="H2802" s="3">
        <v>29.214400000000001</v>
      </c>
      <c r="I2802" t="s">
        <v>927</v>
      </c>
      <c r="J2802" t="s">
        <v>11128</v>
      </c>
      <c r="K2802" s="5" t="s">
        <v>284</v>
      </c>
      <c r="L2802" t="s">
        <v>9367</v>
      </c>
      <c r="M2802" t="str">
        <f>"https://www.artic.edu/iiif/2/"&amp;Table9[[#This Row],[Image ID]]&amp;"/full/843,/0/default.jpg"</f>
        <v>https://www.artic.edu/iiif/2/b2ddc920-05f9-ad6a-db60-3cf5640c77ca/full/843,/0/default.jpg</v>
      </c>
      <c r="N2802" s="3">
        <v>0.67500000000000004</v>
      </c>
      <c r="O2802" s="3">
        <v>0.1</v>
      </c>
      <c r="P2802" s="3">
        <v>0.57500000000000007</v>
      </c>
      <c r="Q2802" s="3">
        <v>0.80515223741531305</v>
      </c>
    </row>
    <row r="2803" spans="1:17" x14ac:dyDescent="0.45">
      <c r="A2803" s="3">
        <v>113815</v>
      </c>
      <c r="B2803" t="b">
        <v>0</v>
      </c>
      <c r="C2803" t="b">
        <v>0</v>
      </c>
      <c r="D2803" s="3">
        <v>1907</v>
      </c>
      <c r="E2803" s="3">
        <v>1907</v>
      </c>
      <c r="F2803" t="s">
        <v>1506</v>
      </c>
      <c r="G2803" t="s">
        <v>1507</v>
      </c>
      <c r="H2803" s="3">
        <v>23.0245</v>
      </c>
      <c r="I2803" t="s">
        <v>441</v>
      </c>
      <c r="J2803" t="s">
        <v>13733</v>
      </c>
      <c r="L2803" t="s">
        <v>1508</v>
      </c>
      <c r="M2803" t="str">
        <f>"https://www.artic.edu/iiif/2/"&amp;Table9[[#This Row],[Image ID]]&amp;"/full/843,/0/default.jpg"</f>
        <v>https://www.artic.edu/iiif/2/c732dfbd-82e9-75c6-c5ab-7b0ce61cd98b/full/843,/0/default.jpg</v>
      </c>
      <c r="N2803" s="3">
        <v>0.67500000000000004</v>
      </c>
      <c r="O2803" s="3">
        <v>0.1</v>
      </c>
      <c r="P2803" s="3">
        <v>0.57500000000000007</v>
      </c>
      <c r="Q2803" s="3">
        <v>0.79014122486114502</v>
      </c>
    </row>
    <row r="2804" spans="1:17" x14ac:dyDescent="0.45">
      <c r="A2804" s="3">
        <v>188866</v>
      </c>
      <c r="B2804" t="b">
        <v>0</v>
      </c>
      <c r="C2804" t="b">
        <v>0</v>
      </c>
      <c r="D2804" s="3">
        <v>1988</v>
      </c>
      <c r="E2804" s="3">
        <v>1988</v>
      </c>
      <c r="F2804" t="s">
        <v>5126</v>
      </c>
      <c r="G2804" t="s">
        <v>5127</v>
      </c>
      <c r="H2804" s="3">
        <v>64.567999999999998</v>
      </c>
      <c r="I2804" t="s">
        <v>5128</v>
      </c>
      <c r="J2804" t="s">
        <v>13820</v>
      </c>
      <c r="L2804" t="s">
        <v>5129</v>
      </c>
      <c r="M2804" t="str">
        <f>"https://www.artic.edu/iiif/2/"&amp;Table9[[#This Row],[Image ID]]&amp;"/full/843,/0/default.jpg"</f>
        <v>https://www.artic.edu/iiif/2/cdb47125-6dbf-1cd6-5fa1-cf9e798fadd8/full/843,/0/default.jpg</v>
      </c>
      <c r="N2804" s="3">
        <v>0.67500000000000004</v>
      </c>
      <c r="O2804" s="3">
        <v>0.1</v>
      </c>
      <c r="P2804" s="3">
        <v>0.57500000000000007</v>
      </c>
      <c r="Q2804" s="3">
        <v>0.70014482736587502</v>
      </c>
    </row>
    <row r="2805" spans="1:17" x14ac:dyDescent="0.45">
      <c r="A2805" s="3">
        <v>99604</v>
      </c>
      <c r="B2805" t="b">
        <v>0</v>
      </c>
      <c r="C2805" t="b">
        <v>0</v>
      </c>
      <c r="D2805" s="3">
        <v>1881</v>
      </c>
      <c r="E2805" s="3">
        <v>1909</v>
      </c>
      <c r="F2805" t="s">
        <v>10930</v>
      </c>
      <c r="G2805" t="s">
        <v>10931</v>
      </c>
      <c r="H2805" s="3">
        <v>24.730699999999999</v>
      </c>
      <c r="I2805" t="s">
        <v>192</v>
      </c>
      <c r="J2805" t="s">
        <v>13930</v>
      </c>
      <c r="L2805" t="s">
        <v>10932</v>
      </c>
      <c r="M2805" t="str">
        <f>"https://www.artic.edu/iiif/2/"&amp;Table9[[#This Row],[Image ID]]&amp;"/full/843,/0/default.jpg"</f>
        <v>https://www.artic.edu/iiif/2/d6ab8fa4-1598-6419-1be2-01c7d86e0c8e/full/843,/0/default.jpg</v>
      </c>
      <c r="N2805" s="3">
        <v>0.67500000000000004</v>
      </c>
      <c r="O2805" s="3">
        <v>0.1</v>
      </c>
      <c r="P2805" s="3">
        <v>0.57500000000000007</v>
      </c>
      <c r="Q2805" s="3">
        <v>0.78123748302459695</v>
      </c>
    </row>
    <row r="2806" spans="1:17" x14ac:dyDescent="0.45">
      <c r="A2806" s="3">
        <v>73342</v>
      </c>
      <c r="B2806" t="b">
        <v>0</v>
      </c>
      <c r="C2806" t="b">
        <v>0</v>
      </c>
      <c r="D2806" s="3">
        <v>1977</v>
      </c>
      <c r="E2806" s="3">
        <v>1977</v>
      </c>
      <c r="F2806" t="s">
        <v>9603</v>
      </c>
      <c r="G2806" t="s">
        <v>2826</v>
      </c>
      <c r="H2806" s="3">
        <v>11.8401</v>
      </c>
      <c r="I2806" t="s">
        <v>9604</v>
      </c>
      <c r="J2806" t="s">
        <v>13946</v>
      </c>
      <c r="L2806" t="s">
        <v>9605</v>
      </c>
      <c r="M2806" t="str">
        <f>"https://www.artic.edu/iiif/2/"&amp;Table9[[#This Row],[Image ID]]&amp;"/full/843,/0/default.jpg"</f>
        <v>https://www.artic.edu/iiif/2/d7748dac-6880-69b6-ecb4-c41413dbf28d/full/843,/0/default.jpg</v>
      </c>
      <c r="N2806" s="3">
        <v>0.67500000000000004</v>
      </c>
      <c r="O2806" s="3">
        <v>0.1</v>
      </c>
      <c r="P2806" s="3">
        <v>0.57500000000000007</v>
      </c>
      <c r="Q2806" s="3">
        <v>0.67711991071701005</v>
      </c>
    </row>
    <row r="2807" spans="1:17" x14ac:dyDescent="0.45">
      <c r="A2807" s="3">
        <v>102578</v>
      </c>
      <c r="B2807" t="b">
        <v>0</v>
      </c>
      <c r="C2807" t="b">
        <v>0</v>
      </c>
      <c r="D2807" s="3">
        <v>1981</v>
      </c>
      <c r="E2807" s="3">
        <v>1981</v>
      </c>
      <c r="F2807" t="s">
        <v>261</v>
      </c>
      <c r="G2807" t="s">
        <v>262</v>
      </c>
      <c r="H2807" s="3">
        <v>6.5256999999999996</v>
      </c>
      <c r="I2807" t="s">
        <v>263</v>
      </c>
      <c r="J2807" t="s">
        <v>14072</v>
      </c>
      <c r="L2807" t="s">
        <v>264</v>
      </c>
      <c r="M2807" t="str">
        <f>"https://www.artic.edu/iiif/2/"&amp;Table9[[#This Row],[Image ID]]&amp;"/full/843,/0/default.jpg"</f>
        <v>https://www.artic.edu/iiif/2/e0ce7910-d04a-39be-05e0-fff34dcbdba7/full/843,/0/default.jpg</v>
      </c>
      <c r="N2807" s="3">
        <v>0.65</v>
      </c>
      <c r="O2807" s="3">
        <v>7.4999999999999997E-2</v>
      </c>
      <c r="P2807" s="3">
        <v>0.57500000000000007</v>
      </c>
      <c r="Q2807" s="3">
        <v>0.808352291584014</v>
      </c>
    </row>
    <row r="2808" spans="1:17" x14ac:dyDescent="0.45">
      <c r="A2808" s="3">
        <v>69140</v>
      </c>
      <c r="B2808" t="b">
        <v>0</v>
      </c>
      <c r="C2808" t="b">
        <v>0</v>
      </c>
      <c r="D2808" s="3">
        <v>1790</v>
      </c>
      <c r="E2808" s="3">
        <v>1790</v>
      </c>
      <c r="F2808" t="s">
        <v>9387</v>
      </c>
      <c r="G2808" t="s">
        <v>75</v>
      </c>
      <c r="H2808" s="3">
        <v>28.731999999999999</v>
      </c>
      <c r="I2808" t="s">
        <v>9388</v>
      </c>
      <c r="J2808" t="s">
        <v>9390</v>
      </c>
      <c r="L2808" t="s">
        <v>9389</v>
      </c>
      <c r="M2808" t="str">
        <f>"https://www.artic.edu/iiif/2/"&amp;Table9[[#This Row],[Image ID]]&amp;"/full/843,/0/default.jpg"</f>
        <v>https://www.artic.edu/iiif/2/f02abf54-270d-d65d-1a8e-7d5f59b90977/full/843,/0/default.jpg</v>
      </c>
      <c r="N2808" s="3">
        <v>0.67500000000000004</v>
      </c>
      <c r="O2808" s="3">
        <v>0.1</v>
      </c>
      <c r="P2808" s="3">
        <v>0.57500000000000007</v>
      </c>
      <c r="Q2808" s="3">
        <v>0.51054340600967396</v>
      </c>
    </row>
    <row r="2809" spans="1:17" x14ac:dyDescent="0.45">
      <c r="A2809" s="3">
        <v>73402</v>
      </c>
      <c r="B2809" t="b">
        <v>0</v>
      </c>
      <c r="C2809" t="b">
        <v>0</v>
      </c>
      <c r="D2809" s="3">
        <v>1937</v>
      </c>
      <c r="E2809" s="3">
        <v>1947</v>
      </c>
      <c r="F2809" t="s">
        <v>2806</v>
      </c>
      <c r="G2809" t="s">
        <v>9620</v>
      </c>
      <c r="H2809" s="3">
        <v>23.884399999999999</v>
      </c>
      <c r="I2809" t="s">
        <v>2395</v>
      </c>
      <c r="J2809" t="s">
        <v>14479</v>
      </c>
      <c r="L2809" t="s">
        <v>9621</v>
      </c>
      <c r="M2809" t="str">
        <f>"https://www.artic.edu/iiif/2/"&amp;Table9[[#This Row],[Image ID]]&amp;"/full/843,/0/default.jpg"</f>
        <v>https://www.artic.edu/iiif/2/fbea6d95-5e61-9684-e13e-9ea0aa7b63d5/full/843,/0/default.jpg</v>
      </c>
      <c r="N2809" s="3">
        <v>0.65</v>
      </c>
      <c r="O2809" s="3">
        <v>7.4999999999999997E-2</v>
      </c>
      <c r="P2809" s="3">
        <v>0.57500000000000007</v>
      </c>
      <c r="Q2809" s="3">
        <v>0.76119297742843595</v>
      </c>
    </row>
    <row r="2810" spans="1:17" x14ac:dyDescent="0.45">
      <c r="A2810" s="3">
        <v>35229</v>
      </c>
      <c r="B2810" t="b">
        <v>0</v>
      </c>
      <c r="C2810" t="b">
        <v>1</v>
      </c>
      <c r="D2810" s="3">
        <v>1492</v>
      </c>
      <c r="E2810" s="3">
        <v>1505</v>
      </c>
      <c r="F2810" t="s">
        <v>7168</v>
      </c>
      <c r="G2810" t="s">
        <v>7165</v>
      </c>
      <c r="H2810" s="3">
        <v>68.972300000000004</v>
      </c>
      <c r="I2810" t="s">
        <v>7166</v>
      </c>
      <c r="J2810" t="s">
        <v>11120</v>
      </c>
      <c r="L2810" t="s">
        <v>7169</v>
      </c>
      <c r="M2810" t="str">
        <f>"https://www.artic.edu/iiif/2/"&amp;Table9[[#This Row],[Image ID]]&amp;"/full/843,/0/default.jpg"</f>
        <v>https://www.artic.edu/iiif/2/0aaa4cff-d1d8-8241-d230-0cecc9956f39/full/843,/0/default.jpg</v>
      </c>
      <c r="N2810" s="3">
        <v>0.625</v>
      </c>
      <c r="O2810" s="3">
        <v>0.05</v>
      </c>
      <c r="P2810" s="3">
        <v>0.57499999999999996</v>
      </c>
      <c r="Q2810" s="3">
        <v>0.85217636823654097</v>
      </c>
    </row>
    <row r="2811" spans="1:17" x14ac:dyDescent="0.45">
      <c r="A2811" s="3">
        <v>116013</v>
      </c>
      <c r="B2811" t="b">
        <v>0</v>
      </c>
      <c r="C2811" t="b">
        <v>1</v>
      </c>
      <c r="D2811" s="3">
        <v>1856</v>
      </c>
      <c r="E2811" s="3">
        <v>1880</v>
      </c>
      <c r="F2811" t="s">
        <v>2223</v>
      </c>
      <c r="G2811" t="s">
        <v>2224</v>
      </c>
      <c r="H2811" s="3">
        <v>25.276800000000001</v>
      </c>
      <c r="I2811" t="s">
        <v>2225</v>
      </c>
      <c r="J2811" t="s">
        <v>11278</v>
      </c>
      <c r="L2811" t="s">
        <v>2226</v>
      </c>
      <c r="M2811" t="str">
        <f>"https://www.artic.edu/iiif/2/"&amp;Table9[[#This Row],[Image ID]]&amp;"/full/843,/0/default.jpg"</f>
        <v>https://www.artic.edu/iiif/2/16327d05-547a-526c-a8fb-d2510f049c8f/full/843,/0/default.jpg</v>
      </c>
      <c r="N2811" s="3">
        <v>0.625</v>
      </c>
      <c r="O2811" s="3">
        <v>0.05</v>
      </c>
      <c r="P2811" s="3">
        <v>0.57499999999999996</v>
      </c>
      <c r="Q2811" s="3">
        <v>0.80623799562454201</v>
      </c>
    </row>
    <row r="2812" spans="1:17" x14ac:dyDescent="0.45">
      <c r="A2812" s="3">
        <v>65170</v>
      </c>
      <c r="B2812" t="b">
        <v>0</v>
      </c>
      <c r="C2812" t="b">
        <v>1</v>
      </c>
      <c r="D2812" s="3">
        <v>1893</v>
      </c>
      <c r="E2812" s="3">
        <v>1893</v>
      </c>
      <c r="F2812" t="s">
        <v>9023</v>
      </c>
      <c r="G2812" t="s">
        <v>7</v>
      </c>
      <c r="H2812" s="3">
        <v>31.9008</v>
      </c>
      <c r="I2812" t="s">
        <v>908</v>
      </c>
      <c r="J2812" t="s">
        <v>11370</v>
      </c>
      <c r="L2812" t="s">
        <v>9024</v>
      </c>
      <c r="M2812" t="str">
        <f>"https://www.artic.edu/iiif/2/"&amp;Table9[[#This Row],[Image ID]]&amp;"/full/843,/0/default.jpg"</f>
        <v>https://www.artic.edu/iiif/2/1cdde17f-3a93-7d76-4c3a-0dee432f86f8/full/843,/0/default.jpg</v>
      </c>
      <c r="N2812" s="3">
        <v>0.625</v>
      </c>
      <c r="O2812" s="3">
        <v>0.05</v>
      </c>
      <c r="P2812" s="3">
        <v>0.57499999999999996</v>
      </c>
      <c r="Q2812" s="3">
        <v>0.55433946847915605</v>
      </c>
    </row>
    <row r="2813" spans="1:17" x14ac:dyDescent="0.45">
      <c r="A2813" s="3">
        <v>25743</v>
      </c>
      <c r="B2813" t="b">
        <v>0</v>
      </c>
      <c r="C2813" t="b">
        <v>1</v>
      </c>
      <c r="D2813" s="3">
        <v>1490</v>
      </c>
      <c r="E2813" s="3">
        <v>1500</v>
      </c>
      <c r="F2813" t="s">
        <v>577</v>
      </c>
      <c r="G2813" t="s">
        <v>4257</v>
      </c>
      <c r="H2813" s="3">
        <v>42.304499999999997</v>
      </c>
      <c r="I2813" t="s">
        <v>6570</v>
      </c>
      <c r="J2813" t="s">
        <v>6572</v>
      </c>
      <c r="L2813" t="s">
        <v>6571</v>
      </c>
      <c r="M2813" t="str">
        <f>"https://www.artic.edu/iiif/2/"&amp;Table9[[#This Row],[Image ID]]&amp;"/full/843,/0/default.jpg"</f>
        <v>https://www.artic.edu/iiif/2/24c1565b-f22d-fb73-4a7f-f35bcb3dcc09/full/843,/0/default.jpg</v>
      </c>
      <c r="N2813" s="3">
        <v>0.6</v>
      </c>
      <c r="O2813" s="3">
        <v>2.5000000000000001E-2</v>
      </c>
      <c r="P2813" s="3">
        <v>0.57499999999999996</v>
      </c>
      <c r="Q2813" s="3">
        <v>0.70238566398620605</v>
      </c>
    </row>
    <row r="2814" spans="1:17" x14ac:dyDescent="0.45">
      <c r="A2814" s="3">
        <v>39088</v>
      </c>
      <c r="B2814" t="b">
        <v>0</v>
      </c>
      <c r="C2814" t="b">
        <v>1</v>
      </c>
      <c r="D2814" s="3">
        <v>1865</v>
      </c>
      <c r="E2814" s="3">
        <v>1875</v>
      </c>
      <c r="F2814" t="s">
        <v>7426</v>
      </c>
      <c r="G2814" t="s">
        <v>7427</v>
      </c>
      <c r="H2814" s="3">
        <v>29.2864</v>
      </c>
      <c r="I2814" t="s">
        <v>5317</v>
      </c>
      <c r="J2814" t="s">
        <v>11504</v>
      </c>
      <c r="L2814" t="s">
        <v>7428</v>
      </c>
      <c r="M2814" t="str">
        <f>"https://www.artic.edu/iiif/2/"&amp;Table9[[#This Row],[Image ID]]&amp;"/full/843,/0/default.jpg"</f>
        <v>https://www.artic.edu/iiif/2/259d2061-bf9c-f112-0700-265a15a81759/full/843,/0/default.jpg</v>
      </c>
      <c r="N2814" s="3">
        <v>0.75</v>
      </c>
      <c r="O2814" s="3">
        <v>0.17499999999999999</v>
      </c>
      <c r="P2814" s="3">
        <v>0.57499999999999996</v>
      </c>
      <c r="Q2814" s="3">
        <v>0.66507095098495395</v>
      </c>
    </row>
    <row r="2815" spans="1:17" x14ac:dyDescent="0.45">
      <c r="A2815" s="3">
        <v>44826</v>
      </c>
      <c r="B2815" t="b">
        <v>0</v>
      </c>
      <c r="C2815" t="b">
        <v>1</v>
      </c>
      <c r="D2815" s="3">
        <v>1663</v>
      </c>
      <c r="E2815" s="3">
        <v>1665</v>
      </c>
      <c r="F2815" t="s">
        <v>7795</v>
      </c>
      <c r="G2815" t="s">
        <v>7</v>
      </c>
      <c r="H2815" s="3">
        <v>27.842199999999998</v>
      </c>
      <c r="I2815" t="s">
        <v>1123</v>
      </c>
      <c r="J2815" t="s">
        <v>11538</v>
      </c>
      <c r="L2815" t="s">
        <v>7796</v>
      </c>
      <c r="M2815" t="str">
        <f>"https://www.artic.edu/iiif/2/"&amp;Table9[[#This Row],[Image ID]]&amp;"/full/843,/0/default.jpg"</f>
        <v>https://www.artic.edu/iiif/2/26ec4ba5-0571-aded-9bbb-601973682b07/full/843,/0/default.jpg</v>
      </c>
      <c r="N2815" s="3">
        <v>0.7</v>
      </c>
      <c r="O2815" s="3">
        <v>0.125</v>
      </c>
      <c r="P2815" s="3">
        <v>0.57499999999999996</v>
      </c>
      <c r="Q2815" s="3">
        <v>0.59788513183593694</v>
      </c>
    </row>
    <row r="2816" spans="1:17" x14ac:dyDescent="0.45">
      <c r="A2816" s="3">
        <v>153993</v>
      </c>
      <c r="B2816" t="b">
        <v>0</v>
      </c>
      <c r="C2816" t="b">
        <v>1</v>
      </c>
      <c r="D2816" s="3">
        <v>1865</v>
      </c>
      <c r="E2816" s="3">
        <v>1865</v>
      </c>
      <c r="F2816" t="s">
        <v>3970</v>
      </c>
      <c r="G2816" t="s">
        <v>7</v>
      </c>
      <c r="H2816" s="3">
        <v>24.192900000000002</v>
      </c>
      <c r="I2816" t="s">
        <v>3971</v>
      </c>
      <c r="J2816" t="s">
        <v>11582</v>
      </c>
      <c r="L2816" t="s">
        <v>3972</v>
      </c>
      <c r="M2816" t="str">
        <f>"https://www.artic.edu/iiif/2/"&amp;Table9[[#This Row],[Image ID]]&amp;"/full/843,/0/default.jpg"</f>
        <v>https://www.artic.edu/iiif/2/29d3c6bc-7b53-d13f-a625-0490141c6f10/full/843,/0/default.jpg</v>
      </c>
      <c r="N2816" s="3">
        <v>0.77500000000000002</v>
      </c>
      <c r="O2816" s="3">
        <v>0.2</v>
      </c>
      <c r="P2816" s="3">
        <v>0.57499999999999996</v>
      </c>
      <c r="Q2816" s="3">
        <v>0.53057730197906405</v>
      </c>
    </row>
    <row r="2817" spans="1:17" x14ac:dyDescent="0.45">
      <c r="A2817" s="3">
        <v>115207</v>
      </c>
      <c r="B2817" t="b">
        <v>0</v>
      </c>
      <c r="C2817" t="b">
        <v>1</v>
      </c>
      <c r="D2817" s="3">
        <v>1843</v>
      </c>
      <c r="E2817" s="3">
        <v>1843</v>
      </c>
      <c r="F2817" t="s">
        <v>1860</v>
      </c>
      <c r="G2817" t="s">
        <v>164</v>
      </c>
      <c r="H2817" s="3">
        <v>33.507300000000001</v>
      </c>
      <c r="I2817" t="s">
        <v>1555</v>
      </c>
      <c r="J2817" t="s">
        <v>11835</v>
      </c>
      <c r="L2817" t="s">
        <v>1861</v>
      </c>
      <c r="M2817" t="str">
        <f>"https://www.artic.edu/iiif/2/"&amp;Table9[[#This Row],[Image ID]]&amp;"/full/843,/0/default.jpg"</f>
        <v>https://www.artic.edu/iiif/2/3aafbf93-8edd-6229-ecc4-8d07b971c5db/full/843,/0/default.jpg</v>
      </c>
      <c r="N2817" s="3">
        <v>0.73799999999999999</v>
      </c>
      <c r="O2817" s="3">
        <v>0.16300000000000001</v>
      </c>
      <c r="P2817" s="3">
        <v>0.57499999999999996</v>
      </c>
      <c r="Q2817" s="3">
        <v>0.58487129211425704</v>
      </c>
    </row>
    <row r="2818" spans="1:17" x14ac:dyDescent="0.45">
      <c r="A2818" s="3">
        <v>115485</v>
      </c>
      <c r="B2818" t="b">
        <v>0</v>
      </c>
      <c r="C2818" t="b">
        <v>1</v>
      </c>
      <c r="D2818" s="3">
        <v>1719</v>
      </c>
      <c r="E2818" s="3">
        <v>1769</v>
      </c>
      <c r="F2818" t="s">
        <v>1930</v>
      </c>
      <c r="G2818" t="s">
        <v>1931</v>
      </c>
      <c r="H2818" s="3">
        <v>32.569899999999997</v>
      </c>
      <c r="I2818" t="s">
        <v>1922</v>
      </c>
      <c r="J2818" t="s">
        <v>11888</v>
      </c>
      <c r="L2818" t="s">
        <v>1932</v>
      </c>
      <c r="M2818" t="str">
        <f>"https://www.artic.edu/iiif/2/"&amp;Table9[[#This Row],[Image ID]]&amp;"/full/843,/0/default.jpg"</f>
        <v>https://www.artic.edu/iiif/2/3dee7885-6fb7-73d4-9654-dc5331030973/full/843,/0/default.jpg</v>
      </c>
      <c r="N2818" s="3">
        <v>0.625</v>
      </c>
      <c r="O2818" s="3">
        <v>0.05</v>
      </c>
      <c r="P2818" s="3">
        <v>0.57499999999999996</v>
      </c>
      <c r="Q2818" s="3">
        <v>0.85601824522018399</v>
      </c>
    </row>
    <row r="2819" spans="1:17" x14ac:dyDescent="0.45">
      <c r="A2819" s="3">
        <v>111656</v>
      </c>
      <c r="B2819" t="b">
        <v>0</v>
      </c>
      <c r="C2819" t="b">
        <v>1</v>
      </c>
      <c r="D2819" s="3">
        <v>1896</v>
      </c>
      <c r="E2819" s="3">
        <v>1896</v>
      </c>
      <c r="F2819" t="s">
        <v>1207</v>
      </c>
      <c r="G2819" t="s">
        <v>7</v>
      </c>
      <c r="H2819" s="3">
        <v>16.666899999999998</v>
      </c>
      <c r="I2819" t="s">
        <v>1208</v>
      </c>
      <c r="J2819" t="s">
        <v>11914</v>
      </c>
      <c r="L2819" t="s">
        <v>1209</v>
      </c>
      <c r="M2819" t="str">
        <f>"https://www.artic.edu/iiif/2/"&amp;Table9[[#This Row],[Image ID]]&amp;"/full/843,/0/default.jpg"</f>
        <v>https://www.artic.edu/iiif/2/3fa3855e-d7e7-d2a4-0f95-a38268026bad/full/843,/0/default.jpg</v>
      </c>
      <c r="N2819" s="3">
        <v>0.625</v>
      </c>
      <c r="O2819" s="3">
        <v>0.05</v>
      </c>
      <c r="P2819" s="3">
        <v>0.57499999999999996</v>
      </c>
      <c r="Q2819" s="3">
        <v>0.55438596010208097</v>
      </c>
    </row>
    <row r="2820" spans="1:17" x14ac:dyDescent="0.45">
      <c r="A2820" s="3">
        <v>21768</v>
      </c>
      <c r="B2820" t="b">
        <v>0</v>
      </c>
      <c r="C2820" t="b">
        <v>1</v>
      </c>
      <c r="D2820" s="3">
        <v>1776</v>
      </c>
      <c r="E2820" s="3">
        <v>1827</v>
      </c>
      <c r="F2820" t="s">
        <v>5731</v>
      </c>
      <c r="G2820" t="s">
        <v>5732</v>
      </c>
      <c r="H2820" s="3">
        <v>32.257599999999996</v>
      </c>
      <c r="I2820" t="s">
        <v>1266</v>
      </c>
      <c r="J2820" t="s">
        <v>11979</v>
      </c>
      <c r="L2820" t="s">
        <v>5733</v>
      </c>
      <c r="M2820" t="str">
        <f>"https://www.artic.edu/iiif/2/"&amp;Table9[[#This Row],[Image ID]]&amp;"/full/843,/0/default.jpg"</f>
        <v>https://www.artic.edu/iiif/2/43f32e22-227b-9419-8663-423bea833719/full/843,/0/default.jpg</v>
      </c>
      <c r="N2820" s="3">
        <v>0.82499999999999996</v>
      </c>
      <c r="O2820" s="3">
        <v>0.25</v>
      </c>
      <c r="P2820" s="3">
        <v>0.57499999999999996</v>
      </c>
      <c r="Q2820" s="3">
        <v>0.50758260488510099</v>
      </c>
    </row>
    <row r="2821" spans="1:17" x14ac:dyDescent="0.45">
      <c r="A2821" s="3">
        <v>107334</v>
      </c>
      <c r="B2821" t="b">
        <v>0</v>
      </c>
      <c r="C2821" t="b">
        <v>1</v>
      </c>
      <c r="D2821" s="3">
        <v>1300</v>
      </c>
      <c r="E2821" s="3">
        <v>1399</v>
      </c>
      <c r="F2821" t="s">
        <v>664</v>
      </c>
      <c r="G2821" t="s">
        <v>584</v>
      </c>
      <c r="H2821" s="3">
        <v>41.574599999999997</v>
      </c>
      <c r="J2821" t="s">
        <v>12053</v>
      </c>
      <c r="K2821" s="5" t="s">
        <v>278</v>
      </c>
      <c r="L2821" t="s">
        <v>665</v>
      </c>
      <c r="M2821" t="str">
        <f>"https://www.artic.edu/iiif/2/"&amp;Table9[[#This Row],[Image ID]]&amp;"/full/843,/0/default.jpg"</f>
        <v>https://www.artic.edu/iiif/2/49e358fe-8295-09bf-1fc9-4fc8dc7c06c7/full/843,/0/default.jpg</v>
      </c>
      <c r="N2821" s="3">
        <v>0.7</v>
      </c>
      <c r="O2821" s="3">
        <v>0.125</v>
      </c>
      <c r="P2821" s="3">
        <v>0.57499999999999996</v>
      </c>
      <c r="Q2821" s="3">
        <v>0.76511275768279996</v>
      </c>
    </row>
    <row r="2822" spans="1:17" x14ac:dyDescent="0.45">
      <c r="A2822" s="3">
        <v>58050</v>
      </c>
      <c r="B2822" t="b">
        <v>0</v>
      </c>
      <c r="C2822" t="b">
        <v>1</v>
      </c>
      <c r="D2822" s="3">
        <v>1690</v>
      </c>
      <c r="E2822" s="3">
        <v>1700</v>
      </c>
      <c r="F2822" t="s">
        <v>8499</v>
      </c>
      <c r="G2822" t="s">
        <v>7</v>
      </c>
      <c r="H2822" s="3">
        <v>0</v>
      </c>
      <c r="I2822" t="s">
        <v>170</v>
      </c>
      <c r="J2822" t="s">
        <v>12058</v>
      </c>
      <c r="L2822" t="s">
        <v>8500</v>
      </c>
      <c r="M2822" t="str">
        <f>"https://www.artic.edu/iiif/2/"&amp;Table9[[#This Row],[Image ID]]&amp;"/full/843,/0/default.jpg"</f>
        <v>https://www.artic.edu/iiif/2/4a20ad0e-e6f5-6471-7cba-1631a8a642ea/full/843,/0/default.jpg</v>
      </c>
      <c r="N2822" s="3">
        <v>0.72499999999999998</v>
      </c>
      <c r="O2822" s="3">
        <v>0.15</v>
      </c>
      <c r="P2822" s="3">
        <v>0.57499999999999996</v>
      </c>
      <c r="Q2822" s="3">
        <v>0.76424670219421298</v>
      </c>
    </row>
    <row r="2823" spans="1:17" x14ac:dyDescent="0.45">
      <c r="A2823" s="3">
        <v>81537</v>
      </c>
      <c r="B2823" t="b">
        <v>0</v>
      </c>
      <c r="C2823" t="b">
        <v>1</v>
      </c>
      <c r="D2823" s="3">
        <v>1884</v>
      </c>
      <c r="E2823" s="3">
        <v>1884</v>
      </c>
      <c r="F2823" t="s">
        <v>10121</v>
      </c>
      <c r="G2823" t="s">
        <v>7</v>
      </c>
      <c r="H2823" s="3">
        <v>34.039900000000003</v>
      </c>
      <c r="I2823" t="s">
        <v>43</v>
      </c>
      <c r="J2823" t="s">
        <v>12095</v>
      </c>
      <c r="K2823" s="5" t="s">
        <v>9</v>
      </c>
      <c r="L2823" t="s">
        <v>10122</v>
      </c>
      <c r="M2823" t="str">
        <f>"https://www.artic.edu/iiif/2/"&amp;Table9[[#This Row],[Image ID]]&amp;"/full/843,/0/default.jpg"</f>
        <v>https://www.artic.edu/iiif/2/4d1b3ad0-14db-0d21-ad9f-17abb8bdfbb5/full/843,/0/default.jpg</v>
      </c>
      <c r="N2823" s="3">
        <v>0.625</v>
      </c>
      <c r="O2823" s="3">
        <v>0.05</v>
      </c>
      <c r="P2823" s="3">
        <v>0.57499999999999996</v>
      </c>
      <c r="Q2823" s="3">
        <v>0.456261366605758</v>
      </c>
    </row>
    <row r="2824" spans="1:17" x14ac:dyDescent="0.45">
      <c r="A2824" s="3">
        <v>16492</v>
      </c>
      <c r="B2824" t="b">
        <v>0</v>
      </c>
      <c r="C2824" t="b">
        <v>1</v>
      </c>
      <c r="D2824" s="3">
        <v>1742</v>
      </c>
      <c r="E2824" s="3">
        <v>1745</v>
      </c>
      <c r="F2824" t="s">
        <v>4452</v>
      </c>
      <c r="G2824" t="s">
        <v>7</v>
      </c>
      <c r="H2824" s="3">
        <v>28.417200000000001</v>
      </c>
      <c r="I2824" t="s">
        <v>1042</v>
      </c>
      <c r="J2824" t="s">
        <v>12096</v>
      </c>
      <c r="L2824" t="s">
        <v>4453</v>
      </c>
      <c r="M2824" t="str">
        <f>"https://www.artic.edu/iiif/2/"&amp;Table9[[#This Row],[Image ID]]&amp;"/full/843,/0/default.jpg"</f>
        <v>https://www.artic.edu/iiif/2/4d2eeeeb-817c-2b00-68e8-4f4c75f7f061/full/843,/0/default.jpg</v>
      </c>
      <c r="N2824" s="3">
        <v>0.7</v>
      </c>
      <c r="O2824" s="3">
        <v>0.125</v>
      </c>
      <c r="P2824" s="3">
        <v>0.57499999999999996</v>
      </c>
      <c r="Q2824" s="3">
        <v>0.69779312610626198</v>
      </c>
    </row>
    <row r="2825" spans="1:17" x14ac:dyDescent="0.45">
      <c r="A2825" s="3">
        <v>39008</v>
      </c>
      <c r="B2825" t="b">
        <v>0</v>
      </c>
      <c r="C2825" t="b">
        <v>1</v>
      </c>
      <c r="D2825" s="3">
        <v>1845</v>
      </c>
      <c r="E2825" s="3">
        <v>1850</v>
      </c>
      <c r="F2825" t="s">
        <v>7374</v>
      </c>
      <c r="G2825" t="s">
        <v>7375</v>
      </c>
      <c r="H2825" s="3">
        <v>35.629300000000001</v>
      </c>
      <c r="I2825" t="s">
        <v>2148</v>
      </c>
      <c r="J2825" t="s">
        <v>12133</v>
      </c>
      <c r="L2825" t="s">
        <v>7376</v>
      </c>
      <c r="M2825" t="str">
        <f>"https://www.artic.edu/iiif/2/"&amp;Table9[[#This Row],[Image ID]]&amp;"/full/843,/0/default.jpg"</f>
        <v>https://www.artic.edu/iiif/2/4fd2664d-c81f-fd65-adbe-6bbf6cf4f85b/full/843,/0/default.jpg</v>
      </c>
      <c r="N2825" s="3">
        <v>0.7</v>
      </c>
      <c r="O2825" s="3">
        <v>0.125</v>
      </c>
      <c r="P2825" s="3">
        <v>0.57499999999999996</v>
      </c>
      <c r="Q2825" s="3">
        <v>0.569752156734466</v>
      </c>
    </row>
    <row r="2826" spans="1:17" x14ac:dyDescent="0.45">
      <c r="A2826" s="3">
        <v>16349</v>
      </c>
      <c r="B2826" t="b">
        <v>0</v>
      </c>
      <c r="C2826" t="b">
        <v>1</v>
      </c>
      <c r="D2826" s="3">
        <v>1625</v>
      </c>
      <c r="E2826" s="3">
        <v>1640</v>
      </c>
      <c r="F2826" t="s">
        <v>4380</v>
      </c>
      <c r="G2826" t="s">
        <v>75</v>
      </c>
      <c r="H2826" s="3">
        <v>0</v>
      </c>
      <c r="I2826" t="s">
        <v>4381</v>
      </c>
      <c r="J2826" t="s">
        <v>12138</v>
      </c>
      <c r="L2826" t="s">
        <v>4382</v>
      </c>
      <c r="M2826" t="str">
        <f>"https://www.artic.edu/iiif/2/"&amp;Table9[[#This Row],[Image ID]]&amp;"/full/843,/0/default.jpg"</f>
        <v>https://www.artic.edu/iiif/2/50931576-e0cd-3616-4668-7dbdcf6185de/full/843,/0/default.jpg</v>
      </c>
      <c r="N2826" s="3">
        <v>0.75</v>
      </c>
      <c r="O2826" s="3">
        <v>0.17499999999999999</v>
      </c>
      <c r="P2826" s="3">
        <v>0.57499999999999996</v>
      </c>
      <c r="Q2826" s="3">
        <v>0.42611119151115401</v>
      </c>
    </row>
    <row r="2827" spans="1:17" x14ac:dyDescent="0.45">
      <c r="A2827" s="3">
        <v>21762</v>
      </c>
      <c r="B2827" t="b">
        <v>0</v>
      </c>
      <c r="C2827" t="b">
        <v>1</v>
      </c>
      <c r="D2827" s="3">
        <v>1776</v>
      </c>
      <c r="E2827" s="3">
        <v>1827</v>
      </c>
      <c r="F2827" t="s">
        <v>5720</v>
      </c>
      <c r="G2827" t="s">
        <v>5721</v>
      </c>
      <c r="H2827" s="3">
        <v>28.349900000000002</v>
      </c>
      <c r="I2827" t="s">
        <v>1266</v>
      </c>
      <c r="J2827" t="s">
        <v>12183</v>
      </c>
      <c r="L2827" t="s">
        <v>5722</v>
      </c>
      <c r="M2827" t="str">
        <f>"https://www.artic.edu/iiif/2/"&amp;Table9[[#This Row],[Image ID]]&amp;"/full/843,/0/default.jpg"</f>
        <v>https://www.artic.edu/iiif/2/52c1dde5-a513-1ef0-aa30-be2e47b89011/full/843,/0/default.jpg</v>
      </c>
      <c r="N2827" s="3">
        <v>0.72499999999999998</v>
      </c>
      <c r="O2827" s="3">
        <v>0.15</v>
      </c>
      <c r="P2827" s="3">
        <v>0.57499999999999996</v>
      </c>
      <c r="Q2827" s="3">
        <v>0.780542492866516</v>
      </c>
    </row>
    <row r="2828" spans="1:17" x14ac:dyDescent="0.45">
      <c r="A2828" s="3">
        <v>44739</v>
      </c>
      <c r="B2828" t="b">
        <v>0</v>
      </c>
      <c r="C2828" t="b">
        <v>1</v>
      </c>
      <c r="D2828" s="3">
        <v>1793</v>
      </c>
      <c r="E2828" s="3">
        <v>1793</v>
      </c>
      <c r="F2828" t="s">
        <v>7786</v>
      </c>
      <c r="G2828" t="s">
        <v>7</v>
      </c>
      <c r="H2828" s="3">
        <v>12.680999999999999</v>
      </c>
      <c r="I2828" t="s">
        <v>1312</v>
      </c>
      <c r="J2828" t="s">
        <v>12378</v>
      </c>
      <c r="L2828" t="s">
        <v>7787</v>
      </c>
      <c r="M2828" t="str">
        <f>"https://www.artic.edu/iiif/2/"&amp;Table9[[#This Row],[Image ID]]&amp;"/full/843,/0/default.jpg"</f>
        <v>https://www.artic.edu/iiif/2/6006b9e7-567a-4fb8-34e2-a120886690fe/full/843,/0/default.jpg</v>
      </c>
      <c r="N2828" s="3">
        <v>0.625</v>
      </c>
      <c r="O2828" s="3">
        <v>0.05</v>
      </c>
      <c r="P2828" s="3">
        <v>0.57499999999999996</v>
      </c>
      <c r="Q2828" s="3">
        <v>0.77404803037643399</v>
      </c>
    </row>
    <row r="2829" spans="1:17" x14ac:dyDescent="0.45">
      <c r="A2829" s="3">
        <v>8360</v>
      </c>
      <c r="B2829" t="b">
        <v>0</v>
      </c>
      <c r="C2829" t="b">
        <v>1</v>
      </c>
      <c r="D2829" s="3">
        <v>1892</v>
      </c>
      <c r="E2829" s="3">
        <v>1892</v>
      </c>
      <c r="F2829" t="s">
        <v>10225</v>
      </c>
      <c r="G2829" t="s">
        <v>10226</v>
      </c>
      <c r="H2829" s="3">
        <v>22.3291</v>
      </c>
      <c r="I2829" t="s">
        <v>872</v>
      </c>
      <c r="J2829" t="s">
        <v>12382</v>
      </c>
      <c r="K2829" s="5" t="s">
        <v>115</v>
      </c>
      <c r="L2829" t="s">
        <v>10227</v>
      </c>
      <c r="M2829" t="str">
        <f>"https://www.artic.edu/iiif/2/"&amp;Table9[[#This Row],[Image ID]]&amp;"/full/843,/0/default.jpg"</f>
        <v>https://www.artic.edu/iiif/2/604fe021-6008-f666-bce8-456b2fdc9bd4/full/843,/0/default.jpg</v>
      </c>
      <c r="N2829" s="3">
        <v>0.625</v>
      </c>
      <c r="O2829" s="3">
        <v>0.05</v>
      </c>
      <c r="P2829" s="3">
        <v>0.57499999999999996</v>
      </c>
      <c r="Q2829" s="3">
        <v>0.64053511619567804</v>
      </c>
    </row>
    <row r="2830" spans="1:17" x14ac:dyDescent="0.45">
      <c r="A2830" s="3">
        <v>107939</v>
      </c>
      <c r="B2830" t="b">
        <v>0</v>
      </c>
      <c r="C2830" t="b">
        <v>1</v>
      </c>
      <c r="D2830" s="3">
        <v>1830</v>
      </c>
      <c r="E2830" s="3">
        <v>1830</v>
      </c>
      <c r="F2830" t="s">
        <v>712</v>
      </c>
      <c r="G2830" t="s">
        <v>7</v>
      </c>
      <c r="H2830" s="3">
        <v>48.872300000000003</v>
      </c>
      <c r="I2830" t="s">
        <v>713</v>
      </c>
      <c r="J2830" t="s">
        <v>12497</v>
      </c>
      <c r="K2830" s="5" t="s">
        <v>125</v>
      </c>
      <c r="L2830" t="s">
        <v>714</v>
      </c>
      <c r="M2830" t="str">
        <f>"https://www.artic.edu/iiif/2/"&amp;Table9[[#This Row],[Image ID]]&amp;"/full/843,/0/default.jpg"</f>
        <v>https://www.artic.edu/iiif/2/68415b1d-baec-303a-1c09-4c6b7ccb575c/full/843,/0/default.jpg</v>
      </c>
      <c r="N2830" s="3">
        <v>0.72499999999999998</v>
      </c>
      <c r="O2830" s="3">
        <v>0.15</v>
      </c>
      <c r="P2830" s="3">
        <v>0.57499999999999996</v>
      </c>
      <c r="Q2830" s="3">
        <v>0.79591745138168302</v>
      </c>
    </row>
    <row r="2831" spans="1:17" x14ac:dyDescent="0.45">
      <c r="A2831" s="3">
        <v>186425</v>
      </c>
      <c r="B2831" t="b">
        <v>0</v>
      </c>
      <c r="C2831" t="b">
        <v>1</v>
      </c>
      <c r="D2831" s="3">
        <v>1875</v>
      </c>
      <c r="E2831" s="3">
        <v>1885</v>
      </c>
      <c r="F2831" t="s">
        <v>3242</v>
      </c>
      <c r="G2831" t="s">
        <v>3958</v>
      </c>
      <c r="H2831" s="3">
        <v>15.9511</v>
      </c>
      <c r="I2831" t="s">
        <v>14670</v>
      </c>
      <c r="J2831" t="s">
        <v>12577</v>
      </c>
      <c r="L2831" t="s">
        <v>5061</v>
      </c>
      <c r="M2831" t="str">
        <f>"https://www.artic.edu/iiif/2/"&amp;Table9[[#This Row],[Image ID]]&amp;"/full/843,/0/default.jpg"</f>
        <v>https://www.artic.edu/iiif/2/6e960a8e-4189-f7b7-4785-716474c36179/full/843,/0/default.jpg</v>
      </c>
      <c r="N2831" s="3">
        <v>0.625</v>
      </c>
      <c r="O2831" s="3">
        <v>0.05</v>
      </c>
      <c r="P2831" s="3">
        <v>0.57499999999999996</v>
      </c>
      <c r="Q2831" s="3">
        <v>0.75613260269164995</v>
      </c>
    </row>
    <row r="2832" spans="1:17" x14ac:dyDescent="0.45">
      <c r="A2832" s="3">
        <v>115142</v>
      </c>
      <c r="B2832" t="b">
        <v>0</v>
      </c>
      <c r="C2832" t="b">
        <v>1</v>
      </c>
      <c r="D2832" s="3">
        <v>1845</v>
      </c>
      <c r="E2832" s="3">
        <v>1845</v>
      </c>
      <c r="F2832" t="s">
        <v>1802</v>
      </c>
      <c r="G2832" t="s">
        <v>164</v>
      </c>
      <c r="H2832" s="3">
        <v>31.0321</v>
      </c>
      <c r="I2832" t="s">
        <v>1555</v>
      </c>
      <c r="J2832" t="s">
        <v>12645</v>
      </c>
      <c r="L2832" t="s">
        <v>1803</v>
      </c>
      <c r="M2832" t="str">
        <f>"https://www.artic.edu/iiif/2/"&amp;Table9[[#This Row],[Image ID]]&amp;"/full/843,/0/default.jpg"</f>
        <v>https://www.artic.edu/iiif/2/733811be-b017-b49d-43e0-df96945158a9/full/843,/0/default.jpg</v>
      </c>
      <c r="N2832" s="3">
        <v>0.75</v>
      </c>
      <c r="O2832" s="3">
        <v>0.17499999999999999</v>
      </c>
      <c r="P2832" s="3">
        <v>0.57499999999999996</v>
      </c>
      <c r="Q2832" s="3">
        <v>0.45950853824615401</v>
      </c>
    </row>
    <row r="2833" spans="1:17" x14ac:dyDescent="0.45">
      <c r="A2833" s="3">
        <v>39076</v>
      </c>
      <c r="B2833" t="b">
        <v>0</v>
      </c>
      <c r="C2833" t="b">
        <v>1</v>
      </c>
      <c r="D2833" s="3">
        <v>1850</v>
      </c>
      <c r="E2833" s="3">
        <v>1859</v>
      </c>
      <c r="F2833" t="s">
        <v>7415</v>
      </c>
      <c r="G2833" t="s">
        <v>1374</v>
      </c>
      <c r="H2833" s="3">
        <v>20.355499999999999</v>
      </c>
      <c r="I2833" t="s">
        <v>1295</v>
      </c>
      <c r="J2833" t="s">
        <v>12702</v>
      </c>
      <c r="L2833" t="s">
        <v>7416</v>
      </c>
      <c r="M2833" t="str">
        <f>"https://www.artic.edu/iiif/2/"&amp;Table9[[#This Row],[Image ID]]&amp;"/full/843,/0/default.jpg"</f>
        <v>https://www.artic.edu/iiif/2/7748adbf-eb27-3c30-da95-f23da4dc7767/full/843,/0/default.jpg</v>
      </c>
      <c r="N2833" s="3">
        <v>0.6</v>
      </c>
      <c r="O2833" s="3">
        <v>2.5000000000000001E-2</v>
      </c>
      <c r="P2833" s="3">
        <v>0.57499999999999996</v>
      </c>
      <c r="Q2833" s="3">
        <v>0.73627877235412598</v>
      </c>
    </row>
    <row r="2834" spans="1:17" x14ac:dyDescent="0.45">
      <c r="A2834" s="3">
        <v>18743</v>
      </c>
      <c r="B2834" t="b">
        <v>0</v>
      </c>
      <c r="C2834" t="b">
        <v>1</v>
      </c>
      <c r="D2834" s="3">
        <v>1863</v>
      </c>
      <c r="E2834" s="3">
        <v>1863</v>
      </c>
      <c r="F2834" t="s">
        <v>5114</v>
      </c>
      <c r="G2834" t="s">
        <v>7</v>
      </c>
      <c r="H2834" s="3">
        <v>0</v>
      </c>
      <c r="I2834" t="s">
        <v>1168</v>
      </c>
      <c r="J2834" t="s">
        <v>12725</v>
      </c>
      <c r="L2834" t="s">
        <v>5115</v>
      </c>
      <c r="M2834" t="str">
        <f>"https://www.artic.edu/iiif/2/"&amp;Table9[[#This Row],[Image ID]]&amp;"/full/843,/0/default.jpg"</f>
        <v>https://www.artic.edu/iiif/2/79122f7e-1088-232e-343a-9fb3a3c7fc64/full/843,/0/default.jpg</v>
      </c>
      <c r="N2834" s="3">
        <v>0.72499999999999998</v>
      </c>
      <c r="O2834" s="3">
        <v>0.15</v>
      </c>
      <c r="P2834" s="3">
        <v>0.57499999999999996</v>
      </c>
      <c r="Q2834" s="3">
        <v>0.443620115518569</v>
      </c>
    </row>
    <row r="2835" spans="1:17" x14ac:dyDescent="0.45">
      <c r="A2835" s="3">
        <v>16354</v>
      </c>
      <c r="B2835" t="b">
        <v>0</v>
      </c>
      <c r="C2835" t="b">
        <v>1</v>
      </c>
      <c r="D2835" s="3">
        <v>1801</v>
      </c>
      <c r="E2835" s="3">
        <v>1811</v>
      </c>
      <c r="F2835" t="s">
        <v>4385</v>
      </c>
      <c r="G2835" t="s">
        <v>75</v>
      </c>
      <c r="H2835" s="3">
        <v>25.318899999999999</v>
      </c>
      <c r="I2835" t="s">
        <v>14559</v>
      </c>
      <c r="J2835" t="s">
        <v>12972</v>
      </c>
      <c r="L2835" t="s">
        <v>4386</v>
      </c>
      <c r="M2835" t="str">
        <f>"https://www.artic.edu/iiif/2/"&amp;Table9[[#This Row],[Image ID]]&amp;"/full/843,/0/default.jpg"</f>
        <v>https://www.artic.edu/iiif/2/8bc334c3-fa52-3d39-deb6-f89ed609010e/full/843,/0/default.jpg</v>
      </c>
      <c r="N2835" s="3">
        <v>0.7</v>
      </c>
      <c r="O2835" s="3">
        <v>0.125</v>
      </c>
      <c r="P2835" s="3">
        <v>0.57499999999999996</v>
      </c>
      <c r="Q2835" s="3">
        <v>0.731181800365448</v>
      </c>
    </row>
    <row r="2836" spans="1:17" x14ac:dyDescent="0.45">
      <c r="A2836" s="3">
        <v>866</v>
      </c>
      <c r="B2836" t="b">
        <v>0</v>
      </c>
      <c r="C2836" t="b">
        <v>1</v>
      </c>
      <c r="D2836" s="3">
        <v>1626</v>
      </c>
      <c r="E2836" s="3">
        <v>1636</v>
      </c>
      <c r="F2836" t="s">
        <v>10340</v>
      </c>
      <c r="G2836" t="s">
        <v>7</v>
      </c>
      <c r="H2836" s="3">
        <v>31.5242</v>
      </c>
      <c r="I2836" t="s">
        <v>561</v>
      </c>
      <c r="J2836" t="s">
        <v>13021</v>
      </c>
      <c r="L2836" t="s">
        <v>10341</v>
      </c>
      <c r="M2836" t="str">
        <f>"https://www.artic.edu/iiif/2/"&amp;Table9[[#This Row],[Image ID]]&amp;"/full/843,/0/default.jpg"</f>
        <v>https://www.artic.edu/iiif/2/8f899167-2faf-bd0d-cf9c-9ca2fcb07a4b/full/843,/0/default.jpg</v>
      </c>
      <c r="N2836" s="3">
        <v>0.75</v>
      </c>
      <c r="O2836" s="3">
        <v>0.17499999999999999</v>
      </c>
      <c r="P2836" s="3">
        <v>0.57499999999999996</v>
      </c>
      <c r="Q2836" s="3">
        <v>0.84552711248397805</v>
      </c>
    </row>
    <row r="2837" spans="1:17" x14ac:dyDescent="0.45">
      <c r="A2837" s="3">
        <v>74967</v>
      </c>
      <c r="B2837" t="b">
        <v>0</v>
      </c>
      <c r="C2837" t="b">
        <v>1</v>
      </c>
      <c r="D2837" s="3">
        <v>1887</v>
      </c>
      <c r="E2837" s="3">
        <v>1887</v>
      </c>
      <c r="F2837" t="s">
        <v>9710</v>
      </c>
      <c r="G2837" t="s">
        <v>7</v>
      </c>
      <c r="H2837" s="3">
        <v>30.394300000000001</v>
      </c>
      <c r="I2837" t="s">
        <v>6501</v>
      </c>
      <c r="J2837" t="s">
        <v>13070</v>
      </c>
      <c r="K2837" s="5" t="s">
        <v>37</v>
      </c>
      <c r="L2837" t="s">
        <v>9711</v>
      </c>
      <c r="M2837" t="str">
        <f>"https://www.artic.edu/iiif/2/"&amp;Table9[[#This Row],[Image ID]]&amp;"/full/843,/0/default.jpg"</f>
        <v>https://www.artic.edu/iiif/2/94105fa4-8d1c-cbbd-bd02-80d77e8f0a84/full/843,/0/default.jpg</v>
      </c>
      <c r="N2837" s="3">
        <v>0.72499999999999998</v>
      </c>
      <c r="O2837" s="3">
        <v>0.15</v>
      </c>
      <c r="P2837" s="3">
        <v>0.57499999999999996</v>
      </c>
      <c r="Q2837" s="3">
        <v>0.77147918939590399</v>
      </c>
    </row>
    <row r="2838" spans="1:17" x14ac:dyDescent="0.45">
      <c r="A2838" s="3">
        <v>885</v>
      </c>
      <c r="B2838" t="b">
        <v>0</v>
      </c>
      <c r="C2838" t="b">
        <v>1</v>
      </c>
      <c r="D2838" s="3">
        <v>1877</v>
      </c>
      <c r="E2838" s="3">
        <v>1877</v>
      </c>
      <c r="F2838" t="s">
        <v>10424</v>
      </c>
      <c r="G2838" t="s">
        <v>7</v>
      </c>
      <c r="H2838" s="3">
        <v>19.3628</v>
      </c>
      <c r="I2838" t="s">
        <v>14640</v>
      </c>
      <c r="J2838" t="s">
        <v>13179</v>
      </c>
      <c r="L2838" t="s">
        <v>10425</v>
      </c>
      <c r="M2838" t="str">
        <f>"https://www.artic.edu/iiif/2/"&amp;Table9[[#This Row],[Image ID]]&amp;"/full/843,/0/default.jpg"</f>
        <v>https://www.artic.edu/iiif/2/9c1e2826-e79b-4b4d-73f9-2ba8c8b00180/full/843,/0/default.jpg</v>
      </c>
      <c r="N2838" s="3">
        <v>0.625</v>
      </c>
      <c r="O2838" s="3">
        <v>0.05</v>
      </c>
      <c r="P2838" s="3">
        <v>0.57499999999999996</v>
      </c>
      <c r="Q2838" s="3">
        <v>0.56366455554962103</v>
      </c>
    </row>
    <row r="2839" spans="1:17" x14ac:dyDescent="0.45">
      <c r="A2839" s="3">
        <v>72342</v>
      </c>
      <c r="B2839" t="b">
        <v>0</v>
      </c>
      <c r="C2839" t="b">
        <v>1</v>
      </c>
      <c r="D2839" s="3">
        <v>1875</v>
      </c>
      <c r="E2839" s="3">
        <v>1885</v>
      </c>
      <c r="F2839" t="s">
        <v>9554</v>
      </c>
      <c r="G2839" t="s">
        <v>9555</v>
      </c>
      <c r="H2839" s="3">
        <v>31.069600000000001</v>
      </c>
      <c r="I2839" t="s">
        <v>9556</v>
      </c>
      <c r="J2839" t="s">
        <v>13198</v>
      </c>
      <c r="L2839" t="s">
        <v>9557</v>
      </c>
      <c r="M2839" t="str">
        <f>"https://www.artic.edu/iiif/2/"&amp;Table9[[#This Row],[Image ID]]&amp;"/full/843,/0/default.jpg"</f>
        <v>https://www.artic.edu/iiif/2/9d90c3bb-a0a1-7fcf-d939-d96a6372c66e/full/843,/0/default.jpg</v>
      </c>
      <c r="N2839" s="3">
        <v>0.625</v>
      </c>
      <c r="O2839" s="3">
        <v>0.05</v>
      </c>
      <c r="P2839" s="3">
        <v>0.57499999999999996</v>
      </c>
      <c r="Q2839" s="3">
        <v>0.72057437896728505</v>
      </c>
    </row>
    <row r="2840" spans="1:17" x14ac:dyDescent="0.45">
      <c r="A2840" s="3">
        <v>107708</v>
      </c>
      <c r="B2840" t="b">
        <v>0</v>
      </c>
      <c r="C2840" t="b">
        <v>1</v>
      </c>
      <c r="D2840" s="3">
        <v>1822</v>
      </c>
      <c r="E2840" s="3">
        <v>1892</v>
      </c>
      <c r="F2840" t="s">
        <v>696</v>
      </c>
      <c r="G2840" t="s">
        <v>697</v>
      </c>
      <c r="H2840" s="3">
        <v>33.666600000000003</v>
      </c>
      <c r="I2840" t="s">
        <v>516</v>
      </c>
      <c r="J2840" t="s">
        <v>13209</v>
      </c>
      <c r="L2840" t="s">
        <v>698</v>
      </c>
      <c r="M2840" t="str">
        <f>"https://www.artic.edu/iiif/2/"&amp;Table9[[#This Row],[Image ID]]&amp;"/full/843,/0/default.jpg"</f>
        <v>https://www.artic.edu/iiif/2/9e21e941-d2e3-6874-5e80-e471e9889c12/full/843,/0/default.jpg</v>
      </c>
      <c r="N2840" s="3">
        <v>0.625</v>
      </c>
      <c r="O2840" s="3">
        <v>0.05</v>
      </c>
      <c r="P2840" s="3">
        <v>0.57499999999999996</v>
      </c>
      <c r="Q2840" s="3">
        <v>0.75930982828140203</v>
      </c>
    </row>
    <row r="2841" spans="1:17" x14ac:dyDescent="0.45">
      <c r="A2841" s="3">
        <v>115137</v>
      </c>
      <c r="B2841" t="b">
        <v>0</v>
      </c>
      <c r="C2841" t="b">
        <v>1</v>
      </c>
      <c r="D2841" s="3">
        <v>1843</v>
      </c>
      <c r="E2841" s="3">
        <v>1843</v>
      </c>
      <c r="F2841" t="s">
        <v>1791</v>
      </c>
      <c r="G2841" t="s">
        <v>1651</v>
      </c>
      <c r="H2841" s="3">
        <v>22.700399999999998</v>
      </c>
      <c r="I2841" t="s">
        <v>1555</v>
      </c>
      <c r="J2841" t="s">
        <v>13255</v>
      </c>
      <c r="L2841" t="s">
        <v>1792</v>
      </c>
      <c r="M2841" t="str">
        <f>"https://www.artic.edu/iiif/2/"&amp;Table9[[#This Row],[Image ID]]&amp;"/full/843,/0/default.jpg"</f>
        <v>https://www.artic.edu/iiif/2/a1fe94ab-ce53-06c5-5242-51661b47fbc4/full/843,/0/default.jpg</v>
      </c>
      <c r="N2841" s="3">
        <v>0.77500000000000002</v>
      </c>
      <c r="O2841" s="3">
        <v>0.2</v>
      </c>
      <c r="P2841" s="3">
        <v>0.57499999999999996</v>
      </c>
      <c r="Q2841" s="3">
        <v>0.51939624547958296</v>
      </c>
    </row>
    <row r="2842" spans="1:17" x14ac:dyDescent="0.45">
      <c r="A2842" s="3">
        <v>16557</v>
      </c>
      <c r="B2842" t="b">
        <v>0</v>
      </c>
      <c r="C2842" t="b">
        <v>1</v>
      </c>
      <c r="D2842" s="3">
        <v>1866</v>
      </c>
      <c r="E2842" s="3">
        <v>1866</v>
      </c>
      <c r="F2842" t="s">
        <v>4485</v>
      </c>
      <c r="G2842" t="s">
        <v>7</v>
      </c>
      <c r="H2842" s="3">
        <v>27.261099999999999</v>
      </c>
      <c r="I2842" t="s">
        <v>4486</v>
      </c>
      <c r="J2842" t="s">
        <v>13257</v>
      </c>
      <c r="L2842" t="s">
        <v>4487</v>
      </c>
      <c r="M2842" t="str">
        <f>"https://www.artic.edu/iiif/2/"&amp;Table9[[#This Row],[Image ID]]&amp;"/full/843,/0/default.jpg"</f>
        <v>https://www.artic.edu/iiif/2/a2214c05-3fb2-2faf-cf70-d43fcfede342/full/843,/0/default.jpg</v>
      </c>
      <c r="N2842" s="3">
        <v>0.57499999999999996</v>
      </c>
      <c r="O2842" s="3">
        <v>0</v>
      </c>
      <c r="P2842" s="3">
        <v>0.57499999999999996</v>
      </c>
      <c r="Q2842" s="3">
        <v>0.85429865121841397</v>
      </c>
    </row>
    <row r="2843" spans="1:17" x14ac:dyDescent="0.45">
      <c r="A2843" s="3">
        <v>863</v>
      </c>
      <c r="B2843" t="b">
        <v>0</v>
      </c>
      <c r="C2843" t="b">
        <v>1</v>
      </c>
      <c r="D2843" s="3">
        <v>1664</v>
      </c>
      <c r="E2843" s="3">
        <v>1664</v>
      </c>
      <c r="F2843" t="s">
        <v>10328</v>
      </c>
      <c r="G2843" t="s">
        <v>7</v>
      </c>
      <c r="H2843" s="3">
        <v>24.836300000000001</v>
      </c>
      <c r="I2843" t="s">
        <v>7060</v>
      </c>
      <c r="J2843" t="s">
        <v>13276</v>
      </c>
      <c r="L2843" t="s">
        <v>10329</v>
      </c>
      <c r="M2843" t="str">
        <f>"https://www.artic.edu/iiif/2/"&amp;Table9[[#This Row],[Image ID]]&amp;"/full/843,/0/default.jpg"</f>
        <v>https://www.artic.edu/iiif/2/a34d9d72-c4ec-0750-389e-a01215c9aab0/full/843,/0/default.jpg</v>
      </c>
      <c r="N2843" s="3">
        <v>0.7</v>
      </c>
      <c r="O2843" s="3">
        <v>0.125</v>
      </c>
      <c r="P2843" s="3">
        <v>0.57499999999999996</v>
      </c>
      <c r="Q2843" s="3">
        <v>0.59315687417983998</v>
      </c>
    </row>
    <row r="2844" spans="1:17" x14ac:dyDescent="0.45">
      <c r="A2844" s="3">
        <v>160142</v>
      </c>
      <c r="B2844" t="b">
        <v>0</v>
      </c>
      <c r="C2844" t="b">
        <v>1</v>
      </c>
      <c r="D2844" s="3">
        <v>1881</v>
      </c>
      <c r="E2844" s="3">
        <v>1891</v>
      </c>
      <c r="F2844" t="s">
        <v>4243</v>
      </c>
      <c r="G2844" t="s">
        <v>1502</v>
      </c>
      <c r="H2844" s="3">
        <v>26.126899999999999</v>
      </c>
      <c r="I2844" t="s">
        <v>4244</v>
      </c>
      <c r="J2844" t="s">
        <v>13496</v>
      </c>
      <c r="L2844" t="s">
        <v>4245</v>
      </c>
      <c r="M2844" t="str">
        <f>"https://www.artic.edu/iiif/2/"&amp;Table9[[#This Row],[Image ID]]&amp;"/full/843,/0/default.jpg"</f>
        <v>https://www.artic.edu/iiif/2/b3c2ae1b-920d-1814-7877-2d091cdd8800/full/843,/0/default.jpg</v>
      </c>
      <c r="N2844" s="3">
        <v>0.75</v>
      </c>
      <c r="O2844" s="3">
        <v>0.17499999999999999</v>
      </c>
      <c r="P2844" s="3">
        <v>0.57499999999999996</v>
      </c>
      <c r="Q2844" s="3">
        <v>0.60892152786254805</v>
      </c>
    </row>
    <row r="2845" spans="1:17" x14ac:dyDescent="0.45">
      <c r="A2845" s="3">
        <v>109693</v>
      </c>
      <c r="B2845" t="b">
        <v>0</v>
      </c>
      <c r="C2845" t="b">
        <v>1</v>
      </c>
      <c r="D2845" s="3">
        <v>1864</v>
      </c>
      <c r="E2845" s="3">
        <v>1864</v>
      </c>
      <c r="F2845" t="s">
        <v>840</v>
      </c>
      <c r="G2845" t="s">
        <v>7</v>
      </c>
      <c r="H2845" s="3">
        <v>36.147199999999998</v>
      </c>
      <c r="I2845" t="s">
        <v>841</v>
      </c>
      <c r="J2845" t="s">
        <v>13741</v>
      </c>
      <c r="L2845" t="s">
        <v>842</v>
      </c>
      <c r="M2845" t="str">
        <f>"https://www.artic.edu/iiif/2/"&amp;Table9[[#This Row],[Image ID]]&amp;"/full/843,/0/default.jpg"</f>
        <v>https://www.artic.edu/iiif/2/c7686c63-3aca-64b6-6710-02f34ccd0767/full/843,/0/default.jpg</v>
      </c>
      <c r="N2845" s="3">
        <v>0.72499999999999998</v>
      </c>
      <c r="O2845" s="3">
        <v>0.15</v>
      </c>
      <c r="P2845" s="3">
        <v>0.57499999999999996</v>
      </c>
      <c r="Q2845" s="3">
        <v>0.48385450243949801</v>
      </c>
    </row>
    <row r="2846" spans="1:17" x14ac:dyDescent="0.45">
      <c r="A2846" s="3">
        <v>39235</v>
      </c>
      <c r="B2846" t="b">
        <v>0</v>
      </c>
      <c r="C2846" t="b">
        <v>1</v>
      </c>
      <c r="D2846" s="3">
        <v>1835</v>
      </c>
      <c r="E2846" s="3">
        <v>1882</v>
      </c>
      <c r="F2846" t="s">
        <v>7539</v>
      </c>
      <c r="G2846" t="s">
        <v>7540</v>
      </c>
      <c r="H2846" s="3">
        <v>18.348099999999999</v>
      </c>
      <c r="I2846" t="s">
        <v>5317</v>
      </c>
      <c r="J2846" t="s">
        <v>13748</v>
      </c>
      <c r="L2846" t="s">
        <v>7541</v>
      </c>
      <c r="M2846" t="str">
        <f>"https://www.artic.edu/iiif/2/"&amp;Table9[[#This Row],[Image ID]]&amp;"/full/843,/0/default.jpg"</f>
        <v>https://www.artic.edu/iiif/2/c7d83997-7f33-1b89-b17a-7298d66ea789/full/843,/0/default.jpg</v>
      </c>
      <c r="N2846" s="3">
        <v>0.7</v>
      </c>
      <c r="O2846" s="3">
        <v>0.125</v>
      </c>
      <c r="P2846" s="3">
        <v>0.57499999999999996</v>
      </c>
      <c r="Q2846" s="3">
        <v>0.81540107727050704</v>
      </c>
    </row>
    <row r="2847" spans="1:17" x14ac:dyDescent="0.45">
      <c r="A2847" s="3">
        <v>16385</v>
      </c>
      <c r="B2847" t="b">
        <v>0</v>
      </c>
      <c r="C2847" t="b">
        <v>1</v>
      </c>
      <c r="D2847" s="3">
        <v>1695</v>
      </c>
      <c r="E2847" s="3">
        <v>1705</v>
      </c>
      <c r="F2847" t="s">
        <v>4403</v>
      </c>
      <c r="G2847" t="s">
        <v>7</v>
      </c>
      <c r="H2847" s="3">
        <v>33.661299999999997</v>
      </c>
      <c r="I2847" t="s">
        <v>4404</v>
      </c>
      <c r="J2847" t="s">
        <v>13755</v>
      </c>
      <c r="L2847" t="s">
        <v>4405</v>
      </c>
      <c r="M2847" t="str">
        <f>"https://www.artic.edu/iiif/2/"&amp;Table9[[#This Row],[Image ID]]&amp;"/full/843,/0/default.jpg"</f>
        <v>https://www.artic.edu/iiif/2/c858614f-f411-e7d5-71fb-014a534f8294/full/843,/0/default.jpg</v>
      </c>
      <c r="N2847" s="3">
        <v>0.625</v>
      </c>
      <c r="O2847" s="3">
        <v>0.05</v>
      </c>
      <c r="P2847" s="3">
        <v>0.57499999999999996</v>
      </c>
      <c r="Q2847" s="3">
        <v>0.48745265603065402</v>
      </c>
    </row>
    <row r="2848" spans="1:17" x14ac:dyDescent="0.45">
      <c r="A2848" s="3">
        <v>114323</v>
      </c>
      <c r="B2848" t="b">
        <v>0</v>
      </c>
      <c r="C2848" t="b">
        <v>1</v>
      </c>
      <c r="D2848" s="3">
        <v>1826</v>
      </c>
      <c r="E2848" s="3">
        <v>1873</v>
      </c>
      <c r="F2848" t="s">
        <v>1597</v>
      </c>
      <c r="G2848" t="s">
        <v>1598</v>
      </c>
      <c r="H2848" s="3">
        <v>59.236600000000003</v>
      </c>
      <c r="I2848" t="s">
        <v>1599</v>
      </c>
      <c r="J2848" t="s">
        <v>13893</v>
      </c>
      <c r="L2848" t="s">
        <v>1600</v>
      </c>
      <c r="M2848" t="str">
        <f>"https://www.artic.edu/iiif/2/"&amp;Table9[[#This Row],[Image ID]]&amp;"/full/843,/0/default.jpg"</f>
        <v>https://www.artic.edu/iiif/2/d4199224-3bb0-a196-9da8-0b597fff2203/full/843,/0/default.jpg</v>
      </c>
      <c r="N2848" s="3">
        <v>0.625</v>
      </c>
      <c r="O2848" s="3">
        <v>0.05</v>
      </c>
      <c r="P2848" s="3">
        <v>0.57499999999999996</v>
      </c>
      <c r="Q2848" s="3">
        <v>0.62108325958251898</v>
      </c>
    </row>
    <row r="2849" spans="1:17" x14ac:dyDescent="0.45">
      <c r="A2849" s="3">
        <v>38992</v>
      </c>
      <c r="B2849" t="b">
        <v>0</v>
      </c>
      <c r="C2849" t="b">
        <v>1</v>
      </c>
      <c r="D2849" s="3">
        <v>1788</v>
      </c>
      <c r="E2849" s="3">
        <v>1857</v>
      </c>
      <c r="F2849" t="s">
        <v>7360</v>
      </c>
      <c r="G2849" t="s">
        <v>7361</v>
      </c>
      <c r="H2849" s="3">
        <v>22.573899999999998</v>
      </c>
      <c r="I2849" t="s">
        <v>472</v>
      </c>
      <c r="J2849" t="s">
        <v>14062</v>
      </c>
      <c r="L2849" t="s">
        <v>7362</v>
      </c>
      <c r="M2849" t="str">
        <f>"https://www.artic.edu/iiif/2/"&amp;Table9[[#This Row],[Image ID]]&amp;"/full/843,/0/default.jpg"</f>
        <v>https://www.artic.edu/iiif/2/e01578a9-c6d8-8fdf-2add-62fb48088d6b/full/843,/0/default.jpg</v>
      </c>
      <c r="N2849" s="3">
        <v>0.875</v>
      </c>
      <c r="O2849" s="3">
        <v>0.3</v>
      </c>
      <c r="P2849" s="3">
        <v>0.57499999999999996</v>
      </c>
      <c r="Q2849" s="3">
        <v>0.52844607830047596</v>
      </c>
    </row>
    <row r="2850" spans="1:17" x14ac:dyDescent="0.45">
      <c r="A2850" s="3">
        <v>116101</v>
      </c>
      <c r="B2850" t="b">
        <v>0</v>
      </c>
      <c r="C2850" t="b">
        <v>1</v>
      </c>
      <c r="D2850" s="3">
        <v>1770</v>
      </c>
      <c r="E2850" s="3">
        <v>1778</v>
      </c>
      <c r="F2850" t="s">
        <v>2235</v>
      </c>
      <c r="G2850" t="s">
        <v>7</v>
      </c>
      <c r="H2850" s="3">
        <v>57.818399999999997</v>
      </c>
      <c r="I2850" t="s">
        <v>1312</v>
      </c>
      <c r="J2850" t="s">
        <v>14095</v>
      </c>
      <c r="L2850" t="s">
        <v>2236</v>
      </c>
      <c r="M2850" t="str">
        <f>"https://www.artic.edu/iiif/2/"&amp;Table9[[#This Row],[Image ID]]&amp;"/full/843,/0/default.jpg"</f>
        <v>https://www.artic.edu/iiif/2/e1e16ea4-4f55-e222-7f36-561eab6c68bd/full/843,/0/default.jpg</v>
      </c>
      <c r="N2850" s="3">
        <v>0.6</v>
      </c>
      <c r="O2850" s="3">
        <v>2.5000000000000001E-2</v>
      </c>
      <c r="P2850" s="3">
        <v>0.57499999999999996</v>
      </c>
      <c r="Q2850" s="3">
        <v>0.79918479919433505</v>
      </c>
    </row>
    <row r="2851" spans="1:17" x14ac:dyDescent="0.45">
      <c r="A2851" s="3">
        <v>11800</v>
      </c>
      <c r="B2851" t="b">
        <v>0</v>
      </c>
      <c r="C2851" t="b">
        <v>1</v>
      </c>
      <c r="D2851" s="3">
        <v>1300</v>
      </c>
      <c r="E2851" s="3">
        <v>1399</v>
      </c>
      <c r="F2851" t="s">
        <v>2466</v>
      </c>
      <c r="G2851" t="s">
        <v>584</v>
      </c>
      <c r="H2851" s="3">
        <v>46.836199999999998</v>
      </c>
      <c r="J2851" t="s">
        <v>14155</v>
      </c>
      <c r="K2851" s="5" t="s">
        <v>278</v>
      </c>
      <c r="L2851" t="s">
        <v>2467</v>
      </c>
      <c r="M2851" t="str">
        <f>"https://www.artic.edu/iiif/2/"&amp;Table9[[#This Row],[Image ID]]&amp;"/full/843,/0/default.jpg"</f>
        <v>https://www.artic.edu/iiif/2/e4eef7e7-b0f6-ac59-0d04-cd786a3b2cdb/full/843,/0/default.jpg</v>
      </c>
      <c r="N2851" s="3">
        <v>0.72499999999999998</v>
      </c>
      <c r="O2851" s="3">
        <v>0.15</v>
      </c>
      <c r="P2851" s="3">
        <v>0.57499999999999996</v>
      </c>
      <c r="Q2851" s="3">
        <v>0.79514545202255205</v>
      </c>
    </row>
    <row r="2852" spans="1:17" x14ac:dyDescent="0.45">
      <c r="A2852" s="3">
        <v>2169</v>
      </c>
      <c r="B2852" t="b">
        <v>0</v>
      </c>
      <c r="C2852" t="b">
        <v>1</v>
      </c>
      <c r="D2852" s="3">
        <v>1745</v>
      </c>
      <c r="E2852" s="3">
        <v>1745</v>
      </c>
      <c r="F2852" t="s">
        <v>5664</v>
      </c>
      <c r="G2852" t="s">
        <v>7</v>
      </c>
      <c r="H2852" s="3">
        <v>29.305800000000001</v>
      </c>
      <c r="I2852" t="s">
        <v>5665</v>
      </c>
      <c r="J2852" t="s">
        <v>14202</v>
      </c>
      <c r="L2852" t="s">
        <v>5666</v>
      </c>
      <c r="M2852" t="str">
        <f>"https://www.artic.edu/iiif/2/"&amp;Table9[[#This Row],[Image ID]]&amp;"/full/843,/0/default.jpg"</f>
        <v>https://www.artic.edu/iiif/2/e8a4e4ed-13cf-901a-adc9-4a0e9bc47424/full/843,/0/default.jpg</v>
      </c>
      <c r="N2852" s="3">
        <v>0.77500000000000002</v>
      </c>
      <c r="O2852" s="3">
        <v>0.2</v>
      </c>
      <c r="P2852" s="3">
        <v>0.57499999999999996</v>
      </c>
      <c r="Q2852" s="3">
        <v>0.84808665513992298</v>
      </c>
    </row>
    <row r="2853" spans="1:17" x14ac:dyDescent="0.45">
      <c r="A2853" s="3">
        <v>14556</v>
      </c>
      <c r="B2853" t="b">
        <v>0</v>
      </c>
      <c r="C2853" t="b">
        <v>1</v>
      </c>
      <c r="D2853" s="3">
        <v>1873</v>
      </c>
      <c r="E2853" s="3">
        <v>1875</v>
      </c>
      <c r="F2853" t="s">
        <v>3360</v>
      </c>
      <c r="G2853" t="s">
        <v>7</v>
      </c>
      <c r="H2853" s="3">
        <v>26.817799999999998</v>
      </c>
      <c r="I2853" t="s">
        <v>14591</v>
      </c>
      <c r="J2853" t="s">
        <v>14456</v>
      </c>
      <c r="K2853" s="5" t="s">
        <v>9</v>
      </c>
      <c r="L2853" t="s">
        <v>3361</v>
      </c>
      <c r="M2853" t="str">
        <f>"https://www.artic.edu/iiif/2/"&amp;Table9[[#This Row],[Image ID]]&amp;"/full/843,/0/default.jpg"</f>
        <v>https://www.artic.edu/iiif/2/fa422216-e50a-bb68-3f64-9f9af058dfe8/full/843,/0/default.jpg</v>
      </c>
      <c r="N2853" s="3">
        <v>0.75</v>
      </c>
      <c r="O2853" s="3">
        <v>0.17499999999999999</v>
      </c>
      <c r="P2853" s="3">
        <v>0.57499999999999996</v>
      </c>
      <c r="Q2853" s="3">
        <v>0.62396335601806596</v>
      </c>
    </row>
    <row r="2854" spans="1:17" x14ac:dyDescent="0.45">
      <c r="A2854" s="3">
        <v>79045</v>
      </c>
      <c r="B2854" t="b">
        <v>0</v>
      </c>
      <c r="C2854" t="b">
        <v>1</v>
      </c>
      <c r="D2854" s="3">
        <v>1800</v>
      </c>
      <c r="E2854" s="3">
        <v>1899</v>
      </c>
      <c r="F2854" t="s">
        <v>9875</v>
      </c>
      <c r="G2854" t="s">
        <v>9876</v>
      </c>
      <c r="H2854" s="3">
        <v>31.652899999999999</v>
      </c>
      <c r="I2854" t="s">
        <v>16</v>
      </c>
      <c r="J2854" t="s">
        <v>14474</v>
      </c>
      <c r="L2854" t="s">
        <v>9877</v>
      </c>
      <c r="M2854" t="str">
        <f>"https://www.artic.edu/iiif/2/"&amp;Table9[[#This Row],[Image ID]]&amp;"/full/843,/0/default.jpg"</f>
        <v>https://www.artic.edu/iiif/2/fb9d2d37-3672-4c97-093b-09059925598d/full/843,/0/default.jpg</v>
      </c>
      <c r="N2854" s="3">
        <v>0.57499999999999996</v>
      </c>
      <c r="O2854" s="3">
        <v>0</v>
      </c>
      <c r="P2854" s="3">
        <v>0.57499999999999996</v>
      </c>
      <c r="Q2854" s="3">
        <v>0.67764878273010198</v>
      </c>
    </row>
    <row r="2855" spans="1:17" x14ac:dyDescent="0.45">
      <c r="A2855" s="3">
        <v>113245</v>
      </c>
      <c r="B2855" t="b">
        <v>0</v>
      </c>
      <c r="C2855" t="b">
        <v>1</v>
      </c>
      <c r="D2855" s="3">
        <v>1837</v>
      </c>
      <c r="E2855" s="3">
        <v>1864</v>
      </c>
      <c r="F2855" t="s">
        <v>1376</v>
      </c>
      <c r="G2855" t="s">
        <v>1377</v>
      </c>
      <c r="H2855" s="3">
        <v>24.7941</v>
      </c>
      <c r="I2855" t="s">
        <v>1295</v>
      </c>
      <c r="J2855" t="s">
        <v>14500</v>
      </c>
      <c r="L2855" t="s">
        <v>1378</v>
      </c>
      <c r="M2855" t="str">
        <f>"https://www.artic.edu/iiif/2/"&amp;Table9[[#This Row],[Image ID]]&amp;"/full/843,/0/default.jpg"</f>
        <v>https://www.artic.edu/iiif/2/fd84ddef-88d8-5eae-ad70-68a315b3d17e/full/843,/0/default.jpg</v>
      </c>
      <c r="N2855" s="3">
        <v>0.72499999999999998</v>
      </c>
      <c r="O2855" s="3">
        <v>0.15</v>
      </c>
      <c r="P2855" s="3">
        <v>0.57499999999999996</v>
      </c>
      <c r="Q2855" s="3">
        <v>0.83254230022430398</v>
      </c>
    </row>
    <row r="2856" spans="1:17" x14ac:dyDescent="0.45">
      <c r="A2856" s="3">
        <v>87633</v>
      </c>
      <c r="B2856" t="b">
        <v>0</v>
      </c>
      <c r="C2856" t="b">
        <v>1</v>
      </c>
      <c r="D2856" s="3">
        <v>1650</v>
      </c>
      <c r="E2856" s="3">
        <v>1660</v>
      </c>
      <c r="F2856" t="s">
        <v>10395</v>
      </c>
      <c r="G2856" t="s">
        <v>7</v>
      </c>
      <c r="H2856" s="3">
        <v>20.386399999999998</v>
      </c>
      <c r="I2856" t="s">
        <v>1118</v>
      </c>
      <c r="J2856" t="s">
        <v>14541</v>
      </c>
      <c r="L2856" t="s">
        <v>10396</v>
      </c>
      <c r="M2856" t="str">
        <f>"https://www.artic.edu/iiif/2/"&amp;Table9[[#This Row],[Image ID]]&amp;"/full/843,/0/default.jpg"</f>
        <v>https://www.artic.edu/iiif/2/ff93ff9f-3a49-581d-f6a3-01c078ff987e/full/843,/0/default.jpg</v>
      </c>
      <c r="N2856" s="3">
        <v>0.625</v>
      </c>
      <c r="O2856" s="3">
        <v>0.05</v>
      </c>
      <c r="P2856" s="3">
        <v>0.57499999999999996</v>
      </c>
      <c r="Q2856" s="3">
        <v>0.78124344348907404</v>
      </c>
    </row>
    <row r="2857" spans="1:17" x14ac:dyDescent="0.45">
      <c r="A2857" s="3">
        <v>21115</v>
      </c>
      <c r="B2857" t="b">
        <v>0</v>
      </c>
      <c r="C2857" t="b">
        <v>0</v>
      </c>
      <c r="D2857" s="3">
        <v>1920</v>
      </c>
      <c r="E2857" s="3">
        <v>1935</v>
      </c>
      <c r="F2857" t="s">
        <v>1653</v>
      </c>
      <c r="G2857" t="s">
        <v>5587</v>
      </c>
      <c r="H2857" s="3">
        <v>36.109499999999997</v>
      </c>
      <c r="I2857" t="s">
        <v>1404</v>
      </c>
      <c r="J2857" t="s">
        <v>11027</v>
      </c>
      <c r="L2857" t="s">
        <v>5588</v>
      </c>
      <c r="M2857" t="str">
        <f>"https://www.artic.edu/iiif/2/"&amp;Table9[[#This Row],[Image ID]]&amp;"/full/843,/0/default.jpg"</f>
        <v>https://www.artic.edu/iiif/2/03b6b5aa-c8fc-59e3-dfe9-4eef056b1727/full/843,/0/default.jpg</v>
      </c>
      <c r="N2857" s="3">
        <v>0.625</v>
      </c>
      <c r="O2857" s="3">
        <v>0.05</v>
      </c>
      <c r="P2857" s="3">
        <v>0.57499999999999996</v>
      </c>
      <c r="Q2857" s="3">
        <v>0.62642735242843595</v>
      </c>
    </row>
    <row r="2858" spans="1:17" x14ac:dyDescent="0.45">
      <c r="A2858" s="3">
        <v>184898</v>
      </c>
      <c r="B2858" t="b">
        <v>0</v>
      </c>
      <c r="C2858" t="b">
        <v>0</v>
      </c>
      <c r="D2858" s="3">
        <v>2003</v>
      </c>
      <c r="E2858" s="3">
        <v>2003</v>
      </c>
      <c r="F2858" t="s">
        <v>4890</v>
      </c>
      <c r="G2858" t="s">
        <v>4823</v>
      </c>
      <c r="H2858" s="3">
        <v>10.327</v>
      </c>
      <c r="I2858" t="s">
        <v>293</v>
      </c>
      <c r="J2858" t="s">
        <v>10977</v>
      </c>
      <c r="K2858" s="5" t="s">
        <v>15</v>
      </c>
      <c r="L2858" t="s">
        <v>4891</v>
      </c>
      <c r="M2858" t="str">
        <f>"https://www.artic.edu/iiif/2/"&amp;Table9[[#This Row],[Image ID]]&amp;"/full/843,/0/default.jpg"</f>
        <v>https://www.artic.edu/iiif/2/093b6974-8794-410c-aa01-80db8b81a2a4/full/843,/0/default.jpg</v>
      </c>
      <c r="N2858" s="3">
        <v>0.6</v>
      </c>
      <c r="O2858" s="3">
        <v>2.5000000000000001E-2</v>
      </c>
      <c r="P2858" s="3">
        <v>0.57499999999999996</v>
      </c>
      <c r="Q2858" s="3">
        <v>0.87053459882736195</v>
      </c>
    </row>
    <row r="2859" spans="1:17" x14ac:dyDescent="0.45">
      <c r="A2859" s="3">
        <v>2843</v>
      </c>
      <c r="B2859" t="b">
        <v>0</v>
      </c>
      <c r="C2859" t="b">
        <v>0</v>
      </c>
      <c r="D2859" s="3">
        <v>1951</v>
      </c>
      <c r="E2859" s="3">
        <v>1961</v>
      </c>
      <c r="F2859" t="s">
        <v>6804</v>
      </c>
      <c r="G2859" t="s">
        <v>6805</v>
      </c>
      <c r="H2859" s="3">
        <v>25.079599999999999</v>
      </c>
      <c r="I2859" t="s">
        <v>14556</v>
      </c>
      <c r="J2859" t="s">
        <v>11145</v>
      </c>
      <c r="L2859" t="s">
        <v>6806</v>
      </c>
      <c r="M2859" t="str">
        <f>"https://www.artic.edu/iiif/2/"&amp;Table9[[#This Row],[Image ID]]&amp;"/full/843,/0/default.jpg"</f>
        <v>https://www.artic.edu/iiif/2/0cf06adb-83b7-58e2-acfc-7c1bd14aed21/full/843,/0/default.jpg</v>
      </c>
      <c r="N2859" s="3">
        <v>0.7</v>
      </c>
      <c r="O2859" s="3">
        <v>0.125</v>
      </c>
      <c r="P2859" s="3">
        <v>0.57499999999999996</v>
      </c>
      <c r="Q2859" s="3">
        <v>0.74788355827331499</v>
      </c>
    </row>
    <row r="2860" spans="1:17" x14ac:dyDescent="0.45">
      <c r="A2860" s="3">
        <v>229360</v>
      </c>
      <c r="B2860" t="b">
        <v>0</v>
      </c>
      <c r="C2860" t="b">
        <v>0</v>
      </c>
      <c r="D2860" s="3">
        <v>1967</v>
      </c>
      <c r="E2860" s="3">
        <v>1968</v>
      </c>
      <c r="F2860" t="s">
        <v>6078</v>
      </c>
      <c r="G2860" t="s">
        <v>6079</v>
      </c>
      <c r="H2860" s="3">
        <v>85.798199999999994</v>
      </c>
      <c r="I2860" t="s">
        <v>2666</v>
      </c>
      <c r="J2860" t="s">
        <v>11209</v>
      </c>
      <c r="K2860" s="5" t="s">
        <v>149</v>
      </c>
      <c r="L2860" t="s">
        <v>6080</v>
      </c>
      <c r="M2860" t="str">
        <f>"https://www.artic.edu/iiif/2/"&amp;Table9[[#This Row],[Image ID]]&amp;"/full/843,/0/default.jpg"</f>
        <v>https://www.artic.edu/iiif/2/11e2413f-3e17-8c43-7e1b-b2e51ba81a04/full/843,/0/default.jpg</v>
      </c>
      <c r="N2860" s="3">
        <v>0.6</v>
      </c>
      <c r="O2860" s="3">
        <v>2.5000000000000001E-2</v>
      </c>
      <c r="P2860" s="3">
        <v>0.57499999999999996</v>
      </c>
      <c r="Q2860" s="3">
        <v>0.81322020292282104</v>
      </c>
    </row>
    <row r="2861" spans="1:17" x14ac:dyDescent="0.45">
      <c r="A2861" s="3">
        <v>189208</v>
      </c>
      <c r="B2861" t="b">
        <v>0</v>
      </c>
      <c r="C2861" t="b">
        <v>0</v>
      </c>
      <c r="D2861" s="3">
        <v>2005</v>
      </c>
      <c r="E2861" s="3">
        <v>2005</v>
      </c>
      <c r="F2861" t="s">
        <v>5146</v>
      </c>
      <c r="G2861" t="s">
        <v>3506</v>
      </c>
      <c r="H2861" s="3">
        <v>20.241299999999999</v>
      </c>
      <c r="I2861" t="s">
        <v>5147</v>
      </c>
      <c r="J2861" t="s">
        <v>11328</v>
      </c>
      <c r="K2861" s="5" t="s">
        <v>15</v>
      </c>
      <c r="L2861" t="s">
        <v>5148</v>
      </c>
      <c r="M2861" t="str">
        <f>"https://www.artic.edu/iiif/2/"&amp;Table9[[#This Row],[Image ID]]&amp;"/full/843,/0/default.jpg"</f>
        <v>https://www.artic.edu/iiif/2/19ce23d6-0e82-5ebe-2ce1-f41aa483a70e/full/843,/0/default.jpg</v>
      </c>
      <c r="N2861" s="3">
        <v>0.625</v>
      </c>
      <c r="O2861" s="3">
        <v>0.05</v>
      </c>
      <c r="P2861" s="3">
        <v>0.57499999999999996</v>
      </c>
      <c r="Q2861" s="3">
        <v>0.86318838596343905</v>
      </c>
    </row>
    <row r="2862" spans="1:17" x14ac:dyDescent="0.45">
      <c r="A2862" s="3">
        <v>12178</v>
      </c>
      <c r="B2862" t="b">
        <v>0</v>
      </c>
      <c r="C2862" t="b">
        <v>0</v>
      </c>
      <c r="D2862" s="3">
        <v>1958</v>
      </c>
      <c r="E2862" s="3">
        <v>1958</v>
      </c>
      <c r="F2862" t="s">
        <v>2056</v>
      </c>
      <c r="G2862" t="s">
        <v>75</v>
      </c>
      <c r="H2862" s="3">
        <v>0</v>
      </c>
      <c r="I2862" t="s">
        <v>2687</v>
      </c>
      <c r="J2862" t="s">
        <v>11416</v>
      </c>
      <c r="L2862" t="s">
        <v>2688</v>
      </c>
      <c r="M2862" t="str">
        <f>"https://www.artic.edu/iiif/2/"&amp;Table9[[#This Row],[Image ID]]&amp;"/full/843,/0/default.jpg"</f>
        <v>https://www.artic.edu/iiif/2/1f854a80-bd89-d8e8-940d-3d9f1cf8ab6f/full/843,/0/default.jpg</v>
      </c>
      <c r="N2862" s="3">
        <v>0.75</v>
      </c>
      <c r="O2862" s="3">
        <v>0.17499999999999999</v>
      </c>
      <c r="P2862" s="3">
        <v>0.57499999999999996</v>
      </c>
      <c r="Q2862" s="3">
        <v>0.58319938182830799</v>
      </c>
    </row>
    <row r="2863" spans="1:17" x14ac:dyDescent="0.45">
      <c r="A2863" s="3">
        <v>56010</v>
      </c>
      <c r="B2863" t="b">
        <v>0</v>
      </c>
      <c r="C2863" t="b">
        <v>0</v>
      </c>
      <c r="D2863" s="3">
        <v>1962</v>
      </c>
      <c r="E2863" s="3">
        <v>1965</v>
      </c>
      <c r="F2863" t="s">
        <v>8430</v>
      </c>
      <c r="G2863" t="s">
        <v>8431</v>
      </c>
      <c r="H2863" s="3">
        <v>25.417000000000002</v>
      </c>
      <c r="I2863" t="s">
        <v>599</v>
      </c>
      <c r="J2863" t="s">
        <v>11435</v>
      </c>
      <c r="L2863" t="s">
        <v>8432</v>
      </c>
      <c r="M2863" t="str">
        <f>"https://www.artic.edu/iiif/2/"&amp;Table9[[#This Row],[Image ID]]&amp;"/full/843,/0/default.jpg"</f>
        <v>https://www.artic.edu/iiif/2/20713dd5-5491-3b2c-776d-7baff323fdce/full/843,/0/default.jpg</v>
      </c>
      <c r="N2863" s="3">
        <v>0.75</v>
      </c>
      <c r="O2863" s="3">
        <v>0.17499999999999999</v>
      </c>
      <c r="P2863" s="3">
        <v>0.57499999999999996</v>
      </c>
      <c r="Q2863" s="3">
        <v>0.77541077136993397</v>
      </c>
    </row>
    <row r="2864" spans="1:17" x14ac:dyDescent="0.45">
      <c r="A2864" s="3">
        <v>155552</v>
      </c>
      <c r="B2864" t="b">
        <v>0</v>
      </c>
      <c r="C2864" t="b">
        <v>0</v>
      </c>
      <c r="D2864" s="3">
        <v>1922</v>
      </c>
      <c r="E2864" s="3">
        <v>1922</v>
      </c>
      <c r="F2864" t="s">
        <v>4022</v>
      </c>
      <c r="G2864" t="s">
        <v>3517</v>
      </c>
      <c r="H2864" s="3">
        <v>45.6342</v>
      </c>
      <c r="I2864" t="s">
        <v>4016</v>
      </c>
      <c r="J2864" t="s">
        <v>11558</v>
      </c>
      <c r="L2864" t="s">
        <v>4023</v>
      </c>
      <c r="M2864" t="str">
        <f>"https://www.artic.edu/iiif/2/"&amp;Table9[[#This Row],[Image ID]]&amp;"/full/843,/0/default.jpg"</f>
        <v>https://www.artic.edu/iiif/2/28537943-49ed-85da-be5a-cad10a3be4a5/full/843,/0/default.jpg</v>
      </c>
      <c r="N2864" s="3">
        <v>0.7</v>
      </c>
      <c r="O2864" s="3">
        <v>0.125</v>
      </c>
      <c r="P2864" s="3">
        <v>0.57499999999999996</v>
      </c>
      <c r="Q2864" s="3">
        <v>0.61995738744735696</v>
      </c>
    </row>
    <row r="2865" spans="1:17" x14ac:dyDescent="0.45">
      <c r="A2865" s="3">
        <v>55684</v>
      </c>
      <c r="B2865" t="b">
        <v>0</v>
      </c>
      <c r="C2865" t="b">
        <v>0</v>
      </c>
      <c r="D2865" s="3">
        <v>1850</v>
      </c>
      <c r="E2865" s="3">
        <v>1946</v>
      </c>
      <c r="F2865" t="s">
        <v>2056</v>
      </c>
      <c r="G2865" t="s">
        <v>642</v>
      </c>
      <c r="H2865" s="3">
        <v>26.6309</v>
      </c>
      <c r="I2865" t="s">
        <v>16</v>
      </c>
      <c r="J2865" t="s">
        <v>11571</v>
      </c>
      <c r="L2865" t="s">
        <v>8366</v>
      </c>
      <c r="M2865" t="str">
        <f>"https://www.artic.edu/iiif/2/"&amp;Table9[[#This Row],[Image ID]]&amp;"/full/843,/0/default.jpg"</f>
        <v>https://www.artic.edu/iiif/2/2904f2bd-0b6c-b057-1b92-90521117e50b/full/843,/0/default.jpg</v>
      </c>
      <c r="N2865" s="3">
        <v>0.75</v>
      </c>
      <c r="O2865" s="3">
        <v>0.17499999999999999</v>
      </c>
      <c r="P2865" s="3">
        <v>0.57499999999999996</v>
      </c>
      <c r="Q2865" s="3">
        <v>0.497178584337234</v>
      </c>
    </row>
    <row r="2866" spans="1:17" x14ac:dyDescent="0.45">
      <c r="A2866" s="3">
        <v>73346</v>
      </c>
      <c r="B2866" t="b">
        <v>0</v>
      </c>
      <c r="C2866" t="b">
        <v>0</v>
      </c>
      <c r="D2866" s="3">
        <v>1979</v>
      </c>
      <c r="E2866" s="3">
        <v>1979</v>
      </c>
      <c r="F2866" t="s">
        <v>9610</v>
      </c>
      <c r="G2866" t="s">
        <v>9611</v>
      </c>
      <c r="H2866" s="3">
        <v>81.403000000000006</v>
      </c>
      <c r="I2866" t="s">
        <v>4043</v>
      </c>
      <c r="J2866" t="s">
        <v>11633</v>
      </c>
      <c r="L2866" t="s">
        <v>9612</v>
      </c>
      <c r="M2866" t="str">
        <f>"https://www.artic.edu/iiif/2/"&amp;Table9[[#This Row],[Image ID]]&amp;"/full/843,/0/default.jpg"</f>
        <v>https://www.artic.edu/iiif/2/2d3858eb-ccbc-c1e8-1bde-44bb125f6ffc/full/843,/0/default.jpg</v>
      </c>
      <c r="N2866" s="3">
        <v>0.7</v>
      </c>
      <c r="O2866" s="3">
        <v>0.125</v>
      </c>
      <c r="P2866" s="3">
        <v>0.57499999999999996</v>
      </c>
      <c r="Q2866" s="3">
        <v>0.69565904140472401</v>
      </c>
    </row>
    <row r="2867" spans="1:17" x14ac:dyDescent="0.45">
      <c r="A2867" s="3">
        <v>22669</v>
      </c>
      <c r="B2867" t="b">
        <v>0</v>
      </c>
      <c r="C2867" t="b">
        <v>0</v>
      </c>
      <c r="D2867" s="3">
        <v>1960</v>
      </c>
      <c r="E2867" s="3">
        <v>1965</v>
      </c>
      <c r="F2867" t="s">
        <v>11</v>
      </c>
      <c r="G2867" t="s">
        <v>5972</v>
      </c>
      <c r="H2867" s="3">
        <v>15.7644</v>
      </c>
      <c r="I2867" t="s">
        <v>5973</v>
      </c>
      <c r="J2867" t="s">
        <v>11643</v>
      </c>
      <c r="L2867" t="s">
        <v>5974</v>
      </c>
      <c r="M2867" t="str">
        <f>"https://www.artic.edu/iiif/2/"&amp;Table9[[#This Row],[Image ID]]&amp;"/full/843,/0/default.jpg"</f>
        <v>https://www.artic.edu/iiif/2/2e2d5ada-97b7-ae1c-c8fa-2472b53edefa/full/843,/0/default.jpg</v>
      </c>
      <c r="N2867" s="3">
        <v>0.75</v>
      </c>
      <c r="O2867" s="3">
        <v>0.17499999999999999</v>
      </c>
      <c r="P2867" s="3">
        <v>0.57499999999999996</v>
      </c>
      <c r="Q2867" s="3">
        <v>0.87143886089324896</v>
      </c>
    </row>
    <row r="2868" spans="1:17" x14ac:dyDescent="0.45">
      <c r="A2868" s="3">
        <v>9318</v>
      </c>
      <c r="B2868" t="b">
        <v>0</v>
      </c>
      <c r="C2868" t="b">
        <v>0</v>
      </c>
      <c r="D2868" s="3">
        <v>1922</v>
      </c>
      <c r="E2868" s="3">
        <v>1922</v>
      </c>
      <c r="F2868" t="s">
        <v>10571</v>
      </c>
      <c r="G2868" t="s">
        <v>7</v>
      </c>
      <c r="H2868" s="3">
        <v>0</v>
      </c>
      <c r="I2868" t="s">
        <v>1313</v>
      </c>
      <c r="J2868" t="s">
        <v>11729</v>
      </c>
      <c r="L2868" t="s">
        <v>10572</v>
      </c>
      <c r="M2868" t="str">
        <f>"https://www.artic.edu/iiif/2/"&amp;Table9[[#This Row],[Image ID]]&amp;"/full/843,/0/default.jpg"</f>
        <v>https://www.artic.edu/iiif/2/33c96195-1d62-87dc-ba18-93ac5fc9532a/full/843,/0/default.jpg</v>
      </c>
      <c r="N2868" s="3">
        <v>0.7</v>
      </c>
      <c r="O2868" s="3">
        <v>0.125</v>
      </c>
      <c r="P2868" s="3">
        <v>0.57499999999999996</v>
      </c>
      <c r="Q2868" s="3">
        <v>0.55358111858367898</v>
      </c>
    </row>
    <row r="2869" spans="1:17" x14ac:dyDescent="0.45">
      <c r="A2869" s="3">
        <v>186050</v>
      </c>
      <c r="B2869" t="b">
        <v>0</v>
      </c>
      <c r="C2869" t="b">
        <v>0</v>
      </c>
      <c r="D2869" s="3">
        <v>1961</v>
      </c>
      <c r="E2869" s="3">
        <v>1961</v>
      </c>
      <c r="F2869" t="s">
        <v>5038</v>
      </c>
      <c r="G2869" t="s">
        <v>5039</v>
      </c>
      <c r="H2869" s="3">
        <v>21.128299999999999</v>
      </c>
      <c r="I2869" t="s">
        <v>611</v>
      </c>
      <c r="J2869" t="s">
        <v>11813</v>
      </c>
      <c r="L2869" t="s">
        <v>5040</v>
      </c>
      <c r="M2869" t="str">
        <f>"https://www.artic.edu/iiif/2/"&amp;Table9[[#This Row],[Image ID]]&amp;"/full/843,/0/default.jpg"</f>
        <v>https://www.artic.edu/iiif/2/399e47c4-624e-1fe8-00c4-ef360312f449/full/843,/0/default.jpg</v>
      </c>
      <c r="N2869" s="3">
        <v>0.7</v>
      </c>
      <c r="O2869" s="3">
        <v>0.125</v>
      </c>
      <c r="P2869" s="3">
        <v>0.57499999999999996</v>
      </c>
      <c r="Q2869" s="3">
        <v>0.72036159038543701</v>
      </c>
    </row>
    <row r="2870" spans="1:17" x14ac:dyDescent="0.45">
      <c r="A2870" s="3">
        <v>60260</v>
      </c>
      <c r="B2870" t="b">
        <v>0</v>
      </c>
      <c r="C2870" t="b">
        <v>0</v>
      </c>
      <c r="D2870" s="3">
        <v>1947</v>
      </c>
      <c r="E2870" s="3">
        <v>1947</v>
      </c>
      <c r="F2870" t="s">
        <v>8697</v>
      </c>
      <c r="G2870" t="s">
        <v>272</v>
      </c>
      <c r="H2870" s="3">
        <v>4.1544999999999996</v>
      </c>
      <c r="I2870" t="s">
        <v>5986</v>
      </c>
      <c r="J2870" t="s">
        <v>11820</v>
      </c>
      <c r="K2870" s="5" t="s">
        <v>8693</v>
      </c>
      <c r="L2870" t="s">
        <v>8698</v>
      </c>
      <c r="M2870" t="str">
        <f>"https://www.artic.edu/iiif/2/"&amp;Table9[[#This Row],[Image ID]]&amp;"/full/843,/0/default.jpg"</f>
        <v>https://www.artic.edu/iiif/2/39f36121-d0ce-4b5c-5ecc-ea465ea0d629/full/843,/0/default.jpg</v>
      </c>
      <c r="N2870" s="3">
        <v>0.72499999999999998</v>
      </c>
      <c r="O2870" s="3">
        <v>0.15</v>
      </c>
      <c r="P2870" s="3">
        <v>0.57499999999999996</v>
      </c>
      <c r="Q2870" s="3">
        <v>0.77702498435974099</v>
      </c>
    </row>
    <row r="2871" spans="1:17" x14ac:dyDescent="0.45">
      <c r="A2871" s="3">
        <v>185026</v>
      </c>
      <c r="B2871" t="b">
        <v>0</v>
      </c>
      <c r="C2871" t="b">
        <v>0</v>
      </c>
      <c r="D2871" s="3">
        <v>2004</v>
      </c>
      <c r="E2871" s="3">
        <v>2004</v>
      </c>
      <c r="F2871" t="s">
        <v>11</v>
      </c>
      <c r="G2871" t="s">
        <v>4948</v>
      </c>
      <c r="H2871" s="3">
        <v>18.101700000000001</v>
      </c>
      <c r="I2871" t="s">
        <v>4949</v>
      </c>
      <c r="J2871" t="s">
        <v>11975</v>
      </c>
      <c r="K2871" s="5" t="s">
        <v>15</v>
      </c>
      <c r="L2871" t="s">
        <v>4950</v>
      </c>
      <c r="M2871" t="str">
        <f>"https://www.artic.edu/iiif/2/"&amp;Table9[[#This Row],[Image ID]]&amp;"/full/843,/0/default.jpg"</f>
        <v>https://www.artic.edu/iiif/2/437ed1d0-a141-345a-2860-7490870d76e8/full/843,/0/default.jpg</v>
      </c>
      <c r="N2871" s="3">
        <v>0.7</v>
      </c>
      <c r="O2871" s="3">
        <v>0.125</v>
      </c>
      <c r="P2871" s="3">
        <v>0.57499999999999996</v>
      </c>
      <c r="Q2871" s="3">
        <v>0.70027554035186701</v>
      </c>
    </row>
    <row r="2872" spans="1:17" x14ac:dyDescent="0.45">
      <c r="A2872" s="3">
        <v>225742</v>
      </c>
      <c r="B2872" t="b">
        <v>0</v>
      </c>
      <c r="C2872" t="b">
        <v>0</v>
      </c>
      <c r="D2872" s="3">
        <v>1959</v>
      </c>
      <c r="E2872" s="3">
        <v>1959</v>
      </c>
      <c r="F2872" t="s">
        <v>5944</v>
      </c>
      <c r="G2872" t="s">
        <v>5917</v>
      </c>
      <c r="H2872" s="3">
        <v>48.713500000000003</v>
      </c>
      <c r="I2872" t="s">
        <v>5918</v>
      </c>
      <c r="J2872" t="s">
        <v>11203</v>
      </c>
      <c r="L2872" t="s">
        <v>5945</v>
      </c>
      <c r="M2872" t="str">
        <f>"https://www.artic.edu/iiif/2/"&amp;Table9[[#This Row],[Image ID]]&amp;"/full/843,/0/default.jpg"</f>
        <v>https://www.artic.edu/iiif/2/438d2819-2f89-6de7-e07f-291ea5d3eb9c/full/843,/0/default.jpg</v>
      </c>
      <c r="N2872" s="3">
        <v>0.72499999999999998</v>
      </c>
      <c r="O2872" s="3">
        <v>0.15</v>
      </c>
      <c r="P2872" s="3">
        <v>0.57499999999999996</v>
      </c>
      <c r="Q2872" s="3">
        <v>0.80166375637054399</v>
      </c>
    </row>
    <row r="2873" spans="1:17" x14ac:dyDescent="0.45">
      <c r="A2873" s="3">
        <v>11568</v>
      </c>
      <c r="B2873" t="b">
        <v>0</v>
      </c>
      <c r="C2873" t="b">
        <v>0</v>
      </c>
      <c r="D2873" s="3">
        <v>1896</v>
      </c>
      <c r="E2873" s="3">
        <v>1924</v>
      </c>
      <c r="F2873" t="s">
        <v>2060</v>
      </c>
      <c r="G2873" t="s">
        <v>2061</v>
      </c>
      <c r="H2873" s="3">
        <v>24.6037</v>
      </c>
      <c r="I2873" t="s">
        <v>2062</v>
      </c>
      <c r="J2873" t="s">
        <v>12016</v>
      </c>
      <c r="L2873" t="s">
        <v>2063</v>
      </c>
      <c r="M2873" t="str">
        <f>"https://www.artic.edu/iiif/2/"&amp;Table9[[#This Row],[Image ID]]&amp;"/full/843,/0/default.jpg"</f>
        <v>https://www.artic.edu/iiif/2/46a590b2-7cbf-0bf3-a9b9-a2cfbd404b99/full/843,/0/default.jpg</v>
      </c>
      <c r="N2873" s="3">
        <v>0.77500000000000002</v>
      </c>
      <c r="O2873" s="3">
        <v>0.2</v>
      </c>
      <c r="P2873" s="3">
        <v>0.57499999999999996</v>
      </c>
      <c r="Q2873" s="3">
        <v>0.54725205898284901</v>
      </c>
    </row>
    <row r="2874" spans="1:17" x14ac:dyDescent="0.45">
      <c r="A2874" s="3">
        <v>251140</v>
      </c>
      <c r="B2874" t="b">
        <v>0</v>
      </c>
      <c r="C2874" t="b">
        <v>0</v>
      </c>
      <c r="D2874" s="3">
        <v>1965</v>
      </c>
      <c r="E2874" s="3">
        <v>1965</v>
      </c>
      <c r="F2874" t="s">
        <v>6492</v>
      </c>
      <c r="G2874" t="s">
        <v>141</v>
      </c>
      <c r="H2874" s="3">
        <v>8.4948999999999995</v>
      </c>
      <c r="I2874" t="s">
        <v>6493</v>
      </c>
      <c r="J2874" t="s">
        <v>12129</v>
      </c>
      <c r="L2874" t="s">
        <v>6494</v>
      </c>
      <c r="M2874" t="str">
        <f>"https://www.artic.edu/iiif/2/"&amp;Table9[[#This Row],[Image ID]]&amp;"/full/843,/0/default.jpg"</f>
        <v>https://www.artic.edu/iiif/2/4f9d508c-6826-c024-2a87-6d6127bffc33/full/843,/0/default.jpg</v>
      </c>
      <c r="N2874" s="3">
        <v>0.625</v>
      </c>
      <c r="O2874" s="3">
        <v>0.05</v>
      </c>
      <c r="P2874" s="3">
        <v>0.57499999999999996</v>
      </c>
      <c r="Q2874" s="3">
        <v>0.68062412738800004</v>
      </c>
    </row>
    <row r="2875" spans="1:17" x14ac:dyDescent="0.45">
      <c r="A2875" s="3">
        <v>185048</v>
      </c>
      <c r="B2875" t="b">
        <v>0</v>
      </c>
      <c r="C2875" t="b">
        <v>0</v>
      </c>
      <c r="D2875" s="3">
        <v>1997</v>
      </c>
      <c r="E2875" s="3">
        <v>1997</v>
      </c>
      <c r="F2875" t="s">
        <v>4956</v>
      </c>
      <c r="G2875" t="s">
        <v>4957</v>
      </c>
      <c r="H2875" s="3">
        <v>44.063000000000002</v>
      </c>
      <c r="I2875" t="s">
        <v>4958</v>
      </c>
      <c r="J2875" t="s">
        <v>12158</v>
      </c>
      <c r="L2875" t="s">
        <v>4959</v>
      </c>
      <c r="M2875" t="str">
        <f>"https://www.artic.edu/iiif/2/"&amp;Table9[[#This Row],[Image ID]]&amp;"/full/843,/0/default.jpg"</f>
        <v>https://www.artic.edu/iiif/2/5160c749-86b4-350d-204d-5c4ff54e4ecd/full/843,/0/default.jpg</v>
      </c>
      <c r="N2875" s="3">
        <v>0.625</v>
      </c>
      <c r="O2875" s="3">
        <v>0.05</v>
      </c>
      <c r="P2875" s="3">
        <v>0.57499999999999996</v>
      </c>
      <c r="Q2875" s="3">
        <v>0.84489470720291104</v>
      </c>
    </row>
    <row r="2876" spans="1:17" x14ac:dyDescent="0.45">
      <c r="A2876" s="3">
        <v>10943</v>
      </c>
      <c r="B2876" t="b">
        <v>0</v>
      </c>
      <c r="C2876" t="b">
        <v>0</v>
      </c>
      <c r="D2876" s="3">
        <v>1891</v>
      </c>
      <c r="E2876" s="3">
        <v>1902</v>
      </c>
      <c r="F2876" t="s">
        <v>784</v>
      </c>
      <c r="G2876" t="s">
        <v>785</v>
      </c>
      <c r="H2876" s="3">
        <v>29.5931</v>
      </c>
      <c r="I2876" t="s">
        <v>786</v>
      </c>
      <c r="J2876" t="s">
        <v>12209</v>
      </c>
      <c r="L2876" t="s">
        <v>787</v>
      </c>
      <c r="M2876" t="str">
        <f>"https://www.artic.edu/iiif/2/"&amp;Table9[[#This Row],[Image ID]]&amp;"/full/843,/0/default.jpg"</f>
        <v>https://www.artic.edu/iiif/2/549d921d-516b-ec59-2e30-3ca055f7b912/full/843,/0/default.jpg</v>
      </c>
      <c r="N2876" s="3">
        <v>0.77500000000000002</v>
      </c>
      <c r="O2876" s="3">
        <v>0.2</v>
      </c>
      <c r="P2876" s="3">
        <v>0.57499999999999996</v>
      </c>
      <c r="Q2876" s="3">
        <v>0.700372993946075</v>
      </c>
    </row>
    <row r="2877" spans="1:17" x14ac:dyDescent="0.45">
      <c r="A2877" s="3">
        <v>113304</v>
      </c>
      <c r="B2877" t="b">
        <v>0</v>
      </c>
      <c r="C2877" t="b">
        <v>0</v>
      </c>
      <c r="D2877" s="3">
        <v>1902</v>
      </c>
      <c r="E2877" s="3">
        <v>1941</v>
      </c>
      <c r="F2877" t="s">
        <v>1411</v>
      </c>
      <c r="G2877" t="s">
        <v>1412</v>
      </c>
      <c r="H2877" s="3">
        <v>13.4877</v>
      </c>
      <c r="I2877" t="s">
        <v>1413</v>
      </c>
      <c r="J2877" t="s">
        <v>12241</v>
      </c>
      <c r="L2877" t="s">
        <v>1414</v>
      </c>
      <c r="M2877" t="str">
        <f>"https://www.artic.edu/iiif/2/"&amp;Table9[[#This Row],[Image ID]]&amp;"/full/843,/0/default.jpg"</f>
        <v>https://www.artic.edu/iiif/2/5667c439-79eb-a760-b258-43db951e1e18/full/843,/0/default.jpg</v>
      </c>
      <c r="N2877" s="3">
        <v>0.75</v>
      </c>
      <c r="O2877" s="3">
        <v>0.17499999999999999</v>
      </c>
      <c r="P2877" s="3">
        <v>0.57499999999999996</v>
      </c>
      <c r="Q2877" s="3">
        <v>0.78060734272003096</v>
      </c>
    </row>
    <row r="2878" spans="1:17" x14ac:dyDescent="0.45">
      <c r="A2878" s="3">
        <v>26083</v>
      </c>
      <c r="B2878" t="b">
        <v>0</v>
      </c>
      <c r="C2878" t="b">
        <v>0</v>
      </c>
      <c r="D2878" s="3">
        <v>1949</v>
      </c>
      <c r="E2878" s="3">
        <v>1949</v>
      </c>
      <c r="F2878" t="s">
        <v>6671</v>
      </c>
      <c r="G2878" t="s">
        <v>4658</v>
      </c>
      <c r="H2878" s="3">
        <v>39.404699999999998</v>
      </c>
      <c r="I2878" t="s">
        <v>5451</v>
      </c>
      <c r="J2878" t="s">
        <v>12285</v>
      </c>
      <c r="K2878" s="5" t="s">
        <v>45</v>
      </c>
      <c r="L2878" t="s">
        <v>6672</v>
      </c>
      <c r="M2878" t="str">
        <f>"https://www.artic.edu/iiif/2/"&amp;Table9[[#This Row],[Image ID]]&amp;"/full/843,/0/default.jpg"</f>
        <v>https://www.artic.edu/iiif/2/596d9fb7-e748-b510-85cc-ca1cf7ca8046/full/843,/0/default.jpg</v>
      </c>
      <c r="N2878" s="3">
        <v>0.7</v>
      </c>
      <c r="O2878" s="3">
        <v>0.125</v>
      </c>
      <c r="P2878" s="3">
        <v>0.57499999999999996</v>
      </c>
      <c r="Q2878" s="3">
        <v>0.85836017131805398</v>
      </c>
    </row>
    <row r="2879" spans="1:17" x14ac:dyDescent="0.45">
      <c r="A2879" s="3">
        <v>42961</v>
      </c>
      <c r="B2879" t="b">
        <v>0</v>
      </c>
      <c r="C2879" t="b">
        <v>0</v>
      </c>
      <c r="D2879" s="3">
        <v>1933</v>
      </c>
      <c r="E2879" s="3">
        <v>1972</v>
      </c>
      <c r="F2879" t="s">
        <v>7717</v>
      </c>
      <c r="G2879" t="s">
        <v>7718</v>
      </c>
      <c r="H2879" s="3">
        <v>30.685400000000001</v>
      </c>
      <c r="I2879" t="s">
        <v>7719</v>
      </c>
      <c r="J2879" t="s">
        <v>12463</v>
      </c>
      <c r="L2879" t="s">
        <v>7720</v>
      </c>
      <c r="M2879" t="str">
        <f>"https://www.artic.edu/iiif/2/"&amp;Table9[[#This Row],[Image ID]]&amp;"/full/843,/0/default.jpg"</f>
        <v>https://www.artic.edu/iiif/2/65ab6189-82b4-7fb5-42a3-b6cf298bedb5/full/843,/0/default.jpg</v>
      </c>
      <c r="N2879" s="3">
        <v>0.77500000000000002</v>
      </c>
      <c r="O2879" s="3">
        <v>0.2</v>
      </c>
      <c r="P2879" s="3">
        <v>0.57499999999999996</v>
      </c>
      <c r="Q2879" s="3">
        <v>0.63325709104537897</v>
      </c>
    </row>
    <row r="2880" spans="1:17" x14ac:dyDescent="0.45">
      <c r="A2880" s="3">
        <v>117317</v>
      </c>
      <c r="B2880" t="b">
        <v>0</v>
      </c>
      <c r="C2880" t="b">
        <v>0</v>
      </c>
      <c r="D2880" s="3">
        <v>1992</v>
      </c>
      <c r="E2880" s="3">
        <v>1992</v>
      </c>
      <c r="F2880" t="s">
        <v>2286</v>
      </c>
      <c r="G2880" t="s">
        <v>1536</v>
      </c>
      <c r="H2880" s="3">
        <v>84.194800000000001</v>
      </c>
      <c r="I2880" t="s">
        <v>2287</v>
      </c>
      <c r="J2880" t="s">
        <v>12490</v>
      </c>
      <c r="L2880" t="s">
        <v>2288</v>
      </c>
      <c r="M2880" t="str">
        <f>"https://www.artic.edu/iiif/2/"&amp;Table9[[#This Row],[Image ID]]&amp;"/full/843,/0/default.jpg"</f>
        <v>https://www.artic.edu/iiif/2/67f9f074-8b24-716b-b0e0-10843162ea36/full/843,/0/default.jpg</v>
      </c>
      <c r="N2880" s="3">
        <v>0.625</v>
      </c>
      <c r="O2880" s="3">
        <v>0.05</v>
      </c>
      <c r="P2880" s="3">
        <v>0.57499999999999996</v>
      </c>
      <c r="Q2880" s="3">
        <v>0.76071470975875799</v>
      </c>
    </row>
    <row r="2881" spans="1:17" x14ac:dyDescent="0.45">
      <c r="A2881" s="3">
        <v>99614</v>
      </c>
      <c r="B2881" t="b">
        <v>0</v>
      </c>
      <c r="C2881" t="b">
        <v>0</v>
      </c>
      <c r="D2881" s="3">
        <v>1978</v>
      </c>
      <c r="E2881" s="3">
        <v>1978</v>
      </c>
      <c r="F2881" t="s">
        <v>10937</v>
      </c>
      <c r="G2881" t="s">
        <v>7</v>
      </c>
      <c r="H2881" s="3">
        <v>62.038400000000003</v>
      </c>
      <c r="I2881" t="s">
        <v>5075</v>
      </c>
      <c r="J2881" t="s">
        <v>12553</v>
      </c>
      <c r="L2881" t="s">
        <v>10938</v>
      </c>
      <c r="M2881" t="str">
        <f>"https://www.artic.edu/iiif/2/"&amp;Table9[[#This Row],[Image ID]]&amp;"/full/843,/0/default.jpg"</f>
        <v>https://www.artic.edu/iiif/2/6c42cc66-eeff-fad6-02ea-23a2d56a9319/full/843,/0/default.jpg</v>
      </c>
      <c r="N2881" s="3">
        <v>0.72499999999999998</v>
      </c>
      <c r="O2881" s="3">
        <v>0.15</v>
      </c>
      <c r="P2881" s="3">
        <v>0.57499999999999996</v>
      </c>
      <c r="Q2881" s="3">
        <v>0.70149189233779896</v>
      </c>
    </row>
    <row r="2882" spans="1:17" x14ac:dyDescent="0.45">
      <c r="A2882" s="3">
        <v>185206</v>
      </c>
      <c r="B2882" t="b">
        <v>0</v>
      </c>
      <c r="C2882" t="b">
        <v>0</v>
      </c>
      <c r="D2882" s="3">
        <v>1937</v>
      </c>
      <c r="E2882" s="3">
        <v>1937</v>
      </c>
      <c r="F2882" t="s">
        <v>4984</v>
      </c>
      <c r="G2882" t="s">
        <v>4985</v>
      </c>
      <c r="H2882" s="3">
        <v>24.549600000000002</v>
      </c>
      <c r="I2882" t="s">
        <v>378</v>
      </c>
      <c r="J2882" t="s">
        <v>12554</v>
      </c>
      <c r="L2882" t="s">
        <v>4986</v>
      </c>
      <c r="M2882" t="str">
        <f>"https://www.artic.edu/iiif/2/"&amp;Table9[[#This Row],[Image ID]]&amp;"/full/843,/0/default.jpg"</f>
        <v>https://www.artic.edu/iiif/2/6c61a614-0ca5-8fb6-ee15-0c24c5a36d1a/full/843,/0/default.jpg</v>
      </c>
      <c r="N2882" s="3">
        <v>0.625</v>
      </c>
      <c r="O2882" s="3">
        <v>0.05</v>
      </c>
      <c r="P2882" s="3">
        <v>0.57499999999999996</v>
      </c>
      <c r="Q2882" s="3">
        <v>0.81388312578201205</v>
      </c>
    </row>
    <row r="2883" spans="1:17" x14ac:dyDescent="0.45">
      <c r="A2883" s="3">
        <v>185759</v>
      </c>
      <c r="B2883" t="b">
        <v>0</v>
      </c>
      <c r="C2883" t="b">
        <v>0</v>
      </c>
      <c r="D2883" s="3">
        <v>1948</v>
      </c>
      <c r="E2883" s="3">
        <v>1948</v>
      </c>
      <c r="F2883" t="s">
        <v>4997</v>
      </c>
      <c r="G2883" t="s">
        <v>7</v>
      </c>
      <c r="H2883" s="3">
        <v>66.615099999999998</v>
      </c>
      <c r="I2883" t="s">
        <v>180</v>
      </c>
      <c r="J2883" t="s">
        <v>12583</v>
      </c>
      <c r="L2883" t="s">
        <v>4998</v>
      </c>
      <c r="M2883" t="str">
        <f>"https://www.artic.edu/iiif/2/"&amp;Table9[[#This Row],[Image ID]]&amp;"/full/843,/0/default.jpg"</f>
        <v>https://www.artic.edu/iiif/2/6ee6a8f6-cc94-f9ff-5bfa-784a461fc5df/full/843,/0/default.jpg</v>
      </c>
      <c r="N2883" s="3">
        <v>0.6</v>
      </c>
      <c r="O2883" s="3">
        <v>2.5000000000000001E-2</v>
      </c>
      <c r="P2883" s="3">
        <v>0.57499999999999996</v>
      </c>
      <c r="Q2883" s="3">
        <v>0.76014137268066395</v>
      </c>
    </row>
    <row r="2884" spans="1:17" x14ac:dyDescent="0.45">
      <c r="A2884" s="3">
        <v>115950</v>
      </c>
      <c r="B2884" t="b">
        <v>0</v>
      </c>
      <c r="C2884" t="b">
        <v>0</v>
      </c>
      <c r="D2884" s="3">
        <v>1950</v>
      </c>
      <c r="E2884" s="3">
        <v>1965</v>
      </c>
      <c r="F2884" t="s">
        <v>2219</v>
      </c>
      <c r="G2884" t="s">
        <v>2220</v>
      </c>
      <c r="H2884" s="3">
        <v>42.582599999999999</v>
      </c>
      <c r="I2884" t="s">
        <v>1281</v>
      </c>
      <c r="J2884" t="s">
        <v>12585</v>
      </c>
      <c r="L2884" t="s">
        <v>2221</v>
      </c>
      <c r="M2884" t="str">
        <f>"https://www.artic.edu/iiif/2/"&amp;Table9[[#This Row],[Image ID]]&amp;"/full/843,/0/default.jpg"</f>
        <v>https://www.artic.edu/iiif/2/6ef3b72f-a605-a6b6-7964-dbc1eb81b738/full/843,/0/default.jpg</v>
      </c>
      <c r="N2884" s="3">
        <v>0.75</v>
      </c>
      <c r="O2884" s="3">
        <v>0.17499999999999999</v>
      </c>
      <c r="P2884" s="3">
        <v>0.57499999999999996</v>
      </c>
      <c r="Q2884" s="3">
        <v>0.84132695198059004</v>
      </c>
    </row>
    <row r="2885" spans="1:17" x14ac:dyDescent="0.45">
      <c r="A2885" s="3">
        <v>147658</v>
      </c>
      <c r="B2885" t="b">
        <v>0</v>
      </c>
      <c r="C2885" t="b">
        <v>0</v>
      </c>
      <c r="D2885" s="3">
        <v>1935</v>
      </c>
      <c r="E2885" s="3">
        <v>1935</v>
      </c>
      <c r="F2885" t="s">
        <v>3643</v>
      </c>
      <c r="G2885" t="s">
        <v>3644</v>
      </c>
      <c r="H2885" s="3">
        <v>137.8604</v>
      </c>
      <c r="I2885" t="s">
        <v>4769</v>
      </c>
      <c r="J2885" t="s">
        <v>12626</v>
      </c>
      <c r="L2885" t="s">
        <v>3645</v>
      </c>
      <c r="M2885" t="str">
        <f>"https://www.artic.edu/iiif/2/"&amp;Table9[[#This Row],[Image ID]]&amp;"/full/843,/0/default.jpg"</f>
        <v>https://www.artic.edu/iiif/2/717f2518-c17f-c301-1f61-f33ac45739c9/full/843,/0/default.jpg</v>
      </c>
      <c r="N2885" s="3">
        <v>0.72499999999999998</v>
      </c>
      <c r="O2885" s="3">
        <v>0.15</v>
      </c>
      <c r="P2885" s="3">
        <v>0.57499999999999996</v>
      </c>
      <c r="Q2885" s="3">
        <v>0.87097239494323697</v>
      </c>
    </row>
    <row r="2886" spans="1:17" x14ac:dyDescent="0.45">
      <c r="A2886" s="3">
        <v>60297</v>
      </c>
      <c r="B2886" t="b">
        <v>0</v>
      </c>
      <c r="C2886" t="b">
        <v>0</v>
      </c>
      <c r="D2886" s="3">
        <v>1979</v>
      </c>
      <c r="E2886" s="3">
        <v>1979</v>
      </c>
      <c r="F2886" t="s">
        <v>4344</v>
      </c>
      <c r="G2886" t="s">
        <v>8705</v>
      </c>
      <c r="H2886" s="3">
        <v>21.0307</v>
      </c>
      <c r="I2886" t="s">
        <v>8706</v>
      </c>
      <c r="J2886" t="s">
        <v>12699</v>
      </c>
      <c r="L2886" t="s">
        <v>8707</v>
      </c>
      <c r="M2886" t="str">
        <f>"https://www.artic.edu/iiif/2/"&amp;Table9[[#This Row],[Image ID]]&amp;"/full/843,/0/default.jpg"</f>
        <v>https://www.artic.edu/iiif/2/76dc037b-53e9-67f1-0df7-eb5432ffaf25/full/843,/0/default.jpg</v>
      </c>
      <c r="N2886" s="3">
        <v>0.7</v>
      </c>
      <c r="O2886" s="3">
        <v>0.125</v>
      </c>
      <c r="P2886" s="3">
        <v>0.57499999999999996</v>
      </c>
      <c r="Q2886" s="3">
        <v>0.83075559139251698</v>
      </c>
    </row>
    <row r="2887" spans="1:17" x14ac:dyDescent="0.45">
      <c r="A2887" s="3">
        <v>117189</v>
      </c>
      <c r="B2887" t="b">
        <v>0</v>
      </c>
      <c r="C2887" t="b">
        <v>0</v>
      </c>
      <c r="D2887" s="3">
        <v>1965</v>
      </c>
      <c r="E2887" s="3">
        <v>1965</v>
      </c>
      <c r="F2887" t="s">
        <v>11</v>
      </c>
      <c r="G2887" t="s">
        <v>7</v>
      </c>
      <c r="H2887" s="3">
        <v>50.235999999999997</v>
      </c>
      <c r="I2887" t="s">
        <v>1165</v>
      </c>
      <c r="J2887" t="s">
        <v>12743</v>
      </c>
      <c r="K2887" s="5" t="s">
        <v>45</v>
      </c>
      <c r="L2887" t="s">
        <v>2256</v>
      </c>
      <c r="M2887" t="str">
        <f>"https://www.artic.edu/iiif/2/"&amp;Table9[[#This Row],[Image ID]]&amp;"/full/843,/0/default.jpg"</f>
        <v>https://www.artic.edu/iiif/2/7a0e1a7e-c565-eff4-c905-3b3a54b263ec/full/843,/0/default.jpg</v>
      </c>
      <c r="N2887" s="3">
        <v>0.625</v>
      </c>
      <c r="O2887" s="3">
        <v>0.05</v>
      </c>
      <c r="P2887" s="3">
        <v>0.57499999999999996</v>
      </c>
      <c r="Q2887" s="3">
        <v>0.72158688306808405</v>
      </c>
    </row>
    <row r="2888" spans="1:17" x14ac:dyDescent="0.45">
      <c r="A2888" s="3">
        <v>16746</v>
      </c>
      <c r="B2888" t="b">
        <v>0</v>
      </c>
      <c r="C2888" t="b">
        <v>0</v>
      </c>
      <c r="D2888" s="3">
        <v>1915</v>
      </c>
      <c r="E2888" s="3">
        <v>1928</v>
      </c>
      <c r="F2888" t="s">
        <v>4556</v>
      </c>
      <c r="G2888" t="s">
        <v>4557</v>
      </c>
      <c r="H2888" s="3">
        <v>16.459</v>
      </c>
      <c r="I2888" t="s">
        <v>1277</v>
      </c>
      <c r="J2888" t="s">
        <v>12889</v>
      </c>
      <c r="L2888" t="s">
        <v>4558</v>
      </c>
      <c r="M2888" t="str">
        <f>"https://www.artic.edu/iiif/2/"&amp;Table9[[#This Row],[Image ID]]&amp;"/full/843,/0/default.jpg"</f>
        <v>https://www.artic.edu/iiif/2/84be2d86-c62e-41c3-7b21-5b3e16bf6414/full/843,/0/default.jpg</v>
      </c>
      <c r="N2888" s="3">
        <v>0.6</v>
      </c>
      <c r="O2888" s="3">
        <v>2.5000000000000001E-2</v>
      </c>
      <c r="P2888" s="3">
        <v>0.57499999999999996</v>
      </c>
      <c r="Q2888" s="3">
        <v>0.64127683639526301</v>
      </c>
    </row>
    <row r="2889" spans="1:17" x14ac:dyDescent="0.45">
      <c r="A2889" s="3">
        <v>25793</v>
      </c>
      <c r="B2889" t="b">
        <v>0</v>
      </c>
      <c r="C2889" t="b">
        <v>0</v>
      </c>
      <c r="D2889" s="3">
        <v>1903</v>
      </c>
      <c r="E2889" s="3">
        <v>1903</v>
      </c>
      <c r="F2889" t="s">
        <v>6609</v>
      </c>
      <c r="G2889" t="s">
        <v>434</v>
      </c>
      <c r="H2889" s="3">
        <v>34.983699999999999</v>
      </c>
      <c r="I2889" t="s">
        <v>14563</v>
      </c>
      <c r="J2889" t="s">
        <v>12970</v>
      </c>
      <c r="L2889" t="s">
        <v>6610</v>
      </c>
      <c r="M2889" t="str">
        <f>"https://www.artic.edu/iiif/2/"&amp;Table9[[#This Row],[Image ID]]&amp;"/full/843,/0/default.jpg"</f>
        <v>https://www.artic.edu/iiif/2/8ba8818f-81ee-d892-f01e-9fe2699eb17f/full/843,/0/default.jpg</v>
      </c>
      <c r="N2889" s="3">
        <v>0.7</v>
      </c>
      <c r="O2889" s="3">
        <v>0.125</v>
      </c>
      <c r="P2889" s="3">
        <v>0.57499999999999996</v>
      </c>
      <c r="Q2889" s="3">
        <v>0.73636341094970703</v>
      </c>
    </row>
    <row r="2890" spans="1:17" x14ac:dyDescent="0.45">
      <c r="A2890" s="3">
        <v>2908</v>
      </c>
      <c r="B2890" t="b">
        <v>0</v>
      </c>
      <c r="C2890" t="b">
        <v>0</v>
      </c>
      <c r="D2890" s="3">
        <v>1910</v>
      </c>
      <c r="E2890" s="3">
        <v>1910</v>
      </c>
      <c r="F2890" t="s">
        <v>6866</v>
      </c>
      <c r="G2890" t="s">
        <v>6867</v>
      </c>
      <c r="H2890" s="3">
        <v>25.6906</v>
      </c>
      <c r="I2890" t="s">
        <v>949</v>
      </c>
      <c r="J2890" t="s">
        <v>12981</v>
      </c>
      <c r="L2890" t="s">
        <v>6868</v>
      </c>
      <c r="M2890" t="str">
        <f>"https://www.artic.edu/iiif/2/"&amp;Table9[[#This Row],[Image ID]]&amp;"/full/843,/0/default.jpg"</f>
        <v>https://www.artic.edu/iiif/2/8c542a5f-7a56-a3d1-621d-9f29e75732b9/full/843,/0/default.jpg</v>
      </c>
      <c r="N2890" s="3">
        <v>0.7</v>
      </c>
      <c r="O2890" s="3">
        <v>0.125</v>
      </c>
      <c r="P2890" s="3">
        <v>0.57499999999999996</v>
      </c>
      <c r="Q2890" s="3">
        <v>0.69926571846008301</v>
      </c>
    </row>
    <row r="2891" spans="1:17" x14ac:dyDescent="0.45">
      <c r="A2891" s="3">
        <v>94010</v>
      </c>
      <c r="B2891" t="b">
        <v>0</v>
      </c>
      <c r="C2891" t="b">
        <v>0</v>
      </c>
      <c r="D2891" s="3">
        <v>1971</v>
      </c>
      <c r="E2891" s="3">
        <v>1971</v>
      </c>
      <c r="F2891" t="s">
        <v>10672</v>
      </c>
      <c r="G2891" t="s">
        <v>4220</v>
      </c>
      <c r="H2891" s="3">
        <v>48.125300000000003</v>
      </c>
      <c r="I2891" t="s">
        <v>378</v>
      </c>
      <c r="J2891" t="s">
        <v>13127</v>
      </c>
      <c r="L2891" t="s">
        <v>10673</v>
      </c>
      <c r="M2891" t="str">
        <f>"https://www.artic.edu/iiif/2/"&amp;Table9[[#This Row],[Image ID]]&amp;"/full/843,/0/default.jpg"</f>
        <v>https://www.artic.edu/iiif/2/98960beb-fd9b-1b44-5443-ac648a585d13/full/843,/0/default.jpg</v>
      </c>
      <c r="N2891" s="3">
        <v>0.625</v>
      </c>
      <c r="O2891" s="3">
        <v>0.05</v>
      </c>
      <c r="P2891" s="3">
        <v>0.57499999999999996</v>
      </c>
      <c r="Q2891" s="3">
        <v>0.76295739412307695</v>
      </c>
    </row>
    <row r="2892" spans="1:17" x14ac:dyDescent="0.45">
      <c r="A2892" s="3">
        <v>207575</v>
      </c>
      <c r="B2892" t="b">
        <v>0</v>
      </c>
      <c r="C2892" t="b">
        <v>0</v>
      </c>
      <c r="D2892" s="3">
        <v>1964</v>
      </c>
      <c r="E2892" s="3">
        <v>1964</v>
      </c>
      <c r="F2892" t="s">
        <v>5515</v>
      </c>
      <c r="G2892" t="s">
        <v>2247</v>
      </c>
      <c r="H2892" s="3">
        <v>28.2194</v>
      </c>
      <c r="I2892" t="s">
        <v>599</v>
      </c>
      <c r="J2892" t="s">
        <v>12915</v>
      </c>
      <c r="L2892" t="s">
        <v>5516</v>
      </c>
      <c r="M2892" t="str">
        <f>"https://www.artic.edu/iiif/2/"&amp;Table9[[#This Row],[Image ID]]&amp;"/full/843,/0/default.jpg"</f>
        <v>https://www.artic.edu/iiif/2/9fe40e3a-4d2d-6a19-ae3b-765593992ad5/full/843,/0/default.jpg</v>
      </c>
      <c r="N2892" s="3">
        <v>0.7</v>
      </c>
      <c r="O2892" s="3">
        <v>0.125</v>
      </c>
      <c r="P2892" s="3">
        <v>0.57499999999999996</v>
      </c>
      <c r="Q2892" s="3">
        <v>0.70472228527069003</v>
      </c>
    </row>
    <row r="2893" spans="1:17" x14ac:dyDescent="0.45">
      <c r="A2893" s="3">
        <v>129689</v>
      </c>
      <c r="B2893" t="b">
        <v>0</v>
      </c>
      <c r="C2893" t="b">
        <v>0</v>
      </c>
      <c r="D2893" s="3">
        <v>1941</v>
      </c>
      <c r="E2893" s="3">
        <v>1941</v>
      </c>
      <c r="F2893" t="s">
        <v>2918</v>
      </c>
      <c r="G2893" t="s">
        <v>2892</v>
      </c>
      <c r="H2893" s="3">
        <v>17.676400000000001</v>
      </c>
      <c r="I2893" t="s">
        <v>14549</v>
      </c>
      <c r="J2893" t="s">
        <v>10990</v>
      </c>
      <c r="L2893" t="s">
        <v>2919</v>
      </c>
      <c r="M2893" t="str">
        <f>"https://www.artic.edu/iiif/2/"&amp;Table9[[#This Row],[Image ID]]&amp;"/full/843,/0/default.jpg"</f>
        <v>https://www.artic.edu/iiif/2/9ff96799-cfd8-bf50-f8af-08910c8a3ed5/full/843,/0/default.jpg</v>
      </c>
      <c r="N2893" s="3">
        <v>0.7</v>
      </c>
      <c r="O2893" s="3">
        <v>0.125</v>
      </c>
      <c r="P2893" s="3">
        <v>0.57499999999999996</v>
      </c>
      <c r="Q2893" s="3">
        <v>0.78816670179366999</v>
      </c>
    </row>
    <row r="2894" spans="1:17" x14ac:dyDescent="0.45">
      <c r="A2894" s="3">
        <v>80501</v>
      </c>
      <c r="B2894" t="b">
        <v>0</v>
      </c>
      <c r="C2894" t="b">
        <v>0</v>
      </c>
      <c r="D2894" s="3">
        <v>1953</v>
      </c>
      <c r="E2894" s="3">
        <v>1954</v>
      </c>
      <c r="F2894" t="s">
        <v>258</v>
      </c>
      <c r="G2894" t="s">
        <v>9986</v>
      </c>
      <c r="H2894" s="3">
        <v>27.5566</v>
      </c>
      <c r="I2894" t="s">
        <v>500</v>
      </c>
      <c r="J2894" t="s">
        <v>13230</v>
      </c>
      <c r="L2894" t="s">
        <v>9987</v>
      </c>
      <c r="M2894" t="str">
        <f>"https://www.artic.edu/iiif/2/"&amp;Table9[[#This Row],[Image ID]]&amp;"/full/843,/0/default.jpg"</f>
        <v>https://www.artic.edu/iiif/2/a0205eb6-78e2-45ce-b3bb-ac5ecf1b4513/full/843,/0/default.jpg</v>
      </c>
      <c r="N2894" s="3">
        <v>0.625</v>
      </c>
      <c r="O2894" s="3">
        <v>0.05</v>
      </c>
      <c r="P2894" s="3">
        <v>0.57499999999999996</v>
      </c>
      <c r="Q2894" s="3">
        <v>0.71346408128738403</v>
      </c>
    </row>
    <row r="2895" spans="1:17" x14ac:dyDescent="0.45">
      <c r="A2895" s="3">
        <v>59318</v>
      </c>
      <c r="B2895" t="b">
        <v>0</v>
      </c>
      <c r="C2895" t="b">
        <v>0</v>
      </c>
      <c r="D2895" s="3">
        <v>1914</v>
      </c>
      <c r="E2895" s="3">
        <v>1914</v>
      </c>
      <c r="F2895" t="s">
        <v>8555</v>
      </c>
      <c r="G2895" t="s">
        <v>8556</v>
      </c>
      <c r="H2895" s="3">
        <v>28.045200000000001</v>
      </c>
      <c r="I2895" t="s">
        <v>949</v>
      </c>
      <c r="J2895" t="s">
        <v>13260</v>
      </c>
      <c r="L2895" t="s">
        <v>8557</v>
      </c>
      <c r="M2895" t="str">
        <f>"https://www.artic.edu/iiif/2/"&amp;Table9[[#This Row],[Image ID]]&amp;"/full/843,/0/default.jpg"</f>
        <v>https://www.artic.edu/iiif/2/a2668384-4fe0-fcdf-5147-addc87309e2a/full/843,/0/default.jpg</v>
      </c>
      <c r="N2895" s="3">
        <v>0.77500000000000002</v>
      </c>
      <c r="O2895" s="3">
        <v>0.2</v>
      </c>
      <c r="P2895" s="3">
        <v>0.57499999999999996</v>
      </c>
      <c r="Q2895" s="3">
        <v>0.58216470479965199</v>
      </c>
    </row>
    <row r="2896" spans="1:17" x14ac:dyDescent="0.45">
      <c r="A2896" s="3">
        <v>80565</v>
      </c>
      <c r="B2896" t="b">
        <v>0</v>
      </c>
      <c r="C2896" t="b">
        <v>0</v>
      </c>
      <c r="D2896" s="3">
        <v>1928</v>
      </c>
      <c r="E2896" s="3">
        <v>1928</v>
      </c>
      <c r="F2896" t="s">
        <v>10023</v>
      </c>
      <c r="G2896" t="s">
        <v>75</v>
      </c>
      <c r="H2896" s="3">
        <v>40.313299999999998</v>
      </c>
      <c r="I2896" t="s">
        <v>999</v>
      </c>
      <c r="J2896" t="s">
        <v>13263</v>
      </c>
      <c r="L2896" t="s">
        <v>10024</v>
      </c>
      <c r="M2896" t="str">
        <f>"https://www.artic.edu/iiif/2/"&amp;Table9[[#This Row],[Image ID]]&amp;"/full/843,/0/default.jpg"</f>
        <v>https://www.artic.edu/iiif/2/a289e3b3-3677-1c46-27b0-98f84ab3e48a/full/843,/0/default.jpg</v>
      </c>
      <c r="N2896" s="3">
        <v>0.6</v>
      </c>
      <c r="O2896" s="3">
        <v>2.5000000000000001E-2</v>
      </c>
      <c r="P2896" s="3">
        <v>0.57499999999999996</v>
      </c>
      <c r="Q2896" s="3">
        <v>0.82974767684936501</v>
      </c>
    </row>
    <row r="2897" spans="1:17" x14ac:dyDescent="0.45">
      <c r="A2897" s="3">
        <v>94018</v>
      </c>
      <c r="B2897" t="b">
        <v>0</v>
      </c>
      <c r="C2897" t="b">
        <v>0</v>
      </c>
      <c r="D2897" s="3">
        <v>1967</v>
      </c>
      <c r="E2897" s="3">
        <v>1967</v>
      </c>
      <c r="F2897" t="s">
        <v>8083</v>
      </c>
      <c r="G2897" t="s">
        <v>10685</v>
      </c>
      <c r="H2897" s="3">
        <v>28.197500000000002</v>
      </c>
      <c r="I2897" t="s">
        <v>378</v>
      </c>
      <c r="J2897" t="s">
        <v>13367</v>
      </c>
      <c r="L2897" t="s">
        <v>10686</v>
      </c>
      <c r="M2897" t="str">
        <f>"https://www.artic.edu/iiif/2/"&amp;Table9[[#This Row],[Image ID]]&amp;"/full/843,/0/default.jpg"</f>
        <v>https://www.artic.edu/iiif/2/a9768cfc-6137-f015-5d15-ce33eced0045/full/843,/0/default.jpg</v>
      </c>
      <c r="N2897" s="3">
        <v>0.72499999999999998</v>
      </c>
      <c r="O2897" s="3">
        <v>0.15</v>
      </c>
      <c r="P2897" s="3">
        <v>0.57499999999999996</v>
      </c>
      <c r="Q2897" s="3">
        <v>0.76810777187347401</v>
      </c>
    </row>
    <row r="2898" spans="1:17" x14ac:dyDescent="0.45">
      <c r="A2898" s="3">
        <v>83903</v>
      </c>
      <c r="B2898" t="b">
        <v>0</v>
      </c>
      <c r="C2898" t="b">
        <v>0</v>
      </c>
      <c r="D2898" s="3">
        <v>1954</v>
      </c>
      <c r="E2898" s="3">
        <v>1955</v>
      </c>
      <c r="F2898" t="s">
        <v>10236</v>
      </c>
      <c r="G2898" t="s">
        <v>764</v>
      </c>
      <c r="H2898" s="3">
        <v>0</v>
      </c>
      <c r="I2898" t="s">
        <v>632</v>
      </c>
      <c r="J2898" t="s">
        <v>13448</v>
      </c>
      <c r="L2898" t="s">
        <v>10237</v>
      </c>
      <c r="M2898" t="str">
        <f>"https://www.artic.edu/iiif/2/"&amp;Table9[[#This Row],[Image ID]]&amp;"/full/843,/0/default.jpg"</f>
        <v>https://www.artic.edu/iiif/2/afda0d88-b56d-9f19-cf01-0511e53e1b58/full/843,/0/default.jpg</v>
      </c>
      <c r="N2898" s="3">
        <v>0.625</v>
      </c>
      <c r="O2898" s="3">
        <v>0.05</v>
      </c>
      <c r="P2898" s="3">
        <v>0.57499999999999996</v>
      </c>
      <c r="Q2898" s="3">
        <v>0.78994339704513505</v>
      </c>
    </row>
    <row r="2899" spans="1:17" x14ac:dyDescent="0.45">
      <c r="A2899" s="3">
        <v>52727</v>
      </c>
      <c r="B2899" t="b">
        <v>0</v>
      </c>
      <c r="C2899" t="b">
        <v>0</v>
      </c>
      <c r="D2899" s="3">
        <v>1905</v>
      </c>
      <c r="E2899" s="3">
        <v>1930</v>
      </c>
      <c r="F2899" t="s">
        <v>8195</v>
      </c>
      <c r="G2899" t="s">
        <v>8196</v>
      </c>
      <c r="H2899" s="3">
        <v>57.886499999999998</v>
      </c>
      <c r="I2899" t="s">
        <v>1464</v>
      </c>
      <c r="J2899" t="s">
        <v>13489</v>
      </c>
      <c r="L2899" t="s">
        <v>8197</v>
      </c>
      <c r="M2899" t="str">
        <f>"https://www.artic.edu/iiif/2/"&amp;Table9[[#This Row],[Image ID]]&amp;"/full/843,/0/default.jpg"</f>
        <v>https://www.artic.edu/iiif/2/b2c1d70f-847a-9347-95f5-826e971887f8/full/843,/0/default.jpg</v>
      </c>
      <c r="N2899" s="3">
        <v>0.75</v>
      </c>
      <c r="O2899" s="3">
        <v>0.17499999999999999</v>
      </c>
      <c r="P2899" s="3">
        <v>0.57499999999999996</v>
      </c>
      <c r="Q2899" s="3">
        <v>0.735071241855621</v>
      </c>
    </row>
    <row r="2900" spans="1:17" x14ac:dyDescent="0.45">
      <c r="A2900" s="3">
        <v>155887</v>
      </c>
      <c r="B2900" t="b">
        <v>0</v>
      </c>
      <c r="C2900" t="b">
        <v>0</v>
      </c>
      <c r="D2900" s="3">
        <v>1978</v>
      </c>
      <c r="E2900" s="3">
        <v>1978</v>
      </c>
      <c r="F2900" t="s">
        <v>4049</v>
      </c>
      <c r="G2900" t="s">
        <v>4050</v>
      </c>
      <c r="H2900" s="3">
        <v>20.759899999999998</v>
      </c>
      <c r="I2900" t="s">
        <v>236</v>
      </c>
      <c r="J2900" t="s">
        <v>13521</v>
      </c>
      <c r="L2900" t="s">
        <v>4051</v>
      </c>
      <c r="M2900" t="str">
        <f>"https://www.artic.edu/iiif/2/"&amp;Table9[[#This Row],[Image ID]]&amp;"/full/843,/0/default.jpg"</f>
        <v>https://www.artic.edu/iiif/2/b5e7ee47-7574-592d-df4d-3ded96b1acda/full/843,/0/default.jpg</v>
      </c>
      <c r="N2900" s="3">
        <v>0.7</v>
      </c>
      <c r="O2900" s="3">
        <v>0.125</v>
      </c>
      <c r="P2900" s="3">
        <v>0.57499999999999996</v>
      </c>
      <c r="Q2900" s="3">
        <v>0.73133289813995295</v>
      </c>
    </row>
    <row r="2901" spans="1:17" x14ac:dyDescent="0.45">
      <c r="A2901" s="3">
        <v>117258</v>
      </c>
      <c r="B2901" t="b">
        <v>0</v>
      </c>
      <c r="C2901" t="b">
        <v>0</v>
      </c>
      <c r="D2901" s="3">
        <v>1979</v>
      </c>
      <c r="E2901" s="3">
        <v>1979</v>
      </c>
      <c r="F2901" t="s">
        <v>2270</v>
      </c>
      <c r="G2901" t="s">
        <v>2271</v>
      </c>
      <c r="H2901" s="3">
        <v>61.385399999999997</v>
      </c>
      <c r="I2901" t="s">
        <v>2272</v>
      </c>
      <c r="J2901" t="s">
        <v>13606</v>
      </c>
      <c r="L2901" t="s">
        <v>2273</v>
      </c>
      <c r="M2901" t="str">
        <f>"https://www.artic.edu/iiif/2/"&amp;Table9[[#This Row],[Image ID]]&amp;"/full/843,/0/default.jpg"</f>
        <v>https://www.artic.edu/iiif/2/bd21f2db-8998-42b9-0fca-8e9ba77ecd4d/full/843,/0/default.jpg</v>
      </c>
      <c r="N2901" s="3">
        <v>0.6</v>
      </c>
      <c r="O2901" s="3">
        <v>2.5000000000000001E-2</v>
      </c>
      <c r="P2901" s="3">
        <v>0.57499999999999996</v>
      </c>
      <c r="Q2901" s="3">
        <v>0.83002412319183305</v>
      </c>
    </row>
    <row r="2902" spans="1:17" x14ac:dyDescent="0.45">
      <c r="A2902" s="3">
        <v>55691</v>
      </c>
      <c r="B2902" t="b">
        <v>0</v>
      </c>
      <c r="C2902" t="b">
        <v>0</v>
      </c>
      <c r="D2902" s="3">
        <v>1963</v>
      </c>
      <c r="E2902" s="3">
        <v>1965</v>
      </c>
      <c r="F2902" t="s">
        <v>8374</v>
      </c>
      <c r="G2902" t="s">
        <v>8375</v>
      </c>
      <c r="H2902" s="3">
        <v>38.700600000000001</v>
      </c>
      <c r="I2902" t="s">
        <v>599</v>
      </c>
      <c r="J2902" t="s">
        <v>11435</v>
      </c>
      <c r="L2902" t="s">
        <v>8376</v>
      </c>
      <c r="M2902" t="str">
        <f>"https://www.artic.edu/iiif/2/"&amp;Table9[[#This Row],[Image ID]]&amp;"/full/843,/0/default.jpg"</f>
        <v>https://www.artic.edu/iiif/2/d5bde603-f3f1-14bd-310c-4b15084fba1e/full/843,/0/default.jpg</v>
      </c>
      <c r="N2902" s="3">
        <v>0.72499999999999998</v>
      </c>
      <c r="O2902" s="3">
        <v>0.15</v>
      </c>
      <c r="P2902" s="3">
        <v>0.57499999999999996</v>
      </c>
      <c r="Q2902" s="3">
        <v>0.77756440639495805</v>
      </c>
    </row>
    <row r="2903" spans="1:17" x14ac:dyDescent="0.45">
      <c r="A2903" s="3">
        <v>80350</v>
      </c>
      <c r="B2903" t="b">
        <v>0</v>
      </c>
      <c r="C2903" t="b">
        <v>0</v>
      </c>
      <c r="D2903" s="3">
        <v>1919</v>
      </c>
      <c r="E2903" s="3">
        <v>1920</v>
      </c>
      <c r="F2903" t="s">
        <v>9960</v>
      </c>
      <c r="G2903" t="s">
        <v>9961</v>
      </c>
      <c r="H2903" s="3">
        <v>32.4679</v>
      </c>
      <c r="I2903" t="s">
        <v>914</v>
      </c>
      <c r="J2903" t="s">
        <v>13951</v>
      </c>
      <c r="L2903" t="s">
        <v>9962</v>
      </c>
      <c r="M2903" t="str">
        <f>"https://www.artic.edu/iiif/2/"&amp;Table9[[#This Row],[Image ID]]&amp;"/full/843,/0/default.jpg"</f>
        <v>https://www.artic.edu/iiif/2/d80e2903-b310-d576-9fab-4bc1af3f3ead/full/843,/0/default.jpg</v>
      </c>
      <c r="N2903" s="3">
        <v>0.625</v>
      </c>
      <c r="O2903" s="3">
        <v>0.05</v>
      </c>
      <c r="P2903" s="3">
        <v>0.57499999999999996</v>
      </c>
      <c r="Q2903" s="3">
        <v>0.812411308288574</v>
      </c>
    </row>
    <row r="2904" spans="1:17" x14ac:dyDescent="0.45">
      <c r="A2904" s="3">
        <v>17178</v>
      </c>
      <c r="B2904" t="b">
        <v>0</v>
      </c>
      <c r="C2904" t="b">
        <v>0</v>
      </c>
      <c r="D2904" s="3">
        <v>1915</v>
      </c>
      <c r="E2904" s="3">
        <v>1930</v>
      </c>
      <c r="F2904" t="s">
        <v>4634</v>
      </c>
      <c r="G2904" t="s">
        <v>7</v>
      </c>
      <c r="H2904" s="3">
        <v>19.9527</v>
      </c>
      <c r="I2904" t="s">
        <v>4635</v>
      </c>
      <c r="J2904" t="s">
        <v>14001</v>
      </c>
      <c r="L2904" t="s">
        <v>4636</v>
      </c>
      <c r="M2904" t="str">
        <f>"https://www.artic.edu/iiif/2/"&amp;Table9[[#This Row],[Image ID]]&amp;"/full/843,/0/default.jpg"</f>
        <v>https://www.artic.edu/iiif/2/db9a94fd-3d3a-3114-b4cd-0dfd8aaa9a57/full/843,/0/default.jpg</v>
      </c>
      <c r="N2904" s="3">
        <v>0.72499999999999998</v>
      </c>
      <c r="O2904" s="3">
        <v>0.15</v>
      </c>
      <c r="P2904" s="3">
        <v>0.57499999999999996</v>
      </c>
      <c r="Q2904" s="3">
        <v>0.80199199914932195</v>
      </c>
    </row>
    <row r="2905" spans="1:17" x14ac:dyDescent="0.45">
      <c r="A2905" s="3">
        <v>109452</v>
      </c>
      <c r="B2905" t="b">
        <v>0</v>
      </c>
      <c r="C2905" t="b">
        <v>0</v>
      </c>
      <c r="D2905" s="3">
        <v>1961</v>
      </c>
      <c r="E2905" s="3">
        <v>1961</v>
      </c>
      <c r="F2905" t="s">
        <v>799</v>
      </c>
      <c r="G2905" t="s">
        <v>800</v>
      </c>
      <c r="H2905" s="3">
        <v>58.183</v>
      </c>
      <c r="I2905" t="s">
        <v>612</v>
      </c>
      <c r="J2905" t="s">
        <v>14068</v>
      </c>
      <c r="L2905" t="s">
        <v>801</v>
      </c>
      <c r="M2905" t="str">
        <f>"https://www.artic.edu/iiif/2/"&amp;Table9[[#This Row],[Image ID]]&amp;"/full/843,/0/default.jpg"</f>
        <v>https://www.artic.edu/iiif/2/e07c2ac0-cd16-c921-073e-abf3b414406d/full/843,/0/default.jpg</v>
      </c>
      <c r="N2905" s="3">
        <v>0.6</v>
      </c>
      <c r="O2905" s="3">
        <v>2.5000000000000001E-2</v>
      </c>
      <c r="P2905" s="3">
        <v>0.57499999999999996</v>
      </c>
      <c r="Q2905" s="3">
        <v>0.82291805744171098</v>
      </c>
    </row>
    <row r="2906" spans="1:17" x14ac:dyDescent="0.45">
      <c r="A2906" s="3">
        <v>229371</v>
      </c>
      <c r="B2906" t="b">
        <v>0</v>
      </c>
      <c r="C2906" t="b">
        <v>0</v>
      </c>
      <c r="D2906" s="3">
        <v>1969</v>
      </c>
      <c r="E2906" s="3">
        <v>1969</v>
      </c>
      <c r="F2906" t="s">
        <v>11</v>
      </c>
      <c r="G2906" t="s">
        <v>6100</v>
      </c>
      <c r="H2906" s="3">
        <v>16.905899999999999</v>
      </c>
      <c r="I2906" t="s">
        <v>611</v>
      </c>
      <c r="J2906" t="s">
        <v>14129</v>
      </c>
      <c r="L2906" t="s">
        <v>6101</v>
      </c>
      <c r="M2906" t="str">
        <f>"https://www.artic.edu/iiif/2/"&amp;Table9[[#This Row],[Image ID]]&amp;"/full/843,/0/default.jpg"</f>
        <v>https://www.artic.edu/iiif/2/e3d04f27-7de4-653e-ce68-81a87561af5a/full/843,/0/default.jpg</v>
      </c>
      <c r="N2906" s="3">
        <v>0.7</v>
      </c>
      <c r="O2906" s="3">
        <v>0.125</v>
      </c>
      <c r="P2906" s="3">
        <v>0.57499999999999996</v>
      </c>
      <c r="Q2906" s="3">
        <v>0.85643571615219105</v>
      </c>
    </row>
    <row r="2907" spans="1:17" x14ac:dyDescent="0.45">
      <c r="A2907" s="3">
        <v>244996</v>
      </c>
      <c r="B2907" t="b">
        <v>0</v>
      </c>
      <c r="C2907" t="b">
        <v>0</v>
      </c>
      <c r="F2907" t="s">
        <v>6409</v>
      </c>
      <c r="G2907" t="s">
        <v>7</v>
      </c>
      <c r="H2907" s="3">
        <v>40.091299999999997</v>
      </c>
      <c r="I2907" t="s">
        <v>6410</v>
      </c>
      <c r="J2907" t="s">
        <v>14233</v>
      </c>
      <c r="L2907" t="s">
        <v>6411</v>
      </c>
      <c r="M2907" t="str">
        <f>"https://www.artic.edu/iiif/2/"&amp;Table9[[#This Row],[Image ID]]&amp;"/full/843,/0/default.jpg"</f>
        <v>https://www.artic.edu/iiif/2/eab789aa-8438-c229-3f70-848bcd324979/full/843,/0/default.jpg</v>
      </c>
      <c r="N2907" s="3">
        <v>0.625</v>
      </c>
      <c r="O2907" s="3">
        <v>0.05</v>
      </c>
      <c r="P2907" s="3">
        <v>0.57499999999999996</v>
      </c>
      <c r="Q2907" s="3">
        <v>0.73446863889694203</v>
      </c>
    </row>
    <row r="2908" spans="1:17" x14ac:dyDescent="0.45">
      <c r="A2908" s="3">
        <v>105234</v>
      </c>
      <c r="B2908" t="b">
        <v>0</v>
      </c>
      <c r="C2908" t="b">
        <v>0</v>
      </c>
      <c r="D2908" s="3">
        <v>1923</v>
      </c>
      <c r="E2908" s="3">
        <v>1970</v>
      </c>
      <c r="F2908" t="s">
        <v>11</v>
      </c>
      <c r="G2908" t="s">
        <v>496</v>
      </c>
      <c r="H2908" s="3">
        <v>44.721899999999998</v>
      </c>
      <c r="I2908" t="s">
        <v>112</v>
      </c>
      <c r="J2908" t="s">
        <v>14422</v>
      </c>
      <c r="L2908" t="s">
        <v>497</v>
      </c>
      <c r="M2908" t="str">
        <f>"https://www.artic.edu/iiif/2/"&amp;Table9[[#This Row],[Image ID]]&amp;"/full/843,/0/default.jpg"</f>
        <v>https://www.artic.edu/iiif/2/f7c3e581-ea45-08b1-0afe-714ac3fbfb25/full/843,/0/default.jpg</v>
      </c>
      <c r="N2908" s="3">
        <v>0.6</v>
      </c>
      <c r="O2908" s="3">
        <v>2.5000000000000001E-2</v>
      </c>
      <c r="P2908" s="3">
        <v>0.57499999999999996</v>
      </c>
      <c r="Q2908" s="3">
        <v>0.77218949794769198</v>
      </c>
    </row>
    <row r="2909" spans="1:17" x14ac:dyDescent="0.45">
      <c r="A2909" s="3">
        <v>79598</v>
      </c>
      <c r="B2909" t="b">
        <v>0</v>
      </c>
      <c r="C2909" t="b">
        <v>0</v>
      </c>
      <c r="D2909" s="3">
        <v>1953</v>
      </c>
      <c r="E2909" s="3">
        <v>1953</v>
      </c>
      <c r="F2909" t="s">
        <v>9908</v>
      </c>
      <c r="G2909" t="s">
        <v>5162</v>
      </c>
      <c r="H2909" s="3">
        <v>13.2948</v>
      </c>
      <c r="I2909" t="s">
        <v>2389</v>
      </c>
      <c r="J2909" t="s">
        <v>14432</v>
      </c>
      <c r="L2909" t="s">
        <v>9909</v>
      </c>
      <c r="M2909" t="str">
        <f>"https://www.artic.edu/iiif/2/"&amp;Table9[[#This Row],[Image ID]]&amp;"/full/843,/0/default.jpg"</f>
        <v>https://www.artic.edu/iiif/2/f8715f4b-1a10-4e55-d7a9-2d80d1d76f4a/full/843,/0/default.jpg</v>
      </c>
      <c r="N2909" s="3">
        <v>0.625</v>
      </c>
      <c r="O2909" s="3">
        <v>0.05</v>
      </c>
      <c r="P2909" s="3">
        <v>0.57499999999999996</v>
      </c>
      <c r="Q2909" s="3">
        <v>0.71621036529541005</v>
      </c>
    </row>
    <row r="2910" spans="1:17" x14ac:dyDescent="0.45">
      <c r="A2910" s="3">
        <v>93355</v>
      </c>
      <c r="B2910" t="b">
        <v>0</v>
      </c>
      <c r="C2910" t="b">
        <v>0</v>
      </c>
      <c r="D2910" s="3">
        <v>1943</v>
      </c>
      <c r="E2910" s="3">
        <v>1943</v>
      </c>
      <c r="F2910" t="s">
        <v>10581</v>
      </c>
      <c r="G2910" t="s">
        <v>7</v>
      </c>
      <c r="H2910" s="3">
        <v>42.790500000000002</v>
      </c>
      <c r="I2910" t="s">
        <v>14565</v>
      </c>
      <c r="J2910" t="s">
        <v>10583</v>
      </c>
      <c r="L2910" t="s">
        <v>10582</v>
      </c>
      <c r="M2910" t="str">
        <f>"https://www.artic.edu/iiif/2/"&amp;Table9[[#This Row],[Image ID]]&amp;"/full/843,/0/default.jpg"</f>
        <v>https://www.artic.edu/iiif/2/fb9bdf3d-0add-da85-0401-961f81ddf10e/full/843,/0/default.jpg</v>
      </c>
      <c r="N2910" s="3">
        <v>0.7</v>
      </c>
      <c r="O2910" s="3">
        <v>0.125</v>
      </c>
      <c r="P2910" s="3">
        <v>0.57499999999999996</v>
      </c>
      <c r="Q2910" s="3">
        <v>0.774805128574371</v>
      </c>
    </row>
    <row r="2911" spans="1:17" x14ac:dyDescent="0.45">
      <c r="A2911" s="3">
        <v>79781</v>
      </c>
      <c r="B2911" t="b">
        <v>0</v>
      </c>
      <c r="C2911" t="b">
        <v>0</v>
      </c>
      <c r="D2911" s="3">
        <v>1928</v>
      </c>
      <c r="E2911" s="3">
        <v>1928</v>
      </c>
      <c r="F2911" t="s">
        <v>1397</v>
      </c>
      <c r="G2911" t="s">
        <v>7</v>
      </c>
      <c r="H2911" s="3">
        <v>46.768099999999997</v>
      </c>
      <c r="I2911" t="s">
        <v>14565</v>
      </c>
      <c r="J2911" t="s">
        <v>14533</v>
      </c>
      <c r="L2911" t="s">
        <v>9921</v>
      </c>
      <c r="M2911" t="str">
        <f>"https://www.artic.edu/iiif/2/"&amp;Table9[[#This Row],[Image ID]]&amp;"/full/843,/0/default.jpg"</f>
        <v>https://www.artic.edu/iiif/2/ff5d2e96-91df-6929-8947-a9d41be61cfa/full/843,/0/default.jpg</v>
      </c>
      <c r="N2911" s="3">
        <v>0.72499999999999998</v>
      </c>
      <c r="O2911" s="3">
        <v>0.15</v>
      </c>
      <c r="P2911" s="3">
        <v>0.57499999999999996</v>
      </c>
      <c r="Q2911" s="3">
        <v>0.73438197374343805</v>
      </c>
    </row>
    <row r="2912" spans="1:17" x14ac:dyDescent="0.45">
      <c r="A2912" s="3">
        <v>107707</v>
      </c>
      <c r="B2912" t="b">
        <v>0</v>
      </c>
      <c r="C2912" t="b">
        <v>1</v>
      </c>
      <c r="D2912" s="3">
        <v>1782</v>
      </c>
      <c r="E2912" s="3">
        <v>1782</v>
      </c>
      <c r="F2912" t="s">
        <v>692</v>
      </c>
      <c r="G2912" t="s">
        <v>693</v>
      </c>
      <c r="H2912" s="3">
        <v>19.0642</v>
      </c>
      <c r="I2912" t="s">
        <v>694</v>
      </c>
      <c r="J2912" t="s">
        <v>11303</v>
      </c>
      <c r="L2912" t="s">
        <v>695</v>
      </c>
      <c r="M2912" t="str">
        <f>"https://www.artic.edu/iiif/2/"&amp;Table9[[#This Row],[Image ID]]&amp;"/full/843,/0/default.jpg"</f>
        <v>https://www.artic.edu/iiif/2/180bae8f-2656-c8f9-0cae-bf2b56979257/full/843,/0/default.jpg</v>
      </c>
      <c r="N2912" s="3">
        <v>0.64300000000000002</v>
      </c>
      <c r="O2912" s="3">
        <v>7.0999999999999994E-2</v>
      </c>
      <c r="P2912" s="3">
        <v>0.57200000000000006</v>
      </c>
      <c r="Q2912" s="3">
        <v>0.64807993173599199</v>
      </c>
    </row>
    <row r="2913" spans="1:17" x14ac:dyDescent="0.45">
      <c r="A2913" s="3">
        <v>112862</v>
      </c>
      <c r="B2913" t="b">
        <v>0</v>
      </c>
      <c r="C2913" t="b">
        <v>1</v>
      </c>
      <c r="D2913" s="3">
        <v>1878</v>
      </c>
      <c r="E2913" s="3">
        <v>1888</v>
      </c>
      <c r="F2913" t="s">
        <v>1318</v>
      </c>
      <c r="G2913" t="s">
        <v>1319</v>
      </c>
      <c r="H2913" s="3">
        <v>15.84</v>
      </c>
      <c r="I2913" t="s">
        <v>68</v>
      </c>
      <c r="J2913" t="s">
        <v>11583</v>
      </c>
      <c r="L2913" t="s">
        <v>1320</v>
      </c>
      <c r="M2913" t="str">
        <f>"https://www.artic.edu/iiif/2/"&amp;Table9[[#This Row],[Image ID]]&amp;"/full/843,/0/default.jpg"</f>
        <v>https://www.artic.edu/iiif/2/29eaa0e8-254f-a871-34db-781f2e92aa61/full/843,/0/default.jpg</v>
      </c>
      <c r="N2913" s="3">
        <v>0.64300000000000002</v>
      </c>
      <c r="O2913" s="3">
        <v>7.0999999999999994E-2</v>
      </c>
      <c r="P2913" s="3">
        <v>0.57200000000000006</v>
      </c>
      <c r="Q2913" s="3">
        <v>0.68638944625854403</v>
      </c>
    </row>
    <row r="2914" spans="1:17" x14ac:dyDescent="0.45">
      <c r="A2914" s="3">
        <v>250453</v>
      </c>
      <c r="B2914" t="b">
        <v>0</v>
      </c>
      <c r="C2914" t="b">
        <v>1</v>
      </c>
      <c r="D2914" s="3">
        <v>1834</v>
      </c>
      <c r="E2914" s="3">
        <v>1834</v>
      </c>
      <c r="F2914" t="s">
        <v>6475</v>
      </c>
      <c r="G2914" t="s">
        <v>75</v>
      </c>
      <c r="H2914" s="3">
        <v>29.667300000000001</v>
      </c>
      <c r="I2914" t="s">
        <v>2878</v>
      </c>
      <c r="J2914" t="s">
        <v>6477</v>
      </c>
      <c r="L2914" t="s">
        <v>6476</v>
      </c>
      <c r="M2914" t="str">
        <f>"https://www.artic.edu/iiif/2/"&amp;Table9[[#This Row],[Image ID]]&amp;"/full/843,/0/default.jpg"</f>
        <v>https://www.artic.edu/iiif/2/5e02eebd-547f-28d1-508e-5a6d56453110/full/843,/0/default.jpg</v>
      </c>
      <c r="N2914" s="3">
        <v>0.64300000000000002</v>
      </c>
      <c r="O2914" s="3">
        <v>7.0999999999999994E-2</v>
      </c>
      <c r="P2914" s="3">
        <v>0.57200000000000006</v>
      </c>
      <c r="Q2914" s="3">
        <v>0.47610929608344998</v>
      </c>
    </row>
    <row r="2915" spans="1:17" x14ac:dyDescent="0.45">
      <c r="A2915" s="3">
        <v>33249</v>
      </c>
      <c r="B2915" t="b">
        <v>0</v>
      </c>
      <c r="C2915" t="b">
        <v>1</v>
      </c>
      <c r="D2915" s="3">
        <v>1701</v>
      </c>
      <c r="E2915" s="3">
        <v>1711</v>
      </c>
      <c r="F2915" t="s">
        <v>4325</v>
      </c>
      <c r="G2915" t="s">
        <v>7</v>
      </c>
      <c r="H2915" s="3">
        <v>45.411200000000001</v>
      </c>
      <c r="I2915" t="s">
        <v>7078</v>
      </c>
      <c r="J2915" t="s">
        <v>12636</v>
      </c>
      <c r="L2915" t="s">
        <v>7079</v>
      </c>
      <c r="M2915" t="str">
        <f>"https://www.artic.edu/iiif/2/"&amp;Table9[[#This Row],[Image ID]]&amp;"/full/843,/0/default.jpg"</f>
        <v>https://www.artic.edu/iiif/2/71d54071-9aa9-b702-99ba-914b1b23278e/full/843,/0/default.jpg</v>
      </c>
      <c r="N2915" s="3">
        <v>0.66700000000000004</v>
      </c>
      <c r="O2915" s="3">
        <v>9.5000000000000001E-2</v>
      </c>
      <c r="P2915" s="3">
        <v>0.57200000000000006</v>
      </c>
      <c r="Q2915" s="3">
        <v>0.71129757165908802</v>
      </c>
    </row>
    <row r="2916" spans="1:17" x14ac:dyDescent="0.45">
      <c r="A2916" s="3">
        <v>20526</v>
      </c>
      <c r="B2916" t="b">
        <v>0</v>
      </c>
      <c r="C2916" t="b">
        <v>1</v>
      </c>
      <c r="D2916" s="3">
        <v>1775</v>
      </c>
      <c r="E2916" s="3">
        <v>1785</v>
      </c>
      <c r="F2916" t="s">
        <v>5446</v>
      </c>
      <c r="G2916" t="s">
        <v>7</v>
      </c>
      <c r="H2916" s="3">
        <v>0</v>
      </c>
      <c r="I2916" t="s">
        <v>4343</v>
      </c>
      <c r="J2916" t="s">
        <v>13253</v>
      </c>
      <c r="L2916" t="s">
        <v>5447</v>
      </c>
      <c r="M2916" t="str">
        <f>"https://www.artic.edu/iiif/2/"&amp;Table9[[#This Row],[Image ID]]&amp;"/full/843,/0/default.jpg"</f>
        <v>https://www.artic.edu/iiif/2/a1e30e2f-0f7f-2ab8-2489-7a8b2402120d/full/843,/0/default.jpg</v>
      </c>
      <c r="N2916" s="3">
        <v>0.64300000000000002</v>
      </c>
      <c r="O2916" s="3">
        <v>7.0999999999999994E-2</v>
      </c>
      <c r="P2916" s="3">
        <v>0.57200000000000006</v>
      </c>
      <c r="Q2916" s="3">
        <v>0.78620862960815396</v>
      </c>
    </row>
    <row r="2917" spans="1:17" x14ac:dyDescent="0.45">
      <c r="A2917" s="3">
        <v>81546</v>
      </c>
      <c r="B2917" t="b">
        <v>0</v>
      </c>
      <c r="C2917" t="b">
        <v>1</v>
      </c>
      <c r="D2917" s="3">
        <v>1889</v>
      </c>
      <c r="E2917" s="3">
        <v>1889</v>
      </c>
      <c r="F2917" t="s">
        <v>10128</v>
      </c>
      <c r="G2917" t="s">
        <v>7</v>
      </c>
      <c r="H2917" s="3">
        <v>20.434899999999999</v>
      </c>
      <c r="I2917" t="s">
        <v>43</v>
      </c>
      <c r="J2917" t="s">
        <v>14252</v>
      </c>
      <c r="K2917" s="5" t="s">
        <v>9</v>
      </c>
      <c r="L2917" t="s">
        <v>10129</v>
      </c>
      <c r="M2917" t="str">
        <f>"https://www.artic.edu/iiif/2/"&amp;Table9[[#This Row],[Image ID]]&amp;"/full/843,/0/default.jpg"</f>
        <v>https://www.artic.edu/iiif/2/ec1f6262-09c2-8f7e-baa9-9c0b267337ff/full/843,/0/default.jpg</v>
      </c>
      <c r="N2917" s="3">
        <v>0.64300000000000002</v>
      </c>
      <c r="O2917" s="3">
        <v>7.0999999999999994E-2</v>
      </c>
      <c r="P2917" s="3">
        <v>0.57200000000000006</v>
      </c>
      <c r="Q2917" s="3">
        <v>0.54442828893661499</v>
      </c>
    </row>
    <row r="2918" spans="1:17" x14ac:dyDescent="0.45">
      <c r="A2918" s="3">
        <v>74690</v>
      </c>
      <c r="B2918" t="b">
        <v>0</v>
      </c>
      <c r="C2918" t="b">
        <v>0</v>
      </c>
      <c r="D2918" s="3">
        <v>1935</v>
      </c>
      <c r="E2918" s="3">
        <v>1935</v>
      </c>
      <c r="F2918" t="s">
        <v>9697</v>
      </c>
      <c r="G2918" t="s">
        <v>9698</v>
      </c>
      <c r="H2918" s="3">
        <v>17.747699999999998</v>
      </c>
      <c r="I2918" t="s">
        <v>6298</v>
      </c>
      <c r="J2918" t="s">
        <v>11950</v>
      </c>
      <c r="L2918" t="s">
        <v>9699</v>
      </c>
      <c r="M2918" t="str">
        <f>"https://www.artic.edu/iiif/2/"&amp;Table9[[#This Row],[Image ID]]&amp;"/full/843,/0/default.jpg"</f>
        <v>https://www.artic.edu/iiif/2/423fb352-9b58-8bbd-9956-a82143503d59/full/843,/0/default.jpg</v>
      </c>
      <c r="N2918" s="3">
        <v>0.78600000000000003</v>
      </c>
      <c r="O2918" s="3">
        <v>0.214</v>
      </c>
      <c r="P2918" s="3">
        <v>0.57200000000000006</v>
      </c>
      <c r="Q2918" s="3">
        <v>0.84856951236724798</v>
      </c>
    </row>
    <row r="2919" spans="1:17" x14ac:dyDescent="0.45">
      <c r="A2919" s="3">
        <v>107321</v>
      </c>
      <c r="B2919" t="b">
        <v>0</v>
      </c>
      <c r="C2919" t="b">
        <v>0</v>
      </c>
      <c r="D2919" s="3">
        <v>1978</v>
      </c>
      <c r="E2919" s="3">
        <v>1978</v>
      </c>
      <c r="F2919" t="s">
        <v>645</v>
      </c>
      <c r="G2919" t="s">
        <v>646</v>
      </c>
      <c r="H2919" s="3">
        <v>32.688400000000001</v>
      </c>
      <c r="I2919" t="s">
        <v>647</v>
      </c>
      <c r="J2919" t="s">
        <v>12417</v>
      </c>
      <c r="L2919" t="s">
        <v>648</v>
      </c>
      <c r="M2919" t="str">
        <f>"https://www.artic.edu/iiif/2/"&amp;Table9[[#This Row],[Image ID]]&amp;"/full/843,/0/default.jpg"</f>
        <v>https://www.artic.edu/iiif/2/630303b6-f723-a14c-f0ab-5a53350a8c05/full/843,/0/default.jpg</v>
      </c>
      <c r="N2919" s="3">
        <v>0.66700000000000004</v>
      </c>
      <c r="O2919" s="3">
        <v>9.5000000000000001E-2</v>
      </c>
      <c r="P2919" s="3">
        <v>0.57200000000000006</v>
      </c>
      <c r="Q2919" s="3">
        <v>0.785272896289825</v>
      </c>
    </row>
    <row r="2920" spans="1:17" x14ac:dyDescent="0.45">
      <c r="A2920" s="3">
        <v>189397</v>
      </c>
      <c r="B2920" t="b">
        <v>0</v>
      </c>
      <c r="C2920" t="b">
        <v>0</v>
      </c>
      <c r="D2920" s="3">
        <v>1955</v>
      </c>
      <c r="E2920" s="3">
        <v>2007</v>
      </c>
      <c r="F2920" t="s">
        <v>11</v>
      </c>
      <c r="G2920" t="s">
        <v>7</v>
      </c>
      <c r="H2920" s="3">
        <v>6.5457999999999998</v>
      </c>
      <c r="I2920" t="s">
        <v>5149</v>
      </c>
      <c r="J2920" t="s">
        <v>12560</v>
      </c>
      <c r="K2920" s="5" t="s">
        <v>15</v>
      </c>
      <c r="L2920" t="s">
        <v>5150</v>
      </c>
      <c r="M2920" t="str">
        <f>"https://www.artic.edu/iiif/2/"&amp;Table9[[#This Row],[Image ID]]&amp;"/full/843,/0/default.jpg"</f>
        <v>https://www.artic.edu/iiif/2/6cb5aeb7-e914-a921-a4d9-67de5e4f6073/full/843,/0/default.jpg</v>
      </c>
      <c r="N2920" s="3">
        <v>0.66700000000000004</v>
      </c>
      <c r="O2920" s="3">
        <v>9.5000000000000001E-2</v>
      </c>
      <c r="P2920" s="3">
        <v>0.57200000000000006</v>
      </c>
      <c r="Q2920" s="3">
        <v>0.80460202693939198</v>
      </c>
    </row>
    <row r="2921" spans="1:17" x14ac:dyDescent="0.45">
      <c r="A2921" s="3">
        <v>14704</v>
      </c>
      <c r="B2921" t="b">
        <v>0</v>
      </c>
      <c r="C2921" t="b">
        <v>0</v>
      </c>
      <c r="D2921" s="3">
        <v>1918</v>
      </c>
      <c r="E2921" s="3">
        <v>1918</v>
      </c>
      <c r="F2921" t="s">
        <v>3575</v>
      </c>
      <c r="G2921" t="s">
        <v>3576</v>
      </c>
      <c r="H2921" s="3">
        <v>34.149000000000001</v>
      </c>
      <c r="I2921" t="s">
        <v>1423</v>
      </c>
      <c r="J2921" t="s">
        <v>14184</v>
      </c>
      <c r="L2921" t="s">
        <v>3577</v>
      </c>
      <c r="M2921" t="str">
        <f>"https://www.artic.edu/iiif/2/"&amp;Table9[[#This Row],[Image ID]]&amp;"/full/843,/0/default.jpg"</f>
        <v>https://www.artic.edu/iiif/2/e7a2767f-261c-0282-bad1-9dd25472d3f3/full/843,/0/default.jpg</v>
      </c>
      <c r="N2921" s="3">
        <v>0.64300000000000002</v>
      </c>
      <c r="O2921" s="3">
        <v>7.0999999999999994E-2</v>
      </c>
      <c r="P2921" s="3">
        <v>0.57200000000000006</v>
      </c>
      <c r="Q2921" s="3">
        <v>0.79460918903350797</v>
      </c>
    </row>
    <row r="2922" spans="1:17" x14ac:dyDescent="0.45">
      <c r="A2922" s="3">
        <v>61650</v>
      </c>
      <c r="B2922" t="b">
        <v>0</v>
      </c>
      <c r="C2922" t="b">
        <v>0</v>
      </c>
      <c r="D2922" s="3">
        <v>1981</v>
      </c>
      <c r="E2922" s="3">
        <v>1981</v>
      </c>
      <c r="F2922" t="s">
        <v>8814</v>
      </c>
      <c r="G2922" t="s">
        <v>8815</v>
      </c>
      <c r="H2922" s="3">
        <v>29.154</v>
      </c>
      <c r="I2922" t="s">
        <v>8816</v>
      </c>
      <c r="J2922" t="s">
        <v>14285</v>
      </c>
      <c r="L2922" t="s">
        <v>8817</v>
      </c>
      <c r="M2922" t="str">
        <f>"https://www.artic.edu/iiif/2/"&amp;Table9[[#This Row],[Image ID]]&amp;"/full/843,/0/default.jpg"</f>
        <v>https://www.artic.edu/iiif/2/ede9a31c-2c3c-8a6a-95ee-ad238143387b/full/843,/0/default.jpg</v>
      </c>
      <c r="N2922" s="3">
        <v>0.64300000000000002</v>
      </c>
      <c r="O2922" s="3">
        <v>7.0999999999999994E-2</v>
      </c>
      <c r="P2922" s="3">
        <v>0.57200000000000006</v>
      </c>
      <c r="Q2922" s="3">
        <v>0.855815529823303</v>
      </c>
    </row>
    <row r="2923" spans="1:17" x14ac:dyDescent="0.45">
      <c r="A2923" s="3">
        <v>155550</v>
      </c>
      <c r="B2923" t="b">
        <v>0</v>
      </c>
      <c r="C2923" t="b">
        <v>0</v>
      </c>
      <c r="D2923" s="3">
        <v>1934</v>
      </c>
      <c r="E2923" s="3">
        <v>1934</v>
      </c>
      <c r="F2923" t="s">
        <v>4017</v>
      </c>
      <c r="G2923" t="s">
        <v>4018</v>
      </c>
      <c r="H2923" s="3">
        <v>43.916899999999998</v>
      </c>
      <c r="I2923" t="s">
        <v>4016</v>
      </c>
      <c r="J2923" t="s">
        <v>14318</v>
      </c>
      <c r="L2923" t="s">
        <v>4020</v>
      </c>
      <c r="M2923" t="str">
        <f>"https://www.artic.edu/iiif/2/"&amp;Table9[[#This Row],[Image ID]]&amp;"/full/843,/0/default.jpg"</f>
        <v>https://www.artic.edu/iiif/2/f0473c5c-e6f8-0c8d-ef96-95a53c8cc2ba/full/843,/0/default.jpg</v>
      </c>
      <c r="N2923" s="3">
        <v>0.64300000000000002</v>
      </c>
      <c r="O2923" s="3">
        <v>7.0999999999999994E-2</v>
      </c>
      <c r="P2923" s="3">
        <v>0.57200000000000006</v>
      </c>
      <c r="Q2923" s="3">
        <v>0.68112725019454901</v>
      </c>
    </row>
    <row r="2924" spans="1:17" x14ac:dyDescent="0.45">
      <c r="A2924" s="3">
        <v>184744</v>
      </c>
      <c r="B2924" t="b">
        <v>0</v>
      </c>
      <c r="C2924" t="b">
        <v>0</v>
      </c>
      <c r="D2924" s="3">
        <v>2003</v>
      </c>
      <c r="E2924" s="3">
        <v>2003</v>
      </c>
      <c r="F2924" t="s">
        <v>4845</v>
      </c>
      <c r="G2924" t="s">
        <v>4823</v>
      </c>
      <c r="H2924" s="3">
        <v>10.698399999999999</v>
      </c>
      <c r="I2924" t="s">
        <v>293</v>
      </c>
      <c r="J2924" t="s">
        <v>10977</v>
      </c>
      <c r="K2924" s="5" t="s">
        <v>15</v>
      </c>
      <c r="L2924" t="s">
        <v>4846</v>
      </c>
      <c r="M2924" t="str">
        <f>"https://www.artic.edu/iiif/2/"&amp;Table9[[#This Row],[Image ID]]&amp;"/full/843,/0/default.jpg"</f>
        <v>https://www.artic.edu/iiif/2/f2b0d66d-8f5c-9d8c-5f15-e97698eedaa0/full/843,/0/default.jpg</v>
      </c>
      <c r="N2924" s="3">
        <v>0.64300000000000002</v>
      </c>
      <c r="O2924" s="3">
        <v>7.0999999999999994E-2</v>
      </c>
      <c r="P2924" s="3">
        <v>0.57200000000000006</v>
      </c>
      <c r="Q2924" s="3">
        <v>0.82041722536087003</v>
      </c>
    </row>
    <row r="2925" spans="1:17" x14ac:dyDescent="0.45">
      <c r="A2925" s="3">
        <v>20530</v>
      </c>
      <c r="B2925" t="b">
        <v>0</v>
      </c>
      <c r="C2925" t="b">
        <v>1</v>
      </c>
      <c r="D2925" s="3">
        <v>1879</v>
      </c>
      <c r="E2925" s="3">
        <v>1879</v>
      </c>
      <c r="F2925" t="s">
        <v>5452</v>
      </c>
      <c r="G2925" t="s">
        <v>7</v>
      </c>
      <c r="H2925" s="3">
        <v>15.720599999999999</v>
      </c>
      <c r="I2925" t="s">
        <v>288</v>
      </c>
      <c r="J2925" t="s">
        <v>11050</v>
      </c>
      <c r="K2925" s="5" t="s">
        <v>9</v>
      </c>
      <c r="L2925" t="s">
        <v>5453</v>
      </c>
      <c r="M2925" t="str">
        <f>"https://www.artic.edu/iiif/2/"&amp;Table9[[#This Row],[Image ID]]&amp;"/full/843,/0/default.jpg"</f>
        <v>https://www.artic.edu/iiif/2/053f9be8-3617-c4ef-36cd-1deb5e13b288/full/843,/0/default.jpg</v>
      </c>
      <c r="N2925" s="3">
        <v>0.69</v>
      </c>
      <c r="O2925" s="3">
        <v>0.11899999999999999</v>
      </c>
      <c r="P2925" s="3">
        <v>0.57099999999999995</v>
      </c>
      <c r="Q2925" s="3">
        <v>0.41400933265686002</v>
      </c>
    </row>
    <row r="2926" spans="1:17" x14ac:dyDescent="0.45">
      <c r="A2926" s="3">
        <v>192691</v>
      </c>
      <c r="B2926" t="b">
        <v>0</v>
      </c>
      <c r="C2926" t="b">
        <v>1</v>
      </c>
      <c r="D2926" s="3">
        <v>1888</v>
      </c>
      <c r="E2926" s="3">
        <v>1888</v>
      </c>
      <c r="F2926" t="s">
        <v>5214</v>
      </c>
      <c r="G2926" t="s">
        <v>250</v>
      </c>
      <c r="H2926" s="3">
        <v>28.531099999999999</v>
      </c>
      <c r="I2926" t="s">
        <v>4714</v>
      </c>
      <c r="J2926" t="s">
        <v>11245</v>
      </c>
      <c r="L2926" t="s">
        <v>5215</v>
      </c>
      <c r="M2926" t="str">
        <f>"https://www.artic.edu/iiif/2/"&amp;Table9[[#This Row],[Image ID]]&amp;"/full/843,/0/default.jpg"</f>
        <v>https://www.artic.edu/iiif/2/13d31515-70ec-197f-59f6-b71dc6f60903/full/843,/0/default.jpg</v>
      </c>
      <c r="N2926" s="3">
        <v>0.71399999999999997</v>
      </c>
      <c r="O2926" s="3">
        <v>0.14299999999999999</v>
      </c>
      <c r="P2926" s="3">
        <v>0.57099999999999995</v>
      </c>
      <c r="Q2926" s="3">
        <v>0.60804265737533503</v>
      </c>
    </row>
    <row r="2927" spans="1:17" x14ac:dyDescent="0.45">
      <c r="A2927" s="3">
        <v>60627</v>
      </c>
      <c r="B2927" t="b">
        <v>0</v>
      </c>
      <c r="C2927" t="b">
        <v>1</v>
      </c>
      <c r="D2927" s="3">
        <v>1745</v>
      </c>
      <c r="E2927" s="3">
        <v>1750</v>
      </c>
      <c r="F2927" t="s">
        <v>8734</v>
      </c>
      <c r="G2927" t="s">
        <v>7</v>
      </c>
      <c r="H2927" s="3">
        <v>25.2745</v>
      </c>
      <c r="I2927" t="s">
        <v>521</v>
      </c>
      <c r="J2927" t="s">
        <v>11395</v>
      </c>
      <c r="L2927" t="s">
        <v>8735</v>
      </c>
      <c r="M2927" t="str">
        <f>"https://www.artic.edu/iiif/2/"&amp;Table9[[#This Row],[Image ID]]&amp;"/full/843,/0/default.jpg"</f>
        <v>https://www.artic.edu/iiif/2/1e20645b-8935-70b9-0e56-11de72066c35/full/843,/0/default.jpg</v>
      </c>
      <c r="N2927" s="3">
        <v>0.71399999999999997</v>
      </c>
      <c r="O2927" s="3">
        <v>0.14299999999999999</v>
      </c>
      <c r="P2927" s="3">
        <v>0.57099999999999995</v>
      </c>
      <c r="Q2927" s="3">
        <v>0.79498100280761697</v>
      </c>
    </row>
    <row r="2928" spans="1:17" x14ac:dyDescent="0.45">
      <c r="A2928" s="3">
        <v>60239</v>
      </c>
      <c r="B2928" t="b">
        <v>0</v>
      </c>
      <c r="C2928" t="b">
        <v>1</v>
      </c>
      <c r="D2928" s="3">
        <v>1896</v>
      </c>
      <c r="E2928" s="3">
        <v>1896</v>
      </c>
      <c r="F2928" t="s">
        <v>8688</v>
      </c>
      <c r="G2928" t="s">
        <v>6831</v>
      </c>
      <c r="H2928" s="3">
        <v>36.976500000000001</v>
      </c>
      <c r="I2928" t="s">
        <v>4545</v>
      </c>
      <c r="J2928" t="s">
        <v>11407</v>
      </c>
      <c r="K2928" s="5" t="s">
        <v>9</v>
      </c>
      <c r="L2928" t="s">
        <v>8689</v>
      </c>
      <c r="M2928" t="str">
        <f>"https://www.artic.edu/iiif/2/"&amp;Table9[[#This Row],[Image ID]]&amp;"/full/843,/0/default.jpg"</f>
        <v>https://www.artic.edu/iiif/2/1f1931d1-06f4-c005-a75d-1a0b12470d92/full/843,/0/default.jpg</v>
      </c>
      <c r="N2928" s="3">
        <v>0.69</v>
      </c>
      <c r="O2928" s="3">
        <v>0.11899999999999999</v>
      </c>
      <c r="P2928" s="3">
        <v>0.57099999999999995</v>
      </c>
      <c r="Q2928" s="3">
        <v>0.51223158836364702</v>
      </c>
    </row>
    <row r="2929" spans="1:17" x14ac:dyDescent="0.45">
      <c r="A2929" s="3">
        <v>115650</v>
      </c>
      <c r="B2929" t="b">
        <v>0</v>
      </c>
      <c r="C2929" t="b">
        <v>1</v>
      </c>
      <c r="D2929" s="3">
        <v>1800</v>
      </c>
      <c r="E2929" s="3">
        <v>1899</v>
      </c>
      <c r="F2929" t="s">
        <v>2045</v>
      </c>
      <c r="G2929" t="s">
        <v>2039</v>
      </c>
      <c r="H2929" s="3">
        <v>28.779199999999999</v>
      </c>
      <c r="I2929" t="s">
        <v>16</v>
      </c>
      <c r="J2929" t="s">
        <v>11768</v>
      </c>
      <c r="L2929" t="s">
        <v>2046</v>
      </c>
      <c r="M2929" t="str">
        <f>"https://www.artic.edu/iiif/2/"&amp;Table9[[#This Row],[Image ID]]&amp;"/full/843,/0/default.jpg"</f>
        <v>https://www.artic.edu/iiif/2/36fa652c-0942-b5ef-97b6-49567c8012f9/full/843,/0/default.jpg</v>
      </c>
      <c r="N2929" s="3">
        <v>0.73799999999999999</v>
      </c>
      <c r="O2929" s="3">
        <v>0.16700000000000001</v>
      </c>
      <c r="P2929" s="3">
        <v>0.57099999999999995</v>
      </c>
      <c r="Q2929" s="3">
        <v>0.69311439990997303</v>
      </c>
    </row>
    <row r="2930" spans="1:17" x14ac:dyDescent="0.45">
      <c r="A2930" s="3">
        <v>57049</v>
      </c>
      <c r="B2930" t="b">
        <v>0</v>
      </c>
      <c r="C2930" t="b">
        <v>1</v>
      </c>
      <c r="D2930" s="3">
        <v>1787</v>
      </c>
      <c r="E2930" s="3">
        <v>1788</v>
      </c>
      <c r="F2930" t="s">
        <v>8468</v>
      </c>
      <c r="G2930" t="s">
        <v>7</v>
      </c>
      <c r="H2930" s="3">
        <v>21.005700000000001</v>
      </c>
      <c r="I2930" t="s">
        <v>820</v>
      </c>
      <c r="J2930" t="s">
        <v>11845</v>
      </c>
      <c r="L2930" t="s">
        <v>8469</v>
      </c>
      <c r="M2930" t="str">
        <f>"https://www.artic.edu/iiif/2/"&amp;Table9[[#This Row],[Image ID]]&amp;"/full/843,/0/default.jpg"</f>
        <v>https://www.artic.edu/iiif/2/3b8084b4-5fb4-700a-bc0a-16e6fa4698b8/full/843,/0/default.jpg</v>
      </c>
      <c r="N2930" s="3">
        <v>0.69</v>
      </c>
      <c r="O2930" s="3">
        <v>0.11899999999999999</v>
      </c>
      <c r="P2930" s="3">
        <v>0.57099999999999995</v>
      </c>
      <c r="Q2930" s="3">
        <v>0.66576379537582397</v>
      </c>
    </row>
    <row r="2931" spans="1:17" x14ac:dyDescent="0.45">
      <c r="A2931" s="3">
        <v>114334</v>
      </c>
      <c r="B2931" t="b">
        <v>0</v>
      </c>
      <c r="C2931" t="b">
        <v>1</v>
      </c>
      <c r="D2931" s="3">
        <v>1800</v>
      </c>
      <c r="E2931" s="3">
        <v>1899</v>
      </c>
      <c r="F2931" t="s">
        <v>1635</v>
      </c>
      <c r="G2931" t="s">
        <v>1636</v>
      </c>
      <c r="H2931" s="3">
        <v>28.8857</v>
      </c>
      <c r="I2931" t="s">
        <v>16</v>
      </c>
      <c r="J2931" t="s">
        <v>12181</v>
      </c>
      <c r="L2931" t="s">
        <v>1637</v>
      </c>
      <c r="M2931" t="str">
        <f>"https://www.artic.edu/iiif/2/"&amp;Table9[[#This Row],[Image ID]]&amp;"/full/843,/0/default.jpg"</f>
        <v>https://www.artic.edu/iiif/2/52b25368-5d03-3582-7d60-8e657985e40e/full/843,/0/default.jpg</v>
      </c>
      <c r="N2931" s="3">
        <v>0.71399999999999997</v>
      </c>
      <c r="O2931" s="3">
        <v>0.14299999999999999</v>
      </c>
      <c r="P2931" s="3">
        <v>0.57099999999999995</v>
      </c>
      <c r="Q2931" s="3">
        <v>0.58906239271163896</v>
      </c>
    </row>
    <row r="2932" spans="1:17" x14ac:dyDescent="0.45">
      <c r="A2932" s="3">
        <v>44565</v>
      </c>
      <c r="B2932" t="b">
        <v>0</v>
      </c>
      <c r="C2932" t="b">
        <v>1</v>
      </c>
      <c r="D2932" s="3">
        <v>1876</v>
      </c>
      <c r="E2932" s="3">
        <v>1876</v>
      </c>
      <c r="F2932" t="s">
        <v>7780</v>
      </c>
      <c r="G2932" t="s">
        <v>7781</v>
      </c>
      <c r="H2932" s="3">
        <v>28.697600000000001</v>
      </c>
      <c r="I2932" t="s">
        <v>1400</v>
      </c>
      <c r="J2932" t="s">
        <v>14035</v>
      </c>
      <c r="L2932" t="s">
        <v>7782</v>
      </c>
      <c r="M2932" t="str">
        <f>"https://www.artic.edu/iiif/2/"&amp;Table9[[#This Row],[Image ID]]&amp;"/full/843,/0/default.jpg"</f>
        <v>https://www.artic.edu/iiif/2/ddfc11b2-74a9-91c0-e902-6913e1db8475/full/843,/0/default.jpg</v>
      </c>
      <c r="N2932" s="3">
        <v>0.69</v>
      </c>
      <c r="O2932" s="3">
        <v>0.11899999999999999</v>
      </c>
      <c r="P2932" s="3">
        <v>0.57099999999999995</v>
      </c>
      <c r="Q2932" s="3">
        <v>0.56929272413253695</v>
      </c>
    </row>
    <row r="2933" spans="1:17" x14ac:dyDescent="0.45">
      <c r="A2933" s="3">
        <v>150071</v>
      </c>
      <c r="B2933" t="b">
        <v>0</v>
      </c>
      <c r="C2933" t="b">
        <v>0</v>
      </c>
      <c r="D2933" s="3">
        <v>1909</v>
      </c>
      <c r="E2933" s="3">
        <v>1909</v>
      </c>
      <c r="F2933" t="s">
        <v>3788</v>
      </c>
      <c r="G2933" t="s">
        <v>7</v>
      </c>
      <c r="H2933" s="3">
        <v>45.3536</v>
      </c>
      <c r="I2933" t="s">
        <v>915</v>
      </c>
      <c r="J2933" t="s">
        <v>11663</v>
      </c>
      <c r="L2933" t="s">
        <v>3789</v>
      </c>
      <c r="M2933" t="str">
        <f>"https://www.artic.edu/iiif/2/"&amp;Table9[[#This Row],[Image ID]]&amp;"/full/843,/0/default.jpg"</f>
        <v>https://www.artic.edu/iiif/2/56544a59-57ef-88d0-d850-e85fdd60f3a4/full/843,/0/default.jpg</v>
      </c>
      <c r="N2933" s="3">
        <v>0.59499999999999997</v>
      </c>
      <c r="O2933" s="3">
        <v>2.4E-2</v>
      </c>
      <c r="P2933" s="3">
        <v>0.57099999999999995</v>
      </c>
      <c r="Q2933" s="3">
        <v>0.580696880817413</v>
      </c>
    </row>
    <row r="2934" spans="1:17" x14ac:dyDescent="0.45">
      <c r="A2934" s="3">
        <v>7694</v>
      </c>
      <c r="B2934" t="b">
        <v>0</v>
      </c>
      <c r="C2934" t="b">
        <v>0</v>
      </c>
      <c r="D2934" s="3">
        <v>1920</v>
      </c>
      <c r="E2934" s="3">
        <v>1930</v>
      </c>
      <c r="F2934" t="s">
        <v>9811</v>
      </c>
      <c r="G2934" t="s">
        <v>7</v>
      </c>
      <c r="H2934" s="3">
        <v>26.5627</v>
      </c>
      <c r="I2934" t="s">
        <v>748</v>
      </c>
      <c r="J2934" t="s">
        <v>12276</v>
      </c>
      <c r="L2934" t="s">
        <v>9812</v>
      </c>
      <c r="M2934" t="str">
        <f>"https://www.artic.edu/iiif/2/"&amp;Table9[[#This Row],[Image ID]]&amp;"/full/843,/0/default.jpg"</f>
        <v>https://www.artic.edu/iiif/2/5928ec1c-3ad5-bf23-8919-9e80bc994f88/full/843,/0/default.jpg</v>
      </c>
      <c r="N2934" s="3">
        <v>0.61899999999999999</v>
      </c>
      <c r="O2934" s="3">
        <v>4.8000000000000001E-2</v>
      </c>
      <c r="P2934" s="3">
        <v>0.57099999999999995</v>
      </c>
      <c r="Q2934" s="3">
        <v>0.62284904718399003</v>
      </c>
    </row>
    <row r="2935" spans="1:17" ht="42.75" x14ac:dyDescent="0.45">
      <c r="A2935" s="3">
        <v>111808</v>
      </c>
      <c r="B2935" t="b">
        <v>0</v>
      </c>
      <c r="C2935" t="b">
        <v>0</v>
      </c>
      <c r="D2935" s="3">
        <v>1945</v>
      </c>
      <c r="E2935" s="3">
        <v>1947</v>
      </c>
      <c r="F2935" t="s">
        <v>1255</v>
      </c>
      <c r="G2935" t="s">
        <v>370</v>
      </c>
      <c r="H2935" s="3">
        <v>30.767800000000001</v>
      </c>
      <c r="I2935" t="s">
        <v>233</v>
      </c>
      <c r="J2935" s="1" t="s">
        <v>12337</v>
      </c>
      <c r="L2935" t="s">
        <v>1256</v>
      </c>
      <c r="M2935" t="str">
        <f>"https://www.artic.edu/iiif/2/"&amp;Table9[[#This Row],[Image ID]]&amp;"/full/843,/0/default.jpg"</f>
        <v>https://www.artic.edu/iiif/2/5d0d0086-22fa-8c5d-6ce9-de0e450bcbe3/full/843,/0/default.jpg</v>
      </c>
      <c r="N2935" s="3">
        <v>0.71399999999999997</v>
      </c>
      <c r="O2935" s="3">
        <v>0.14299999999999999</v>
      </c>
      <c r="P2935" s="3">
        <v>0.57099999999999995</v>
      </c>
      <c r="Q2935" s="3">
        <v>0.82158493995666504</v>
      </c>
    </row>
    <row r="2936" spans="1:17" x14ac:dyDescent="0.45">
      <c r="A2936" s="3">
        <v>55652</v>
      </c>
      <c r="B2936" t="b">
        <v>0</v>
      </c>
      <c r="C2936" t="b">
        <v>0</v>
      </c>
      <c r="D2936" s="3">
        <v>1963</v>
      </c>
      <c r="E2936" s="3">
        <v>1965</v>
      </c>
      <c r="F2936" t="s">
        <v>8359</v>
      </c>
      <c r="G2936" t="s">
        <v>2247</v>
      </c>
      <c r="H2936" s="3">
        <v>43.1432</v>
      </c>
      <c r="I2936" t="s">
        <v>599</v>
      </c>
      <c r="J2936" t="s">
        <v>11435</v>
      </c>
      <c r="L2936" t="s">
        <v>8360</v>
      </c>
      <c r="M2936" t="str">
        <f>"https://www.artic.edu/iiif/2/"&amp;Table9[[#This Row],[Image ID]]&amp;"/full/843,/0/default.jpg"</f>
        <v>https://www.artic.edu/iiif/2/9750779f-af5f-648c-6276-53524bedc351/full/843,/0/default.jpg</v>
      </c>
      <c r="N2936" s="3">
        <v>0.73799999999999999</v>
      </c>
      <c r="O2936" s="3">
        <v>0.16700000000000001</v>
      </c>
      <c r="P2936" s="3">
        <v>0.57099999999999995</v>
      </c>
      <c r="Q2936" s="3">
        <v>0.79469180107116699</v>
      </c>
    </row>
    <row r="2937" spans="1:17" x14ac:dyDescent="0.45">
      <c r="A2937" s="3">
        <v>113406</v>
      </c>
      <c r="B2937" t="b">
        <v>0</v>
      </c>
      <c r="C2937" t="b">
        <v>0</v>
      </c>
      <c r="D2937" s="3">
        <v>1879</v>
      </c>
      <c r="E2937" s="3">
        <v>1924</v>
      </c>
      <c r="F2937" t="s">
        <v>1418</v>
      </c>
      <c r="G2937" t="s">
        <v>1419</v>
      </c>
      <c r="H2937" s="3">
        <v>29.498899999999999</v>
      </c>
      <c r="I2937" t="s">
        <v>786</v>
      </c>
      <c r="J2937" t="s">
        <v>13318</v>
      </c>
      <c r="L2937" t="s">
        <v>1420</v>
      </c>
      <c r="M2937" t="str">
        <f>"https://www.artic.edu/iiif/2/"&amp;Table9[[#This Row],[Image ID]]&amp;"/full/843,/0/default.jpg"</f>
        <v>https://www.artic.edu/iiif/2/a657d209-9e58-e189-41eb-b9f8b1bed072/full/843,/0/default.jpg</v>
      </c>
      <c r="N2937" s="3">
        <v>0.69</v>
      </c>
      <c r="O2937" s="3">
        <v>0.11899999999999999</v>
      </c>
      <c r="P2937" s="3">
        <v>0.57099999999999995</v>
      </c>
      <c r="Q2937" s="3">
        <v>0.59911894798278797</v>
      </c>
    </row>
    <row r="2938" spans="1:17" x14ac:dyDescent="0.45">
      <c r="A2938" s="3">
        <v>187132</v>
      </c>
      <c r="B2938" t="b">
        <v>0</v>
      </c>
      <c r="C2938" t="b">
        <v>0</v>
      </c>
      <c r="D2938" s="3">
        <v>1950</v>
      </c>
      <c r="E2938" s="3">
        <v>1950</v>
      </c>
      <c r="F2938" t="s">
        <v>5108</v>
      </c>
      <c r="G2938" t="s">
        <v>5109</v>
      </c>
      <c r="H2938" s="3">
        <v>33.0505</v>
      </c>
      <c r="I2938" t="s">
        <v>5110</v>
      </c>
      <c r="J2938" t="s">
        <v>13356</v>
      </c>
      <c r="L2938" t="s">
        <v>5111</v>
      </c>
      <c r="M2938" t="str">
        <f>"https://www.artic.edu/iiif/2/"&amp;Table9[[#This Row],[Image ID]]&amp;"/full/843,/0/default.jpg"</f>
        <v>https://www.artic.edu/iiif/2/a89d84a3-0f14-b890-b9f5-5bdd7f5357b6/full/843,/0/default.jpg</v>
      </c>
      <c r="N2938" s="3">
        <v>0.61899999999999999</v>
      </c>
      <c r="O2938" s="3">
        <v>4.8000000000000001E-2</v>
      </c>
      <c r="P2938" s="3">
        <v>0.57099999999999995</v>
      </c>
      <c r="Q2938" s="3">
        <v>0.92562144994735696</v>
      </c>
    </row>
    <row r="2939" spans="1:17" x14ac:dyDescent="0.45">
      <c r="A2939" s="3">
        <v>27924</v>
      </c>
      <c r="B2939" t="b">
        <v>0</v>
      </c>
      <c r="C2939" t="b">
        <v>0</v>
      </c>
      <c r="D2939" s="3">
        <v>1920</v>
      </c>
      <c r="E2939" s="3">
        <v>1920</v>
      </c>
      <c r="F2939" t="s">
        <v>6747</v>
      </c>
      <c r="G2939" t="s">
        <v>2373</v>
      </c>
      <c r="H2939" s="3">
        <v>28.772300000000001</v>
      </c>
      <c r="I2939" t="s">
        <v>1423</v>
      </c>
      <c r="J2939" t="s">
        <v>13486</v>
      </c>
      <c r="L2939" t="s">
        <v>6748</v>
      </c>
      <c r="M2939" t="str">
        <f>"https://www.artic.edu/iiif/2/"&amp;Table9[[#This Row],[Image ID]]&amp;"/full/843,/0/default.jpg"</f>
        <v>https://www.artic.edu/iiif/2/b2ac0e87-792d-186b-4a79-0b08f522cb02/full/843,/0/default.jpg</v>
      </c>
      <c r="N2939" s="3">
        <v>0.61899999999999999</v>
      </c>
      <c r="O2939" s="3">
        <v>4.8000000000000001E-2</v>
      </c>
      <c r="P2939" s="3">
        <v>0.57099999999999995</v>
      </c>
      <c r="Q2939" s="3">
        <v>0.74187082052230802</v>
      </c>
    </row>
    <row r="2940" spans="1:17" x14ac:dyDescent="0.45">
      <c r="A2940" s="3">
        <v>111646</v>
      </c>
      <c r="B2940" t="b">
        <v>0</v>
      </c>
      <c r="C2940" t="b">
        <v>1</v>
      </c>
      <c r="D2940" s="3">
        <v>1846</v>
      </c>
      <c r="E2940" s="3">
        <v>1854</v>
      </c>
      <c r="F2940" t="s">
        <v>1194</v>
      </c>
      <c r="G2940" t="s">
        <v>7</v>
      </c>
      <c r="H2940" s="3">
        <v>0</v>
      </c>
      <c r="I2940" t="s">
        <v>14668</v>
      </c>
      <c r="J2940" t="s">
        <v>14294</v>
      </c>
      <c r="L2940" t="s">
        <v>1195</v>
      </c>
      <c r="M2940" t="str">
        <f>"https://www.artic.edu/iiif/2/"&amp;Table9[[#This Row],[Image ID]]&amp;"/full/843,/0/default.jpg"</f>
        <v>https://www.artic.edu/iiif/2/eea3cb3e-a7fc-283c-aa83-fd8c92a37eea/full/843,/0/default.jpg</v>
      </c>
      <c r="N2940" s="3">
        <v>0.63600000000000001</v>
      </c>
      <c r="O2940" s="3">
        <v>6.8000000000000005E-2</v>
      </c>
      <c r="P2940" s="3">
        <v>0.56800000000000006</v>
      </c>
      <c r="Q2940" s="3">
        <v>0.82157319784164395</v>
      </c>
    </row>
    <row r="2941" spans="1:17" x14ac:dyDescent="0.45">
      <c r="A2941" s="3">
        <v>61764</v>
      </c>
      <c r="B2941" t="b">
        <v>0</v>
      </c>
      <c r="C2941" t="b">
        <v>0</v>
      </c>
      <c r="D2941" s="3">
        <v>1975</v>
      </c>
      <c r="E2941" s="3">
        <v>1975</v>
      </c>
      <c r="F2941" t="s">
        <v>8843</v>
      </c>
      <c r="G2941" t="s">
        <v>59</v>
      </c>
      <c r="H2941" s="3">
        <v>0</v>
      </c>
      <c r="I2941" t="s">
        <v>8844</v>
      </c>
      <c r="J2941" t="s">
        <v>11981</v>
      </c>
      <c r="L2941" t="s">
        <v>8845</v>
      </c>
      <c r="M2941" t="str">
        <f>"https://www.artic.edu/iiif/2/"&amp;Table9[[#This Row],[Image ID]]&amp;"/full/843,/0/default.jpg"</f>
        <v>https://www.artic.edu/iiif/2/44113804-ce2c-a0e8-786f-319ba4474a28/full/843,/0/default.jpg</v>
      </c>
      <c r="N2941" s="3">
        <v>0.63600000000000001</v>
      </c>
      <c r="O2941" s="3">
        <v>6.8000000000000005E-2</v>
      </c>
      <c r="P2941" s="3">
        <v>0.56800000000000006</v>
      </c>
      <c r="Q2941" s="3">
        <v>0.70065003633499101</v>
      </c>
    </row>
    <row r="2942" spans="1:17" x14ac:dyDescent="0.45">
      <c r="A2942" s="3">
        <v>115882</v>
      </c>
      <c r="B2942" t="b">
        <v>0</v>
      </c>
      <c r="C2942" t="b">
        <v>0</v>
      </c>
      <c r="D2942" s="3">
        <v>1858</v>
      </c>
      <c r="E2942" s="3">
        <v>1868</v>
      </c>
      <c r="F2942" t="s">
        <v>2163</v>
      </c>
      <c r="G2942" t="s">
        <v>2164</v>
      </c>
      <c r="H2942" s="3">
        <v>40.514000000000003</v>
      </c>
      <c r="I2942" t="s">
        <v>2165</v>
      </c>
      <c r="J2942" t="s">
        <v>2170</v>
      </c>
      <c r="L2942" t="s">
        <v>2166</v>
      </c>
      <c r="M2942" t="str">
        <f>"https://www.artic.edu/iiif/2/"&amp;Table9[[#This Row],[Image ID]]&amp;"/full/843,/0/default.jpg"</f>
        <v>https://www.artic.edu/iiif/2/578cdfa5-d239-0808-0b3f-084cdd297928/full/843,/0/default.jpg</v>
      </c>
      <c r="N2942" s="3">
        <v>0.65900000000000003</v>
      </c>
      <c r="O2942" s="3">
        <v>9.2999999999999999E-2</v>
      </c>
      <c r="P2942" s="3">
        <v>0.56600000000000006</v>
      </c>
      <c r="Q2942" s="3">
        <v>0.41510185599326999</v>
      </c>
    </row>
    <row r="2943" spans="1:17" x14ac:dyDescent="0.45">
      <c r="A2943" s="3">
        <v>18598</v>
      </c>
      <c r="B2943" t="b">
        <v>0</v>
      </c>
      <c r="C2943" t="b">
        <v>0</v>
      </c>
      <c r="D2943" s="3">
        <v>1925</v>
      </c>
      <c r="E2943" s="3">
        <v>1925</v>
      </c>
      <c r="F2943" t="s">
        <v>5036</v>
      </c>
      <c r="G2943" t="s">
        <v>7</v>
      </c>
      <c r="H2943" s="3">
        <v>19.123999999999999</v>
      </c>
      <c r="I2943" t="s">
        <v>3246</v>
      </c>
      <c r="J2943" t="s">
        <v>13560</v>
      </c>
      <c r="L2943" t="s">
        <v>5037</v>
      </c>
      <c r="M2943" t="str">
        <f>"https://www.artic.edu/iiif/2/"&amp;Table9[[#This Row],[Image ID]]&amp;"/full/843,/0/default.jpg"</f>
        <v>https://www.artic.edu/iiif/2/b970a668-de03-945f-cb42-31b2ad8ed05c/full/843,/0/default.jpg</v>
      </c>
      <c r="N2943" s="3">
        <v>0.65900000000000003</v>
      </c>
      <c r="O2943" s="3">
        <v>9.5000000000000001E-2</v>
      </c>
      <c r="P2943" s="3">
        <v>0.56400000000000006</v>
      </c>
      <c r="Q2943" s="3">
        <v>0.85926914215087802</v>
      </c>
    </row>
    <row r="2944" spans="1:17" x14ac:dyDescent="0.45">
      <c r="A2944" s="3">
        <v>67362</v>
      </c>
      <c r="B2944" t="b">
        <v>0</v>
      </c>
      <c r="C2944" t="b">
        <v>1</v>
      </c>
      <c r="D2944" s="3">
        <v>1597</v>
      </c>
      <c r="E2944" s="3">
        <v>1600</v>
      </c>
      <c r="F2944" t="s">
        <v>9331</v>
      </c>
      <c r="G2944" t="s">
        <v>7</v>
      </c>
      <c r="H2944" s="3">
        <v>20.432300000000001</v>
      </c>
      <c r="I2944" t="s">
        <v>14665</v>
      </c>
      <c r="J2944" t="s">
        <v>12171</v>
      </c>
      <c r="L2944" t="s">
        <v>9332</v>
      </c>
      <c r="M2944" t="str">
        <f>"https://www.artic.edu/iiif/2/"&amp;Table9[[#This Row],[Image ID]]&amp;"/full/843,/0/default.jpg"</f>
        <v>https://www.artic.edu/iiif/2/52098776-6e2e-9683-e258-7b1cec8660dd/full/843,/0/default.jpg</v>
      </c>
      <c r="N2944" s="3">
        <v>0.61</v>
      </c>
      <c r="O2944" s="3">
        <v>4.8000000000000001E-2</v>
      </c>
      <c r="P2944" s="3">
        <v>0.56199999999999994</v>
      </c>
      <c r="Q2944" s="3">
        <v>0.72350412607192904</v>
      </c>
    </row>
    <row r="2945" spans="1:17" x14ac:dyDescent="0.45">
      <c r="A2945" s="3">
        <v>47582</v>
      </c>
      <c r="B2945" t="b">
        <v>0</v>
      </c>
      <c r="C2945" t="b">
        <v>1</v>
      </c>
      <c r="D2945" s="3">
        <v>1814</v>
      </c>
      <c r="E2945" s="3">
        <v>1814</v>
      </c>
      <c r="F2945" t="s">
        <v>7954</v>
      </c>
      <c r="G2945" t="s">
        <v>7</v>
      </c>
      <c r="H2945" s="3">
        <v>30.099599999999999</v>
      </c>
      <c r="I2945" t="s">
        <v>739</v>
      </c>
      <c r="J2945" t="s">
        <v>11009</v>
      </c>
      <c r="L2945" t="s">
        <v>7955</v>
      </c>
      <c r="M2945" t="str">
        <f>"https://www.artic.edu/iiif/2/"&amp;Table9[[#This Row],[Image ID]]&amp;"/full/843,/0/default.jpg"</f>
        <v>https://www.artic.edu/iiif/2/02bc3896-bc28-57bd-c829-cc4de184c7a8/full/843,/0/default.jpg</v>
      </c>
      <c r="N2945" s="3">
        <v>0.68300000000000005</v>
      </c>
      <c r="O2945" s="3">
        <v>0.122</v>
      </c>
      <c r="P2945" s="3">
        <v>0.56100000000000005</v>
      </c>
      <c r="Q2945" s="3">
        <v>0.46419525146484297</v>
      </c>
    </row>
    <row r="2946" spans="1:17" x14ac:dyDescent="0.45">
      <c r="A2946" s="3">
        <v>114047</v>
      </c>
      <c r="B2946" t="b">
        <v>0</v>
      </c>
      <c r="C2946" t="b">
        <v>1</v>
      </c>
      <c r="D2946" s="3">
        <v>1830</v>
      </c>
      <c r="E2946" s="3">
        <v>1830</v>
      </c>
      <c r="F2946" t="s">
        <v>1544</v>
      </c>
      <c r="G2946" t="s">
        <v>1545</v>
      </c>
      <c r="H2946" s="3">
        <v>35.205300000000001</v>
      </c>
      <c r="I2946" t="s">
        <v>1546</v>
      </c>
      <c r="L2946" t="s">
        <v>1547</v>
      </c>
      <c r="M2946" t="str">
        <f>"https://www.artic.edu/iiif/2/"&amp;Table9[[#This Row],[Image ID]]&amp;"/full/843,/0/default.jpg"</f>
        <v>https://www.artic.edu/iiif/2/05128e35-a885-126f-d3b1-c4cf4cb49412/full/843,/0/default.jpg</v>
      </c>
      <c r="N2946" s="3">
        <v>0.68300000000000005</v>
      </c>
      <c r="O2946" s="3">
        <v>0.122</v>
      </c>
      <c r="P2946" s="3">
        <v>0.56100000000000005</v>
      </c>
      <c r="Q2946" s="3">
        <v>0.62625628709793002</v>
      </c>
    </row>
    <row r="2947" spans="1:17" x14ac:dyDescent="0.45">
      <c r="A2947" s="3">
        <v>115877</v>
      </c>
      <c r="B2947" t="b">
        <v>0</v>
      </c>
      <c r="C2947" t="b">
        <v>1</v>
      </c>
      <c r="D2947" s="3">
        <v>1815</v>
      </c>
      <c r="E2947" s="3">
        <v>1867</v>
      </c>
      <c r="F2947" t="s">
        <v>2142</v>
      </c>
      <c r="G2947" t="s">
        <v>2143</v>
      </c>
      <c r="H2947" s="3">
        <v>24.305399999999999</v>
      </c>
      <c r="I2947" t="s">
        <v>2139</v>
      </c>
      <c r="J2947" t="s">
        <v>2145</v>
      </c>
      <c r="L2947" t="s">
        <v>2144</v>
      </c>
      <c r="M2947" t="str">
        <f>"https://www.artic.edu/iiif/2/"&amp;Table9[[#This Row],[Image ID]]&amp;"/full/843,/0/default.jpg"</f>
        <v>https://www.artic.edu/iiif/2/12fe4315-4a3f-f291-5b7b-e325c0231843/full/843,/0/default.jpg</v>
      </c>
      <c r="N2947" s="3">
        <v>0.65900000000000003</v>
      </c>
      <c r="O2947" s="3">
        <v>9.8000000000000004E-2</v>
      </c>
      <c r="P2947" s="3">
        <v>0.56100000000000005</v>
      </c>
      <c r="Q2947" s="3">
        <v>0.57721263170242298</v>
      </c>
    </row>
    <row r="2948" spans="1:17" x14ac:dyDescent="0.45">
      <c r="A2948" s="3">
        <v>16659</v>
      </c>
      <c r="B2948" t="b">
        <v>0</v>
      </c>
      <c r="C2948" t="b">
        <v>1</v>
      </c>
      <c r="D2948" s="3">
        <v>1875</v>
      </c>
      <c r="E2948" s="3">
        <v>1875</v>
      </c>
      <c r="F2948" t="s">
        <v>4523</v>
      </c>
      <c r="G2948" t="s">
        <v>7</v>
      </c>
      <c r="H2948" s="3">
        <v>41.9497</v>
      </c>
      <c r="I2948" t="s">
        <v>3733</v>
      </c>
      <c r="J2948" t="s">
        <v>11244</v>
      </c>
      <c r="K2948" s="5" t="s">
        <v>9</v>
      </c>
      <c r="L2948" t="s">
        <v>4524</v>
      </c>
      <c r="M2948" t="str">
        <f>"https://www.artic.edu/iiif/2/"&amp;Table9[[#This Row],[Image ID]]&amp;"/full/843,/0/default.jpg"</f>
        <v>https://www.artic.edu/iiif/2/13c116df-e5a6-9e6c-0896-507529224415/full/843,/0/default.jpg</v>
      </c>
      <c r="N2948" s="3">
        <v>0.65900000000000003</v>
      </c>
      <c r="O2948" s="3">
        <v>9.8000000000000004E-2</v>
      </c>
      <c r="P2948" s="3">
        <v>0.56100000000000005</v>
      </c>
      <c r="Q2948" s="3">
        <v>0.554165840148925</v>
      </c>
    </row>
    <row r="2949" spans="1:17" x14ac:dyDescent="0.45">
      <c r="A2949" s="3">
        <v>102614</v>
      </c>
      <c r="B2949" t="b">
        <v>0</v>
      </c>
      <c r="C2949" t="b">
        <v>1</v>
      </c>
      <c r="D2949" s="3">
        <v>1375</v>
      </c>
      <c r="E2949" s="3">
        <v>1425</v>
      </c>
      <c r="F2949" t="s">
        <v>276</v>
      </c>
      <c r="G2949" t="s">
        <v>277</v>
      </c>
      <c r="H2949" s="3">
        <v>32.877600000000001</v>
      </c>
      <c r="J2949" t="s">
        <v>11421</v>
      </c>
      <c r="K2949" s="5" t="s">
        <v>278</v>
      </c>
      <c r="L2949" t="s">
        <v>279</v>
      </c>
      <c r="M2949" t="str">
        <f>"https://www.artic.edu/iiif/2/"&amp;Table9[[#This Row],[Image ID]]&amp;"/full/843,/0/default.jpg"</f>
        <v>https://www.artic.edu/iiif/2/1fc6b459-07c2-c452-cae5-dbed0b5fe2fe/full/843,/0/default.jpg</v>
      </c>
      <c r="N2949" s="3">
        <v>0.68300000000000005</v>
      </c>
      <c r="O2949" s="3">
        <v>0.122</v>
      </c>
      <c r="P2949" s="3">
        <v>0.56100000000000005</v>
      </c>
      <c r="Q2949" s="3">
        <v>0.69283384084701505</v>
      </c>
    </row>
    <row r="2950" spans="1:17" x14ac:dyDescent="0.45">
      <c r="A2950" s="3">
        <v>136056</v>
      </c>
      <c r="B2950" t="b">
        <v>0</v>
      </c>
      <c r="C2950" t="b">
        <v>1</v>
      </c>
      <c r="D2950" s="3">
        <v>1580</v>
      </c>
      <c r="E2950" s="3">
        <v>1635</v>
      </c>
      <c r="F2950" t="s">
        <v>3151</v>
      </c>
      <c r="G2950" t="s">
        <v>3152</v>
      </c>
      <c r="H2950" s="3">
        <v>21.1599</v>
      </c>
      <c r="I2950" t="s">
        <v>3153</v>
      </c>
      <c r="J2950" t="s">
        <v>11471</v>
      </c>
      <c r="L2950" t="s">
        <v>3154</v>
      </c>
      <c r="M2950" t="str">
        <f>"https://www.artic.edu/iiif/2/"&amp;Table9[[#This Row],[Image ID]]&amp;"/full/843,/0/default.jpg"</f>
        <v>https://www.artic.edu/iiif/2/22f948c5-adf0-56e1-c5f2-12574ef461d9/full/843,/0/default.jpg</v>
      </c>
      <c r="N2950" s="3">
        <v>0.68300000000000005</v>
      </c>
      <c r="O2950" s="3">
        <v>0.122</v>
      </c>
      <c r="P2950" s="3">
        <v>0.56100000000000005</v>
      </c>
      <c r="Q2950" s="3">
        <v>0.63136249780654896</v>
      </c>
    </row>
    <row r="2951" spans="1:17" x14ac:dyDescent="0.45">
      <c r="A2951" s="3">
        <v>16486</v>
      </c>
      <c r="B2951" t="b">
        <v>0</v>
      </c>
      <c r="C2951" t="b">
        <v>1</v>
      </c>
      <c r="D2951" s="3">
        <v>1800</v>
      </c>
      <c r="E2951" s="3">
        <v>1899</v>
      </c>
      <c r="F2951" t="s">
        <v>4447</v>
      </c>
      <c r="G2951" t="s">
        <v>4448</v>
      </c>
      <c r="H2951" s="3">
        <v>17.433599999999998</v>
      </c>
      <c r="J2951" t="s">
        <v>11660</v>
      </c>
      <c r="L2951" t="s">
        <v>4449</v>
      </c>
      <c r="M2951" t="str">
        <f>"https://www.artic.edu/iiif/2/"&amp;Table9[[#This Row],[Image ID]]&amp;"/full/843,/0/default.jpg"</f>
        <v>https://www.artic.edu/iiif/2/2eeef991-29e7-9f6c-bd11-5adc0a922c13/full/843,/0/default.jpg</v>
      </c>
      <c r="N2951" s="3">
        <v>0.63400000000000001</v>
      </c>
      <c r="O2951" s="3">
        <v>7.2999999999999995E-2</v>
      </c>
      <c r="P2951" s="3">
        <v>0.56100000000000005</v>
      </c>
      <c r="Q2951" s="3">
        <v>0.58573305606841997</v>
      </c>
    </row>
    <row r="2952" spans="1:17" x14ac:dyDescent="0.45">
      <c r="A2952" s="3">
        <v>29401</v>
      </c>
      <c r="B2952" t="b">
        <v>0</v>
      </c>
      <c r="C2952" t="b">
        <v>1</v>
      </c>
      <c r="D2952" s="3">
        <v>1819</v>
      </c>
      <c r="E2952" s="3">
        <v>1877</v>
      </c>
      <c r="F2952" t="s">
        <v>2051</v>
      </c>
      <c r="G2952" t="s">
        <v>7</v>
      </c>
      <c r="H2952" s="3">
        <v>0</v>
      </c>
      <c r="I2952" t="s">
        <v>3971</v>
      </c>
      <c r="J2952" t="s">
        <v>12299</v>
      </c>
      <c r="L2952" t="s">
        <v>6916</v>
      </c>
      <c r="M2952" t="str">
        <f>"https://www.artic.edu/iiif/2/"&amp;Table9[[#This Row],[Image ID]]&amp;"/full/843,/0/default.jpg"</f>
        <v>https://www.artic.edu/iiif/2/5a922de0-9ce7-6431-26b4-3eb2bfac1363/full/843,/0/default.jpg</v>
      </c>
      <c r="N2952" s="3">
        <v>0.65900000000000003</v>
      </c>
      <c r="O2952" s="3">
        <v>9.8000000000000004E-2</v>
      </c>
      <c r="P2952" s="3">
        <v>0.56100000000000005</v>
      </c>
      <c r="Q2952" s="3">
        <v>0.47123038768768299</v>
      </c>
    </row>
    <row r="2953" spans="1:17" x14ac:dyDescent="0.45">
      <c r="A2953" s="3">
        <v>59908</v>
      </c>
      <c r="B2953" t="b">
        <v>0</v>
      </c>
      <c r="C2953" t="b">
        <v>1</v>
      </c>
      <c r="D2953" s="3">
        <v>1882</v>
      </c>
      <c r="E2953" s="3">
        <v>1884</v>
      </c>
      <c r="F2953" t="s">
        <v>14599</v>
      </c>
      <c r="G2953" t="s">
        <v>7</v>
      </c>
      <c r="H2953" s="3">
        <v>31.8642</v>
      </c>
      <c r="I2953" t="s">
        <v>8630</v>
      </c>
      <c r="J2953" t="s">
        <v>12788</v>
      </c>
      <c r="K2953" s="5" t="s">
        <v>9</v>
      </c>
      <c r="L2953" t="s">
        <v>8631</v>
      </c>
      <c r="M2953" t="str">
        <f>"https://www.artic.edu/iiif/2/"&amp;Table9[[#This Row],[Image ID]]&amp;"/full/843,/0/default.jpg"</f>
        <v>https://www.artic.edu/iiif/2/7e242ca2-5c5f-bb08-ccff-7e8ef645deaf/full/843,/0/default.jpg</v>
      </c>
      <c r="N2953" s="3">
        <v>0.65900000000000003</v>
      </c>
      <c r="O2953" s="3">
        <v>9.8000000000000004E-2</v>
      </c>
      <c r="P2953" s="3">
        <v>0.56100000000000005</v>
      </c>
      <c r="Q2953" s="3">
        <v>0.55673313140869096</v>
      </c>
    </row>
    <row r="2954" spans="1:17" x14ac:dyDescent="0.45">
      <c r="A2954" s="3">
        <v>87088</v>
      </c>
      <c r="B2954" t="b">
        <v>0</v>
      </c>
      <c r="C2954" t="b">
        <v>1</v>
      </c>
      <c r="D2954" s="3">
        <v>1900</v>
      </c>
      <c r="E2954" s="3">
        <v>1900</v>
      </c>
      <c r="F2954" t="s">
        <v>10371</v>
      </c>
      <c r="G2954" t="s">
        <v>7</v>
      </c>
      <c r="H2954" s="3">
        <v>21.603899999999999</v>
      </c>
      <c r="I2954" t="s">
        <v>43</v>
      </c>
      <c r="J2954" t="s">
        <v>12892</v>
      </c>
      <c r="K2954" s="5" t="s">
        <v>9</v>
      </c>
      <c r="L2954" t="s">
        <v>10372</v>
      </c>
      <c r="M2954" t="str">
        <f>"https://www.artic.edu/iiif/2/"&amp;Table9[[#This Row],[Image ID]]&amp;"/full/843,/0/default.jpg"</f>
        <v>https://www.artic.edu/iiif/2/8534685d-1102-e1e3-e194-94f6e925e8b0/full/843,/0/default.jpg</v>
      </c>
      <c r="N2954" s="3">
        <v>0.65900000000000003</v>
      </c>
      <c r="O2954" s="3">
        <v>9.8000000000000004E-2</v>
      </c>
      <c r="P2954" s="3">
        <v>0.56100000000000005</v>
      </c>
      <c r="Q2954" s="3">
        <v>0.58380496501922596</v>
      </c>
    </row>
    <row r="2955" spans="1:17" x14ac:dyDescent="0.45">
      <c r="A2955" s="3">
        <v>38891</v>
      </c>
      <c r="B2955" t="b">
        <v>0</v>
      </c>
      <c r="C2955" t="b">
        <v>1</v>
      </c>
      <c r="D2955" s="3">
        <v>1808</v>
      </c>
      <c r="E2955" s="3">
        <v>1854</v>
      </c>
      <c r="F2955" t="s">
        <v>7305</v>
      </c>
      <c r="G2955" t="s">
        <v>7306</v>
      </c>
      <c r="H2955" s="3">
        <v>33.857399999999998</v>
      </c>
      <c r="I2955" t="s">
        <v>7307</v>
      </c>
      <c r="J2955" t="s">
        <v>13360</v>
      </c>
      <c r="L2955" t="s">
        <v>7308</v>
      </c>
      <c r="M2955" t="str">
        <f>"https://www.artic.edu/iiif/2/"&amp;Table9[[#This Row],[Image ID]]&amp;"/full/843,/0/default.jpg"</f>
        <v>https://www.artic.edu/iiif/2/a8c89409-38c9-857d-badd-657d107818e1/full/843,/0/default.jpg</v>
      </c>
      <c r="N2955" s="3">
        <v>0.68300000000000005</v>
      </c>
      <c r="O2955" s="3">
        <v>0.122</v>
      </c>
      <c r="P2955" s="3">
        <v>0.56100000000000005</v>
      </c>
      <c r="Q2955" s="3">
        <v>0.62836545705795199</v>
      </c>
    </row>
    <row r="2956" spans="1:17" x14ac:dyDescent="0.45">
      <c r="A2956" s="3">
        <v>45838</v>
      </c>
      <c r="B2956" t="b">
        <v>0</v>
      </c>
      <c r="C2956" t="b">
        <v>1</v>
      </c>
      <c r="D2956" s="3">
        <v>1864</v>
      </c>
      <c r="E2956" s="3">
        <v>1874</v>
      </c>
      <c r="F2956" t="s">
        <v>7873</v>
      </c>
      <c r="G2956" t="s">
        <v>75</v>
      </c>
      <c r="H2956" s="3">
        <v>7.9114000000000004</v>
      </c>
      <c r="I2956" t="s">
        <v>288</v>
      </c>
      <c r="J2956" t="s">
        <v>13901</v>
      </c>
      <c r="K2956" s="5" t="s">
        <v>9</v>
      </c>
      <c r="L2956" t="s">
        <v>7874</v>
      </c>
      <c r="M2956" t="str">
        <f>"https://www.artic.edu/iiif/2/"&amp;Table9[[#This Row],[Image ID]]&amp;"/full/843,/0/default.jpg"</f>
        <v>https://www.artic.edu/iiif/2/d4e43d76-594b-ce65-c1a3-45c865624f70/full/843,/0/default.jpg</v>
      </c>
      <c r="N2956" s="3">
        <v>0.68300000000000005</v>
      </c>
      <c r="O2956" s="3">
        <v>0.122</v>
      </c>
      <c r="P2956" s="3">
        <v>0.56100000000000005</v>
      </c>
      <c r="Q2956" s="3">
        <v>0.56069862842559803</v>
      </c>
    </row>
    <row r="2957" spans="1:17" x14ac:dyDescent="0.45">
      <c r="A2957" s="3">
        <v>151469</v>
      </c>
      <c r="B2957" t="b">
        <v>0</v>
      </c>
      <c r="C2957" t="b">
        <v>1</v>
      </c>
      <c r="D2957" s="3">
        <v>1701</v>
      </c>
      <c r="E2957" s="3">
        <v>1800</v>
      </c>
      <c r="F2957" t="s">
        <v>3832</v>
      </c>
      <c r="G2957" t="s">
        <v>3833</v>
      </c>
      <c r="H2957" s="3">
        <v>16.041399999999999</v>
      </c>
      <c r="I2957" t="s">
        <v>16</v>
      </c>
      <c r="L2957" t="s">
        <v>3834</v>
      </c>
      <c r="M2957" t="str">
        <f>"https://www.artic.edu/iiif/2/"&amp;Table9[[#This Row],[Image ID]]&amp;"/full/843,/0/default.jpg"</f>
        <v>https://www.artic.edu/iiif/2/e9a3ce86-5235-a8a5-f617-978f45d1d55f/full/843,/0/default.jpg</v>
      </c>
      <c r="N2957" s="3">
        <v>0.65900000000000003</v>
      </c>
      <c r="O2957" s="3">
        <v>9.8000000000000004E-2</v>
      </c>
      <c r="P2957" s="3">
        <v>0.56100000000000005</v>
      </c>
      <c r="Q2957" s="3">
        <v>0.766734838485717</v>
      </c>
    </row>
    <row r="2958" spans="1:17" x14ac:dyDescent="0.45">
      <c r="A2958" s="3">
        <v>37749</v>
      </c>
      <c r="B2958" t="b">
        <v>0</v>
      </c>
      <c r="C2958" t="b">
        <v>0</v>
      </c>
      <c r="D2958" s="3">
        <v>1959</v>
      </c>
      <c r="E2958" s="3">
        <v>1960</v>
      </c>
      <c r="F2958" t="s">
        <v>7276</v>
      </c>
      <c r="G2958" t="s">
        <v>7</v>
      </c>
      <c r="H2958" s="3">
        <v>42.219299999999997</v>
      </c>
      <c r="I2958" t="s">
        <v>5380</v>
      </c>
      <c r="J2958" t="s">
        <v>11130</v>
      </c>
      <c r="L2958" t="s">
        <v>7277</v>
      </c>
      <c r="M2958" t="str">
        <f>"https://www.artic.edu/iiif/2/"&amp;Table9[[#This Row],[Image ID]]&amp;"/full/843,/0/default.jpg"</f>
        <v>https://www.artic.edu/iiif/2/0b7617ff-b55b-1abe-6c56-93637fdb9444/full/843,/0/default.jpg</v>
      </c>
      <c r="N2958" s="3">
        <v>0.68300000000000005</v>
      </c>
      <c r="O2958" s="3">
        <v>0.122</v>
      </c>
      <c r="P2958" s="3">
        <v>0.56100000000000005</v>
      </c>
      <c r="Q2958" s="3">
        <v>0.67385327816009499</v>
      </c>
    </row>
    <row r="2959" spans="1:17" x14ac:dyDescent="0.45">
      <c r="A2959" s="3">
        <v>13760</v>
      </c>
      <c r="B2959" t="b">
        <v>0</v>
      </c>
      <c r="C2959" t="b">
        <v>0</v>
      </c>
      <c r="D2959" s="3">
        <v>1910</v>
      </c>
      <c r="E2959" s="3">
        <v>1919</v>
      </c>
      <c r="F2959" t="s">
        <v>3203</v>
      </c>
      <c r="G2959" t="s">
        <v>7</v>
      </c>
      <c r="H2959" s="3">
        <v>37.797400000000003</v>
      </c>
      <c r="I2959" t="s">
        <v>558</v>
      </c>
      <c r="J2959" t="s">
        <v>11358</v>
      </c>
      <c r="L2959" t="s">
        <v>3204</v>
      </c>
      <c r="M2959" t="str">
        <f>"https://www.artic.edu/iiif/2/"&amp;Table9[[#This Row],[Image ID]]&amp;"/full/843,/0/default.jpg"</f>
        <v>https://www.artic.edu/iiif/2/1c05fb32-7d97-4136-31a9-76a503174309/full/843,/0/default.jpg</v>
      </c>
      <c r="N2959" s="3">
        <v>0.63400000000000001</v>
      </c>
      <c r="O2959" s="3">
        <v>7.2999999999999995E-2</v>
      </c>
      <c r="P2959" s="3">
        <v>0.56100000000000005</v>
      </c>
      <c r="Q2959" s="3">
        <v>0.84419041872024503</v>
      </c>
    </row>
    <row r="2960" spans="1:17" x14ac:dyDescent="0.45">
      <c r="A2960" s="3">
        <v>158898</v>
      </c>
      <c r="B2960" t="b">
        <v>0</v>
      </c>
      <c r="C2960" t="b">
        <v>0</v>
      </c>
      <c r="D2960" s="3">
        <v>1988</v>
      </c>
      <c r="E2960" s="3">
        <v>1988</v>
      </c>
      <c r="F2960" t="s">
        <v>3359</v>
      </c>
      <c r="G2960" t="s">
        <v>4170</v>
      </c>
      <c r="H2960" s="3">
        <v>28.6479</v>
      </c>
      <c r="I2960" t="s">
        <v>4169</v>
      </c>
      <c r="J2960" t="s">
        <v>11456</v>
      </c>
      <c r="L2960" t="s">
        <v>4171</v>
      </c>
      <c r="M2960" t="str">
        <f>"https://www.artic.edu/iiif/2/"&amp;Table9[[#This Row],[Image ID]]&amp;"/full/843,/0/default.jpg"</f>
        <v>https://www.artic.edu/iiif/2/220147dc-7c00-da48-1b0b-824ee757f298/full/843,/0/default.jpg</v>
      </c>
      <c r="N2960" s="3">
        <v>0.65900000000000003</v>
      </c>
      <c r="O2960" s="3">
        <v>9.8000000000000004E-2</v>
      </c>
      <c r="P2960" s="3">
        <v>0.56100000000000005</v>
      </c>
      <c r="Q2960" s="3">
        <v>0.77290630340576105</v>
      </c>
    </row>
    <row r="2961" spans="1:17" x14ac:dyDescent="0.45">
      <c r="A2961" s="3">
        <v>229352</v>
      </c>
      <c r="B2961" t="b">
        <v>0</v>
      </c>
      <c r="C2961" t="b">
        <v>0</v>
      </c>
      <c r="D2961" s="3">
        <v>1959</v>
      </c>
      <c r="E2961" s="3">
        <v>1959</v>
      </c>
      <c r="F2961" t="s">
        <v>6064</v>
      </c>
      <c r="G2961" t="s">
        <v>6063</v>
      </c>
      <c r="H2961" s="3">
        <v>81.635800000000003</v>
      </c>
      <c r="I2961" t="s">
        <v>126</v>
      </c>
      <c r="J2961" t="s">
        <v>11622</v>
      </c>
      <c r="L2961" t="s">
        <v>6065</v>
      </c>
      <c r="M2961" t="str">
        <f>"https://www.artic.edu/iiif/2/"&amp;Table9[[#This Row],[Image ID]]&amp;"/full/843,/0/default.jpg"</f>
        <v>https://www.artic.edu/iiif/2/2c5b6afb-7ee8-e396-93b1-4cb4b63adec8/full/843,/0/default.jpg</v>
      </c>
      <c r="N2961" s="3">
        <v>0.63400000000000001</v>
      </c>
      <c r="O2961" s="3">
        <v>7.2999999999999995E-2</v>
      </c>
      <c r="P2961" s="3">
        <v>0.56100000000000005</v>
      </c>
      <c r="Q2961" s="3">
        <v>0.70883852243423395</v>
      </c>
    </row>
    <row r="2962" spans="1:17" x14ac:dyDescent="0.45">
      <c r="A2962" s="3">
        <v>55650</v>
      </c>
      <c r="B2962" t="b">
        <v>0</v>
      </c>
      <c r="C2962" t="b">
        <v>0</v>
      </c>
      <c r="D2962" s="3">
        <v>1963</v>
      </c>
      <c r="E2962" s="3">
        <v>1965</v>
      </c>
      <c r="F2962" t="s">
        <v>8357</v>
      </c>
      <c r="G2962" t="s">
        <v>2247</v>
      </c>
      <c r="H2962" s="3">
        <v>51.849499999999999</v>
      </c>
      <c r="I2962" t="s">
        <v>599</v>
      </c>
      <c r="J2962" t="s">
        <v>11666</v>
      </c>
      <c r="L2962" t="s">
        <v>8358</v>
      </c>
      <c r="M2962" t="str">
        <f>"https://www.artic.edu/iiif/2/"&amp;Table9[[#This Row],[Image ID]]&amp;"/full/843,/0/default.jpg"</f>
        <v>https://www.artic.edu/iiif/2/2f61bed2-078b-c4c8-d93a-dfa517344f29/full/843,/0/default.jpg</v>
      </c>
      <c r="N2962" s="3">
        <v>0.63400000000000001</v>
      </c>
      <c r="O2962" s="3">
        <v>7.2999999999999995E-2</v>
      </c>
      <c r="P2962" s="3">
        <v>0.56100000000000005</v>
      </c>
      <c r="Q2962" s="3">
        <v>0.81400728225707997</v>
      </c>
    </row>
    <row r="2963" spans="1:17" x14ac:dyDescent="0.45">
      <c r="A2963" s="3">
        <v>113748</v>
      </c>
      <c r="B2963" t="b">
        <v>0</v>
      </c>
      <c r="C2963" t="b">
        <v>0</v>
      </c>
      <c r="D2963" s="3">
        <v>1907</v>
      </c>
      <c r="E2963" s="3">
        <v>1907</v>
      </c>
      <c r="F2963" t="s">
        <v>1501</v>
      </c>
      <c r="G2963" t="s">
        <v>1502</v>
      </c>
      <c r="H2963" s="3">
        <v>14.361499999999999</v>
      </c>
      <c r="I2963" t="s">
        <v>200</v>
      </c>
      <c r="J2963" t="s">
        <v>11747</v>
      </c>
      <c r="L2963" t="s">
        <v>1503</v>
      </c>
      <c r="M2963" t="str">
        <f>"https://www.artic.edu/iiif/2/"&amp;Table9[[#This Row],[Image ID]]&amp;"/full/843,/0/default.jpg"</f>
        <v>https://www.artic.edu/iiif/2/353d473d-b78e-3640-b7f1-83d948b32b8c/full/843,/0/default.jpg</v>
      </c>
      <c r="N2963" s="3">
        <v>0.63400000000000001</v>
      </c>
      <c r="O2963" s="3">
        <v>7.2999999999999995E-2</v>
      </c>
      <c r="P2963" s="3">
        <v>0.56100000000000005</v>
      </c>
      <c r="Q2963" s="3">
        <v>0.69131696224212602</v>
      </c>
    </row>
    <row r="2964" spans="1:17" x14ac:dyDescent="0.45">
      <c r="A2964" s="3">
        <v>61989</v>
      </c>
      <c r="B2964" t="b">
        <v>0</v>
      </c>
      <c r="C2964" t="b">
        <v>0</v>
      </c>
      <c r="D2964" s="3">
        <v>1981</v>
      </c>
      <c r="E2964" s="3">
        <v>1981</v>
      </c>
      <c r="F2964" t="s">
        <v>8858</v>
      </c>
      <c r="G2964" t="s">
        <v>59</v>
      </c>
      <c r="H2964" s="3">
        <v>45.257300000000001</v>
      </c>
      <c r="I2964" t="s">
        <v>857</v>
      </c>
      <c r="J2964" t="s">
        <v>12000</v>
      </c>
      <c r="L2964" t="s">
        <v>8859</v>
      </c>
      <c r="M2964" t="str">
        <f>"https://www.artic.edu/iiif/2/"&amp;Table9[[#This Row],[Image ID]]&amp;"/full/843,/0/default.jpg"</f>
        <v>https://www.artic.edu/iiif/2/4544af4a-3bdf-4feb-1578-d14f66ba77c7/full/843,/0/default.jpg</v>
      </c>
      <c r="N2964" s="3">
        <v>0.65900000000000003</v>
      </c>
      <c r="O2964" s="3">
        <v>9.8000000000000004E-2</v>
      </c>
      <c r="P2964" s="3">
        <v>0.56100000000000005</v>
      </c>
      <c r="Q2964" s="3">
        <v>0.88543492555618197</v>
      </c>
    </row>
    <row r="2965" spans="1:17" x14ac:dyDescent="0.45">
      <c r="A2965" s="3">
        <v>55935</v>
      </c>
      <c r="B2965" t="b">
        <v>0</v>
      </c>
      <c r="C2965" t="b">
        <v>0</v>
      </c>
      <c r="D2965" s="3">
        <v>1962</v>
      </c>
      <c r="E2965" s="3">
        <v>1965</v>
      </c>
      <c r="F2965" t="s">
        <v>8419</v>
      </c>
      <c r="G2965" t="s">
        <v>8420</v>
      </c>
      <c r="H2965" s="3">
        <v>21.816800000000001</v>
      </c>
      <c r="I2965" t="s">
        <v>599</v>
      </c>
      <c r="J2965" t="s">
        <v>11435</v>
      </c>
      <c r="L2965" t="s">
        <v>8421</v>
      </c>
      <c r="M2965" t="str">
        <f>"https://www.artic.edu/iiif/2/"&amp;Table9[[#This Row],[Image ID]]&amp;"/full/843,/0/default.jpg"</f>
        <v>https://www.artic.edu/iiif/2/49b8face-d09a-b878-e557-197ad6c974a5/full/843,/0/default.jpg</v>
      </c>
      <c r="N2965" s="3">
        <v>0.63400000000000001</v>
      </c>
      <c r="O2965" s="3">
        <v>7.2999999999999995E-2</v>
      </c>
      <c r="P2965" s="3">
        <v>0.56100000000000005</v>
      </c>
      <c r="Q2965" s="3">
        <v>0.72267401218414296</v>
      </c>
    </row>
    <row r="2966" spans="1:17" x14ac:dyDescent="0.45">
      <c r="A2966" s="3">
        <v>59899</v>
      </c>
      <c r="B2966" t="b">
        <v>0</v>
      </c>
      <c r="C2966" t="b">
        <v>0</v>
      </c>
      <c r="D2966" s="3">
        <v>1887</v>
      </c>
      <c r="E2966" s="3">
        <v>1887</v>
      </c>
      <c r="F2966" t="s">
        <v>8626</v>
      </c>
      <c r="G2966" t="s">
        <v>7</v>
      </c>
      <c r="H2966" s="3">
        <v>23.254000000000001</v>
      </c>
      <c r="I2966" t="s">
        <v>908</v>
      </c>
      <c r="J2966" t="s">
        <v>12098</v>
      </c>
      <c r="L2966" t="s">
        <v>8627</v>
      </c>
      <c r="M2966" t="str">
        <f>"https://www.artic.edu/iiif/2/"&amp;Table9[[#This Row],[Image ID]]&amp;"/full/843,/0/default.jpg"</f>
        <v>https://www.artic.edu/iiif/2/4d3a50f1-12e4-463a-52d4-a88a2a8b425f/full/843,/0/default.jpg</v>
      </c>
      <c r="N2966" s="3">
        <v>0.65900000000000003</v>
      </c>
      <c r="O2966" s="3">
        <v>9.8000000000000004E-2</v>
      </c>
      <c r="P2966" s="3">
        <v>0.56100000000000005</v>
      </c>
      <c r="Q2966" s="3">
        <v>0.44687971472740101</v>
      </c>
    </row>
    <row r="2967" spans="1:17" x14ac:dyDescent="0.45">
      <c r="A2967" s="3">
        <v>146906</v>
      </c>
      <c r="B2967" t="b">
        <v>0</v>
      </c>
      <c r="C2967" t="b">
        <v>0</v>
      </c>
      <c r="D2967" s="3">
        <v>1957</v>
      </c>
      <c r="E2967" s="3">
        <v>1959</v>
      </c>
      <c r="F2967" t="s">
        <v>1059</v>
      </c>
      <c r="G2967" t="s">
        <v>7</v>
      </c>
      <c r="H2967" s="3">
        <v>13.2966</v>
      </c>
      <c r="I2967" t="s">
        <v>3504</v>
      </c>
      <c r="J2967" t="s">
        <v>12151</v>
      </c>
      <c r="L2967" t="s">
        <v>3505</v>
      </c>
      <c r="M2967" t="str">
        <f>"https://www.artic.edu/iiif/2/"&amp;Table9[[#This Row],[Image ID]]&amp;"/full/843,/0/default.jpg"</f>
        <v>https://www.artic.edu/iiif/2/512baa0a-e1e5-f745-f6ea-f603f55446c6/full/843,/0/default.jpg</v>
      </c>
      <c r="N2967" s="3">
        <v>0.56100000000000005</v>
      </c>
      <c r="O2967" s="3">
        <v>0</v>
      </c>
      <c r="P2967" s="3">
        <v>0.56100000000000005</v>
      </c>
      <c r="Q2967" s="3">
        <v>0.605005502700805</v>
      </c>
    </row>
    <row r="2968" spans="1:17" x14ac:dyDescent="0.45">
      <c r="A2968" s="3">
        <v>249427</v>
      </c>
      <c r="B2968" t="b">
        <v>0</v>
      </c>
      <c r="C2968" t="b">
        <v>0</v>
      </c>
      <c r="D2968" s="3">
        <v>1925</v>
      </c>
      <c r="E2968" s="3">
        <v>1925</v>
      </c>
      <c r="F2968" t="s">
        <v>6452</v>
      </c>
      <c r="G2968" t="s">
        <v>250</v>
      </c>
      <c r="H2968" s="3">
        <v>20.309100000000001</v>
      </c>
      <c r="I2968" t="s">
        <v>6453</v>
      </c>
      <c r="J2968" t="s">
        <v>6455</v>
      </c>
      <c r="K2968" s="5" t="s">
        <v>17</v>
      </c>
      <c r="L2968" t="s">
        <v>6454</v>
      </c>
      <c r="M2968" t="str">
        <f>"https://www.artic.edu/iiif/2/"&amp;Table9[[#This Row],[Image ID]]&amp;"/full/843,/0/default.jpg"</f>
        <v>https://www.artic.edu/iiif/2/5bb2d4a1-4e98-eb12-615b-51f8370e5872/full/843,/0/default.jpg</v>
      </c>
      <c r="N2968" s="3">
        <v>0.65900000000000003</v>
      </c>
      <c r="O2968" s="3">
        <v>9.8000000000000004E-2</v>
      </c>
      <c r="P2968" s="3">
        <v>0.56100000000000005</v>
      </c>
      <c r="Q2968" s="3">
        <v>0.76150292158126798</v>
      </c>
    </row>
    <row r="2969" spans="1:17" x14ac:dyDescent="0.45">
      <c r="A2969" s="3">
        <v>86715</v>
      </c>
      <c r="B2969" t="b">
        <v>0</v>
      </c>
      <c r="C2969" t="b">
        <v>0</v>
      </c>
      <c r="D2969" s="3">
        <v>1919</v>
      </c>
      <c r="E2969" s="3">
        <v>1919</v>
      </c>
      <c r="F2969" t="s">
        <v>10346</v>
      </c>
      <c r="G2969" t="s">
        <v>10347</v>
      </c>
      <c r="H2969" s="3">
        <v>33.848199999999999</v>
      </c>
      <c r="I2969" t="s">
        <v>1321</v>
      </c>
      <c r="J2969" t="s">
        <v>13429</v>
      </c>
      <c r="L2969" t="s">
        <v>10348</v>
      </c>
      <c r="M2969" t="str">
        <f>"https://www.artic.edu/iiif/2/"&amp;Table9[[#This Row],[Image ID]]&amp;"/full/843,/0/default.jpg"</f>
        <v>https://www.artic.edu/iiif/2/ae7a1a4e-3f7f-0c02-535b-c9c3bb57fe53/full/843,/0/default.jpg</v>
      </c>
      <c r="N2969" s="3">
        <v>0.63400000000000001</v>
      </c>
      <c r="O2969" s="3">
        <v>7.2999999999999995E-2</v>
      </c>
      <c r="P2969" s="3">
        <v>0.56100000000000005</v>
      </c>
      <c r="Q2969" s="3">
        <v>0.59959745407104403</v>
      </c>
    </row>
    <row r="2970" spans="1:17" x14ac:dyDescent="0.45">
      <c r="A2970" s="3">
        <v>66139</v>
      </c>
      <c r="B2970" t="b">
        <v>0</v>
      </c>
      <c r="C2970" t="b">
        <v>0</v>
      </c>
      <c r="D2970" s="3">
        <v>1926</v>
      </c>
      <c r="E2970" s="3">
        <v>1926</v>
      </c>
      <c r="F2970" t="s">
        <v>4770</v>
      </c>
      <c r="G2970" t="s">
        <v>7</v>
      </c>
      <c r="H2970" s="3">
        <v>14.3665</v>
      </c>
      <c r="I2970" t="s">
        <v>437</v>
      </c>
      <c r="J2970" t="s">
        <v>13564</v>
      </c>
      <c r="K2970" s="5" t="s">
        <v>9191</v>
      </c>
      <c r="L2970" t="s">
        <v>9192</v>
      </c>
      <c r="M2970" t="str">
        <f>"https://www.artic.edu/iiif/2/"&amp;Table9[[#This Row],[Image ID]]&amp;"/full/843,/0/default.jpg"</f>
        <v>https://www.artic.edu/iiif/2/b9db31ec-fbcf-2155-5de1-b1992cc3f2f8/full/843,/0/default.jpg</v>
      </c>
      <c r="N2970" s="3">
        <v>0.68300000000000005</v>
      </c>
      <c r="O2970" s="3">
        <v>0.122</v>
      </c>
      <c r="P2970" s="3">
        <v>0.56100000000000005</v>
      </c>
      <c r="Q2970" s="3">
        <v>0.74294537305831898</v>
      </c>
    </row>
    <row r="2971" spans="1:17" x14ac:dyDescent="0.45">
      <c r="A2971" s="3">
        <v>16643</v>
      </c>
      <c r="B2971" t="b">
        <v>0</v>
      </c>
      <c r="C2971" t="b">
        <v>0</v>
      </c>
      <c r="D2971" s="3">
        <v>1895</v>
      </c>
      <c r="E2971" s="3">
        <v>1905</v>
      </c>
      <c r="F2971" t="s">
        <v>4514</v>
      </c>
      <c r="G2971" t="s">
        <v>434</v>
      </c>
      <c r="H2971" s="3">
        <v>32.238100000000003</v>
      </c>
      <c r="I2971" t="s">
        <v>14637</v>
      </c>
      <c r="J2971" t="s">
        <v>13574</v>
      </c>
      <c r="K2971" s="5" t="s">
        <v>115</v>
      </c>
      <c r="L2971" t="s">
        <v>4515</v>
      </c>
      <c r="M2971" t="str">
        <f>"https://www.artic.edu/iiif/2/"&amp;Table9[[#This Row],[Image ID]]&amp;"/full/843,/0/default.jpg"</f>
        <v>https://www.artic.edu/iiif/2/ba63170f-ebfb-d39c-82b5-64c9b2b2643b/full/843,/0/default.jpg</v>
      </c>
      <c r="N2971" s="3">
        <v>0.68300000000000005</v>
      </c>
      <c r="O2971" s="3">
        <v>0.122</v>
      </c>
      <c r="P2971" s="3">
        <v>0.56100000000000005</v>
      </c>
      <c r="Q2971" s="3">
        <v>0.58346503973007202</v>
      </c>
    </row>
    <row r="2972" spans="1:17" x14ac:dyDescent="0.45">
      <c r="A2972" s="3">
        <v>21197</v>
      </c>
      <c r="B2972" t="b">
        <v>0</v>
      </c>
      <c r="C2972" t="b">
        <v>0</v>
      </c>
      <c r="D2972" s="3">
        <v>1909</v>
      </c>
      <c r="E2972" s="3">
        <v>1935</v>
      </c>
      <c r="F2972" t="s">
        <v>5594</v>
      </c>
      <c r="G2972" t="s">
        <v>5595</v>
      </c>
      <c r="H2972" s="3">
        <v>34.918999999999997</v>
      </c>
      <c r="I2972" t="s">
        <v>5596</v>
      </c>
      <c r="J2972" t="s">
        <v>14094</v>
      </c>
      <c r="L2972" t="s">
        <v>5597</v>
      </c>
      <c r="M2972" t="str">
        <f>"https://www.artic.edu/iiif/2/"&amp;Table9[[#This Row],[Image ID]]&amp;"/full/843,/0/default.jpg"</f>
        <v>https://www.artic.edu/iiif/2/e1c8cff6-e1ae-7b63-4a44-21e93402f1b5/full/843,/0/default.jpg</v>
      </c>
      <c r="N2972" s="3">
        <v>0.63400000000000001</v>
      </c>
      <c r="O2972" s="3">
        <v>7.2999999999999995E-2</v>
      </c>
      <c r="P2972" s="3">
        <v>0.56100000000000005</v>
      </c>
      <c r="Q2972" s="3">
        <v>0.65054553747177102</v>
      </c>
    </row>
    <row r="2973" spans="1:17" x14ac:dyDescent="0.45">
      <c r="A2973" s="3">
        <v>38986</v>
      </c>
      <c r="B2973" t="b">
        <v>0</v>
      </c>
      <c r="C2973" t="b">
        <v>1</v>
      </c>
      <c r="D2973" s="3">
        <v>1775</v>
      </c>
      <c r="E2973" s="3">
        <v>1823</v>
      </c>
      <c r="F2973" t="s">
        <v>7356</v>
      </c>
      <c r="G2973" t="s">
        <v>7357</v>
      </c>
      <c r="H2973" s="3">
        <v>23.2652</v>
      </c>
      <c r="I2973" t="s">
        <v>7358</v>
      </c>
      <c r="J2973" t="s">
        <v>11146</v>
      </c>
      <c r="L2973" t="s">
        <v>7359</v>
      </c>
      <c r="M2973" t="str">
        <f>"https://www.artic.edu/iiif/2/"&amp;Table9[[#This Row],[Image ID]]&amp;"/full/843,/0/default.jpg"</f>
        <v>https://www.artic.edu/iiif/2/0d156da4-b563-634b-89bb-ca3cac662b82/full/843,/0/default.jpg</v>
      </c>
      <c r="N2973" s="3">
        <v>0.70699999999999996</v>
      </c>
      <c r="O2973" s="3">
        <v>0.14599999999999999</v>
      </c>
      <c r="P2973" s="3">
        <v>0.56099999999999994</v>
      </c>
      <c r="Q2973" s="3">
        <v>0.521143078804016</v>
      </c>
    </row>
    <row r="2974" spans="1:17" x14ac:dyDescent="0.45">
      <c r="A2974" s="3">
        <v>16171</v>
      </c>
      <c r="B2974" t="b">
        <v>0</v>
      </c>
      <c r="C2974" t="b">
        <v>1</v>
      </c>
      <c r="D2974" s="3">
        <v>1455</v>
      </c>
      <c r="E2974" s="3">
        <v>1460</v>
      </c>
      <c r="F2974" t="s">
        <v>4285</v>
      </c>
      <c r="G2974" t="s">
        <v>103</v>
      </c>
      <c r="H2974" s="3">
        <v>42.374000000000002</v>
      </c>
      <c r="I2974" t="s">
        <v>4270</v>
      </c>
      <c r="J2974" t="s">
        <v>11369</v>
      </c>
      <c r="L2974" t="s">
        <v>4286</v>
      </c>
      <c r="M2974" t="str">
        <f>"https://www.artic.edu/iiif/2/"&amp;Table9[[#This Row],[Image ID]]&amp;"/full/843,/0/default.jpg"</f>
        <v>https://www.artic.edu/iiif/2/1cce62e4-6786-e1ff-e570-8d78183d9c1b/full/843,/0/default.jpg</v>
      </c>
      <c r="N2974" s="3">
        <v>0.61</v>
      </c>
      <c r="O2974" s="3">
        <v>4.9000000000000002E-2</v>
      </c>
      <c r="P2974" s="3">
        <v>0.56099999999999994</v>
      </c>
      <c r="Q2974" s="3">
        <v>0.682492434978485</v>
      </c>
    </row>
    <row r="2975" spans="1:17" x14ac:dyDescent="0.45">
      <c r="A2975" s="3">
        <v>16340</v>
      </c>
      <c r="B2975" t="b">
        <v>0</v>
      </c>
      <c r="C2975" t="b">
        <v>1</v>
      </c>
      <c r="D2975" s="3">
        <v>1600</v>
      </c>
      <c r="E2975" s="3">
        <v>1635</v>
      </c>
      <c r="F2975" t="s">
        <v>4372</v>
      </c>
      <c r="G2975" t="s">
        <v>93</v>
      </c>
      <c r="H2975" s="3">
        <v>18.956700000000001</v>
      </c>
      <c r="I2975" t="s">
        <v>938</v>
      </c>
      <c r="J2975" t="s">
        <v>12366</v>
      </c>
      <c r="L2975" t="s">
        <v>4373</v>
      </c>
      <c r="M2975" t="str">
        <f>"https://www.artic.edu/iiif/2/"&amp;Table9[[#This Row],[Image ID]]&amp;"/full/843,/0/default.jpg"</f>
        <v>https://www.artic.edu/iiif/2/5f1fda6c-f116-c251-1cee-c6bad53d8d18/full/843,/0/default.jpg</v>
      </c>
      <c r="N2975" s="3">
        <v>0.73199999999999998</v>
      </c>
      <c r="O2975" s="3">
        <v>0.17100000000000001</v>
      </c>
      <c r="P2975" s="3">
        <v>0.56099999999999994</v>
      </c>
      <c r="Q2975" s="3">
        <v>0.47882282733917197</v>
      </c>
    </row>
    <row r="2976" spans="1:17" x14ac:dyDescent="0.45">
      <c r="A2976" s="3">
        <v>39039</v>
      </c>
      <c r="B2976" t="b">
        <v>0</v>
      </c>
      <c r="C2976" t="b">
        <v>1</v>
      </c>
      <c r="D2976" s="3">
        <v>1802</v>
      </c>
      <c r="E2976" s="3">
        <v>1827</v>
      </c>
      <c r="F2976" t="s">
        <v>7390</v>
      </c>
      <c r="G2976" t="s">
        <v>5745</v>
      </c>
      <c r="H2976" s="3">
        <v>22.458500000000001</v>
      </c>
      <c r="I2976" t="s">
        <v>1266</v>
      </c>
      <c r="J2976" t="s">
        <v>12654</v>
      </c>
      <c r="L2976" t="s">
        <v>7391</v>
      </c>
      <c r="M2976" t="str">
        <f>"https://www.artic.edu/iiif/2/"&amp;Table9[[#This Row],[Image ID]]&amp;"/full/843,/0/default.jpg"</f>
        <v>https://www.artic.edu/iiif/2/73c42f7a-b1d7-242c-084c-9fd5b8b56c21/full/843,/0/default.jpg</v>
      </c>
      <c r="N2976" s="3">
        <v>0.70699999999999996</v>
      </c>
      <c r="O2976" s="3">
        <v>0.14599999999999999</v>
      </c>
      <c r="P2976" s="3">
        <v>0.56099999999999994</v>
      </c>
      <c r="Q2976" s="3">
        <v>0.73313319683074896</v>
      </c>
    </row>
    <row r="2977" spans="1:17" x14ac:dyDescent="0.45">
      <c r="A2977" s="3">
        <v>11795</v>
      </c>
      <c r="B2977" t="b">
        <v>0</v>
      </c>
      <c r="C2977" t="b">
        <v>1</v>
      </c>
      <c r="D2977" s="3">
        <v>1300</v>
      </c>
      <c r="E2977" s="3">
        <v>1399</v>
      </c>
      <c r="F2977" t="s">
        <v>2462</v>
      </c>
      <c r="G2977" t="s">
        <v>584</v>
      </c>
      <c r="H2977" s="3">
        <v>40.799999999999997</v>
      </c>
      <c r="J2977" t="s">
        <v>12898</v>
      </c>
      <c r="K2977" s="5" t="s">
        <v>278</v>
      </c>
      <c r="L2977" t="s">
        <v>2463</v>
      </c>
      <c r="M2977" t="str">
        <f>"https://www.artic.edu/iiif/2/"&amp;Table9[[#This Row],[Image ID]]&amp;"/full/843,/0/default.jpg"</f>
        <v>https://www.artic.edu/iiif/2/85c2fb63-208d-fcea-2912-338768a78619/full/843,/0/default.jpg</v>
      </c>
      <c r="N2977" s="3">
        <v>0.70699999999999996</v>
      </c>
      <c r="O2977" s="3">
        <v>0.14599999999999999</v>
      </c>
      <c r="P2977" s="3">
        <v>0.56099999999999994</v>
      </c>
      <c r="Q2977" s="3">
        <v>0.74800151586532504</v>
      </c>
    </row>
    <row r="2978" spans="1:17" x14ac:dyDescent="0.45">
      <c r="A2978" s="3">
        <v>24677</v>
      </c>
      <c r="B2978" t="b">
        <v>0</v>
      </c>
      <c r="C2978" t="b">
        <v>1</v>
      </c>
      <c r="D2978" s="3">
        <v>1645</v>
      </c>
      <c r="E2978" s="3">
        <v>1655</v>
      </c>
      <c r="F2978" t="s">
        <v>577</v>
      </c>
      <c r="G2978" t="s">
        <v>7</v>
      </c>
      <c r="H2978" s="3">
        <v>0</v>
      </c>
      <c r="I2978" t="s">
        <v>6422</v>
      </c>
      <c r="J2978" t="s">
        <v>14393</v>
      </c>
      <c r="L2978" t="s">
        <v>6423</v>
      </c>
      <c r="M2978" t="str">
        <f>"https://www.artic.edu/iiif/2/"&amp;Table9[[#This Row],[Image ID]]&amp;"/full/843,/0/default.jpg"</f>
        <v>https://www.artic.edu/iiif/2/f621af47-1f60-d479-0be5-7e3a3700041a/full/843,/0/default.jpg</v>
      </c>
      <c r="N2978" s="3">
        <v>0.73199999999999998</v>
      </c>
      <c r="O2978" s="3">
        <v>0.17100000000000001</v>
      </c>
      <c r="P2978" s="3">
        <v>0.56099999999999994</v>
      </c>
      <c r="Q2978" s="3">
        <v>0.62038797140121404</v>
      </c>
    </row>
    <row r="2979" spans="1:17" x14ac:dyDescent="0.45">
      <c r="A2979" s="3">
        <v>22153</v>
      </c>
      <c r="B2979" t="b">
        <v>0</v>
      </c>
      <c r="C2979" t="b">
        <v>1</v>
      </c>
      <c r="D2979" s="3">
        <v>1891</v>
      </c>
      <c r="E2979" s="3">
        <v>1891</v>
      </c>
      <c r="F2979" t="s">
        <v>5806</v>
      </c>
      <c r="G2979" t="s">
        <v>7</v>
      </c>
      <c r="H2979" s="3">
        <v>23.745000000000001</v>
      </c>
      <c r="I2979" t="s">
        <v>934</v>
      </c>
      <c r="J2979" t="s">
        <v>14545</v>
      </c>
      <c r="K2979" s="5" t="s">
        <v>45</v>
      </c>
      <c r="L2979" t="s">
        <v>5807</v>
      </c>
      <c r="M2979" t="str">
        <f>"https://www.artic.edu/iiif/2/"&amp;Table9[[#This Row],[Image ID]]&amp;"/full/843,/0/default.jpg"</f>
        <v>https://www.artic.edu/iiif/2/ffcef98d-6d38-dc75-65e6-cdff009f883c/full/843,/0/default.jpg</v>
      </c>
      <c r="N2979" s="3">
        <v>0.58499999999999996</v>
      </c>
      <c r="O2979" s="3">
        <v>2.4E-2</v>
      </c>
      <c r="P2979" s="3">
        <v>0.56099999999999994</v>
      </c>
      <c r="Q2979" s="3">
        <v>0.74831950664520197</v>
      </c>
    </row>
    <row r="2980" spans="1:17" x14ac:dyDescent="0.45">
      <c r="A2980" s="3">
        <v>8993</v>
      </c>
      <c r="B2980" t="b">
        <v>0</v>
      </c>
      <c r="C2980" t="b">
        <v>0</v>
      </c>
      <c r="D2980" s="3">
        <v>1907</v>
      </c>
      <c r="E2980" s="3">
        <v>1917</v>
      </c>
      <c r="F2980" t="s">
        <v>10484</v>
      </c>
      <c r="G2980" t="s">
        <v>7</v>
      </c>
      <c r="H2980" s="3">
        <v>20.616800000000001</v>
      </c>
      <c r="I2980" t="s">
        <v>10485</v>
      </c>
      <c r="J2980" t="s">
        <v>11295</v>
      </c>
      <c r="L2980" t="s">
        <v>10486</v>
      </c>
      <c r="M2980" t="str">
        <f>"https://www.artic.edu/iiif/2/"&amp;Table9[[#This Row],[Image ID]]&amp;"/full/843,/0/default.jpg"</f>
        <v>https://www.artic.edu/iiif/2/173f1f33-67ab-545e-21a2-5ff4f12eddb7/full/843,/0/default.jpg</v>
      </c>
      <c r="N2980" s="3">
        <v>0.58499999999999996</v>
      </c>
      <c r="O2980" s="3">
        <v>2.4E-2</v>
      </c>
      <c r="P2980" s="3">
        <v>0.56099999999999994</v>
      </c>
      <c r="Q2980" s="3">
        <v>0.75282889604568404</v>
      </c>
    </row>
    <row r="2981" spans="1:17" x14ac:dyDescent="0.45">
      <c r="A2981" s="3">
        <v>62326</v>
      </c>
      <c r="B2981" t="b">
        <v>0</v>
      </c>
      <c r="C2981" t="b">
        <v>0</v>
      </c>
      <c r="D2981" s="3">
        <v>1930</v>
      </c>
      <c r="E2981" s="3">
        <v>1930</v>
      </c>
      <c r="F2981" t="s">
        <v>8333</v>
      </c>
      <c r="G2981" t="s">
        <v>250</v>
      </c>
      <c r="H2981" s="3">
        <v>0</v>
      </c>
      <c r="I2981" t="s">
        <v>1</v>
      </c>
      <c r="J2981" t="s">
        <v>11381</v>
      </c>
      <c r="K2981" s="5" t="s">
        <v>2</v>
      </c>
      <c r="L2981" t="s">
        <v>8891</v>
      </c>
      <c r="M2981" t="str">
        <f>"https://www.artic.edu/iiif/2/"&amp;Table9[[#This Row],[Image ID]]&amp;"/full/843,/0/default.jpg"</f>
        <v>https://www.artic.edu/iiif/2/1d7d470b-4325-212b-1398-305b51a79cd1/full/843,/0/default.jpg</v>
      </c>
      <c r="N2981" s="3">
        <v>0.70699999999999996</v>
      </c>
      <c r="O2981" s="3">
        <v>0.14599999999999999</v>
      </c>
      <c r="P2981" s="3">
        <v>0.56099999999999994</v>
      </c>
      <c r="Q2981" s="3">
        <v>0.78272676467895497</v>
      </c>
    </row>
    <row r="2982" spans="1:17" x14ac:dyDescent="0.45">
      <c r="A2982" s="3">
        <v>12043</v>
      </c>
      <c r="B2982" t="b">
        <v>0</v>
      </c>
      <c r="C2982" t="b">
        <v>0</v>
      </c>
      <c r="D2982" s="3">
        <v>1938</v>
      </c>
      <c r="E2982" s="3">
        <v>1983</v>
      </c>
      <c r="F2982" t="s">
        <v>2644</v>
      </c>
      <c r="G2982" t="s">
        <v>2645</v>
      </c>
      <c r="H2982" s="3">
        <v>57.385199999999998</v>
      </c>
      <c r="I2982" t="s">
        <v>4769</v>
      </c>
      <c r="J2982" t="s">
        <v>11409</v>
      </c>
      <c r="L2982" t="s">
        <v>2646</v>
      </c>
      <c r="M2982" t="str">
        <f>"https://www.artic.edu/iiif/2/"&amp;Table9[[#This Row],[Image ID]]&amp;"/full/843,/0/default.jpg"</f>
        <v>https://www.artic.edu/iiif/2/1f4b8060-4270-d486-31aa-ad78e65a2f03/full/843,/0/default.jpg</v>
      </c>
      <c r="N2982" s="3">
        <v>0.70699999999999996</v>
      </c>
      <c r="O2982" s="3">
        <v>0.14599999999999999</v>
      </c>
      <c r="P2982" s="3">
        <v>0.56099999999999994</v>
      </c>
      <c r="Q2982" s="3">
        <v>0.78337007761001498</v>
      </c>
    </row>
    <row r="2983" spans="1:17" x14ac:dyDescent="0.45">
      <c r="A2983" s="3">
        <v>127250</v>
      </c>
      <c r="B2983" t="b">
        <v>0</v>
      </c>
      <c r="C2983" t="b">
        <v>0</v>
      </c>
      <c r="D2983" s="3">
        <v>1941</v>
      </c>
      <c r="E2983" s="3">
        <v>1941</v>
      </c>
      <c r="F2983" t="s">
        <v>2797</v>
      </c>
      <c r="G2983" t="s">
        <v>2798</v>
      </c>
      <c r="H2983" s="3">
        <v>33.959099999999999</v>
      </c>
      <c r="I2983" t="s">
        <v>2796</v>
      </c>
      <c r="J2983" t="s">
        <v>11804</v>
      </c>
      <c r="L2983" t="s">
        <v>2799</v>
      </c>
      <c r="M2983" t="str">
        <f>"https://www.artic.edu/iiif/2/"&amp;Table9[[#This Row],[Image ID]]&amp;"/full/843,/0/default.jpg"</f>
        <v>https://www.artic.edu/iiif/2/38ff3d6b-063b-d6f2-096d-7c6617fe363d/full/843,/0/default.jpg</v>
      </c>
      <c r="N2983" s="3">
        <v>0.61</v>
      </c>
      <c r="O2983" s="3">
        <v>4.9000000000000002E-2</v>
      </c>
      <c r="P2983" s="3">
        <v>0.56099999999999994</v>
      </c>
      <c r="Q2983" s="3">
        <v>0.93343210220336903</v>
      </c>
    </row>
    <row r="2984" spans="1:17" x14ac:dyDescent="0.45">
      <c r="A2984" s="3">
        <v>30096</v>
      </c>
      <c r="B2984" t="b">
        <v>0</v>
      </c>
      <c r="C2984" t="b">
        <v>0</v>
      </c>
      <c r="D2984" s="3">
        <v>1936</v>
      </c>
      <c r="E2984" s="3">
        <v>1936</v>
      </c>
      <c r="F2984" t="s">
        <v>6927</v>
      </c>
      <c r="G2984" t="s">
        <v>6928</v>
      </c>
      <c r="H2984" s="3">
        <v>31.930099999999999</v>
      </c>
      <c r="I2984" t="s">
        <v>6929</v>
      </c>
      <c r="J2984" t="s">
        <v>11884</v>
      </c>
      <c r="L2984" t="s">
        <v>6930</v>
      </c>
      <c r="M2984" t="str">
        <f>"https://www.artic.edu/iiif/2/"&amp;Table9[[#This Row],[Image ID]]&amp;"/full/843,/0/default.jpg"</f>
        <v>https://www.artic.edu/iiif/2/3dcc6229-af6a-eb6b-5878-d36fc07814eb/full/843,/0/default.jpg</v>
      </c>
      <c r="N2984" s="3">
        <v>0.70699999999999996</v>
      </c>
      <c r="O2984" s="3">
        <v>0.14599999999999999</v>
      </c>
      <c r="P2984" s="3">
        <v>0.56099999999999994</v>
      </c>
      <c r="Q2984" s="3">
        <v>0.60064071416854803</v>
      </c>
    </row>
    <row r="2985" spans="1:17" x14ac:dyDescent="0.45">
      <c r="A2985" s="3">
        <v>66020</v>
      </c>
      <c r="B2985" t="b">
        <v>0</v>
      </c>
      <c r="C2985" t="b">
        <v>0</v>
      </c>
      <c r="D2985" s="3">
        <v>1913</v>
      </c>
      <c r="E2985" s="3">
        <v>1913</v>
      </c>
      <c r="F2985" t="s">
        <v>131</v>
      </c>
      <c r="G2985" t="s">
        <v>9165</v>
      </c>
      <c r="H2985" s="3">
        <v>78.692400000000006</v>
      </c>
      <c r="I2985" t="s">
        <v>2555</v>
      </c>
      <c r="J2985" t="s">
        <v>12432</v>
      </c>
      <c r="L2985" t="s">
        <v>9166</v>
      </c>
      <c r="M2985" t="str">
        <f>"https://www.artic.edu/iiif/2/"&amp;Table9[[#This Row],[Image ID]]&amp;"/full/843,/0/default.jpg"</f>
        <v>https://www.artic.edu/iiif/2/63ed6be5-a397-8d38-a772-9f057c3ef807/full/843,/0/default.jpg</v>
      </c>
      <c r="N2985" s="3">
        <v>0.70699999999999996</v>
      </c>
      <c r="O2985" s="3">
        <v>0.14599999999999999</v>
      </c>
      <c r="P2985" s="3">
        <v>0.56099999999999994</v>
      </c>
      <c r="Q2985" s="3">
        <v>0.74302500486373901</v>
      </c>
    </row>
    <row r="2986" spans="1:17" x14ac:dyDescent="0.45">
      <c r="A2986" s="3">
        <v>69998</v>
      </c>
      <c r="B2986" t="b">
        <v>0</v>
      </c>
      <c r="C2986" t="b">
        <v>0</v>
      </c>
      <c r="D2986" s="3">
        <v>1905</v>
      </c>
      <c r="E2986" s="3">
        <v>1912</v>
      </c>
      <c r="F2986" t="s">
        <v>9414</v>
      </c>
      <c r="G2986" t="s">
        <v>7</v>
      </c>
      <c r="H2986" s="3">
        <v>38.543399999999998</v>
      </c>
      <c r="I2986" t="s">
        <v>9415</v>
      </c>
      <c r="J2986" t="s">
        <v>12768</v>
      </c>
      <c r="K2986" s="5" t="s">
        <v>9</v>
      </c>
      <c r="L2986" t="s">
        <v>9416</v>
      </c>
      <c r="M2986" t="str">
        <f>"https://www.artic.edu/iiif/2/"&amp;Table9[[#This Row],[Image ID]]&amp;"/full/843,/0/default.jpg"</f>
        <v>https://www.artic.edu/iiif/2/7c6f8018-34b3-7443-243c-025e9e0dabeb/full/843,/0/default.jpg</v>
      </c>
      <c r="N2986" s="3">
        <v>0.58499999999999996</v>
      </c>
      <c r="O2986" s="3">
        <v>2.4E-2</v>
      </c>
      <c r="P2986" s="3">
        <v>0.56099999999999994</v>
      </c>
      <c r="Q2986" s="3">
        <v>0.66141837835311801</v>
      </c>
    </row>
    <row r="2987" spans="1:17" x14ac:dyDescent="0.45">
      <c r="A2987" s="3">
        <v>109692</v>
      </c>
      <c r="B2987" t="b">
        <v>0</v>
      </c>
      <c r="C2987" t="b">
        <v>0</v>
      </c>
      <c r="D2987" s="3">
        <v>1976</v>
      </c>
      <c r="E2987" s="3">
        <v>1976</v>
      </c>
      <c r="F2987" t="s">
        <v>837</v>
      </c>
      <c r="G2987" t="s">
        <v>7</v>
      </c>
      <c r="H2987" s="3">
        <v>47.505899999999997</v>
      </c>
      <c r="I2987" t="s">
        <v>838</v>
      </c>
      <c r="J2987" t="s">
        <v>13290</v>
      </c>
      <c r="L2987" t="s">
        <v>839</v>
      </c>
      <c r="M2987" t="str">
        <f>"https://www.artic.edu/iiif/2/"&amp;Table9[[#This Row],[Image ID]]&amp;"/full/843,/0/default.jpg"</f>
        <v>https://www.artic.edu/iiif/2/a4565521-aba4-c1ff-1c77-f0c55c9d1aa9/full/843,/0/default.jpg</v>
      </c>
      <c r="N2987" s="3">
        <v>0.58499999999999996</v>
      </c>
      <c r="O2987" s="3">
        <v>2.4E-2</v>
      </c>
      <c r="P2987" s="3">
        <v>0.56099999999999994</v>
      </c>
      <c r="Q2987" s="3">
        <v>0.73367011547088601</v>
      </c>
    </row>
    <row r="2988" spans="1:17" x14ac:dyDescent="0.45">
      <c r="A2988" s="3">
        <v>84256</v>
      </c>
      <c r="B2988" t="b">
        <v>0</v>
      </c>
      <c r="C2988" t="b">
        <v>0</v>
      </c>
      <c r="D2988" s="3">
        <v>1911</v>
      </c>
      <c r="E2988" s="3">
        <v>1963</v>
      </c>
      <c r="F2988" t="s">
        <v>9318</v>
      </c>
      <c r="G2988" t="s">
        <v>10283</v>
      </c>
      <c r="H2988" s="3">
        <v>38.077599999999997</v>
      </c>
      <c r="I2988" t="s">
        <v>200</v>
      </c>
      <c r="J2988" t="s">
        <v>13452</v>
      </c>
      <c r="L2988" t="s">
        <v>10284</v>
      </c>
      <c r="M2988" t="str">
        <f>"https://www.artic.edu/iiif/2/"&amp;Table9[[#This Row],[Image ID]]&amp;"/full/843,/0/default.jpg"</f>
        <v>https://www.artic.edu/iiif/2/afeea952-16f1-7e9d-c64f-b3a7abbc4cc1/full/843,/0/default.jpg</v>
      </c>
      <c r="N2988" s="3">
        <v>0.70699999999999996</v>
      </c>
      <c r="O2988" s="3">
        <v>0.14599999999999999</v>
      </c>
      <c r="P2988" s="3">
        <v>0.56099999999999994</v>
      </c>
      <c r="Q2988" s="3">
        <v>0.84332519769668501</v>
      </c>
    </row>
    <row r="2989" spans="1:17" x14ac:dyDescent="0.45">
      <c r="A2989" s="3">
        <v>3418</v>
      </c>
      <c r="B2989" t="b">
        <v>0</v>
      </c>
      <c r="C2989" t="b">
        <v>0</v>
      </c>
      <c r="D2989" s="3">
        <v>1890</v>
      </c>
      <c r="E2989" s="3">
        <v>1905</v>
      </c>
      <c r="F2989" t="s">
        <v>7107</v>
      </c>
      <c r="G2989" t="s">
        <v>7108</v>
      </c>
      <c r="H2989" s="3">
        <v>19.928999999999998</v>
      </c>
      <c r="I2989" t="s">
        <v>7109</v>
      </c>
      <c r="J2989" t="s">
        <v>13693</v>
      </c>
      <c r="L2989" t="s">
        <v>7110</v>
      </c>
      <c r="M2989" t="str">
        <f>"https://www.artic.edu/iiif/2/"&amp;Table9[[#This Row],[Image ID]]&amp;"/full/843,/0/default.jpg"</f>
        <v>https://www.artic.edu/iiif/2/c4415692-d48d-0e07-1813-078d95aaf256/full/843,/0/default.jpg</v>
      </c>
      <c r="N2989" s="3">
        <v>0.61</v>
      </c>
      <c r="O2989" s="3">
        <v>4.9000000000000002E-2</v>
      </c>
      <c r="P2989" s="3">
        <v>0.56099999999999994</v>
      </c>
      <c r="Q2989" s="3">
        <v>0.61871987581252996</v>
      </c>
    </row>
    <row r="2990" spans="1:17" x14ac:dyDescent="0.45">
      <c r="A2990" s="3">
        <v>145859</v>
      </c>
      <c r="B2990" t="b">
        <v>0</v>
      </c>
      <c r="C2990" t="b">
        <v>0</v>
      </c>
      <c r="D2990" s="3">
        <v>1929</v>
      </c>
      <c r="E2990" s="3">
        <v>1929</v>
      </c>
      <c r="F2990" t="s">
        <v>3393</v>
      </c>
      <c r="G2990" t="s">
        <v>3394</v>
      </c>
      <c r="H2990" s="3">
        <v>39.820500000000003</v>
      </c>
      <c r="I2990" t="s">
        <v>40</v>
      </c>
      <c r="J2990" t="s">
        <v>14004</v>
      </c>
      <c r="L2990" t="s">
        <v>3395</v>
      </c>
      <c r="M2990" t="str">
        <f>"https://www.artic.edu/iiif/2/"&amp;Table9[[#This Row],[Image ID]]&amp;"/full/843,/0/default.jpg"</f>
        <v>https://www.artic.edu/iiif/2/dbd31c98-3bc0-0afc-f4d8-488a34470c2f/full/843,/0/default.jpg</v>
      </c>
      <c r="N2990" s="3">
        <v>0.82899999999999996</v>
      </c>
      <c r="O2990" s="3">
        <v>0.26800000000000002</v>
      </c>
      <c r="P2990" s="3">
        <v>0.56099999999999994</v>
      </c>
      <c r="Q2990" s="3">
        <v>0.74384826421737604</v>
      </c>
    </row>
    <row r="2991" spans="1:17" x14ac:dyDescent="0.45">
      <c r="A2991" s="3">
        <v>61760</v>
      </c>
      <c r="B2991" t="b">
        <v>0</v>
      </c>
      <c r="C2991" t="b">
        <v>0</v>
      </c>
      <c r="D2991" s="3">
        <v>1947</v>
      </c>
      <c r="E2991" s="3">
        <v>1947</v>
      </c>
      <c r="F2991" t="s">
        <v>2974</v>
      </c>
      <c r="G2991" t="s">
        <v>7</v>
      </c>
      <c r="H2991" s="3">
        <v>10.293799999999999</v>
      </c>
      <c r="I2991" t="s">
        <v>470</v>
      </c>
      <c r="J2991" t="s">
        <v>14524</v>
      </c>
      <c r="L2991" t="s">
        <v>8842</v>
      </c>
      <c r="M2991" t="str">
        <f>"https://www.artic.edu/iiif/2/"&amp;Table9[[#This Row],[Image ID]]&amp;"/full/843,/0/default.jpg"</f>
        <v>https://www.artic.edu/iiif/2/fedbdde6-fbcf-bb3b-627a-bcbb133aa6bd/full/843,/0/default.jpg</v>
      </c>
      <c r="N2991" s="3">
        <v>0.70699999999999996</v>
      </c>
      <c r="O2991" s="3">
        <v>0.14599999999999999</v>
      </c>
      <c r="P2991" s="3">
        <v>0.56099999999999994</v>
      </c>
      <c r="Q2991" s="3">
        <v>0.76268225908279397</v>
      </c>
    </row>
    <row r="2992" spans="1:17" x14ac:dyDescent="0.45">
      <c r="A2992" s="3">
        <v>97884</v>
      </c>
      <c r="B2992" t="b">
        <v>0</v>
      </c>
      <c r="C2992" t="b">
        <v>1</v>
      </c>
      <c r="D2992" s="3">
        <v>1888</v>
      </c>
      <c r="E2992" s="3">
        <v>1898</v>
      </c>
      <c r="F2992" t="s">
        <v>10858</v>
      </c>
      <c r="G2992" t="s">
        <v>7</v>
      </c>
      <c r="H2992" s="3">
        <v>24.581900000000001</v>
      </c>
      <c r="I2992" t="s">
        <v>6501</v>
      </c>
      <c r="J2992" t="s">
        <v>11876</v>
      </c>
      <c r="L2992" t="s">
        <v>10859</v>
      </c>
      <c r="M2992" t="str">
        <f>"https://www.artic.edu/iiif/2/"&amp;Table9[[#This Row],[Image ID]]&amp;"/full/843,/0/default.jpg"</f>
        <v>https://www.artic.edu/iiif/2/3d6addef-e6cb-a9ca-31b0-522bf6613522/full/843,/0/default.jpg</v>
      </c>
      <c r="N2992" s="3">
        <v>0.65100000000000002</v>
      </c>
      <c r="O2992" s="3">
        <v>9.2999999999999999E-2</v>
      </c>
      <c r="P2992" s="3">
        <v>0.55800000000000005</v>
      </c>
      <c r="Q2992" s="3">
        <v>0.78202635049819902</v>
      </c>
    </row>
    <row r="2993" spans="1:17" x14ac:dyDescent="0.45">
      <c r="A2993" s="3">
        <v>115125</v>
      </c>
      <c r="B2993" t="b">
        <v>0</v>
      </c>
      <c r="C2993" t="b">
        <v>1</v>
      </c>
      <c r="D2993" s="3">
        <v>1845</v>
      </c>
      <c r="E2993" s="3">
        <v>1845</v>
      </c>
      <c r="F2993" t="s">
        <v>1788</v>
      </c>
      <c r="G2993" t="s">
        <v>1769</v>
      </c>
      <c r="H2993" s="3">
        <v>36.299700000000001</v>
      </c>
      <c r="I2993" t="s">
        <v>1555</v>
      </c>
      <c r="J2993" t="s">
        <v>13543</v>
      </c>
      <c r="L2993" t="s">
        <v>1789</v>
      </c>
      <c r="M2993" t="str">
        <f>"https://www.artic.edu/iiif/2/"&amp;Table9[[#This Row],[Image ID]]&amp;"/full/843,/0/default.jpg"</f>
        <v>https://www.artic.edu/iiif/2/b7712afc-0fbd-e9f3-fca7-b2a985059e59/full/843,/0/default.jpg</v>
      </c>
      <c r="N2993" s="3">
        <v>0.67400000000000004</v>
      </c>
      <c r="O2993" s="3">
        <v>0.11600000000000001</v>
      </c>
      <c r="P2993" s="3">
        <v>0.55800000000000005</v>
      </c>
      <c r="Q2993" s="3">
        <v>0.623687744140625</v>
      </c>
    </row>
    <row r="2994" spans="1:17" x14ac:dyDescent="0.45">
      <c r="A2994" s="3">
        <v>115229</v>
      </c>
      <c r="B2994" t="b">
        <v>0</v>
      </c>
      <c r="C2994" t="b">
        <v>1</v>
      </c>
      <c r="D2994" s="3">
        <v>1843</v>
      </c>
      <c r="E2994" s="3">
        <v>1843</v>
      </c>
      <c r="F2994" t="s">
        <v>1898</v>
      </c>
      <c r="G2994" t="s">
        <v>1899</v>
      </c>
      <c r="H2994" s="3">
        <v>22.004200000000001</v>
      </c>
      <c r="I2994" t="s">
        <v>1555</v>
      </c>
      <c r="J2994" t="s">
        <v>14211</v>
      </c>
      <c r="L2994" t="s">
        <v>1900</v>
      </c>
      <c r="M2994" t="str">
        <f>"https://www.artic.edu/iiif/2/"&amp;Table9[[#This Row],[Image ID]]&amp;"/full/843,/0/default.jpg"</f>
        <v>https://www.artic.edu/iiif/2/e9537f23-7aa0-c366-b5e4-a00c4a0d89d5/full/843,/0/default.jpg</v>
      </c>
      <c r="N2994" s="3">
        <v>0.65100000000000002</v>
      </c>
      <c r="O2994" s="3">
        <v>9.2999999999999999E-2</v>
      </c>
      <c r="P2994" s="3">
        <v>0.55800000000000005</v>
      </c>
      <c r="Q2994" s="3">
        <v>0.90729641914367598</v>
      </c>
    </row>
    <row r="2995" spans="1:17" x14ac:dyDescent="0.45">
      <c r="A2995" s="3">
        <v>97900</v>
      </c>
      <c r="B2995" t="b">
        <v>0</v>
      </c>
      <c r="C2995" t="b">
        <v>0</v>
      </c>
      <c r="D2995" s="3">
        <v>1900</v>
      </c>
      <c r="E2995" s="3">
        <v>1900</v>
      </c>
      <c r="F2995" t="s">
        <v>10884</v>
      </c>
      <c r="G2995" t="s">
        <v>7</v>
      </c>
      <c r="H2995" s="3">
        <v>9.5754999999999999</v>
      </c>
      <c r="I2995" t="s">
        <v>192</v>
      </c>
      <c r="J2995" t="s">
        <v>11293</v>
      </c>
      <c r="L2995" t="s">
        <v>10885</v>
      </c>
      <c r="M2995" t="str">
        <f>"https://www.artic.edu/iiif/2/"&amp;Table9[[#This Row],[Image ID]]&amp;"/full/843,/0/default.jpg"</f>
        <v>https://www.artic.edu/iiif/2/173564cd-220d-3e43-6bb3-5e13da3edee4/full/843,/0/default.jpg</v>
      </c>
      <c r="N2995" s="3">
        <v>0.74399999999999999</v>
      </c>
      <c r="O2995" s="3">
        <v>0.186</v>
      </c>
      <c r="P2995" s="3">
        <v>0.55800000000000005</v>
      </c>
      <c r="Q2995" s="3">
        <v>0.75092333555221502</v>
      </c>
    </row>
    <row r="2996" spans="1:17" x14ac:dyDescent="0.45">
      <c r="A2996" s="3">
        <v>65215</v>
      </c>
      <c r="B2996" t="b">
        <v>0</v>
      </c>
      <c r="C2996" t="b">
        <v>0</v>
      </c>
      <c r="D2996" s="3">
        <v>1911</v>
      </c>
      <c r="E2996" s="3">
        <v>1911</v>
      </c>
      <c r="F2996" t="s">
        <v>9025</v>
      </c>
      <c r="G2996" t="s">
        <v>7</v>
      </c>
      <c r="H2996" s="3">
        <v>20.7225</v>
      </c>
      <c r="I2996" t="s">
        <v>8986</v>
      </c>
      <c r="J2996" t="s">
        <v>11446</v>
      </c>
      <c r="K2996" s="5" t="s">
        <v>9</v>
      </c>
      <c r="L2996" t="s">
        <v>9026</v>
      </c>
      <c r="M2996" t="str">
        <f>"https://www.artic.edu/iiif/2/"&amp;Table9[[#This Row],[Image ID]]&amp;"/full/843,/0/default.jpg"</f>
        <v>https://www.artic.edu/iiif/2/214ac375-94de-4c46-b518-70a8ba44485b/full/843,/0/default.jpg</v>
      </c>
      <c r="N2996" s="3">
        <v>0.628</v>
      </c>
      <c r="O2996" s="3">
        <v>7.0000000000000007E-2</v>
      </c>
      <c r="P2996" s="3">
        <v>0.55800000000000005</v>
      </c>
      <c r="Q2996" s="3">
        <v>0.62378031015396096</v>
      </c>
    </row>
    <row r="2997" spans="1:17" x14ac:dyDescent="0.45">
      <c r="A2997" s="3">
        <v>117819</v>
      </c>
      <c r="B2997" t="b">
        <v>0</v>
      </c>
      <c r="C2997" t="b">
        <v>0</v>
      </c>
      <c r="D2997" s="3">
        <v>1882</v>
      </c>
      <c r="E2997" s="3">
        <v>1928</v>
      </c>
      <c r="F2997" t="s">
        <v>2445</v>
      </c>
      <c r="G2997" t="s">
        <v>817</v>
      </c>
      <c r="H2997" s="3">
        <v>22.459299999999999</v>
      </c>
      <c r="I2997" t="s">
        <v>1277</v>
      </c>
      <c r="J2997" t="s">
        <v>14200</v>
      </c>
      <c r="L2997" t="s">
        <v>2446</v>
      </c>
      <c r="M2997" t="str">
        <f>"https://www.artic.edu/iiif/2/"&amp;Table9[[#This Row],[Image ID]]&amp;"/full/843,/0/default.jpg"</f>
        <v>https://www.artic.edu/iiif/2/e89659da-cd49-3e9a-99d0-ea906dc6de02/full/843,/0/default.jpg</v>
      </c>
      <c r="N2997" s="3">
        <v>0.72099999999999997</v>
      </c>
      <c r="O2997" s="3">
        <v>0.16300000000000001</v>
      </c>
      <c r="P2997" s="3">
        <v>0.55799999999999994</v>
      </c>
      <c r="Q2997" s="3">
        <v>0.67573320865631104</v>
      </c>
    </row>
    <row r="2998" spans="1:17" x14ac:dyDescent="0.45">
      <c r="A2998" s="3">
        <v>14317</v>
      </c>
      <c r="B2998" t="b">
        <v>0</v>
      </c>
      <c r="C2998" t="b">
        <v>1</v>
      </c>
      <c r="D2998" s="3">
        <v>1896</v>
      </c>
      <c r="E2998" s="3">
        <v>1897</v>
      </c>
      <c r="F2998" t="s">
        <v>3311</v>
      </c>
      <c r="G2998" t="s">
        <v>75</v>
      </c>
      <c r="H2998" s="3">
        <v>20.169</v>
      </c>
      <c r="I2998" t="s">
        <v>527</v>
      </c>
      <c r="J2998" t="s">
        <v>14387</v>
      </c>
      <c r="K2998" s="5" t="s">
        <v>45</v>
      </c>
      <c r="L2998" t="s">
        <v>3312</v>
      </c>
      <c r="M2998" t="str">
        <f>"https://www.artic.edu/iiif/2/"&amp;Table9[[#This Row],[Image ID]]&amp;"/full/843,/0/default.jpg"</f>
        <v>https://www.artic.edu/iiif/2/f59015ec-07d0-ebbf-6d57-647af5ef4a41/full/843,/0/default.jpg</v>
      </c>
      <c r="N2998" s="3">
        <v>0.67500000000000004</v>
      </c>
      <c r="O2998" s="3">
        <v>0.11899999999999999</v>
      </c>
      <c r="P2998" s="3">
        <v>0.55600000000000005</v>
      </c>
      <c r="Q2998" s="3">
        <v>0.73224902153015103</v>
      </c>
    </row>
    <row r="2999" spans="1:17" x14ac:dyDescent="0.45">
      <c r="A2999" s="3">
        <v>75602</v>
      </c>
      <c r="B2999" t="b">
        <v>0</v>
      </c>
      <c r="C2999" t="b">
        <v>0</v>
      </c>
      <c r="D2999" s="3">
        <v>1937</v>
      </c>
      <c r="E2999" s="3">
        <v>1937</v>
      </c>
      <c r="F2999" t="s">
        <v>9746</v>
      </c>
      <c r="G2999" t="s">
        <v>7</v>
      </c>
      <c r="H2999" s="3">
        <v>0</v>
      </c>
      <c r="I2999" t="s">
        <v>748</v>
      </c>
      <c r="J2999" t="s">
        <v>12586</v>
      </c>
      <c r="L2999" t="s">
        <v>9747</v>
      </c>
      <c r="M2999" t="str">
        <f>"https://www.artic.edu/iiif/2/"&amp;Table9[[#This Row],[Image ID]]&amp;"/full/843,/0/default.jpg"</f>
        <v>https://www.artic.edu/iiif/2/6ef634bb-0cd2-c0b7-d5ff-c9f11ee4d28b/full/843,/0/default.jpg</v>
      </c>
      <c r="N2999" s="3">
        <v>0.67500000000000004</v>
      </c>
      <c r="O2999" s="3">
        <v>0.11899999999999999</v>
      </c>
      <c r="P2999" s="3">
        <v>0.55600000000000005</v>
      </c>
      <c r="Q2999" s="3">
        <v>0.85698693990707397</v>
      </c>
    </row>
    <row r="3000" spans="1:17" x14ac:dyDescent="0.45">
      <c r="A3000" s="3">
        <v>11802</v>
      </c>
      <c r="B3000" t="b">
        <v>0</v>
      </c>
      <c r="C3000" t="b">
        <v>1</v>
      </c>
      <c r="D3000" s="3">
        <v>1300</v>
      </c>
      <c r="E3000" s="3">
        <v>1399</v>
      </c>
      <c r="F3000" t="s">
        <v>2468</v>
      </c>
      <c r="G3000" t="s">
        <v>584</v>
      </c>
      <c r="H3000" s="3">
        <v>47.523699999999998</v>
      </c>
      <c r="J3000" t="s">
        <v>11862</v>
      </c>
      <c r="K3000" s="5" t="s">
        <v>278</v>
      </c>
      <c r="L3000" t="s">
        <v>2469</v>
      </c>
      <c r="M3000" t="str">
        <f>"https://www.artic.edu/iiif/2/"&amp;Table9[[#This Row],[Image ID]]&amp;"/full/843,/0/default.jpg"</f>
        <v>https://www.artic.edu/iiif/2/3c5a4ebc-3d58-5b0e-42b7-f4563bcfe939/full/843,/0/default.jpg</v>
      </c>
      <c r="N3000" s="3">
        <v>0.77500000000000002</v>
      </c>
      <c r="O3000" s="3">
        <v>0.22</v>
      </c>
      <c r="P3000" s="3">
        <v>0.55500000000000005</v>
      </c>
      <c r="Q3000" s="3">
        <v>0.74253028631210305</v>
      </c>
    </row>
    <row r="3001" spans="1:17" ht="85.5" x14ac:dyDescent="0.45">
      <c r="A3001" s="3">
        <v>61115</v>
      </c>
      <c r="B3001" t="b">
        <v>0</v>
      </c>
      <c r="C3001" t="b">
        <v>0</v>
      </c>
      <c r="D3001" s="3">
        <v>1853</v>
      </c>
      <c r="E3001" s="3">
        <v>1873</v>
      </c>
      <c r="F3001" t="s">
        <v>8762</v>
      </c>
      <c r="G3001" t="s">
        <v>7</v>
      </c>
      <c r="H3001" s="3">
        <v>17.3034</v>
      </c>
      <c r="J3001" s="1" t="s">
        <v>14329</v>
      </c>
      <c r="L3001" t="s">
        <v>8763</v>
      </c>
      <c r="M3001" t="str">
        <f>"https://www.artic.edu/iiif/2/"&amp;Table9[[#This Row],[Image ID]]&amp;"/full/843,/0/default.jpg"</f>
        <v>https://www.artic.edu/iiif/2/f0d9b392-68bd-3b60-6761-5be00afa48e1/full/843,/0/default.jpg</v>
      </c>
      <c r="N3001" s="3">
        <v>0.75</v>
      </c>
      <c r="O3001" s="3">
        <v>0.19500000000000001</v>
      </c>
      <c r="P3001" s="3">
        <v>0.55499999999999994</v>
      </c>
      <c r="Q3001" s="3">
        <v>0.73698741197586004</v>
      </c>
    </row>
    <row r="3002" spans="1:17" x14ac:dyDescent="0.45">
      <c r="A3002" s="3">
        <v>31615</v>
      </c>
      <c r="B3002" t="b">
        <v>0</v>
      </c>
      <c r="C3002" t="b">
        <v>1</v>
      </c>
      <c r="D3002" s="3">
        <v>1815</v>
      </c>
      <c r="E3002" s="3">
        <v>1869</v>
      </c>
      <c r="F3002" t="s">
        <v>7002</v>
      </c>
      <c r="G3002" t="s">
        <v>7003</v>
      </c>
      <c r="H3002" s="3">
        <v>34.058399999999999</v>
      </c>
      <c r="I3002" t="s">
        <v>3729</v>
      </c>
      <c r="J3002" t="s">
        <v>12089</v>
      </c>
      <c r="L3002" t="s">
        <v>7004</v>
      </c>
      <c r="M3002" t="str">
        <f>"https://www.artic.edu/iiif/2/"&amp;Table9[[#This Row],[Image ID]]&amp;"/full/843,/0/default.jpg"</f>
        <v>https://www.artic.edu/iiif/2/4cc06c77-e18b-5128-dbbf-38075fc33c04/full/843,/0/default.jpg</v>
      </c>
      <c r="N3002" s="3">
        <v>0.7</v>
      </c>
      <c r="O3002" s="3">
        <v>0.14599999999999999</v>
      </c>
      <c r="P3002" s="3">
        <v>0.55399999999999994</v>
      </c>
      <c r="Q3002" s="3">
        <v>0.57092142105102495</v>
      </c>
    </row>
    <row r="3003" spans="1:17" x14ac:dyDescent="0.45">
      <c r="A3003" s="3">
        <v>16163</v>
      </c>
      <c r="B3003" t="b">
        <v>0</v>
      </c>
      <c r="C3003" t="b">
        <v>0</v>
      </c>
      <c r="D3003" s="3">
        <v>1889</v>
      </c>
      <c r="E3003" s="3">
        <v>1941</v>
      </c>
      <c r="F3003" t="s">
        <v>4276</v>
      </c>
      <c r="G3003" t="s">
        <v>4277</v>
      </c>
      <c r="H3003" s="3">
        <v>21.828299999999999</v>
      </c>
      <c r="I3003" t="s">
        <v>4278</v>
      </c>
      <c r="J3003" t="s">
        <v>12849</v>
      </c>
      <c r="L3003" t="s">
        <v>4279</v>
      </c>
      <c r="M3003" t="str">
        <f>"https://www.artic.edu/iiif/2/"&amp;Table9[[#This Row],[Image ID]]&amp;"/full/843,/0/default.jpg"</f>
        <v>https://www.artic.edu/iiif/2/8276020c-5e07-88da-ddc8-e01e9f1edf66/full/843,/0/default.jpg</v>
      </c>
      <c r="N3003" s="3">
        <v>0.7</v>
      </c>
      <c r="O3003" s="3">
        <v>0.14599999999999999</v>
      </c>
      <c r="P3003" s="3">
        <v>0.55399999999999994</v>
      </c>
      <c r="Q3003" s="3">
        <v>0.80318033695220903</v>
      </c>
    </row>
    <row r="3004" spans="1:17" x14ac:dyDescent="0.45">
      <c r="A3004" s="3">
        <v>114335</v>
      </c>
      <c r="B3004" t="b">
        <v>0</v>
      </c>
      <c r="C3004" t="b">
        <v>1</v>
      </c>
      <c r="D3004" s="3">
        <v>1800</v>
      </c>
      <c r="E3004" s="3">
        <v>1899</v>
      </c>
      <c r="F3004" t="s">
        <v>1638</v>
      </c>
      <c r="G3004" t="s">
        <v>1552</v>
      </c>
      <c r="H3004" s="3">
        <v>30.489100000000001</v>
      </c>
      <c r="I3004" t="s">
        <v>16</v>
      </c>
      <c r="J3004" t="s">
        <v>12863</v>
      </c>
      <c r="L3004" t="s">
        <v>1639</v>
      </c>
      <c r="M3004" t="str">
        <f>"https://www.artic.edu/iiif/2/"&amp;Table9[[#This Row],[Image ID]]&amp;"/full/843,/0/default.jpg"</f>
        <v>https://www.artic.edu/iiif/2/8317db7c-cf03-8880-3593-6cac6b8e6aef/full/843,/0/default.jpg</v>
      </c>
      <c r="N3004" s="3">
        <v>0.67500000000000004</v>
      </c>
      <c r="O3004" s="3">
        <v>0.122</v>
      </c>
      <c r="P3004" s="3">
        <v>0.55300000000000005</v>
      </c>
      <c r="Q3004" s="3">
        <v>0.47011289000511097</v>
      </c>
    </row>
    <row r="3005" spans="1:17" x14ac:dyDescent="0.45">
      <c r="A3005" s="3">
        <v>47274</v>
      </c>
      <c r="B3005" t="b">
        <v>0</v>
      </c>
      <c r="C3005" t="b">
        <v>0</v>
      </c>
      <c r="D3005" s="3">
        <v>1931</v>
      </c>
      <c r="E3005" s="3">
        <v>1931</v>
      </c>
      <c r="F3005" t="s">
        <v>7940</v>
      </c>
      <c r="G3005" t="s">
        <v>7941</v>
      </c>
      <c r="H3005" s="3">
        <v>31.381799999999998</v>
      </c>
      <c r="I3005" t="s">
        <v>1509</v>
      </c>
      <c r="J3005" t="s">
        <v>11603</v>
      </c>
      <c r="L3005" t="s">
        <v>7942</v>
      </c>
      <c r="M3005" t="str">
        <f>"https://www.artic.edu/iiif/2/"&amp;Table9[[#This Row],[Image ID]]&amp;"/full/843,/0/default.jpg"</f>
        <v>https://www.artic.edu/iiif/2/2b13dd8a-7e50-bd11-109a-52caa897d738/full/843,/0/default.jpg</v>
      </c>
      <c r="N3005" s="3">
        <v>0.67500000000000004</v>
      </c>
      <c r="O3005" s="3">
        <v>0.122</v>
      </c>
      <c r="P3005" s="3">
        <v>0.55300000000000005</v>
      </c>
      <c r="Q3005" s="3">
        <v>0.77274346351623502</v>
      </c>
    </row>
    <row r="3006" spans="1:17" x14ac:dyDescent="0.45">
      <c r="A3006" s="3">
        <v>107290</v>
      </c>
      <c r="B3006" t="b">
        <v>0</v>
      </c>
      <c r="C3006" t="b">
        <v>0</v>
      </c>
      <c r="D3006" s="3">
        <v>1920</v>
      </c>
      <c r="E3006" s="3">
        <v>1940</v>
      </c>
      <c r="F3006" t="s">
        <v>634</v>
      </c>
      <c r="G3006" t="s">
        <v>635</v>
      </c>
      <c r="H3006" s="3">
        <v>24.216000000000001</v>
      </c>
      <c r="I3006" t="s">
        <v>636</v>
      </c>
      <c r="J3006" t="s">
        <v>12291</v>
      </c>
      <c r="L3006" t="s">
        <v>637</v>
      </c>
      <c r="M3006" t="str">
        <f>"https://www.artic.edu/iiif/2/"&amp;Table9[[#This Row],[Image ID]]&amp;"/full/843,/0/default.jpg"</f>
        <v>https://www.artic.edu/iiif/2/59c46635-ef0b-6c50-d545-0b1515e8ba66/full/843,/0/default.jpg</v>
      </c>
      <c r="N3006" s="3">
        <v>0.67500000000000004</v>
      </c>
      <c r="O3006" s="3">
        <v>0.122</v>
      </c>
      <c r="P3006" s="3">
        <v>0.55300000000000005</v>
      </c>
      <c r="Q3006" s="3">
        <v>0.79791420698165805</v>
      </c>
    </row>
    <row r="3007" spans="1:17" x14ac:dyDescent="0.45">
      <c r="A3007" s="3">
        <v>39080</v>
      </c>
      <c r="B3007" t="b">
        <v>0</v>
      </c>
      <c r="C3007" t="b">
        <v>1</v>
      </c>
      <c r="D3007" s="3">
        <v>1837</v>
      </c>
      <c r="E3007" s="3">
        <v>1864</v>
      </c>
      <c r="F3007" t="s">
        <v>7419</v>
      </c>
      <c r="G3007" t="s">
        <v>1374</v>
      </c>
      <c r="H3007" s="3">
        <v>39.794699999999999</v>
      </c>
      <c r="I3007" t="s">
        <v>1295</v>
      </c>
      <c r="L3007" t="s">
        <v>7420</v>
      </c>
      <c r="M3007" t="str">
        <f>"https://www.artic.edu/iiif/2/"&amp;Table9[[#This Row],[Image ID]]&amp;"/full/843,/0/default.jpg"</f>
        <v>https://www.artic.edu/iiif/2/3750e240-236f-d8d6-e733-4ccbd7752430/full/843,/0/default.jpg</v>
      </c>
      <c r="N3007" s="3">
        <v>0.65</v>
      </c>
      <c r="O3007" s="3">
        <v>9.8000000000000004E-2</v>
      </c>
      <c r="P3007" s="3">
        <v>0.55200000000000005</v>
      </c>
      <c r="Q3007" s="3">
        <v>0.86011880636215199</v>
      </c>
    </row>
    <row r="3008" spans="1:17" x14ac:dyDescent="0.45">
      <c r="A3008" s="3">
        <v>51577</v>
      </c>
      <c r="B3008" t="b">
        <v>0</v>
      </c>
      <c r="C3008" t="b">
        <v>1</v>
      </c>
      <c r="D3008" s="3">
        <v>1731</v>
      </c>
      <c r="E3008" s="3">
        <v>1732</v>
      </c>
      <c r="F3008" t="s">
        <v>8149</v>
      </c>
      <c r="G3008" t="s">
        <v>7</v>
      </c>
      <c r="H3008" s="3">
        <v>19.8294</v>
      </c>
      <c r="I3008" t="s">
        <v>14596</v>
      </c>
      <c r="J3008" t="s">
        <v>12615</v>
      </c>
      <c r="L3008" t="s">
        <v>8150</v>
      </c>
      <c r="M3008" t="str">
        <f>"https://www.artic.edu/iiif/2/"&amp;Table9[[#This Row],[Image ID]]&amp;"/full/843,/0/default.jpg"</f>
        <v>https://www.artic.edu/iiif/2/7085f5ee-b5da-bd9f-e8f9-b692be466ea0/full/843,/0/default.jpg</v>
      </c>
      <c r="N3008" s="3">
        <v>0.625</v>
      </c>
      <c r="O3008" s="3">
        <v>7.2999999999999995E-2</v>
      </c>
      <c r="P3008" s="3">
        <v>0.55200000000000005</v>
      </c>
      <c r="Q3008" s="3">
        <v>0.67795479297637895</v>
      </c>
    </row>
    <row r="3009" spans="1:17" x14ac:dyDescent="0.45">
      <c r="A3009" s="3">
        <v>16495</v>
      </c>
      <c r="B3009" t="b">
        <v>0</v>
      </c>
      <c r="C3009" t="b">
        <v>1</v>
      </c>
      <c r="D3009" s="3">
        <v>1742</v>
      </c>
      <c r="E3009" s="3">
        <v>1745</v>
      </c>
      <c r="F3009" t="s">
        <v>4457</v>
      </c>
      <c r="G3009" t="s">
        <v>7</v>
      </c>
      <c r="H3009" s="3">
        <v>36.506300000000003</v>
      </c>
      <c r="I3009" t="s">
        <v>1042</v>
      </c>
      <c r="J3009" t="s">
        <v>13608</v>
      </c>
      <c r="L3009" t="s">
        <v>4458</v>
      </c>
      <c r="M3009" t="str">
        <f>"https://www.artic.edu/iiif/2/"&amp;Table9[[#This Row],[Image ID]]&amp;"/full/843,/0/default.jpg"</f>
        <v>https://www.artic.edu/iiif/2/bd2dd3d8-14f3-7acc-baf7-1033694d3740/full/843,/0/default.jpg</v>
      </c>
      <c r="N3009" s="3">
        <v>0.65</v>
      </c>
      <c r="O3009" s="3">
        <v>9.8000000000000004E-2</v>
      </c>
      <c r="P3009" s="3">
        <v>0.55200000000000005</v>
      </c>
      <c r="Q3009" s="3">
        <v>0.70748090744018499</v>
      </c>
    </row>
    <row r="3010" spans="1:17" ht="99.75" x14ac:dyDescent="0.45">
      <c r="A3010" s="3">
        <v>16293</v>
      </c>
      <c r="B3010" t="b">
        <v>0</v>
      </c>
      <c r="C3010" t="b">
        <v>1</v>
      </c>
      <c r="D3010" s="3">
        <v>1475</v>
      </c>
      <c r="E3010" s="3">
        <v>1485</v>
      </c>
      <c r="F3010" t="s">
        <v>4345</v>
      </c>
      <c r="G3010" t="s">
        <v>75</v>
      </c>
      <c r="H3010" s="3">
        <v>30.792000000000002</v>
      </c>
      <c r="I3010" t="s">
        <v>4337</v>
      </c>
      <c r="J3010" s="1" t="s">
        <v>14190</v>
      </c>
      <c r="L3010" t="s">
        <v>4346</v>
      </c>
      <c r="M3010" t="str">
        <f>"https://www.artic.edu/iiif/2/"&amp;Table9[[#This Row],[Image ID]]&amp;"/full/843,/0/default.jpg"</f>
        <v>https://www.artic.edu/iiif/2/e80440be-74b7-5c58-3306-a19eb756dd58/full/843,/0/default.jpg</v>
      </c>
      <c r="N3010" s="3">
        <v>0.625</v>
      </c>
      <c r="O3010" s="3">
        <v>7.2999999999999995E-2</v>
      </c>
      <c r="P3010" s="3">
        <v>0.55200000000000005</v>
      </c>
      <c r="Q3010" s="3">
        <v>0.73610854148864702</v>
      </c>
    </row>
    <row r="3011" spans="1:17" x14ac:dyDescent="0.45">
      <c r="A3011" s="3">
        <v>43988</v>
      </c>
      <c r="B3011" t="b">
        <v>0</v>
      </c>
      <c r="C3011" t="b">
        <v>0</v>
      </c>
      <c r="D3011" s="3">
        <v>1939</v>
      </c>
      <c r="E3011" s="3">
        <v>1939</v>
      </c>
      <c r="F3011" t="s">
        <v>7736</v>
      </c>
      <c r="G3011" t="s">
        <v>7</v>
      </c>
      <c r="H3011" s="3">
        <v>19.510899999999999</v>
      </c>
      <c r="I3011" t="s">
        <v>7737</v>
      </c>
      <c r="J3011" t="s">
        <v>11924</v>
      </c>
      <c r="L3011" t="s">
        <v>7738</v>
      </c>
      <c r="M3011" t="str">
        <f>"https://www.artic.edu/iiif/2/"&amp;Table9[[#This Row],[Image ID]]&amp;"/full/843,/0/default.jpg"</f>
        <v>https://www.artic.edu/iiif/2/40760892-948f-94ea-2211-4f1019010192/full/843,/0/default.jpg</v>
      </c>
      <c r="N3011" s="3">
        <v>0.73799999999999999</v>
      </c>
      <c r="O3011" s="3">
        <v>0.186</v>
      </c>
      <c r="P3011" s="3">
        <v>0.55200000000000005</v>
      </c>
      <c r="Q3011" s="3">
        <v>0.55207061767578103</v>
      </c>
    </row>
    <row r="3012" spans="1:17" x14ac:dyDescent="0.45">
      <c r="A3012" s="3">
        <v>134055</v>
      </c>
      <c r="B3012" t="b">
        <v>0</v>
      </c>
      <c r="C3012" t="b">
        <v>0</v>
      </c>
      <c r="D3012" s="3">
        <v>1971</v>
      </c>
      <c r="E3012" s="3">
        <v>1971</v>
      </c>
      <c r="F3012" t="s">
        <v>3088</v>
      </c>
      <c r="G3012" t="s">
        <v>7</v>
      </c>
      <c r="H3012" s="3">
        <v>30.627099999999999</v>
      </c>
      <c r="I3012" t="s">
        <v>3089</v>
      </c>
      <c r="J3012" t="s">
        <v>13953</v>
      </c>
      <c r="L3012" t="s">
        <v>3090</v>
      </c>
      <c r="M3012" t="str">
        <f>"https://www.artic.edu/iiif/2/"&amp;Table9[[#This Row],[Image ID]]&amp;"/full/843,/0/default.jpg"</f>
        <v>https://www.artic.edu/iiif/2/d82d7e71-2a95-0b05-2bc5-4772d6d9c966/full/843,/0/default.jpg</v>
      </c>
      <c r="N3012" s="3">
        <v>0.625</v>
      </c>
      <c r="O3012" s="3">
        <v>7.2999999999999995E-2</v>
      </c>
      <c r="P3012" s="3">
        <v>0.55200000000000005</v>
      </c>
      <c r="Q3012" s="3">
        <v>0.86179310083389205</v>
      </c>
    </row>
    <row r="3013" spans="1:17" x14ac:dyDescent="0.45">
      <c r="A3013" s="3">
        <v>16497</v>
      </c>
      <c r="B3013" t="b">
        <v>0</v>
      </c>
      <c r="C3013" t="b">
        <v>1</v>
      </c>
      <c r="D3013" s="3">
        <v>1640</v>
      </c>
      <c r="E3013" s="3">
        <v>1660</v>
      </c>
      <c r="F3013" t="s">
        <v>4256</v>
      </c>
      <c r="G3013" t="s">
        <v>75</v>
      </c>
      <c r="H3013" s="3">
        <v>0</v>
      </c>
      <c r="I3013" t="s">
        <v>736</v>
      </c>
      <c r="J3013" t="s">
        <v>12475</v>
      </c>
      <c r="L3013" t="s">
        <v>4461</v>
      </c>
      <c r="M3013" t="str">
        <f>"https://www.artic.edu/iiif/2/"&amp;Table9[[#This Row],[Image ID]]&amp;"/full/843,/0/default.jpg"</f>
        <v>https://www.artic.edu/iiif/2/66b4f243-74f4-d3e8-7a76-2f743ee1f6ff/full/843,/0/default.jpg</v>
      </c>
      <c r="N3013" s="3">
        <v>0.71399999999999997</v>
      </c>
      <c r="O3013" s="3">
        <v>0.16300000000000001</v>
      </c>
      <c r="P3013" s="3">
        <v>0.55099999999999993</v>
      </c>
      <c r="Q3013" s="3">
        <v>0.63984131813049305</v>
      </c>
    </row>
    <row r="3014" spans="1:17" x14ac:dyDescent="0.45">
      <c r="A3014" s="3">
        <v>228331</v>
      </c>
      <c r="B3014" t="b">
        <v>0</v>
      </c>
      <c r="C3014" t="b">
        <v>1</v>
      </c>
      <c r="D3014" s="3">
        <v>1820</v>
      </c>
      <c r="E3014" s="3">
        <v>1830</v>
      </c>
      <c r="F3014" t="s">
        <v>5991</v>
      </c>
      <c r="G3014" t="s">
        <v>723</v>
      </c>
      <c r="H3014" s="3">
        <v>43.156500000000001</v>
      </c>
      <c r="J3014" t="s">
        <v>14546</v>
      </c>
      <c r="L3014" t="s">
        <v>5992</v>
      </c>
      <c r="M3014" t="str">
        <f>"https://www.artic.edu/iiif/2/"&amp;Table9[[#This Row],[Image ID]]&amp;"/full/843,/0/default.jpg"</f>
        <v>https://www.artic.edu/iiif/2/ffd9d207-89e9-5071-56a4-5eb3a1754398/full/843,/0/default.jpg</v>
      </c>
      <c r="N3014" s="3">
        <v>0.6</v>
      </c>
      <c r="O3014" s="3">
        <v>4.9000000000000002E-2</v>
      </c>
      <c r="P3014" s="3">
        <v>0.55099999999999993</v>
      </c>
      <c r="Q3014" s="3">
        <v>0.64337772130966098</v>
      </c>
    </row>
    <row r="3015" spans="1:17" x14ac:dyDescent="0.45">
      <c r="A3015" s="3">
        <v>135477</v>
      </c>
      <c r="B3015" t="b">
        <v>0</v>
      </c>
      <c r="C3015" t="b">
        <v>0</v>
      </c>
      <c r="D3015" s="3">
        <v>1929</v>
      </c>
      <c r="E3015" s="3">
        <v>1929</v>
      </c>
      <c r="F3015" t="s">
        <v>3126</v>
      </c>
      <c r="G3015" t="s">
        <v>3127</v>
      </c>
      <c r="H3015" s="3">
        <v>30.377600000000001</v>
      </c>
      <c r="I3015" t="s">
        <v>3128</v>
      </c>
      <c r="J3015" t="s">
        <v>11408</v>
      </c>
      <c r="L3015" t="s">
        <v>3129</v>
      </c>
      <c r="M3015" t="str">
        <f>"https://www.artic.edu/iiif/2/"&amp;Table9[[#This Row],[Image ID]]&amp;"/full/843,/0/default.jpg"</f>
        <v>https://www.artic.edu/iiif/2/1f239a15-b401-39e6-3817-ff6110f6d480/full/843,/0/default.jpg</v>
      </c>
      <c r="N3015" s="3">
        <v>0.57499999999999996</v>
      </c>
      <c r="O3015" s="3">
        <v>2.4E-2</v>
      </c>
      <c r="P3015" s="3">
        <v>0.55099999999999993</v>
      </c>
      <c r="Q3015" s="3">
        <v>0.70503228902816695</v>
      </c>
    </row>
    <row r="3016" spans="1:17" x14ac:dyDescent="0.45">
      <c r="A3016" s="3">
        <v>187092</v>
      </c>
      <c r="B3016" t="b">
        <v>0</v>
      </c>
      <c r="C3016" t="b">
        <v>0</v>
      </c>
      <c r="D3016" s="3">
        <v>1980</v>
      </c>
      <c r="E3016" s="3">
        <v>1980</v>
      </c>
      <c r="F3016" t="s">
        <v>11</v>
      </c>
      <c r="G3016" t="s">
        <v>7</v>
      </c>
      <c r="H3016" s="3">
        <v>9.6736000000000004</v>
      </c>
      <c r="I3016" t="s">
        <v>5104</v>
      </c>
      <c r="J3016" t="s">
        <v>12968</v>
      </c>
      <c r="L3016" t="s">
        <v>5107</v>
      </c>
      <c r="M3016" t="str">
        <f>"https://www.artic.edu/iiif/2/"&amp;Table9[[#This Row],[Image ID]]&amp;"/full/843,/0/default.jpg"</f>
        <v>https://www.artic.edu/iiif/2/8b9d183b-2bb2-7990-6b75-3d1bcd1cb582/full/843,/0/default.jpg</v>
      </c>
      <c r="N3016" s="3">
        <v>0.57499999999999996</v>
      </c>
      <c r="O3016" s="3">
        <v>2.4E-2</v>
      </c>
      <c r="P3016" s="3">
        <v>0.55099999999999993</v>
      </c>
      <c r="Q3016" s="3">
        <v>0.78744024038314797</v>
      </c>
    </row>
    <row r="3017" spans="1:17" x14ac:dyDescent="0.45">
      <c r="A3017" s="3">
        <v>11784</v>
      </c>
      <c r="B3017" t="b">
        <v>0</v>
      </c>
      <c r="C3017" t="b">
        <v>1</v>
      </c>
      <c r="D3017" s="3">
        <v>1375</v>
      </c>
      <c r="E3017" s="3">
        <v>1399</v>
      </c>
      <c r="F3017" t="s">
        <v>2453</v>
      </c>
      <c r="G3017" t="s">
        <v>2454</v>
      </c>
      <c r="H3017" s="3">
        <v>42.805100000000003</v>
      </c>
      <c r="J3017" t="s">
        <v>11101</v>
      </c>
      <c r="K3017" s="5" t="s">
        <v>278</v>
      </c>
      <c r="L3017" t="s">
        <v>2455</v>
      </c>
      <c r="M3017" t="str">
        <f>"https://www.artic.edu/iiif/2/"&amp;Table9[[#This Row],[Image ID]]&amp;"/full/843,/0/default.jpg"</f>
        <v>https://www.artic.edu/iiif/2/08f51138-fa0c-90b4-fd64-538a8b4597ac/full/843,/0/default.jpg</v>
      </c>
      <c r="N3017" s="3">
        <v>0.72499999999999998</v>
      </c>
      <c r="O3017" s="3">
        <v>0.17499999999999999</v>
      </c>
      <c r="P3017" s="3">
        <v>0.55000000000000004</v>
      </c>
      <c r="Q3017" s="3">
        <v>0.70739173889160101</v>
      </c>
    </row>
    <row r="3018" spans="1:17" x14ac:dyDescent="0.45">
      <c r="A3018" s="3">
        <v>115874</v>
      </c>
      <c r="B3018" t="b">
        <v>0</v>
      </c>
      <c r="C3018" t="b">
        <v>1</v>
      </c>
      <c r="D3018" s="3">
        <v>1831</v>
      </c>
      <c r="E3018" s="3">
        <v>1877</v>
      </c>
      <c r="F3018" t="s">
        <v>2127</v>
      </c>
      <c r="G3018" t="s">
        <v>2128</v>
      </c>
      <c r="H3018" s="3">
        <v>36.4741</v>
      </c>
      <c r="I3018" t="s">
        <v>2129</v>
      </c>
      <c r="J3018" t="s">
        <v>2131</v>
      </c>
      <c r="L3018" t="s">
        <v>2130</v>
      </c>
      <c r="M3018" t="str">
        <f>"https://www.artic.edu/iiif/2/"&amp;Table9[[#This Row],[Image ID]]&amp;"/full/843,/0/default.jpg"</f>
        <v>https://www.artic.edu/iiif/2/10934e70-33ed-ac1f-804e-463adac0eaed/full/843,/0/default.jpg</v>
      </c>
      <c r="N3018" s="3">
        <v>0.72499999999999998</v>
      </c>
      <c r="O3018" s="3">
        <v>0.17499999999999999</v>
      </c>
      <c r="P3018" s="3">
        <v>0.55000000000000004</v>
      </c>
      <c r="Q3018" s="3">
        <v>0.57998883724212602</v>
      </c>
    </row>
    <row r="3019" spans="1:17" x14ac:dyDescent="0.45">
      <c r="A3019" s="3">
        <v>877</v>
      </c>
      <c r="B3019" t="b">
        <v>0</v>
      </c>
      <c r="C3019" t="b">
        <v>1</v>
      </c>
      <c r="D3019" s="3">
        <v>1865</v>
      </c>
      <c r="E3019" s="3">
        <v>1870</v>
      </c>
      <c r="F3019" t="s">
        <v>2056</v>
      </c>
      <c r="G3019" t="s">
        <v>7</v>
      </c>
      <c r="H3019" s="3">
        <v>14.5404</v>
      </c>
      <c r="I3019" t="s">
        <v>1274</v>
      </c>
      <c r="J3019" t="s">
        <v>11258</v>
      </c>
      <c r="L3019" t="s">
        <v>10399</v>
      </c>
      <c r="M3019" t="str">
        <f>"https://www.artic.edu/iiif/2/"&amp;Table9[[#This Row],[Image ID]]&amp;"/full/843,/0/default.jpg"</f>
        <v>https://www.artic.edu/iiif/2/1501b057-0441-f1fa-e949-298b06ec6270/full/843,/0/default.jpg</v>
      </c>
      <c r="N3019" s="3">
        <v>0.67500000000000004</v>
      </c>
      <c r="O3019" s="3">
        <v>0.125</v>
      </c>
      <c r="P3019" s="3">
        <v>0.55000000000000004</v>
      </c>
      <c r="Q3019" s="3">
        <v>0.60663235187530495</v>
      </c>
    </row>
    <row r="3020" spans="1:17" x14ac:dyDescent="0.45">
      <c r="A3020" s="3">
        <v>34310</v>
      </c>
      <c r="B3020" t="b">
        <v>0</v>
      </c>
      <c r="C3020" t="b">
        <v>1</v>
      </c>
      <c r="D3020" s="3">
        <v>1701</v>
      </c>
      <c r="E3020" s="3">
        <v>1800</v>
      </c>
      <c r="F3020" t="s">
        <v>7114</v>
      </c>
      <c r="G3020" t="s">
        <v>7115</v>
      </c>
      <c r="H3020" s="3">
        <v>43.820799999999998</v>
      </c>
      <c r="J3020" t="s">
        <v>11394</v>
      </c>
      <c r="K3020" s="5" t="s">
        <v>5</v>
      </c>
      <c r="L3020" t="s">
        <v>7116</v>
      </c>
      <c r="M3020" t="str">
        <f>"https://www.artic.edu/iiif/2/"&amp;Table9[[#This Row],[Image ID]]&amp;"/full/843,/0/default.jpg"</f>
        <v>https://www.artic.edu/iiif/2/1e1bd116-2cb0-f7ab-afce-dad372f2559b/full/843,/0/default.jpg</v>
      </c>
      <c r="N3020" s="3">
        <v>0.65</v>
      </c>
      <c r="O3020" s="3">
        <v>0.1</v>
      </c>
      <c r="P3020" s="3">
        <v>0.55000000000000004</v>
      </c>
      <c r="Q3020" s="3">
        <v>0.64884114265441895</v>
      </c>
    </row>
    <row r="3021" spans="1:17" x14ac:dyDescent="0.45">
      <c r="A3021" s="3">
        <v>14707</v>
      </c>
      <c r="B3021" t="b">
        <v>0</v>
      </c>
      <c r="C3021" t="b">
        <v>1</v>
      </c>
      <c r="D3021" s="3">
        <v>1301</v>
      </c>
      <c r="E3021" s="3">
        <v>1400</v>
      </c>
      <c r="F3021" t="s">
        <v>3580</v>
      </c>
      <c r="G3021" t="s">
        <v>584</v>
      </c>
      <c r="H3021" s="3">
        <v>42.650300000000001</v>
      </c>
      <c r="J3021" t="s">
        <v>11396</v>
      </c>
      <c r="K3021" s="5" t="s">
        <v>278</v>
      </c>
      <c r="L3021" t="s">
        <v>3581</v>
      </c>
      <c r="M3021" t="str">
        <f>"https://www.artic.edu/iiif/2/"&amp;Table9[[#This Row],[Image ID]]&amp;"/full/843,/0/default.jpg"</f>
        <v>https://www.artic.edu/iiif/2/1e4e64ef-bdb7-2235-e87e-26356a14f4bf/full/843,/0/default.jpg</v>
      </c>
      <c r="N3021" s="3">
        <v>0.625</v>
      </c>
      <c r="O3021" s="3">
        <v>7.4999999999999997E-2</v>
      </c>
      <c r="P3021" s="3">
        <v>0.55000000000000004</v>
      </c>
      <c r="Q3021" s="3">
        <v>0.77549368143081598</v>
      </c>
    </row>
    <row r="3022" spans="1:17" x14ac:dyDescent="0.45">
      <c r="A3022" s="3">
        <v>21436</v>
      </c>
      <c r="B3022" t="b">
        <v>0</v>
      </c>
      <c r="C3022" t="b">
        <v>1</v>
      </c>
      <c r="D3022" s="3">
        <v>1833</v>
      </c>
      <c r="E3022" s="3">
        <v>1860</v>
      </c>
      <c r="F3022" t="s">
        <v>774</v>
      </c>
      <c r="G3022" t="s">
        <v>5623</v>
      </c>
      <c r="H3022" s="3">
        <v>42.357199999999999</v>
      </c>
      <c r="I3022" t="s">
        <v>373</v>
      </c>
      <c r="J3022" t="s">
        <v>11431</v>
      </c>
      <c r="L3022" t="s">
        <v>5624</v>
      </c>
      <c r="M3022" t="str">
        <f>"https://www.artic.edu/iiif/2/"&amp;Table9[[#This Row],[Image ID]]&amp;"/full/843,/0/default.jpg"</f>
        <v>https://www.artic.edu/iiif/2/201b1215-d2c3-4eeb-f572-9bccdbd1d37e/full/843,/0/default.jpg</v>
      </c>
      <c r="N3022" s="3">
        <v>0.67500000000000004</v>
      </c>
      <c r="O3022" s="3">
        <v>0.125</v>
      </c>
      <c r="P3022" s="3">
        <v>0.55000000000000004</v>
      </c>
      <c r="Q3022" s="3">
        <v>0.62906116247177102</v>
      </c>
    </row>
    <row r="3023" spans="1:17" x14ac:dyDescent="0.45">
      <c r="A3023" s="3">
        <v>15716</v>
      </c>
      <c r="B3023" t="b">
        <v>0</v>
      </c>
      <c r="C3023" t="b">
        <v>1</v>
      </c>
      <c r="D3023" s="3">
        <v>1450</v>
      </c>
      <c r="E3023" s="3">
        <v>1487</v>
      </c>
      <c r="F3023" t="s">
        <v>4101</v>
      </c>
      <c r="G3023" t="s">
        <v>4102</v>
      </c>
      <c r="H3023" s="3">
        <v>58.989199999999997</v>
      </c>
      <c r="I3023" t="s">
        <v>4103</v>
      </c>
      <c r="J3023" t="s">
        <v>11472</v>
      </c>
      <c r="L3023" t="s">
        <v>4104</v>
      </c>
      <c r="M3023" t="str">
        <f>"https://www.artic.edu/iiif/2/"&amp;Table9[[#This Row],[Image ID]]&amp;"/full/843,/0/default.jpg"</f>
        <v>https://www.artic.edu/iiif/2/2304d661-2cb9-b550-bc41-9ff923177fc5/full/843,/0/default.jpg</v>
      </c>
      <c r="N3023" s="3">
        <v>0.625</v>
      </c>
      <c r="O3023" s="3">
        <v>7.4999999999999997E-2</v>
      </c>
      <c r="P3023" s="3">
        <v>0.55000000000000004</v>
      </c>
      <c r="Q3023" s="3">
        <v>0.584211766719818</v>
      </c>
    </row>
    <row r="3024" spans="1:17" x14ac:dyDescent="0.45">
      <c r="A3024" s="3">
        <v>10086</v>
      </c>
      <c r="B3024" t="b">
        <v>0</v>
      </c>
      <c r="C3024" t="b">
        <v>1</v>
      </c>
      <c r="D3024" s="3">
        <v>1800</v>
      </c>
      <c r="E3024" s="3">
        <v>1899</v>
      </c>
      <c r="F3024" t="s">
        <v>145</v>
      </c>
      <c r="G3024" t="s">
        <v>146</v>
      </c>
      <c r="H3024" s="3">
        <v>52.865499999999997</v>
      </c>
      <c r="I3024" t="s">
        <v>16</v>
      </c>
      <c r="J3024" t="s">
        <v>11475</v>
      </c>
      <c r="L3024" t="s">
        <v>147</v>
      </c>
      <c r="M3024" t="str">
        <f>"https://www.artic.edu/iiif/2/"&amp;Table9[[#This Row],[Image ID]]&amp;"/full/843,/0/default.jpg"</f>
        <v>https://www.artic.edu/iiif/2/233ae246-19f8-298c-cdab-29d62f051ea6/full/843,/0/default.jpg</v>
      </c>
      <c r="N3024" s="3">
        <v>0.625</v>
      </c>
      <c r="O3024" s="3">
        <v>7.4999999999999997E-2</v>
      </c>
      <c r="P3024" s="3">
        <v>0.55000000000000004</v>
      </c>
      <c r="Q3024" s="3">
        <v>0.65917235612869196</v>
      </c>
    </row>
    <row r="3025" spans="1:17" x14ac:dyDescent="0.45">
      <c r="A3025" s="3">
        <v>111650</v>
      </c>
      <c r="B3025" t="b">
        <v>0</v>
      </c>
      <c r="C3025" t="b">
        <v>1</v>
      </c>
      <c r="D3025" s="3">
        <v>1860</v>
      </c>
      <c r="E3025" s="3">
        <v>1870</v>
      </c>
      <c r="F3025" t="s">
        <v>1201</v>
      </c>
      <c r="G3025" t="s">
        <v>7</v>
      </c>
      <c r="H3025" s="3">
        <v>0</v>
      </c>
      <c r="I3025" t="s">
        <v>14567</v>
      </c>
      <c r="J3025" t="s">
        <v>11595</v>
      </c>
      <c r="L3025" t="s">
        <v>1202</v>
      </c>
      <c r="M3025" t="str">
        <f>"https://www.artic.edu/iiif/2/"&amp;Table9[[#This Row],[Image ID]]&amp;"/full/843,/0/default.jpg"</f>
        <v>https://www.artic.edu/iiif/2/2aaa4699-7ddb-9151-f4de-1b3799c0e934/full/843,/0/default.jpg</v>
      </c>
      <c r="N3025" s="3">
        <v>0.625</v>
      </c>
      <c r="O3025" s="3">
        <v>7.4999999999999997E-2</v>
      </c>
      <c r="P3025" s="3">
        <v>0.55000000000000004</v>
      </c>
      <c r="Q3025" s="3">
        <v>0.71835184097289995</v>
      </c>
    </row>
    <row r="3026" spans="1:17" x14ac:dyDescent="0.45">
      <c r="A3026" s="3">
        <v>111057</v>
      </c>
      <c r="B3026" t="b">
        <v>0</v>
      </c>
      <c r="C3026" t="b">
        <v>1</v>
      </c>
      <c r="D3026" s="3">
        <v>1870</v>
      </c>
      <c r="E3026" s="3">
        <v>1880</v>
      </c>
      <c r="F3026" t="s">
        <v>1014</v>
      </c>
      <c r="G3026" t="s">
        <v>75</v>
      </c>
      <c r="H3026" s="3">
        <v>0</v>
      </c>
      <c r="I3026" t="s">
        <v>309</v>
      </c>
      <c r="J3026" t="s">
        <v>12103</v>
      </c>
      <c r="L3026" t="s">
        <v>1015</v>
      </c>
      <c r="M3026" t="str">
        <f>"https://www.artic.edu/iiif/2/"&amp;Table9[[#This Row],[Image ID]]&amp;"/full/843,/0/default.jpg"</f>
        <v>https://www.artic.edu/iiif/2/4d682c85-3e87-2998-5e66-6628d4ddf9f1/full/843,/0/default.jpg</v>
      </c>
      <c r="N3026" s="3">
        <v>0.8</v>
      </c>
      <c r="O3026" s="3">
        <v>0.25</v>
      </c>
      <c r="P3026" s="3">
        <v>0.55000000000000004</v>
      </c>
      <c r="Q3026" s="3">
        <v>0.59961640834808305</v>
      </c>
    </row>
    <row r="3027" spans="1:17" x14ac:dyDescent="0.45">
      <c r="A3027" s="3">
        <v>114533</v>
      </c>
      <c r="B3027" t="b">
        <v>0</v>
      </c>
      <c r="C3027" t="b">
        <v>1</v>
      </c>
      <c r="D3027" s="3">
        <v>1790</v>
      </c>
      <c r="E3027" s="3">
        <v>1844</v>
      </c>
      <c r="F3027" t="s">
        <v>1667</v>
      </c>
      <c r="G3027" t="s">
        <v>635</v>
      </c>
      <c r="H3027" s="3">
        <v>37.467799999999997</v>
      </c>
      <c r="I3027" t="s">
        <v>1668</v>
      </c>
      <c r="J3027" t="s">
        <v>12377</v>
      </c>
      <c r="L3027" t="s">
        <v>1669</v>
      </c>
      <c r="M3027" t="str">
        <f>"https://www.artic.edu/iiif/2/"&amp;Table9[[#This Row],[Image ID]]&amp;"/full/843,/0/default.jpg"</f>
        <v>https://www.artic.edu/iiif/2/5feb322a-741e-2ad5-15ec-7be3791b93e4/full/843,/0/default.jpg</v>
      </c>
      <c r="N3027" s="3">
        <v>0.625</v>
      </c>
      <c r="O3027" s="3">
        <v>7.4999999999999997E-2</v>
      </c>
      <c r="P3027" s="3">
        <v>0.55000000000000004</v>
      </c>
      <c r="Q3027" s="3">
        <v>0.59450000524520796</v>
      </c>
    </row>
    <row r="3028" spans="1:17" x14ac:dyDescent="0.45">
      <c r="A3028" s="3">
        <v>14833</v>
      </c>
      <c r="B3028" t="b">
        <v>0</v>
      </c>
      <c r="C3028" t="b">
        <v>1</v>
      </c>
      <c r="D3028" s="3">
        <v>1847</v>
      </c>
      <c r="E3028" s="3">
        <v>1860</v>
      </c>
      <c r="F3028" t="s">
        <v>3719</v>
      </c>
      <c r="G3028" t="s">
        <v>3720</v>
      </c>
      <c r="H3028" s="3">
        <v>24.563199999999998</v>
      </c>
      <c r="I3028" t="s">
        <v>516</v>
      </c>
      <c r="J3028" t="s">
        <v>12380</v>
      </c>
      <c r="L3028" t="s">
        <v>3721</v>
      </c>
      <c r="M3028" t="str">
        <f>"https://www.artic.edu/iiif/2/"&amp;Table9[[#This Row],[Image ID]]&amp;"/full/843,/0/default.jpg"</f>
        <v>https://www.artic.edu/iiif/2/6019d10b-add0-d03f-601d-70fe3458e3b6/full/843,/0/default.jpg</v>
      </c>
      <c r="N3028" s="3">
        <v>0.72499999999999998</v>
      </c>
      <c r="O3028" s="3">
        <v>0.17499999999999999</v>
      </c>
      <c r="P3028" s="3">
        <v>0.55000000000000004</v>
      </c>
      <c r="Q3028" s="3">
        <v>0.67167609930038397</v>
      </c>
    </row>
    <row r="3029" spans="1:17" x14ac:dyDescent="0.45">
      <c r="A3029" s="3">
        <v>111667</v>
      </c>
      <c r="B3029" t="b">
        <v>0</v>
      </c>
      <c r="C3029" t="b">
        <v>1</v>
      </c>
      <c r="D3029" s="3">
        <v>1729</v>
      </c>
      <c r="E3029" s="3">
        <v>1729</v>
      </c>
      <c r="F3029" t="s">
        <v>1224</v>
      </c>
      <c r="G3029" t="s">
        <v>7</v>
      </c>
      <c r="H3029" s="3">
        <v>41.550600000000003</v>
      </c>
      <c r="I3029" t="s">
        <v>1225</v>
      </c>
      <c r="J3029" t="s">
        <v>12441</v>
      </c>
      <c r="L3029" t="s">
        <v>1226</v>
      </c>
      <c r="M3029" t="str">
        <f>"https://www.artic.edu/iiif/2/"&amp;Table9[[#This Row],[Image ID]]&amp;"/full/843,/0/default.jpg"</f>
        <v>https://www.artic.edu/iiif/2/64e61ae0-3d2a-8348-c9b8-c1c30e6942c3/full/843,/0/default.jpg</v>
      </c>
      <c r="N3029" s="3">
        <v>0.65</v>
      </c>
      <c r="O3029" s="3">
        <v>0.1</v>
      </c>
      <c r="P3029" s="3">
        <v>0.55000000000000004</v>
      </c>
      <c r="Q3029" s="3">
        <v>0.66088259220123202</v>
      </c>
    </row>
    <row r="3030" spans="1:17" x14ac:dyDescent="0.45">
      <c r="A3030" s="3">
        <v>16134</v>
      </c>
      <c r="B3030" t="b">
        <v>0</v>
      </c>
      <c r="C3030" t="b">
        <v>1</v>
      </c>
      <c r="D3030" s="3">
        <v>1480</v>
      </c>
      <c r="E3030" s="3">
        <v>1490</v>
      </c>
      <c r="F3030" t="s">
        <v>4256</v>
      </c>
      <c r="G3030" t="s">
        <v>4257</v>
      </c>
      <c r="H3030" s="3">
        <v>48.309199999999997</v>
      </c>
      <c r="I3030" t="s">
        <v>4258</v>
      </c>
      <c r="J3030" t="s">
        <v>12467</v>
      </c>
      <c r="L3030" t="s">
        <v>4259</v>
      </c>
      <c r="M3030" t="str">
        <f>"https://www.artic.edu/iiif/2/"&amp;Table9[[#This Row],[Image ID]]&amp;"/full/843,/0/default.jpg"</f>
        <v>https://www.artic.edu/iiif/2/660278f5-2186-0999-3846-fd88a2071ce0/full/843,/0/default.jpg</v>
      </c>
      <c r="N3030" s="3">
        <v>0.67500000000000004</v>
      </c>
      <c r="O3030" s="3">
        <v>0.125</v>
      </c>
      <c r="P3030" s="3">
        <v>0.55000000000000004</v>
      </c>
      <c r="Q3030" s="3">
        <v>0.69681280851364102</v>
      </c>
    </row>
    <row r="3031" spans="1:17" x14ac:dyDescent="0.45">
      <c r="A3031" s="3">
        <v>21165</v>
      </c>
      <c r="B3031" t="b">
        <v>0</v>
      </c>
      <c r="C3031" t="b">
        <v>1</v>
      </c>
      <c r="D3031" s="3">
        <v>1874</v>
      </c>
      <c r="E3031" s="3">
        <v>1884</v>
      </c>
      <c r="F3031" t="s">
        <v>5589</v>
      </c>
      <c r="G3031" t="s">
        <v>7</v>
      </c>
      <c r="H3031" s="3">
        <v>18.6492</v>
      </c>
      <c r="I3031" t="s">
        <v>921</v>
      </c>
      <c r="J3031" t="s">
        <v>12472</v>
      </c>
      <c r="L3031" t="s">
        <v>5590</v>
      </c>
      <c r="M3031" t="str">
        <f>"https://www.artic.edu/iiif/2/"&amp;Table9[[#This Row],[Image ID]]&amp;"/full/843,/0/default.jpg"</f>
        <v>https://www.artic.edu/iiif/2/666a3ad1-e489-1d4d-7dd9-6a0eae1cb593/full/843,/0/default.jpg</v>
      </c>
      <c r="N3031" s="3">
        <v>0.65</v>
      </c>
      <c r="O3031" s="3">
        <v>0.1</v>
      </c>
      <c r="P3031" s="3">
        <v>0.55000000000000004</v>
      </c>
      <c r="Q3031" s="3">
        <v>0.83849024772643999</v>
      </c>
    </row>
    <row r="3032" spans="1:17" x14ac:dyDescent="0.45">
      <c r="A3032" s="3">
        <v>62243</v>
      </c>
      <c r="B3032" t="b">
        <v>0</v>
      </c>
      <c r="C3032" t="b">
        <v>1</v>
      </c>
      <c r="D3032" s="3">
        <v>1795</v>
      </c>
      <c r="E3032" s="3">
        <v>1805</v>
      </c>
      <c r="F3032" t="s">
        <v>8865</v>
      </c>
      <c r="G3032" t="s">
        <v>723</v>
      </c>
      <c r="H3032" s="3">
        <v>41.165999999999997</v>
      </c>
      <c r="I3032" t="s">
        <v>2655</v>
      </c>
      <c r="J3032" t="s">
        <v>12665</v>
      </c>
      <c r="K3032" s="5" t="s">
        <v>4</v>
      </c>
      <c r="L3032" t="s">
        <v>8866</v>
      </c>
      <c r="M3032" t="str">
        <f>"https://www.artic.edu/iiif/2/"&amp;Table9[[#This Row],[Image ID]]&amp;"/full/843,/0/default.jpg"</f>
        <v>https://www.artic.edu/iiif/2/746e5978-311c-68dc-9f75-0fe34394391d/full/843,/0/default.jpg</v>
      </c>
      <c r="N3032" s="3">
        <v>0.625</v>
      </c>
      <c r="O3032" s="3">
        <v>7.4999999999999997E-2</v>
      </c>
      <c r="P3032" s="3">
        <v>0.55000000000000004</v>
      </c>
      <c r="Q3032" s="3">
        <v>0.71341586112975997</v>
      </c>
    </row>
    <row r="3033" spans="1:17" x14ac:dyDescent="0.45">
      <c r="A3033" s="3">
        <v>44770</v>
      </c>
      <c r="B3033" t="b">
        <v>0</v>
      </c>
      <c r="C3033" t="b">
        <v>1</v>
      </c>
      <c r="D3033" s="3">
        <v>1725</v>
      </c>
      <c r="E3033" s="3">
        <v>1736</v>
      </c>
      <c r="F3033" t="s">
        <v>7790</v>
      </c>
      <c r="G3033" t="s">
        <v>7</v>
      </c>
      <c r="H3033" s="3">
        <v>0</v>
      </c>
      <c r="I3033" t="s">
        <v>548</v>
      </c>
      <c r="J3033" t="s">
        <v>12682</v>
      </c>
      <c r="L3033" t="s">
        <v>7791</v>
      </c>
      <c r="M3033" t="str">
        <f>"https://www.artic.edu/iiif/2/"&amp;Table9[[#This Row],[Image ID]]&amp;"/full/843,/0/default.jpg"</f>
        <v>https://www.artic.edu/iiif/2/75986fc1-2e22-156a-9914-23119865ad1b/full/843,/0/default.jpg</v>
      </c>
      <c r="N3033" s="3">
        <v>0.8</v>
      </c>
      <c r="O3033" s="3">
        <v>0.25</v>
      </c>
      <c r="P3033" s="3">
        <v>0.55000000000000004</v>
      </c>
      <c r="Q3033" s="3">
        <v>0.57701879739761297</v>
      </c>
    </row>
    <row r="3034" spans="1:17" x14ac:dyDescent="0.45">
      <c r="A3034" s="3">
        <v>113961</v>
      </c>
      <c r="B3034" t="b">
        <v>0</v>
      </c>
      <c r="C3034" t="b">
        <v>1</v>
      </c>
      <c r="D3034" s="3">
        <v>1880</v>
      </c>
      <c r="E3034" s="3">
        <v>1890</v>
      </c>
      <c r="F3034" t="s">
        <v>1532</v>
      </c>
      <c r="G3034" t="s">
        <v>1533</v>
      </c>
      <c r="H3034" s="3">
        <v>21.439900000000002</v>
      </c>
      <c r="I3034" t="s">
        <v>811</v>
      </c>
      <c r="J3034" t="s">
        <v>12769</v>
      </c>
      <c r="L3034" t="s">
        <v>1534</v>
      </c>
      <c r="M3034" t="str">
        <f>"https://www.artic.edu/iiif/2/"&amp;Table9[[#This Row],[Image ID]]&amp;"/full/843,/0/default.jpg"</f>
        <v>https://www.artic.edu/iiif/2/7c710ba4-5579-e4be-4bde-a47674a2a2e6/full/843,/0/default.jpg</v>
      </c>
      <c r="N3034" s="3">
        <v>0.625</v>
      </c>
      <c r="O3034" s="3">
        <v>7.4999999999999997E-2</v>
      </c>
      <c r="P3034" s="3">
        <v>0.55000000000000004</v>
      </c>
      <c r="Q3034" s="3">
        <v>0.80641007423400801</v>
      </c>
    </row>
    <row r="3035" spans="1:17" x14ac:dyDescent="0.45">
      <c r="A3035" s="3">
        <v>114579</v>
      </c>
      <c r="B3035" t="b">
        <v>0</v>
      </c>
      <c r="C3035" t="b">
        <v>1</v>
      </c>
      <c r="D3035" s="3">
        <v>1800</v>
      </c>
      <c r="E3035" s="3">
        <v>1899</v>
      </c>
      <c r="F3035" t="s">
        <v>1676</v>
      </c>
      <c r="G3035" t="s">
        <v>1677</v>
      </c>
      <c r="H3035" s="3">
        <v>49.709200000000003</v>
      </c>
      <c r="I3035" t="s">
        <v>16</v>
      </c>
      <c r="J3035" t="s">
        <v>12837</v>
      </c>
      <c r="L3035" t="s">
        <v>1678</v>
      </c>
      <c r="M3035" t="str">
        <f>"https://www.artic.edu/iiif/2/"&amp;Table9[[#This Row],[Image ID]]&amp;"/full/843,/0/default.jpg"</f>
        <v>https://www.artic.edu/iiif/2/810d56e1-62ff-6622-1134-4949ac98592a/full/843,/0/default.jpg</v>
      </c>
      <c r="N3035" s="3">
        <v>0.65</v>
      </c>
      <c r="O3035" s="3">
        <v>0.1</v>
      </c>
      <c r="P3035" s="3">
        <v>0.55000000000000004</v>
      </c>
      <c r="Q3035" s="3">
        <v>0.57451325654983498</v>
      </c>
    </row>
    <row r="3036" spans="1:17" x14ac:dyDescent="0.45">
      <c r="A3036" s="3">
        <v>115872</v>
      </c>
      <c r="B3036" t="b">
        <v>0</v>
      </c>
      <c r="C3036" t="b">
        <v>1</v>
      </c>
      <c r="D3036" s="3">
        <v>1860</v>
      </c>
      <c r="E3036" s="3">
        <v>1865</v>
      </c>
      <c r="F3036" t="s">
        <v>2117</v>
      </c>
      <c r="G3036" t="s">
        <v>2118</v>
      </c>
      <c r="H3036" s="3">
        <v>30.7439</v>
      </c>
      <c r="I3036" t="s">
        <v>2119</v>
      </c>
      <c r="J3036" t="s">
        <v>2121</v>
      </c>
      <c r="L3036" t="s">
        <v>2120</v>
      </c>
      <c r="M3036" t="str">
        <f>"https://www.artic.edu/iiif/2/"&amp;Table9[[#This Row],[Image ID]]&amp;"/full/843,/0/default.jpg"</f>
        <v>https://www.artic.edu/iiif/2/892c12fa-67ed-3b8e-62a5-c550cb526738/full/843,/0/default.jpg</v>
      </c>
      <c r="N3036" s="3">
        <v>0.65</v>
      </c>
      <c r="O3036" s="3">
        <v>0.1</v>
      </c>
      <c r="P3036" s="3">
        <v>0.55000000000000004</v>
      </c>
      <c r="Q3036" s="3">
        <v>0.56895911693572998</v>
      </c>
    </row>
    <row r="3037" spans="1:17" x14ac:dyDescent="0.45">
      <c r="A3037" s="3">
        <v>2823</v>
      </c>
      <c r="B3037" t="b">
        <v>0</v>
      </c>
      <c r="C3037" t="b">
        <v>1</v>
      </c>
      <c r="D3037" s="3">
        <v>1886</v>
      </c>
      <c r="E3037" s="3">
        <v>1886</v>
      </c>
      <c r="F3037" t="s">
        <v>335</v>
      </c>
      <c r="G3037" t="s">
        <v>7</v>
      </c>
      <c r="H3037" s="3">
        <v>21.668399999999998</v>
      </c>
      <c r="I3037" t="s">
        <v>14682</v>
      </c>
      <c r="J3037" t="s">
        <v>13017</v>
      </c>
      <c r="L3037" t="s">
        <v>6795</v>
      </c>
      <c r="M3037" t="str">
        <f>"https://www.artic.edu/iiif/2/"&amp;Table9[[#This Row],[Image ID]]&amp;"/full/843,/0/default.jpg"</f>
        <v>https://www.artic.edu/iiif/2/8f385b97-9e44-4b7b-a7ce-acd9bee0a732/full/843,/0/default.jpg</v>
      </c>
      <c r="N3037" s="3">
        <v>0.67500000000000004</v>
      </c>
      <c r="O3037" s="3">
        <v>0.125</v>
      </c>
      <c r="P3037" s="3">
        <v>0.55000000000000004</v>
      </c>
      <c r="Q3037" s="3">
        <v>0.70150154829025202</v>
      </c>
    </row>
    <row r="3038" spans="1:17" x14ac:dyDescent="0.45">
      <c r="A3038" s="3">
        <v>102090</v>
      </c>
      <c r="B3038" t="b">
        <v>0</v>
      </c>
      <c r="C3038" t="b">
        <v>1</v>
      </c>
      <c r="D3038" s="3">
        <v>1490</v>
      </c>
      <c r="E3038" s="3">
        <v>1500</v>
      </c>
      <c r="F3038" t="s">
        <v>211</v>
      </c>
      <c r="G3038" t="s">
        <v>212</v>
      </c>
      <c r="H3038" s="3">
        <v>78.149699999999996</v>
      </c>
      <c r="I3038" t="s">
        <v>213</v>
      </c>
      <c r="J3038" t="s">
        <v>13085</v>
      </c>
      <c r="L3038" t="s">
        <v>214</v>
      </c>
      <c r="M3038" t="str">
        <f>"https://www.artic.edu/iiif/2/"&amp;Table9[[#This Row],[Image ID]]&amp;"/full/843,/0/default.jpg"</f>
        <v>https://www.artic.edu/iiif/2/956d658b-a59f-ee53-19eb-db81e526df36/full/843,/0/default.jpg</v>
      </c>
      <c r="N3038" s="3">
        <v>0.625</v>
      </c>
      <c r="O3038" s="3">
        <v>7.4999999999999997E-2</v>
      </c>
      <c r="P3038" s="3">
        <v>0.55000000000000004</v>
      </c>
      <c r="Q3038" s="3">
        <v>0.72461158037185602</v>
      </c>
    </row>
    <row r="3039" spans="1:17" x14ac:dyDescent="0.45">
      <c r="A3039" s="3">
        <v>80548</v>
      </c>
      <c r="B3039" t="b">
        <v>0</v>
      </c>
      <c r="C3039" t="b">
        <v>1</v>
      </c>
      <c r="D3039" s="3">
        <v>1645</v>
      </c>
      <c r="E3039" s="3">
        <v>1655</v>
      </c>
      <c r="F3039" t="s">
        <v>10013</v>
      </c>
      <c r="G3039" t="s">
        <v>75</v>
      </c>
      <c r="H3039" s="3">
        <v>33.373899999999999</v>
      </c>
      <c r="I3039" t="s">
        <v>1118</v>
      </c>
      <c r="J3039" t="s">
        <v>13121</v>
      </c>
      <c r="L3039" t="s">
        <v>10014</v>
      </c>
      <c r="M3039" t="str">
        <f>"https://www.artic.edu/iiif/2/"&amp;Table9[[#This Row],[Image ID]]&amp;"/full/843,/0/default.jpg"</f>
        <v>https://www.artic.edu/iiif/2/97ca059c-6d86-4128-e216-6dbdcf4e8f3a/full/843,/0/default.jpg</v>
      </c>
      <c r="N3039" s="3">
        <v>0.65</v>
      </c>
      <c r="O3039" s="3">
        <v>0.1</v>
      </c>
      <c r="P3039" s="3">
        <v>0.55000000000000004</v>
      </c>
      <c r="Q3039" s="3">
        <v>0.86017709970474199</v>
      </c>
    </row>
    <row r="3040" spans="1:17" x14ac:dyDescent="0.45">
      <c r="A3040" s="3">
        <v>35280</v>
      </c>
      <c r="B3040" t="b">
        <v>0</v>
      </c>
      <c r="C3040" t="b">
        <v>1</v>
      </c>
      <c r="D3040" s="3">
        <v>1630</v>
      </c>
      <c r="E3040" s="3">
        <v>1669</v>
      </c>
      <c r="F3040" t="s">
        <v>7180</v>
      </c>
      <c r="G3040" t="s">
        <v>512</v>
      </c>
      <c r="H3040" s="3">
        <v>0</v>
      </c>
      <c r="I3040" t="s">
        <v>7181</v>
      </c>
      <c r="J3040" t="s">
        <v>13346</v>
      </c>
      <c r="L3040" t="s">
        <v>7182</v>
      </c>
      <c r="M3040" t="str">
        <f>"https://www.artic.edu/iiif/2/"&amp;Table9[[#This Row],[Image ID]]&amp;"/full/843,/0/default.jpg"</f>
        <v>https://www.artic.edu/iiif/2/a7fb57e1-d5d2-8569-7314-9dc35c573640/full/843,/0/default.jpg</v>
      </c>
      <c r="N3040" s="3">
        <v>0.75</v>
      </c>
      <c r="O3040" s="3">
        <v>0.2</v>
      </c>
      <c r="P3040" s="3">
        <v>0.55000000000000004</v>
      </c>
      <c r="Q3040" s="3">
        <v>0.58893299102783203</v>
      </c>
    </row>
    <row r="3041" spans="1:17" x14ac:dyDescent="0.45">
      <c r="A3041" s="3">
        <v>29728</v>
      </c>
      <c r="B3041" t="b">
        <v>0</v>
      </c>
      <c r="C3041" t="b">
        <v>1</v>
      </c>
      <c r="D3041" s="3">
        <v>1881</v>
      </c>
      <c r="E3041" s="3">
        <v>1881</v>
      </c>
      <c r="F3041" t="s">
        <v>6919</v>
      </c>
      <c r="G3041" t="s">
        <v>3629</v>
      </c>
      <c r="H3041" s="3">
        <v>41.5931</v>
      </c>
      <c r="I3041" t="s">
        <v>14553</v>
      </c>
      <c r="J3041" t="s">
        <v>13502</v>
      </c>
      <c r="L3041" t="s">
        <v>6920</v>
      </c>
      <c r="M3041" t="str">
        <f>"https://www.artic.edu/iiif/2/"&amp;Table9[[#This Row],[Image ID]]&amp;"/full/843,/0/default.jpg"</f>
        <v>https://www.artic.edu/iiif/2/b42c5036-147b-fafb-9bdb-f46b3d1b7f76/full/843,/0/default.jpg</v>
      </c>
      <c r="N3041" s="3">
        <v>0.625</v>
      </c>
      <c r="O3041" s="3">
        <v>7.4999999999999997E-2</v>
      </c>
      <c r="P3041" s="3">
        <v>0.55000000000000004</v>
      </c>
      <c r="Q3041" s="3">
        <v>0.498721063137054</v>
      </c>
    </row>
    <row r="3042" spans="1:17" x14ac:dyDescent="0.45">
      <c r="A3042" s="3">
        <v>18667</v>
      </c>
      <c r="B3042" t="b">
        <v>0</v>
      </c>
      <c r="C3042" t="b">
        <v>1</v>
      </c>
      <c r="D3042" s="3">
        <v>1874</v>
      </c>
      <c r="E3042" s="3">
        <v>1874</v>
      </c>
      <c r="F3042" t="s">
        <v>5065</v>
      </c>
      <c r="G3042" t="s">
        <v>164</v>
      </c>
      <c r="H3042" s="3">
        <v>22.6798</v>
      </c>
      <c r="I3042" t="s">
        <v>14636</v>
      </c>
      <c r="J3042" t="s">
        <v>13519</v>
      </c>
      <c r="K3042" s="5" t="s">
        <v>9</v>
      </c>
      <c r="L3042" t="s">
        <v>5066</v>
      </c>
      <c r="M3042" t="str">
        <f>"https://www.artic.edu/iiif/2/"&amp;Table9[[#This Row],[Image ID]]&amp;"/full/843,/0/default.jpg"</f>
        <v>https://www.artic.edu/iiif/2/b5c9ca9b-6717-beb5-d1c5-fc22d101e505/full/843,/0/default.jpg</v>
      </c>
      <c r="N3042" s="3">
        <v>0.65</v>
      </c>
      <c r="O3042" s="3">
        <v>0.1</v>
      </c>
      <c r="P3042" s="3">
        <v>0.55000000000000004</v>
      </c>
      <c r="Q3042" s="3">
        <v>0.80614012479782104</v>
      </c>
    </row>
    <row r="3043" spans="1:17" x14ac:dyDescent="0.45">
      <c r="A3043" s="3">
        <v>110982</v>
      </c>
      <c r="B3043" t="b">
        <v>0</v>
      </c>
      <c r="C3043" t="b">
        <v>1</v>
      </c>
      <c r="D3043" s="3">
        <v>1905</v>
      </c>
      <c r="E3043" s="3">
        <v>1905</v>
      </c>
      <c r="F3043" t="s">
        <v>985</v>
      </c>
      <c r="G3043" t="s">
        <v>7</v>
      </c>
      <c r="H3043" s="3">
        <v>27.5564</v>
      </c>
      <c r="I3043" t="s">
        <v>525</v>
      </c>
      <c r="J3043" t="s">
        <v>13617</v>
      </c>
      <c r="K3043" s="5" t="s">
        <v>115</v>
      </c>
      <c r="L3043" t="s">
        <v>986</v>
      </c>
      <c r="M3043" t="str">
        <f>"https://www.artic.edu/iiif/2/"&amp;Table9[[#This Row],[Image ID]]&amp;"/full/843,/0/default.jpg"</f>
        <v>https://www.artic.edu/iiif/2/bdb9f780-83be-dd12-191d-54a77c5444ab/full/843,/0/default.jpg</v>
      </c>
      <c r="N3043" s="3">
        <v>0.67500000000000004</v>
      </c>
      <c r="O3043" s="3">
        <v>0.125</v>
      </c>
      <c r="P3043" s="3">
        <v>0.55000000000000004</v>
      </c>
      <c r="Q3043" s="3">
        <v>0.61224174499511697</v>
      </c>
    </row>
    <row r="3044" spans="1:17" x14ac:dyDescent="0.45">
      <c r="A3044" s="3">
        <v>115885</v>
      </c>
      <c r="B3044" t="b">
        <v>0</v>
      </c>
      <c r="C3044" t="b">
        <v>1</v>
      </c>
      <c r="D3044" s="3">
        <v>1800</v>
      </c>
      <c r="E3044" s="3">
        <v>1899</v>
      </c>
      <c r="F3044" t="s">
        <v>2175</v>
      </c>
      <c r="G3044" t="s">
        <v>2176</v>
      </c>
      <c r="H3044" s="3">
        <v>33.317100000000003</v>
      </c>
      <c r="I3044" t="s">
        <v>16</v>
      </c>
      <c r="J3044" t="s">
        <v>2178</v>
      </c>
      <c r="L3044" t="s">
        <v>2177</v>
      </c>
      <c r="M3044" t="str">
        <f>"https://www.artic.edu/iiif/2/"&amp;Table9[[#This Row],[Image ID]]&amp;"/full/843,/0/default.jpg"</f>
        <v>https://www.artic.edu/iiif/2/c3bd55c5-7651-a87e-850b-24c60748040b/full/843,/0/default.jpg</v>
      </c>
      <c r="N3044" s="3">
        <v>0.625</v>
      </c>
      <c r="O3044" s="3">
        <v>7.4999999999999997E-2</v>
      </c>
      <c r="P3044" s="3">
        <v>0.55000000000000004</v>
      </c>
      <c r="Q3044" s="3">
        <v>0.58198648691177302</v>
      </c>
    </row>
    <row r="3045" spans="1:17" x14ac:dyDescent="0.45">
      <c r="A3045" s="3">
        <v>107339</v>
      </c>
      <c r="B3045" t="b">
        <v>0</v>
      </c>
      <c r="C3045" t="b">
        <v>1</v>
      </c>
      <c r="D3045" s="3">
        <v>1700</v>
      </c>
      <c r="E3045" s="3">
        <v>1800</v>
      </c>
      <c r="F3045" t="s">
        <v>678</v>
      </c>
      <c r="G3045" t="s">
        <v>679</v>
      </c>
      <c r="H3045" s="3">
        <v>34.246899999999997</v>
      </c>
      <c r="J3045" t="s">
        <v>13701</v>
      </c>
      <c r="L3045" t="s">
        <v>680</v>
      </c>
      <c r="M3045" t="str">
        <f>"https://www.artic.edu/iiif/2/"&amp;Table9[[#This Row],[Image ID]]&amp;"/full/843,/0/default.jpg"</f>
        <v>https://www.artic.edu/iiif/2/c4c0ecca-165c-6331-1211-6534a8b2fcd1/full/843,/0/default.jpg</v>
      </c>
      <c r="N3045" s="3">
        <v>0.625</v>
      </c>
      <c r="O3045" s="3">
        <v>7.4999999999999997E-2</v>
      </c>
      <c r="P3045" s="3">
        <v>0.55000000000000004</v>
      </c>
      <c r="Q3045" s="3">
        <v>0.74195939302444402</v>
      </c>
    </row>
    <row r="3046" spans="1:17" x14ac:dyDescent="0.45">
      <c r="A3046" s="3">
        <v>111609</v>
      </c>
      <c r="B3046" t="b">
        <v>0</v>
      </c>
      <c r="C3046" t="b">
        <v>1</v>
      </c>
      <c r="D3046" s="3">
        <v>1485</v>
      </c>
      <c r="E3046" s="3">
        <v>1495</v>
      </c>
      <c r="F3046" t="s">
        <v>1126</v>
      </c>
      <c r="G3046" t="s">
        <v>212</v>
      </c>
      <c r="H3046" s="3">
        <v>49.6404</v>
      </c>
      <c r="J3046" t="s">
        <v>13787</v>
      </c>
      <c r="L3046" t="s">
        <v>1127</v>
      </c>
      <c r="M3046" t="str">
        <f>"https://www.artic.edu/iiif/2/"&amp;Table9[[#This Row],[Image ID]]&amp;"/full/843,/0/default.jpg"</f>
        <v>https://www.artic.edu/iiif/2/caf6a947-6359-1b5e-69e5-fedd26cf6360/full/843,/0/default.jpg</v>
      </c>
      <c r="N3046" s="3">
        <v>0.625</v>
      </c>
      <c r="O3046" s="3">
        <v>7.4999999999999997E-2</v>
      </c>
      <c r="P3046" s="3">
        <v>0.55000000000000004</v>
      </c>
      <c r="Q3046" s="3">
        <v>0.71591502428054798</v>
      </c>
    </row>
    <row r="3047" spans="1:17" x14ac:dyDescent="0.45">
      <c r="A3047" s="3">
        <v>111729</v>
      </c>
      <c r="B3047" t="b">
        <v>0</v>
      </c>
      <c r="C3047" t="b">
        <v>1</v>
      </c>
      <c r="D3047" s="3">
        <v>1870</v>
      </c>
      <c r="E3047" s="3">
        <v>1880</v>
      </c>
      <c r="F3047" t="s">
        <v>14618</v>
      </c>
      <c r="G3047" t="s">
        <v>7</v>
      </c>
      <c r="H3047" s="3">
        <v>25.725899999999999</v>
      </c>
      <c r="I3047" t="s">
        <v>1244</v>
      </c>
      <c r="J3047" t="s">
        <v>13828</v>
      </c>
      <c r="K3047" s="5" t="s">
        <v>46</v>
      </c>
      <c r="L3047" t="s">
        <v>1245</v>
      </c>
      <c r="M3047" t="str">
        <f>"https://www.artic.edu/iiif/2/"&amp;Table9[[#This Row],[Image ID]]&amp;"/full/843,/0/default.jpg"</f>
        <v>https://www.artic.edu/iiif/2/ceb22c02-9d33-a79d-6935-48cba2fb4aad/full/843,/0/default.jpg</v>
      </c>
      <c r="N3047" s="3">
        <v>0.65</v>
      </c>
      <c r="O3047" s="3">
        <v>0.1</v>
      </c>
      <c r="P3047" s="3">
        <v>0.55000000000000004</v>
      </c>
      <c r="Q3047" s="3">
        <v>0.60341668128967196</v>
      </c>
    </row>
    <row r="3048" spans="1:17" x14ac:dyDescent="0.45">
      <c r="A3048" s="3">
        <v>14792</v>
      </c>
      <c r="B3048" t="b">
        <v>0</v>
      </c>
      <c r="C3048" t="b">
        <v>1</v>
      </c>
      <c r="D3048" s="3">
        <v>1909</v>
      </c>
      <c r="E3048" s="3">
        <v>1909</v>
      </c>
      <c r="F3048" t="s">
        <v>3682</v>
      </c>
      <c r="G3048" t="s">
        <v>3683</v>
      </c>
      <c r="H3048" s="3">
        <v>37.474600000000002</v>
      </c>
      <c r="I3048" t="s">
        <v>934</v>
      </c>
      <c r="J3048" t="s">
        <v>13929</v>
      </c>
      <c r="L3048" t="s">
        <v>3684</v>
      </c>
      <c r="M3048" t="str">
        <f>"https://www.artic.edu/iiif/2/"&amp;Table9[[#This Row],[Image ID]]&amp;"/full/843,/0/default.jpg"</f>
        <v>https://www.artic.edu/iiif/2/d6a6ee14-75f4-c6b8-3d14-a0c0a8344be5/full/843,/0/default.jpg</v>
      </c>
      <c r="N3048" s="3">
        <v>0.75</v>
      </c>
      <c r="O3048" s="3">
        <v>0.2</v>
      </c>
      <c r="P3048" s="3">
        <v>0.55000000000000004</v>
      </c>
      <c r="Q3048" s="3">
        <v>0.526916444301605</v>
      </c>
    </row>
    <row r="3049" spans="1:17" x14ac:dyDescent="0.45">
      <c r="A3049" s="3">
        <v>4783</v>
      </c>
      <c r="B3049" t="b">
        <v>0</v>
      </c>
      <c r="C3049" t="b">
        <v>1</v>
      </c>
      <c r="D3049" s="3">
        <v>1890</v>
      </c>
      <c r="E3049" s="3">
        <v>1891</v>
      </c>
      <c r="F3049" t="s">
        <v>7974</v>
      </c>
      <c r="G3049" t="s">
        <v>7</v>
      </c>
      <c r="H3049" s="3">
        <v>39.027999999999999</v>
      </c>
      <c r="I3049" t="s">
        <v>43</v>
      </c>
      <c r="J3049" t="s">
        <v>13999</v>
      </c>
      <c r="K3049" s="5" t="s">
        <v>9</v>
      </c>
      <c r="L3049" t="s">
        <v>7975</v>
      </c>
      <c r="M3049" t="str">
        <f>"https://www.artic.edu/iiif/2/"&amp;Table9[[#This Row],[Image ID]]&amp;"/full/843,/0/default.jpg"</f>
        <v>https://www.artic.edu/iiif/2/db94c894-a24c-c2e0-9db9-0506567a0152/full/843,/0/default.jpg</v>
      </c>
      <c r="N3049" s="3">
        <v>0.72499999999999998</v>
      </c>
      <c r="O3049" s="3">
        <v>0.17499999999999999</v>
      </c>
      <c r="P3049" s="3">
        <v>0.55000000000000004</v>
      </c>
      <c r="Q3049" s="3">
        <v>0.57889205217361395</v>
      </c>
    </row>
    <row r="3050" spans="1:17" x14ac:dyDescent="0.45">
      <c r="A3050" s="3">
        <v>60867</v>
      </c>
      <c r="B3050" t="b">
        <v>0</v>
      </c>
      <c r="C3050" t="b">
        <v>1</v>
      </c>
      <c r="D3050" s="3">
        <v>1868</v>
      </c>
      <c r="E3050" s="3">
        <v>1868</v>
      </c>
      <c r="F3050" t="s">
        <v>8749</v>
      </c>
      <c r="G3050" t="s">
        <v>7</v>
      </c>
      <c r="H3050" s="3">
        <v>0</v>
      </c>
      <c r="I3050" t="s">
        <v>8750</v>
      </c>
      <c r="J3050" t="s">
        <v>14018</v>
      </c>
      <c r="L3050" t="s">
        <v>8751</v>
      </c>
      <c r="M3050" t="str">
        <f>"https://www.artic.edu/iiif/2/"&amp;Table9[[#This Row],[Image ID]]&amp;"/full/843,/0/default.jpg"</f>
        <v>https://www.artic.edu/iiif/2/dcdbdc15-e10a-f366-2250-141b6017f593/full/843,/0/default.jpg</v>
      </c>
      <c r="N3050" s="3">
        <v>0.625</v>
      </c>
      <c r="O3050" s="3">
        <v>7.4999999999999997E-2</v>
      </c>
      <c r="P3050" s="3">
        <v>0.55000000000000004</v>
      </c>
      <c r="Q3050" s="3">
        <v>0.654072284698486</v>
      </c>
    </row>
    <row r="3051" spans="1:17" x14ac:dyDescent="0.45">
      <c r="A3051" s="3">
        <v>12888</v>
      </c>
      <c r="B3051" t="b">
        <v>0</v>
      </c>
      <c r="C3051" t="b">
        <v>1</v>
      </c>
      <c r="D3051" s="3">
        <v>1891</v>
      </c>
      <c r="E3051" s="3">
        <v>1891</v>
      </c>
      <c r="F3051" t="s">
        <v>2841</v>
      </c>
      <c r="G3051" t="s">
        <v>7</v>
      </c>
      <c r="H3051" s="3">
        <v>55.890500000000003</v>
      </c>
      <c r="I3051" t="s">
        <v>2842</v>
      </c>
      <c r="J3051" t="s">
        <v>14396</v>
      </c>
      <c r="K3051" s="5" t="s">
        <v>115</v>
      </c>
      <c r="L3051" t="s">
        <v>2843</v>
      </c>
      <c r="M3051" t="str">
        <f>"https://www.artic.edu/iiif/2/"&amp;Table9[[#This Row],[Image ID]]&amp;"/full/843,/0/default.jpg"</f>
        <v>https://www.artic.edu/iiif/2/f652ab04-9d66-c3c3-6b5e-c2891fc3a891/full/843,/0/default.jpg</v>
      </c>
      <c r="N3051" s="3">
        <v>0.625</v>
      </c>
      <c r="O3051" s="3">
        <v>7.4999999999999997E-2</v>
      </c>
      <c r="P3051" s="3">
        <v>0.55000000000000004</v>
      </c>
      <c r="Q3051" s="3">
        <v>0.88924497365951505</v>
      </c>
    </row>
    <row r="3052" spans="1:17" x14ac:dyDescent="0.45">
      <c r="A3052" s="3">
        <v>5349</v>
      </c>
      <c r="B3052" t="b">
        <v>0</v>
      </c>
      <c r="C3052" t="b">
        <v>1</v>
      </c>
      <c r="D3052" s="3">
        <v>1899</v>
      </c>
      <c r="E3052" s="3">
        <v>1899</v>
      </c>
      <c r="F3052" t="s">
        <v>8263</v>
      </c>
      <c r="G3052" t="s">
        <v>7</v>
      </c>
      <c r="H3052" s="3">
        <v>27.473199999999999</v>
      </c>
      <c r="I3052" t="s">
        <v>510</v>
      </c>
      <c r="J3052" t="s">
        <v>14416</v>
      </c>
      <c r="K3052" s="5" t="s">
        <v>9</v>
      </c>
      <c r="L3052" t="s">
        <v>8264</v>
      </c>
      <c r="M3052" t="str">
        <f>"https://www.artic.edu/iiif/2/"&amp;Table9[[#This Row],[Image ID]]&amp;"/full/843,/0/default.jpg"</f>
        <v>https://www.artic.edu/iiif/2/f72dbf42-8655-8788-d899-9e87a0466d28/full/843,/0/default.jpg</v>
      </c>
      <c r="N3052" s="3">
        <v>0.67500000000000004</v>
      </c>
      <c r="O3052" s="3">
        <v>0.125</v>
      </c>
      <c r="P3052" s="3">
        <v>0.55000000000000004</v>
      </c>
      <c r="Q3052" s="3">
        <v>0.49845033884048401</v>
      </c>
    </row>
    <row r="3053" spans="1:17" x14ac:dyDescent="0.45">
      <c r="A3053" s="3">
        <v>895</v>
      </c>
      <c r="B3053" t="b">
        <v>0</v>
      </c>
      <c r="C3053" t="b">
        <v>1</v>
      </c>
      <c r="D3053" s="3">
        <v>1875</v>
      </c>
      <c r="E3053" s="3">
        <v>1885</v>
      </c>
      <c r="F3053" t="s">
        <v>10456</v>
      </c>
      <c r="G3053" t="s">
        <v>7</v>
      </c>
      <c r="H3053" s="3">
        <v>21.665900000000001</v>
      </c>
      <c r="I3053" t="s">
        <v>7173</v>
      </c>
      <c r="J3053" t="s">
        <v>14460</v>
      </c>
      <c r="L3053" t="s">
        <v>10457</v>
      </c>
      <c r="M3053" t="str">
        <f>"https://www.artic.edu/iiif/2/"&amp;Table9[[#This Row],[Image ID]]&amp;"/full/843,/0/default.jpg"</f>
        <v>https://www.artic.edu/iiif/2/fa96ef54-c3b1-8f4d-390a-219f7bc64c4a/full/843,/0/default.jpg</v>
      </c>
      <c r="N3053" s="3">
        <v>0.625</v>
      </c>
      <c r="O3053" s="3">
        <v>7.4999999999999997E-2</v>
      </c>
      <c r="P3053" s="3">
        <v>0.55000000000000004</v>
      </c>
      <c r="Q3053" s="3">
        <v>0.74227744340896595</v>
      </c>
    </row>
    <row r="3054" spans="1:17" x14ac:dyDescent="0.45">
      <c r="A3054" s="3">
        <v>93799</v>
      </c>
      <c r="B3054" t="b">
        <v>0</v>
      </c>
      <c r="C3054" t="b">
        <v>0</v>
      </c>
      <c r="D3054" s="3">
        <v>1945</v>
      </c>
      <c r="E3054" s="3">
        <v>1946</v>
      </c>
      <c r="F3054" t="s">
        <v>7711</v>
      </c>
      <c r="G3054" t="s">
        <v>7</v>
      </c>
      <c r="H3054" s="3">
        <v>18.259699999999999</v>
      </c>
      <c r="I3054" t="s">
        <v>378</v>
      </c>
      <c r="J3054" t="s">
        <v>10974</v>
      </c>
      <c r="K3054" s="5" t="s">
        <v>45</v>
      </c>
      <c r="L3054" t="s">
        <v>10619</v>
      </c>
      <c r="M3054" t="str">
        <f>"https://www.artic.edu/iiif/2/"&amp;Table9[[#This Row],[Image ID]]&amp;"/full/843,/0/default.jpg"</f>
        <v>https://www.artic.edu/iiif/2/000ee963-112f-e51e-4fc6-5d0578021ac4/full/843,/0/default.jpg</v>
      </c>
      <c r="N3054" s="3">
        <v>0.65</v>
      </c>
      <c r="O3054" s="3">
        <v>0.1</v>
      </c>
      <c r="P3054" s="3">
        <v>0.55000000000000004</v>
      </c>
      <c r="Q3054" s="3">
        <v>0.723261058330535</v>
      </c>
    </row>
    <row r="3055" spans="1:17" x14ac:dyDescent="0.45">
      <c r="A3055" s="3">
        <v>184726</v>
      </c>
      <c r="B3055" t="b">
        <v>0</v>
      </c>
      <c r="C3055" t="b">
        <v>0</v>
      </c>
      <c r="D3055" s="3">
        <v>2003</v>
      </c>
      <c r="E3055" s="3">
        <v>2003</v>
      </c>
      <c r="F3055" t="s">
        <v>4829</v>
      </c>
      <c r="G3055" t="s">
        <v>4823</v>
      </c>
      <c r="H3055" s="3">
        <v>9.9931000000000001</v>
      </c>
      <c r="I3055" t="s">
        <v>293</v>
      </c>
      <c r="J3055" t="s">
        <v>10977</v>
      </c>
      <c r="K3055" s="5" t="s">
        <v>15</v>
      </c>
      <c r="L3055" t="s">
        <v>4830</v>
      </c>
      <c r="M3055" t="str">
        <f>"https://www.artic.edu/iiif/2/"&amp;Table9[[#This Row],[Image ID]]&amp;"/full/843,/0/default.jpg"</f>
        <v>https://www.artic.edu/iiif/2/069a5374-82b6-04dd-8044-931cd010eaa5/full/843,/0/default.jpg</v>
      </c>
      <c r="N3055" s="3">
        <v>0.625</v>
      </c>
      <c r="O3055" s="3">
        <v>7.4999999999999997E-2</v>
      </c>
      <c r="P3055" s="3">
        <v>0.55000000000000004</v>
      </c>
      <c r="Q3055" s="3">
        <v>0.795260310173034</v>
      </c>
    </row>
    <row r="3056" spans="1:17" x14ac:dyDescent="0.45">
      <c r="A3056" s="3">
        <v>73645</v>
      </c>
      <c r="B3056" t="b">
        <v>0</v>
      </c>
      <c r="C3056" t="b">
        <v>0</v>
      </c>
      <c r="D3056" s="3">
        <v>1930</v>
      </c>
      <c r="E3056" s="3">
        <v>1930</v>
      </c>
      <c r="F3056" t="s">
        <v>1397</v>
      </c>
      <c r="G3056" t="s">
        <v>75</v>
      </c>
      <c r="H3056" s="3">
        <v>16.5121</v>
      </c>
      <c r="I3056" t="s">
        <v>2709</v>
      </c>
      <c r="J3056" t="s">
        <v>11133</v>
      </c>
      <c r="L3056" t="s">
        <v>9632</v>
      </c>
      <c r="M3056" t="str">
        <f>"https://www.artic.edu/iiif/2/"&amp;Table9[[#This Row],[Image ID]]&amp;"/full/843,/0/default.jpg"</f>
        <v>https://www.artic.edu/iiif/2/0bbd74cc-32ab-ca1b-737f-16359e9f2ed7/full/843,/0/default.jpg</v>
      </c>
      <c r="N3056" s="3">
        <v>0.65</v>
      </c>
      <c r="O3056" s="3">
        <v>0.1</v>
      </c>
      <c r="P3056" s="3">
        <v>0.55000000000000004</v>
      </c>
      <c r="Q3056" s="3">
        <v>0.70628339052200295</v>
      </c>
    </row>
    <row r="3057" spans="1:17" x14ac:dyDescent="0.45">
      <c r="A3057" s="3">
        <v>94011</v>
      </c>
      <c r="B3057" t="b">
        <v>0</v>
      </c>
      <c r="C3057" t="b">
        <v>0</v>
      </c>
      <c r="D3057" s="3">
        <v>1946</v>
      </c>
      <c r="E3057" s="3">
        <v>1946</v>
      </c>
      <c r="F3057" t="s">
        <v>10674</v>
      </c>
      <c r="G3057" t="s">
        <v>10675</v>
      </c>
      <c r="H3057" s="3">
        <v>17.542300000000001</v>
      </c>
      <c r="I3057" t="s">
        <v>378</v>
      </c>
      <c r="J3057" t="s">
        <v>11198</v>
      </c>
      <c r="L3057" t="s">
        <v>10676</v>
      </c>
      <c r="M3057" t="str">
        <f>"https://www.artic.edu/iiif/2/"&amp;Table9[[#This Row],[Image ID]]&amp;"/full/843,/0/default.jpg"</f>
        <v>https://www.artic.edu/iiif/2/11640643-0db0-80c9-4a74-72a7fe2e6521/full/843,/0/default.jpg</v>
      </c>
      <c r="N3057" s="3">
        <v>0.65</v>
      </c>
      <c r="O3057" s="3">
        <v>0.1</v>
      </c>
      <c r="P3057" s="3">
        <v>0.55000000000000004</v>
      </c>
      <c r="Q3057" s="3">
        <v>0.71456784009933405</v>
      </c>
    </row>
    <row r="3058" spans="1:17" x14ac:dyDescent="0.45">
      <c r="A3058" s="3">
        <v>14776</v>
      </c>
      <c r="B3058" t="b">
        <v>0</v>
      </c>
      <c r="C3058" t="b">
        <v>0</v>
      </c>
      <c r="F3058" t="s">
        <v>3663</v>
      </c>
      <c r="G3058" t="s">
        <v>3664</v>
      </c>
      <c r="H3058" s="3">
        <v>0</v>
      </c>
      <c r="I3058" t="s">
        <v>442</v>
      </c>
      <c r="J3058" t="s">
        <v>3666</v>
      </c>
      <c r="L3058" t="s">
        <v>3665</v>
      </c>
      <c r="M3058" t="str">
        <f>"https://www.artic.edu/iiif/2/"&amp;Table9[[#This Row],[Image ID]]&amp;"/full/843,/0/default.jpg"</f>
        <v>https://www.artic.edu/iiif/2/14083ef3-7757-bb4d-d480-848b74d64b34/full/843,/0/default.jpg</v>
      </c>
      <c r="N3058" s="3">
        <v>0.65</v>
      </c>
      <c r="O3058" s="3">
        <v>0.1</v>
      </c>
      <c r="P3058" s="3">
        <v>0.55000000000000004</v>
      </c>
      <c r="Q3058" s="3">
        <v>0.91234987974166804</v>
      </c>
    </row>
    <row r="3059" spans="1:17" x14ac:dyDescent="0.45">
      <c r="A3059" s="3">
        <v>72791</v>
      </c>
      <c r="B3059" t="b">
        <v>0</v>
      </c>
      <c r="C3059" t="b">
        <v>0</v>
      </c>
      <c r="D3059" s="3">
        <v>1644</v>
      </c>
      <c r="E3059" s="3">
        <v>1911</v>
      </c>
      <c r="F3059" t="s">
        <v>9577</v>
      </c>
      <c r="G3059" t="s">
        <v>1117</v>
      </c>
      <c r="H3059" s="3">
        <v>35.677100000000003</v>
      </c>
      <c r="J3059" t="s">
        <v>11436</v>
      </c>
      <c r="K3059" s="5" t="s">
        <v>130</v>
      </c>
      <c r="L3059" t="s">
        <v>9578</v>
      </c>
      <c r="M3059" t="str">
        <f>"https://www.artic.edu/iiif/2/"&amp;Table9[[#This Row],[Image ID]]&amp;"/full/843,/0/default.jpg"</f>
        <v>https://www.artic.edu/iiif/2/20a12134-66c2-a667-c6b2-0663cadbd047/full/843,/0/default.jpg</v>
      </c>
      <c r="N3059" s="3">
        <v>0.65</v>
      </c>
      <c r="O3059" s="3">
        <v>0.1</v>
      </c>
      <c r="P3059" s="3">
        <v>0.55000000000000004</v>
      </c>
      <c r="Q3059" s="3">
        <v>0.71910870075225797</v>
      </c>
    </row>
    <row r="3060" spans="1:17" x14ac:dyDescent="0.45">
      <c r="A3060" s="3">
        <v>118613</v>
      </c>
      <c r="B3060" t="b">
        <v>0</v>
      </c>
      <c r="C3060" t="b">
        <v>0</v>
      </c>
      <c r="D3060" s="3">
        <v>1937</v>
      </c>
      <c r="E3060" s="3">
        <v>1937</v>
      </c>
      <c r="F3060" t="s">
        <v>2515</v>
      </c>
      <c r="G3060" t="s">
        <v>2516</v>
      </c>
      <c r="H3060" s="3">
        <v>27.569700000000001</v>
      </c>
      <c r="I3060" t="s">
        <v>2517</v>
      </c>
      <c r="J3060" t="s">
        <v>11450</v>
      </c>
      <c r="L3060" t="s">
        <v>2518</v>
      </c>
      <c r="M3060" t="str">
        <f>"https://www.artic.edu/iiif/2/"&amp;Table9[[#This Row],[Image ID]]&amp;"/full/843,/0/default.jpg"</f>
        <v>https://www.artic.edu/iiif/2/21adb467-6455-bbf5-9b5e-010f01f43bd1/full/843,/0/default.jpg</v>
      </c>
      <c r="N3060" s="3">
        <v>0.65</v>
      </c>
      <c r="O3060" s="3">
        <v>0.1</v>
      </c>
      <c r="P3060" s="3">
        <v>0.55000000000000004</v>
      </c>
      <c r="Q3060" s="3">
        <v>0.45446103811263999</v>
      </c>
    </row>
    <row r="3061" spans="1:17" x14ac:dyDescent="0.45">
      <c r="A3061" s="3">
        <v>117494</v>
      </c>
      <c r="B3061" t="b">
        <v>0</v>
      </c>
      <c r="C3061" t="b">
        <v>0</v>
      </c>
      <c r="D3061" s="3">
        <v>1962</v>
      </c>
      <c r="E3061" s="3">
        <v>1962</v>
      </c>
      <c r="F3061" t="s">
        <v>11</v>
      </c>
      <c r="G3061" t="s">
        <v>2344</v>
      </c>
      <c r="H3061" s="3">
        <v>38.786799999999999</v>
      </c>
      <c r="I3061" t="s">
        <v>2342</v>
      </c>
      <c r="J3061" t="s">
        <v>11718</v>
      </c>
      <c r="L3061" t="s">
        <v>2345</v>
      </c>
      <c r="M3061" t="str">
        <f>"https://www.artic.edu/iiif/2/"&amp;Table9[[#This Row],[Image ID]]&amp;"/full/843,/0/default.jpg"</f>
        <v>https://www.artic.edu/iiif/2/32ee1302-b6f1-4a77-711c-09ad3632aad1/full/843,/0/default.jpg</v>
      </c>
      <c r="N3061" s="3">
        <v>0.625</v>
      </c>
      <c r="O3061" s="3">
        <v>7.4999999999999997E-2</v>
      </c>
      <c r="P3061" s="3">
        <v>0.55000000000000004</v>
      </c>
      <c r="Q3061" s="3">
        <v>0.88374292850494296</v>
      </c>
    </row>
    <row r="3062" spans="1:17" x14ac:dyDescent="0.45">
      <c r="A3062" s="3">
        <v>74699</v>
      </c>
      <c r="B3062" t="b">
        <v>0</v>
      </c>
      <c r="C3062" t="b">
        <v>0</v>
      </c>
      <c r="D3062" s="3">
        <v>1900</v>
      </c>
      <c r="E3062" s="3">
        <v>1910</v>
      </c>
      <c r="F3062" t="s">
        <v>9701</v>
      </c>
      <c r="G3062" t="s">
        <v>7</v>
      </c>
      <c r="H3062" s="3">
        <v>62.413200000000003</v>
      </c>
      <c r="I3062" t="s">
        <v>2988</v>
      </c>
      <c r="J3062" t="s">
        <v>11865</v>
      </c>
      <c r="L3062" t="s">
        <v>9702</v>
      </c>
      <c r="M3062" t="str">
        <f>"https://www.artic.edu/iiif/2/"&amp;Table9[[#This Row],[Image ID]]&amp;"/full/843,/0/default.jpg"</f>
        <v>https://www.artic.edu/iiif/2/3c8b9059-bc65-f925-8c59-a9b7bd9f98c6/full/843,/0/default.jpg</v>
      </c>
      <c r="N3062" s="3">
        <v>0.65</v>
      </c>
      <c r="O3062" s="3">
        <v>0.1</v>
      </c>
      <c r="P3062" s="3">
        <v>0.55000000000000004</v>
      </c>
      <c r="Q3062" s="3">
        <v>0.65922302007675104</v>
      </c>
    </row>
    <row r="3063" spans="1:17" x14ac:dyDescent="0.45">
      <c r="A3063" s="3">
        <v>66389</v>
      </c>
      <c r="B3063" t="b">
        <v>0</v>
      </c>
      <c r="C3063" t="b">
        <v>0</v>
      </c>
      <c r="D3063" s="3">
        <v>1956</v>
      </c>
      <c r="E3063" s="3">
        <v>1957</v>
      </c>
      <c r="F3063" t="s">
        <v>9249</v>
      </c>
      <c r="G3063" t="s">
        <v>9250</v>
      </c>
      <c r="H3063" s="3">
        <v>21.002400000000002</v>
      </c>
      <c r="I3063" t="s">
        <v>1091</v>
      </c>
      <c r="J3063" t="s">
        <v>12052</v>
      </c>
      <c r="L3063" t="s">
        <v>9251</v>
      </c>
      <c r="M3063" t="str">
        <f>"https://www.artic.edu/iiif/2/"&amp;Table9[[#This Row],[Image ID]]&amp;"/full/843,/0/default.jpg"</f>
        <v>https://www.artic.edu/iiif/2/49c1fcae-2966-1b72-a845-e70899ba610f/full/843,/0/default.jpg</v>
      </c>
      <c r="N3063" s="3">
        <v>0.67500000000000004</v>
      </c>
      <c r="O3063" s="3">
        <v>0.125</v>
      </c>
      <c r="P3063" s="3">
        <v>0.55000000000000004</v>
      </c>
      <c r="Q3063" s="3">
        <v>0.758494913578033</v>
      </c>
    </row>
    <row r="3064" spans="1:17" x14ac:dyDescent="0.45">
      <c r="A3064" s="3">
        <v>120542</v>
      </c>
      <c r="B3064" t="b">
        <v>0</v>
      </c>
      <c r="C3064" t="b">
        <v>0</v>
      </c>
      <c r="D3064" s="3">
        <v>1927</v>
      </c>
      <c r="E3064" s="3">
        <v>1927</v>
      </c>
      <c r="F3064" t="s">
        <v>2649</v>
      </c>
      <c r="G3064" t="s">
        <v>0</v>
      </c>
      <c r="H3064" s="3">
        <v>41.205500000000001</v>
      </c>
      <c r="I3064" t="s">
        <v>4769</v>
      </c>
      <c r="J3064" t="s">
        <v>12344</v>
      </c>
      <c r="L3064" t="s">
        <v>2650</v>
      </c>
      <c r="M3064" t="str">
        <f>"https://www.artic.edu/iiif/2/"&amp;Table9[[#This Row],[Image ID]]&amp;"/full/843,/0/default.jpg"</f>
        <v>https://www.artic.edu/iiif/2/5d3eec02-5b6f-1954-c6f1-63c159415cd5/full/843,/0/default.jpg</v>
      </c>
      <c r="N3064" s="3">
        <v>0.65</v>
      </c>
      <c r="O3064" s="3">
        <v>0.1</v>
      </c>
      <c r="P3064" s="3">
        <v>0.55000000000000004</v>
      </c>
      <c r="Q3064" s="3">
        <v>0.79863059520721402</v>
      </c>
    </row>
    <row r="3065" spans="1:17" x14ac:dyDescent="0.45">
      <c r="A3065" s="3">
        <v>236861</v>
      </c>
      <c r="B3065" t="b">
        <v>0</v>
      </c>
      <c r="C3065" t="b">
        <v>0</v>
      </c>
      <c r="D3065" s="3">
        <v>1928</v>
      </c>
      <c r="E3065" s="3">
        <v>1933</v>
      </c>
      <c r="F3065" t="s">
        <v>6296</v>
      </c>
      <c r="G3065" t="s">
        <v>6297</v>
      </c>
      <c r="H3065" s="3">
        <v>35.015700000000002</v>
      </c>
      <c r="I3065" t="s">
        <v>6298</v>
      </c>
      <c r="J3065" t="s">
        <v>12460</v>
      </c>
      <c r="K3065" s="5" t="s">
        <v>45</v>
      </c>
      <c r="L3065" t="s">
        <v>6299</v>
      </c>
      <c r="M3065" t="str">
        <f>"https://www.artic.edu/iiif/2/"&amp;Table9[[#This Row],[Image ID]]&amp;"/full/843,/0/default.jpg"</f>
        <v>https://www.artic.edu/iiif/2/658e5f8b-ca48-1271-411e-dec97a3f018a/full/843,/0/default.jpg</v>
      </c>
      <c r="N3065" s="3">
        <v>0.65</v>
      </c>
      <c r="O3065" s="3">
        <v>0.1</v>
      </c>
      <c r="P3065" s="3">
        <v>0.55000000000000004</v>
      </c>
      <c r="Q3065" s="3">
        <v>0.75801914930343595</v>
      </c>
    </row>
    <row r="3066" spans="1:17" x14ac:dyDescent="0.45">
      <c r="A3066" s="3">
        <v>9021</v>
      </c>
      <c r="B3066" t="b">
        <v>0</v>
      </c>
      <c r="C3066" t="b">
        <v>0</v>
      </c>
      <c r="D3066" s="3">
        <v>1913</v>
      </c>
      <c r="E3066" s="3">
        <v>1913</v>
      </c>
      <c r="F3066" t="s">
        <v>10514</v>
      </c>
      <c r="G3066" t="s">
        <v>7</v>
      </c>
      <c r="H3066" s="3">
        <v>43.003799999999998</v>
      </c>
      <c r="I3066" t="s">
        <v>5041</v>
      </c>
      <c r="J3066" t="s">
        <v>12495</v>
      </c>
      <c r="L3066" t="s">
        <v>10515</v>
      </c>
      <c r="M3066" t="str">
        <f>"https://www.artic.edu/iiif/2/"&amp;Table9[[#This Row],[Image ID]]&amp;"/full/843,/0/default.jpg"</f>
        <v>https://www.artic.edu/iiif/2/6829aab0-8d0e-9438-aebf-a1a379572951/full/843,/0/default.jpg</v>
      </c>
      <c r="N3066" s="3">
        <v>0.625</v>
      </c>
      <c r="O3066" s="3">
        <v>7.4999999999999997E-2</v>
      </c>
      <c r="P3066" s="3">
        <v>0.55000000000000004</v>
      </c>
      <c r="Q3066" s="3">
        <v>0.70577657222747803</v>
      </c>
    </row>
    <row r="3067" spans="1:17" x14ac:dyDescent="0.45">
      <c r="A3067" s="3">
        <v>16736</v>
      </c>
      <c r="B3067" t="b">
        <v>0</v>
      </c>
      <c r="C3067" t="b">
        <v>0</v>
      </c>
      <c r="D3067" s="3">
        <v>1924</v>
      </c>
      <c r="E3067" s="3">
        <v>1924</v>
      </c>
      <c r="F3067" t="s">
        <v>4548</v>
      </c>
      <c r="G3067" t="s">
        <v>3411</v>
      </c>
      <c r="H3067" s="3">
        <v>53.345399999999998</v>
      </c>
      <c r="I3067" t="s">
        <v>1277</v>
      </c>
      <c r="J3067" t="s">
        <v>12533</v>
      </c>
      <c r="L3067" t="s">
        <v>4549</v>
      </c>
      <c r="M3067" t="str">
        <f>"https://www.artic.edu/iiif/2/"&amp;Table9[[#This Row],[Image ID]]&amp;"/full/843,/0/default.jpg"</f>
        <v>https://www.artic.edu/iiif/2/6b25cb20-0004-4d3e-c3da-135697134e56/full/843,/0/default.jpg</v>
      </c>
      <c r="N3067" s="3">
        <v>0.65</v>
      </c>
      <c r="O3067" s="3">
        <v>0.1</v>
      </c>
      <c r="P3067" s="3">
        <v>0.55000000000000004</v>
      </c>
      <c r="Q3067" s="3">
        <v>0.627938032150268</v>
      </c>
    </row>
    <row r="3068" spans="1:17" x14ac:dyDescent="0.45">
      <c r="A3068" s="3">
        <v>44877</v>
      </c>
      <c r="B3068" t="b">
        <v>0</v>
      </c>
      <c r="C3068" t="b">
        <v>0</v>
      </c>
      <c r="D3068" s="3">
        <v>1942</v>
      </c>
      <c r="E3068" s="3">
        <v>1942</v>
      </c>
      <c r="F3068" t="s">
        <v>7817</v>
      </c>
      <c r="G3068" t="s">
        <v>5162</v>
      </c>
      <c r="H3068" s="3">
        <v>24.0322</v>
      </c>
      <c r="I3068" t="s">
        <v>7818</v>
      </c>
      <c r="J3068" t="s">
        <v>12543</v>
      </c>
      <c r="L3068" t="s">
        <v>7819</v>
      </c>
      <c r="M3068" t="str">
        <f>"https://www.artic.edu/iiif/2/"&amp;Table9[[#This Row],[Image ID]]&amp;"/full/843,/0/default.jpg"</f>
        <v>https://www.artic.edu/iiif/2/6b83aa9a-feaa-be8f-97b3-a5d4bf72694e/full/843,/0/default.jpg</v>
      </c>
      <c r="N3068" s="3">
        <v>0.625</v>
      </c>
      <c r="O3068" s="3">
        <v>7.4999999999999997E-2</v>
      </c>
      <c r="P3068" s="3">
        <v>0.55000000000000004</v>
      </c>
      <c r="Q3068" s="3">
        <v>0.57936602830886796</v>
      </c>
    </row>
    <row r="3069" spans="1:17" x14ac:dyDescent="0.45">
      <c r="A3069" s="3">
        <v>14758</v>
      </c>
      <c r="B3069" t="b">
        <v>0</v>
      </c>
      <c r="C3069" t="b">
        <v>0</v>
      </c>
      <c r="D3069" s="3">
        <v>1906</v>
      </c>
      <c r="E3069" s="3">
        <v>1907</v>
      </c>
      <c r="F3069" t="s">
        <v>3631</v>
      </c>
      <c r="G3069" t="s">
        <v>3629</v>
      </c>
      <c r="H3069" s="3">
        <v>12.7384</v>
      </c>
      <c r="I3069" t="s">
        <v>1164</v>
      </c>
      <c r="J3069" t="s">
        <v>12700</v>
      </c>
      <c r="L3069" t="s">
        <v>3632</v>
      </c>
      <c r="M3069" t="str">
        <f>"https://www.artic.edu/iiif/2/"&amp;Table9[[#This Row],[Image ID]]&amp;"/full/843,/0/default.jpg"</f>
        <v>https://www.artic.edu/iiif/2/76ed0f84-027f-d38b-bfed-81ca138b6ff9/full/843,/0/default.jpg</v>
      </c>
      <c r="N3069" s="3">
        <v>0.65</v>
      </c>
      <c r="O3069" s="3">
        <v>0.1</v>
      </c>
      <c r="P3069" s="3">
        <v>0.55000000000000004</v>
      </c>
      <c r="Q3069" s="3">
        <v>0.83944380283355702</v>
      </c>
    </row>
    <row r="3070" spans="1:17" x14ac:dyDescent="0.45">
      <c r="A3070" s="3">
        <v>14739</v>
      </c>
      <c r="B3070" t="b">
        <v>0</v>
      </c>
      <c r="C3070" t="b">
        <v>0</v>
      </c>
      <c r="D3070" s="3">
        <v>1913</v>
      </c>
      <c r="E3070" s="3">
        <v>1933</v>
      </c>
      <c r="F3070" t="s">
        <v>3609</v>
      </c>
      <c r="G3070" t="s">
        <v>1067</v>
      </c>
      <c r="H3070" s="3">
        <v>32.609000000000002</v>
      </c>
      <c r="I3070" t="s">
        <v>1068</v>
      </c>
      <c r="J3070" t="s">
        <v>12730</v>
      </c>
      <c r="L3070" t="s">
        <v>3610</v>
      </c>
      <c r="M3070" t="str">
        <f>"https://www.artic.edu/iiif/2/"&amp;Table9[[#This Row],[Image ID]]&amp;"/full/843,/0/default.jpg"</f>
        <v>https://www.artic.edu/iiif/2/7988b538-aa1f-d7dd-e58c-6789577ce54a/full/843,/0/default.jpg</v>
      </c>
      <c r="N3070" s="3">
        <v>0.625</v>
      </c>
      <c r="O3070" s="3">
        <v>7.4999999999999997E-2</v>
      </c>
      <c r="P3070" s="3">
        <v>0.55000000000000004</v>
      </c>
      <c r="Q3070" s="3">
        <v>0.70656192302703802</v>
      </c>
    </row>
    <row r="3071" spans="1:17" x14ac:dyDescent="0.45">
      <c r="A3071" s="3">
        <v>52980</v>
      </c>
      <c r="B3071" t="b">
        <v>0</v>
      </c>
      <c r="C3071" t="b">
        <v>0</v>
      </c>
      <c r="D3071" s="3">
        <v>1928</v>
      </c>
      <c r="E3071" s="3">
        <v>1928</v>
      </c>
      <c r="F3071" t="s">
        <v>8206</v>
      </c>
      <c r="G3071" t="s">
        <v>7</v>
      </c>
      <c r="H3071" s="3">
        <v>61.881399999999999</v>
      </c>
      <c r="I3071" t="s">
        <v>152</v>
      </c>
      <c r="J3071" t="s">
        <v>12745</v>
      </c>
      <c r="L3071" t="s">
        <v>8207</v>
      </c>
      <c r="M3071" t="str">
        <f>"https://www.artic.edu/iiif/2/"&amp;Table9[[#This Row],[Image ID]]&amp;"/full/843,/0/default.jpg"</f>
        <v>https://www.artic.edu/iiif/2/7a234567-f4e5-b0a5-8408-eb82938fb565/full/843,/0/default.jpg</v>
      </c>
      <c r="N3071" s="3">
        <v>0.55000000000000004</v>
      </c>
      <c r="O3071" s="3">
        <v>0</v>
      </c>
      <c r="P3071" s="3">
        <v>0.55000000000000004</v>
      </c>
      <c r="Q3071" s="3">
        <v>0.61210012435912997</v>
      </c>
    </row>
    <row r="3072" spans="1:17" x14ac:dyDescent="0.45">
      <c r="A3072" s="3">
        <v>53812</v>
      </c>
      <c r="B3072" t="b">
        <v>0</v>
      </c>
      <c r="C3072" t="b">
        <v>0</v>
      </c>
      <c r="D3072" s="3">
        <v>1935</v>
      </c>
      <c r="E3072" s="3">
        <v>1935</v>
      </c>
      <c r="F3072" t="s">
        <v>8289</v>
      </c>
      <c r="G3072" t="s">
        <v>8290</v>
      </c>
      <c r="H3072" s="3">
        <v>15.743399999999999</v>
      </c>
      <c r="I3072" t="s">
        <v>2582</v>
      </c>
      <c r="J3072" t="s">
        <v>12749</v>
      </c>
      <c r="L3072" t="s">
        <v>8291</v>
      </c>
      <c r="M3072" t="str">
        <f>"https://www.artic.edu/iiif/2/"&amp;Table9[[#This Row],[Image ID]]&amp;"/full/843,/0/default.jpg"</f>
        <v>https://www.artic.edu/iiif/2/7a769444-d4d3-1134-3574-c316cdd465cf/full/843,/0/default.jpg</v>
      </c>
      <c r="N3072" s="3">
        <v>0.67500000000000004</v>
      </c>
      <c r="O3072" s="3">
        <v>0.125</v>
      </c>
      <c r="P3072" s="3">
        <v>0.55000000000000004</v>
      </c>
      <c r="Q3072" s="3">
        <v>0.66330540180206299</v>
      </c>
    </row>
    <row r="3073" spans="1:17" x14ac:dyDescent="0.45">
      <c r="A3073" s="3">
        <v>20558</v>
      </c>
      <c r="B3073" t="b">
        <v>0</v>
      </c>
      <c r="C3073" t="b">
        <v>0</v>
      </c>
      <c r="D3073" s="3">
        <v>1909</v>
      </c>
      <c r="E3073" s="3">
        <v>1909</v>
      </c>
      <c r="F3073" t="s">
        <v>1654</v>
      </c>
      <c r="G3073" t="s">
        <v>5475</v>
      </c>
      <c r="H3073" s="3">
        <v>23.618600000000001</v>
      </c>
      <c r="I3073" t="s">
        <v>133</v>
      </c>
      <c r="J3073" t="s">
        <v>12763</v>
      </c>
      <c r="K3073" s="5" t="s">
        <v>134</v>
      </c>
      <c r="L3073" t="s">
        <v>5476</v>
      </c>
      <c r="M3073" t="str">
        <f>"https://www.artic.edu/iiif/2/"&amp;Table9[[#This Row],[Image ID]]&amp;"/full/843,/0/default.jpg"</f>
        <v>https://www.artic.edu/iiif/2/7bebd6bd-cb2f-5b56-98b6-f69252d87e6f/full/843,/0/default.jpg</v>
      </c>
      <c r="N3073" s="3">
        <v>0.65</v>
      </c>
      <c r="O3073" s="3">
        <v>0.1</v>
      </c>
      <c r="P3073" s="3">
        <v>0.55000000000000004</v>
      </c>
      <c r="Q3073" s="3">
        <v>0.78134691715240401</v>
      </c>
    </row>
    <row r="3074" spans="1:17" x14ac:dyDescent="0.45">
      <c r="A3074" s="3">
        <v>39658</v>
      </c>
      <c r="B3074" t="b">
        <v>0</v>
      </c>
      <c r="C3074" t="b">
        <v>0</v>
      </c>
      <c r="D3074" s="3">
        <v>1940</v>
      </c>
      <c r="E3074" s="3">
        <v>1940</v>
      </c>
      <c r="F3074" t="s">
        <v>7592</v>
      </c>
      <c r="G3074" t="s">
        <v>7593</v>
      </c>
      <c r="H3074" s="3">
        <v>41.267899999999997</v>
      </c>
      <c r="I3074" t="s">
        <v>2605</v>
      </c>
      <c r="J3074" t="s">
        <v>12795</v>
      </c>
      <c r="L3074" t="s">
        <v>7594</v>
      </c>
      <c r="M3074" t="str">
        <f>"https://www.artic.edu/iiif/2/"&amp;Table9[[#This Row],[Image ID]]&amp;"/full/843,/0/default.jpg"</f>
        <v>https://www.artic.edu/iiif/2/7f015565-5755-cc82-c2cd-1e6fbc4071b2/full/843,/0/default.jpg</v>
      </c>
      <c r="N3074" s="3">
        <v>0.65</v>
      </c>
      <c r="O3074" s="3">
        <v>0.1</v>
      </c>
      <c r="P3074" s="3">
        <v>0.55000000000000004</v>
      </c>
      <c r="Q3074" s="3">
        <v>0.41484233736991799</v>
      </c>
    </row>
    <row r="3075" spans="1:17" x14ac:dyDescent="0.45">
      <c r="A3075" s="3">
        <v>184927</v>
      </c>
      <c r="B3075" t="b">
        <v>0</v>
      </c>
      <c r="C3075" t="b">
        <v>0</v>
      </c>
      <c r="D3075" s="3">
        <v>2003</v>
      </c>
      <c r="E3075" s="3">
        <v>2003</v>
      </c>
      <c r="F3075" t="s">
        <v>4912</v>
      </c>
      <c r="G3075" t="s">
        <v>4823</v>
      </c>
      <c r="H3075" s="3">
        <v>6.6618000000000004</v>
      </c>
      <c r="I3075" t="s">
        <v>293</v>
      </c>
      <c r="J3075" t="s">
        <v>10977</v>
      </c>
      <c r="K3075" s="5" t="s">
        <v>15</v>
      </c>
      <c r="L3075" t="s">
        <v>4913</v>
      </c>
      <c r="M3075" t="str">
        <f>"https://www.artic.edu/iiif/2/"&amp;Table9[[#This Row],[Image ID]]&amp;"/full/843,/0/default.jpg"</f>
        <v>https://www.artic.edu/iiif/2/922fecea-083a-3d26-1599-1550b6af7d20/full/843,/0/default.jpg</v>
      </c>
      <c r="N3075" s="3">
        <v>0.65</v>
      </c>
      <c r="O3075" s="3">
        <v>0.1</v>
      </c>
      <c r="P3075" s="3">
        <v>0.55000000000000004</v>
      </c>
      <c r="Q3075" s="3">
        <v>0.84552472829818703</v>
      </c>
    </row>
    <row r="3076" spans="1:17" x14ac:dyDescent="0.45">
      <c r="A3076" s="3">
        <v>110966</v>
      </c>
      <c r="B3076" t="b">
        <v>0</v>
      </c>
      <c r="C3076" t="b">
        <v>0</v>
      </c>
      <c r="D3076" s="3">
        <v>1938</v>
      </c>
      <c r="E3076" s="3">
        <v>1938</v>
      </c>
      <c r="F3076" t="s">
        <v>977</v>
      </c>
      <c r="G3076" t="s">
        <v>7</v>
      </c>
      <c r="H3076" s="3">
        <v>38.322699999999998</v>
      </c>
      <c r="I3076" t="s">
        <v>523</v>
      </c>
      <c r="J3076" t="s">
        <v>13096</v>
      </c>
      <c r="L3076" t="s">
        <v>978</v>
      </c>
      <c r="M3076" t="str">
        <f>"https://www.artic.edu/iiif/2/"&amp;Table9[[#This Row],[Image ID]]&amp;"/full/843,/0/default.jpg"</f>
        <v>https://www.artic.edu/iiif/2/9620b92e-5e0a-cd3b-f71d-76364f8b70de/full/843,/0/default.jpg</v>
      </c>
      <c r="N3076" s="3">
        <v>0.625</v>
      </c>
      <c r="O3076" s="3">
        <v>7.4999999999999997E-2</v>
      </c>
      <c r="P3076" s="3">
        <v>0.55000000000000004</v>
      </c>
      <c r="Q3076" s="3">
        <v>0.72444969415664595</v>
      </c>
    </row>
    <row r="3077" spans="1:17" x14ac:dyDescent="0.45">
      <c r="A3077" s="3">
        <v>150767</v>
      </c>
      <c r="B3077" t="b">
        <v>0</v>
      </c>
      <c r="C3077" t="b">
        <v>0</v>
      </c>
      <c r="D3077" s="3">
        <v>1938</v>
      </c>
      <c r="E3077" s="3">
        <v>1938</v>
      </c>
      <c r="F3077" t="s">
        <v>3797</v>
      </c>
      <c r="G3077" t="s">
        <v>642</v>
      </c>
      <c r="H3077" s="3">
        <v>15.087899999999999</v>
      </c>
      <c r="I3077" t="s">
        <v>165</v>
      </c>
      <c r="J3077" t="s">
        <v>13301</v>
      </c>
      <c r="L3077" t="s">
        <v>3798</v>
      </c>
      <c r="M3077" t="str">
        <f>"https://www.artic.edu/iiif/2/"&amp;Table9[[#This Row],[Image ID]]&amp;"/full/843,/0/default.jpg"</f>
        <v>https://www.artic.edu/iiif/2/a5248ec9-6539-7827-f02c-b2dc564d0e05/full/843,/0/default.jpg</v>
      </c>
      <c r="N3077" s="3">
        <v>0.65</v>
      </c>
      <c r="O3077" s="3">
        <v>0.1</v>
      </c>
      <c r="P3077" s="3">
        <v>0.55000000000000004</v>
      </c>
      <c r="Q3077" s="3">
        <v>0.78836721181869496</v>
      </c>
    </row>
    <row r="3078" spans="1:17" x14ac:dyDescent="0.45">
      <c r="A3078" s="3">
        <v>250755</v>
      </c>
      <c r="B3078" t="b">
        <v>0</v>
      </c>
      <c r="C3078" t="b">
        <v>0</v>
      </c>
      <c r="D3078" s="3">
        <v>1961</v>
      </c>
      <c r="E3078" s="3">
        <v>1961</v>
      </c>
      <c r="F3078" t="s">
        <v>6485</v>
      </c>
      <c r="G3078" t="s">
        <v>7</v>
      </c>
      <c r="H3078" s="3">
        <v>27.303100000000001</v>
      </c>
      <c r="I3078" t="s">
        <v>6486</v>
      </c>
      <c r="J3078" t="s">
        <v>13445</v>
      </c>
      <c r="K3078" s="5" t="s">
        <v>3755</v>
      </c>
      <c r="L3078" t="s">
        <v>6487</v>
      </c>
      <c r="M3078" t="str">
        <f>"https://www.artic.edu/iiif/2/"&amp;Table9[[#This Row],[Image ID]]&amp;"/full/843,/0/default.jpg"</f>
        <v>https://www.artic.edu/iiif/2/afc24e4c-6367-50be-efc5-637e0dd123f9/full/843,/0/default.jpg</v>
      </c>
      <c r="N3078" s="3">
        <v>0.67500000000000004</v>
      </c>
      <c r="O3078" s="3">
        <v>0.125</v>
      </c>
      <c r="P3078" s="3">
        <v>0.55000000000000004</v>
      </c>
      <c r="Q3078" s="3">
        <v>0.68104773759841897</v>
      </c>
    </row>
    <row r="3079" spans="1:17" x14ac:dyDescent="0.45">
      <c r="A3079" s="3">
        <v>9510</v>
      </c>
      <c r="B3079" t="b">
        <v>0</v>
      </c>
      <c r="C3079" t="b">
        <v>0</v>
      </c>
      <c r="D3079" s="3">
        <v>1905</v>
      </c>
      <c r="E3079" s="3">
        <v>1905</v>
      </c>
      <c r="F3079" t="s">
        <v>10752</v>
      </c>
      <c r="G3079" t="s">
        <v>434</v>
      </c>
      <c r="H3079" s="3">
        <v>36.9315</v>
      </c>
      <c r="I3079" t="s">
        <v>14637</v>
      </c>
      <c r="J3079" t="s">
        <v>13461</v>
      </c>
      <c r="K3079" s="5" t="s">
        <v>115</v>
      </c>
      <c r="L3079" t="s">
        <v>10753</v>
      </c>
      <c r="M3079" t="str">
        <f>"https://www.artic.edu/iiif/2/"&amp;Table9[[#This Row],[Image ID]]&amp;"/full/843,/0/default.jpg"</f>
        <v>https://www.artic.edu/iiif/2/b0a463e2-4c5f-4055-26ba-08d7d42f8827/full/843,/0/default.jpg</v>
      </c>
      <c r="N3079" s="3">
        <v>0.625</v>
      </c>
      <c r="O3079" s="3">
        <v>7.4999999999999997E-2</v>
      </c>
      <c r="P3079" s="3">
        <v>0.55000000000000004</v>
      </c>
      <c r="Q3079" s="3">
        <v>0.78515732288360596</v>
      </c>
    </row>
    <row r="3080" spans="1:17" x14ac:dyDescent="0.45">
      <c r="A3080" s="3">
        <v>150794</v>
      </c>
      <c r="B3080" t="b">
        <v>0</v>
      </c>
      <c r="C3080" t="b">
        <v>0</v>
      </c>
      <c r="D3080" s="3">
        <v>1915</v>
      </c>
      <c r="E3080" s="3">
        <v>1925</v>
      </c>
      <c r="F3080" t="s">
        <v>3800</v>
      </c>
      <c r="G3080" t="s">
        <v>3801</v>
      </c>
      <c r="H3080" s="3">
        <v>46.364400000000003</v>
      </c>
      <c r="I3080" t="s">
        <v>523</v>
      </c>
      <c r="J3080" t="s">
        <v>13485</v>
      </c>
      <c r="L3080" t="s">
        <v>3802</v>
      </c>
      <c r="M3080" t="str">
        <f>"https://www.artic.edu/iiif/2/"&amp;Table9[[#This Row],[Image ID]]&amp;"/full/843,/0/default.jpg"</f>
        <v>https://www.artic.edu/iiif/2/b2a479b8-ce7c-a8fb-792d-5e719bec4554/full/843,/0/default.jpg</v>
      </c>
      <c r="N3080" s="3">
        <v>0.55000000000000004</v>
      </c>
      <c r="O3080" s="3">
        <v>0</v>
      </c>
      <c r="P3080" s="3">
        <v>0.55000000000000004</v>
      </c>
      <c r="Q3080" s="3">
        <v>0.80977648496627797</v>
      </c>
    </row>
    <row r="3081" spans="1:17" x14ac:dyDescent="0.45">
      <c r="A3081" s="3">
        <v>28681</v>
      </c>
      <c r="B3081" t="b">
        <v>0</v>
      </c>
      <c r="C3081" t="b">
        <v>0</v>
      </c>
      <c r="D3081" s="3">
        <v>1921</v>
      </c>
      <c r="E3081" s="3">
        <v>1921</v>
      </c>
      <c r="F3081" t="s">
        <v>6813</v>
      </c>
      <c r="G3081" t="s">
        <v>1283</v>
      </c>
      <c r="H3081" s="3">
        <v>23.9788</v>
      </c>
      <c r="I3081" t="s">
        <v>14694</v>
      </c>
      <c r="J3081" t="s">
        <v>13662</v>
      </c>
      <c r="L3081" t="s">
        <v>6814</v>
      </c>
      <c r="M3081" t="str">
        <f>"https://www.artic.edu/iiif/2/"&amp;Table9[[#This Row],[Image ID]]&amp;"/full/843,/0/default.jpg"</f>
        <v>https://www.artic.edu/iiif/2/c0df9197-8352-53f8-ec81-182a2ebe14fb/full/843,/0/default.jpg</v>
      </c>
      <c r="N3081" s="3">
        <v>0.67500000000000004</v>
      </c>
      <c r="O3081" s="3">
        <v>0.125</v>
      </c>
      <c r="P3081" s="3">
        <v>0.55000000000000004</v>
      </c>
      <c r="Q3081" s="3">
        <v>0.68475329875946001</v>
      </c>
    </row>
    <row r="3082" spans="1:17" x14ac:dyDescent="0.45">
      <c r="A3082" s="3">
        <v>125659</v>
      </c>
      <c r="B3082" t="b">
        <v>0</v>
      </c>
      <c r="C3082" t="b">
        <v>0</v>
      </c>
      <c r="D3082" s="3">
        <v>1943</v>
      </c>
      <c r="E3082" s="3">
        <v>1943</v>
      </c>
      <c r="F3082" t="s">
        <v>2764</v>
      </c>
      <c r="G3082" t="s">
        <v>2765</v>
      </c>
      <c r="H3082" s="3">
        <v>45.691400000000002</v>
      </c>
      <c r="I3082" t="s">
        <v>14565</v>
      </c>
      <c r="J3082" t="s">
        <v>2767</v>
      </c>
      <c r="L3082" t="s">
        <v>2766</v>
      </c>
      <c r="M3082" t="str">
        <f>"https://www.artic.edu/iiif/2/"&amp;Table9[[#This Row],[Image ID]]&amp;"/full/843,/0/default.jpg"</f>
        <v>https://www.artic.edu/iiif/2/c4cf11c2-2870-b745-3cf6-a562c74bb4b9/full/843,/0/default.jpg</v>
      </c>
      <c r="N3082" s="3">
        <v>0.65</v>
      </c>
      <c r="O3082" s="3">
        <v>0.1</v>
      </c>
      <c r="P3082" s="3">
        <v>0.55000000000000004</v>
      </c>
      <c r="Q3082" s="3">
        <v>0.90744197368621804</v>
      </c>
    </row>
    <row r="3083" spans="1:17" x14ac:dyDescent="0.45">
      <c r="A3083" s="3">
        <v>244933</v>
      </c>
      <c r="B3083" t="b">
        <v>0</v>
      </c>
      <c r="C3083" t="b">
        <v>0</v>
      </c>
      <c r="D3083" s="3">
        <v>1963</v>
      </c>
      <c r="E3083" s="3">
        <v>1963</v>
      </c>
      <c r="F3083" t="s">
        <v>6403</v>
      </c>
      <c r="G3083" t="s">
        <v>6404</v>
      </c>
      <c r="H3083" s="3">
        <v>18.143999999999998</v>
      </c>
      <c r="I3083" t="s">
        <v>6119</v>
      </c>
      <c r="J3083" t="s">
        <v>13727</v>
      </c>
      <c r="L3083" t="s">
        <v>6405</v>
      </c>
      <c r="M3083" t="str">
        <f>"https://www.artic.edu/iiif/2/"&amp;Table9[[#This Row],[Image ID]]&amp;"/full/843,/0/default.jpg"</f>
        <v>https://www.artic.edu/iiif/2/c6a43f11-1152-b28c-e697-cd1e0818b11a/full/843,/0/default.jpg</v>
      </c>
      <c r="N3083" s="3">
        <v>0.625</v>
      </c>
      <c r="O3083" s="3">
        <v>7.4999999999999997E-2</v>
      </c>
      <c r="P3083" s="3">
        <v>0.55000000000000004</v>
      </c>
      <c r="Q3083" s="3">
        <v>0.79401218891143799</v>
      </c>
    </row>
    <row r="3084" spans="1:17" x14ac:dyDescent="0.45">
      <c r="A3084" s="3">
        <v>145905</v>
      </c>
      <c r="B3084" t="b">
        <v>0</v>
      </c>
      <c r="C3084" t="b">
        <v>0</v>
      </c>
      <c r="D3084" s="3">
        <v>1917</v>
      </c>
      <c r="E3084" s="3">
        <v>1917</v>
      </c>
      <c r="F3084" t="s">
        <v>3422</v>
      </c>
      <c r="G3084" t="s">
        <v>1769</v>
      </c>
      <c r="H3084" s="3">
        <v>32.864899999999999</v>
      </c>
      <c r="I3084" t="s">
        <v>934</v>
      </c>
      <c r="J3084" t="s">
        <v>13777</v>
      </c>
      <c r="L3084" t="s">
        <v>3423</v>
      </c>
      <c r="M3084" t="str">
        <f>"https://www.artic.edu/iiif/2/"&amp;Table9[[#This Row],[Image ID]]&amp;"/full/843,/0/default.jpg"</f>
        <v>https://www.artic.edu/iiif/2/ca181775-ae45-04d6-436e-19ab955bbd87/full/843,/0/default.jpg</v>
      </c>
      <c r="N3084" s="3">
        <v>0.65</v>
      </c>
      <c r="O3084" s="3">
        <v>0.1</v>
      </c>
      <c r="P3084" s="3">
        <v>0.55000000000000004</v>
      </c>
      <c r="Q3084" s="3">
        <v>0.59473466873168901</v>
      </c>
    </row>
    <row r="3085" spans="1:17" x14ac:dyDescent="0.45">
      <c r="A3085" s="3">
        <v>58333</v>
      </c>
      <c r="B3085" t="b">
        <v>0</v>
      </c>
      <c r="C3085" t="b">
        <v>0</v>
      </c>
      <c r="D3085" s="3">
        <v>1962</v>
      </c>
      <c r="E3085" s="3">
        <v>1965</v>
      </c>
      <c r="F3085" t="s">
        <v>8512</v>
      </c>
      <c r="G3085" t="s">
        <v>2248</v>
      </c>
      <c r="H3085" s="3">
        <v>34.708599999999997</v>
      </c>
      <c r="I3085" t="s">
        <v>599</v>
      </c>
      <c r="J3085" t="s">
        <v>11666</v>
      </c>
      <c r="L3085" t="s">
        <v>8513</v>
      </c>
      <c r="M3085" t="str">
        <f>"https://www.artic.edu/iiif/2/"&amp;Table9[[#This Row],[Image ID]]&amp;"/full/843,/0/default.jpg"</f>
        <v>https://www.artic.edu/iiif/2/cab26317-506d-4dfb-e2a3-ee4eb40002de/full/843,/0/default.jpg</v>
      </c>
      <c r="N3085" s="3">
        <v>0.65</v>
      </c>
      <c r="O3085" s="3">
        <v>0.1</v>
      </c>
      <c r="P3085" s="3">
        <v>0.55000000000000004</v>
      </c>
      <c r="Q3085" s="3">
        <v>0.81003594398498502</v>
      </c>
    </row>
    <row r="3086" spans="1:17" x14ac:dyDescent="0.45">
      <c r="A3086" s="3">
        <v>8424</v>
      </c>
      <c r="B3086" t="b">
        <v>0</v>
      </c>
      <c r="C3086" t="b">
        <v>0</v>
      </c>
      <c r="D3086" s="3">
        <v>1923</v>
      </c>
      <c r="E3086" s="3">
        <v>1923</v>
      </c>
      <c r="F3086" t="s">
        <v>10271</v>
      </c>
      <c r="G3086" t="s">
        <v>10272</v>
      </c>
      <c r="H3086" s="3">
        <v>35.194299999999998</v>
      </c>
      <c r="I3086" t="s">
        <v>8997</v>
      </c>
      <c r="J3086" t="s">
        <v>13855</v>
      </c>
      <c r="L3086" t="s">
        <v>10273</v>
      </c>
      <c r="M3086" t="str">
        <f>"https://www.artic.edu/iiif/2/"&amp;Table9[[#This Row],[Image ID]]&amp;"/full/843,/0/default.jpg"</f>
        <v>https://www.artic.edu/iiif/2/d0f301be-3bf3-c34b-6bd4-ac980cdc82ef/full/843,/0/default.jpg</v>
      </c>
      <c r="N3086" s="3">
        <v>0.625</v>
      </c>
      <c r="O3086" s="3">
        <v>7.4999999999999997E-2</v>
      </c>
      <c r="P3086" s="3">
        <v>0.55000000000000004</v>
      </c>
      <c r="Q3086" s="3">
        <v>0.62721282243728604</v>
      </c>
    </row>
    <row r="3087" spans="1:17" x14ac:dyDescent="0.45">
      <c r="A3087" s="3">
        <v>21727</v>
      </c>
      <c r="B3087" t="b">
        <v>0</v>
      </c>
      <c r="C3087" t="b">
        <v>0</v>
      </c>
      <c r="D3087" s="3">
        <v>1935</v>
      </c>
      <c r="E3087" s="3">
        <v>1935</v>
      </c>
      <c r="F3087" t="s">
        <v>3314</v>
      </c>
      <c r="G3087" t="s">
        <v>7</v>
      </c>
      <c r="H3087" s="3">
        <v>30.123100000000001</v>
      </c>
      <c r="I3087" t="s">
        <v>4765</v>
      </c>
      <c r="J3087" t="s">
        <v>13882</v>
      </c>
      <c r="K3087" s="5" t="s">
        <v>45</v>
      </c>
      <c r="L3087" t="s">
        <v>5674</v>
      </c>
      <c r="M3087" t="str">
        <f>"https://www.artic.edu/iiif/2/"&amp;Table9[[#This Row],[Image ID]]&amp;"/full/843,/0/default.jpg"</f>
        <v>https://www.artic.edu/iiif/2/d388928f-3222-b48c-1cbb-7afa917de928/full/843,/0/default.jpg</v>
      </c>
      <c r="N3087" s="3">
        <v>0.72499999999999998</v>
      </c>
      <c r="O3087" s="3">
        <v>0.17499999999999999</v>
      </c>
      <c r="P3087" s="3">
        <v>0.55000000000000004</v>
      </c>
      <c r="Q3087" s="3">
        <v>0.67111021280288696</v>
      </c>
    </row>
    <row r="3088" spans="1:17" x14ac:dyDescent="0.45">
      <c r="A3088" s="3">
        <v>65955</v>
      </c>
      <c r="B3088" t="b">
        <v>0</v>
      </c>
      <c r="C3088" t="b">
        <v>0</v>
      </c>
      <c r="D3088" s="3">
        <v>1912</v>
      </c>
      <c r="E3088" s="3">
        <v>1912</v>
      </c>
      <c r="F3088" t="s">
        <v>9113</v>
      </c>
      <c r="G3088" t="s">
        <v>9114</v>
      </c>
      <c r="H3088" s="3">
        <v>21.754200000000001</v>
      </c>
      <c r="I3088" t="s">
        <v>949</v>
      </c>
      <c r="J3088" t="s">
        <v>13975</v>
      </c>
      <c r="L3088" t="s">
        <v>9115</v>
      </c>
      <c r="M3088" t="str">
        <f>"https://www.artic.edu/iiif/2/"&amp;Table9[[#This Row],[Image ID]]&amp;"/full/843,/0/default.jpg"</f>
        <v>https://www.artic.edu/iiif/2/d9cd2a46-1189-a8ee-ebdf-d656baa45656/full/843,/0/default.jpg</v>
      </c>
      <c r="N3088" s="3">
        <v>0.65</v>
      </c>
      <c r="O3088" s="3">
        <v>0.1</v>
      </c>
      <c r="P3088" s="3">
        <v>0.55000000000000004</v>
      </c>
      <c r="Q3088" s="3">
        <v>0.70293551683425903</v>
      </c>
    </row>
    <row r="3089" spans="1:17" x14ac:dyDescent="0.45">
      <c r="A3089" s="3">
        <v>76258</v>
      </c>
      <c r="B3089" t="b">
        <v>0</v>
      </c>
      <c r="C3089" t="b">
        <v>0</v>
      </c>
      <c r="D3089" s="3">
        <v>1911</v>
      </c>
      <c r="E3089" s="3">
        <v>1911</v>
      </c>
      <c r="F3089" t="s">
        <v>6111</v>
      </c>
      <c r="G3089" t="s">
        <v>7</v>
      </c>
      <c r="H3089" s="3">
        <v>28.5137</v>
      </c>
      <c r="I3089" t="s">
        <v>498</v>
      </c>
      <c r="J3089" t="s">
        <v>14009</v>
      </c>
      <c r="L3089" t="s">
        <v>9782</v>
      </c>
      <c r="M3089" t="str">
        <f>"https://www.artic.edu/iiif/2/"&amp;Table9[[#This Row],[Image ID]]&amp;"/full/843,/0/default.jpg"</f>
        <v>https://www.artic.edu/iiif/2/dc0610ff-2182-ecad-b457-97a523db2a63/full/843,/0/default.jpg</v>
      </c>
      <c r="N3089" s="3">
        <v>0.65</v>
      </c>
      <c r="O3089" s="3">
        <v>0.1</v>
      </c>
      <c r="P3089" s="3">
        <v>0.55000000000000004</v>
      </c>
      <c r="Q3089" s="3">
        <v>0.69550603628158503</v>
      </c>
    </row>
    <row r="3090" spans="1:17" x14ac:dyDescent="0.45">
      <c r="A3090" s="3">
        <v>135518</v>
      </c>
      <c r="B3090" t="b">
        <v>0</v>
      </c>
      <c r="C3090" t="b">
        <v>0</v>
      </c>
      <c r="D3090" s="3">
        <v>1930</v>
      </c>
      <c r="E3090" s="3">
        <v>1940</v>
      </c>
      <c r="F3090" t="s">
        <v>3139</v>
      </c>
      <c r="G3090" t="s">
        <v>3140</v>
      </c>
      <c r="H3090" s="3">
        <v>55.260199999999998</v>
      </c>
      <c r="I3090" t="s">
        <v>40</v>
      </c>
      <c r="J3090" t="s">
        <v>14019</v>
      </c>
      <c r="L3090" t="s">
        <v>3141</v>
      </c>
      <c r="M3090" t="str">
        <f>"https://www.artic.edu/iiif/2/"&amp;Table9[[#This Row],[Image ID]]&amp;"/full/843,/0/default.jpg"</f>
        <v>https://www.artic.edu/iiif/2/dcdf38a5-214f-7396-fa6a-1ee822269af0/full/843,/0/default.jpg</v>
      </c>
      <c r="N3090" s="3">
        <v>0.65</v>
      </c>
      <c r="O3090" s="3">
        <v>0.1</v>
      </c>
      <c r="P3090" s="3">
        <v>0.55000000000000004</v>
      </c>
      <c r="Q3090" s="3">
        <v>0.86012393236160201</v>
      </c>
    </row>
    <row r="3091" spans="1:17" x14ac:dyDescent="0.45">
      <c r="A3091" s="3">
        <v>44880</v>
      </c>
      <c r="B3091" t="b">
        <v>0</v>
      </c>
      <c r="C3091" t="b">
        <v>0</v>
      </c>
      <c r="D3091" s="3">
        <v>1912</v>
      </c>
      <c r="E3091" s="3">
        <v>1912</v>
      </c>
      <c r="F3091" t="s">
        <v>7820</v>
      </c>
      <c r="G3091" t="s">
        <v>7</v>
      </c>
      <c r="H3091" s="3">
        <v>18.574300000000001</v>
      </c>
      <c r="I3091" t="s">
        <v>200</v>
      </c>
      <c r="J3091" t="s">
        <v>14041</v>
      </c>
      <c r="L3091" t="s">
        <v>7821</v>
      </c>
      <c r="M3091" t="str">
        <f>"https://www.artic.edu/iiif/2/"&amp;Table9[[#This Row],[Image ID]]&amp;"/full/843,/0/default.jpg"</f>
        <v>https://www.artic.edu/iiif/2/de600ca7-30e2-a9d0-0f57-2e0b6666e3a4/full/843,/0/default.jpg</v>
      </c>
      <c r="N3091" s="3">
        <v>0.625</v>
      </c>
      <c r="O3091" s="3">
        <v>7.4999999999999997E-2</v>
      </c>
      <c r="P3091" s="3">
        <v>0.55000000000000004</v>
      </c>
      <c r="Q3091" s="3">
        <v>0.62115776538848799</v>
      </c>
    </row>
    <row r="3092" spans="1:17" x14ac:dyDescent="0.45">
      <c r="A3092" s="3">
        <v>111320</v>
      </c>
      <c r="B3092" t="b">
        <v>0</v>
      </c>
      <c r="C3092" t="b">
        <v>0</v>
      </c>
      <c r="D3092" s="3">
        <v>1918</v>
      </c>
      <c r="E3092" s="3">
        <v>1923</v>
      </c>
      <c r="F3092" t="s">
        <v>1063</v>
      </c>
      <c r="G3092" t="s">
        <v>1064</v>
      </c>
      <c r="H3092" s="3">
        <v>14.8835</v>
      </c>
      <c r="I3092" t="s">
        <v>851</v>
      </c>
      <c r="J3092" t="s">
        <v>14113</v>
      </c>
      <c r="L3092" t="s">
        <v>1065</v>
      </c>
      <c r="M3092" t="str">
        <f>"https://www.artic.edu/iiif/2/"&amp;Table9[[#This Row],[Image ID]]&amp;"/full/843,/0/default.jpg"</f>
        <v>https://www.artic.edu/iiif/2/e2c9dea7-ed1b-ce85-7a08-5b48360f3bbe/full/843,/0/default.jpg</v>
      </c>
      <c r="N3092" s="3">
        <v>0.65</v>
      </c>
      <c r="O3092" s="3">
        <v>0.1</v>
      </c>
      <c r="P3092" s="3">
        <v>0.55000000000000004</v>
      </c>
      <c r="Q3092" s="3">
        <v>0.67151832580566395</v>
      </c>
    </row>
    <row r="3093" spans="1:17" x14ac:dyDescent="0.45">
      <c r="A3093" s="3">
        <v>18735</v>
      </c>
      <c r="B3093" t="b">
        <v>0</v>
      </c>
      <c r="C3093" t="b">
        <v>0</v>
      </c>
      <c r="D3093" s="3">
        <v>1887</v>
      </c>
      <c r="E3093" s="3">
        <v>1887</v>
      </c>
      <c r="F3093" t="s">
        <v>2056</v>
      </c>
      <c r="G3093" t="s">
        <v>7</v>
      </c>
      <c r="H3093" s="3">
        <v>30.498799999999999</v>
      </c>
      <c r="I3093" t="s">
        <v>3452</v>
      </c>
      <c r="J3093" t="s">
        <v>14127</v>
      </c>
      <c r="K3093" s="5" t="s">
        <v>9</v>
      </c>
      <c r="L3093" t="s">
        <v>5112</v>
      </c>
      <c r="M3093" t="str">
        <f>"https://www.artic.edu/iiif/2/"&amp;Table9[[#This Row],[Image ID]]&amp;"/full/843,/0/default.jpg"</f>
        <v>https://www.artic.edu/iiif/2/e3cbb94e-53c7-ee47-a2ec-529fa62cf8b6/full/843,/0/default.jpg</v>
      </c>
      <c r="N3093" s="3">
        <v>0.625</v>
      </c>
      <c r="O3093" s="3">
        <v>7.4999999999999997E-2</v>
      </c>
      <c r="P3093" s="3">
        <v>0.55000000000000004</v>
      </c>
      <c r="Q3093" s="3">
        <v>0.55333620309829701</v>
      </c>
    </row>
    <row r="3094" spans="1:17" x14ac:dyDescent="0.45">
      <c r="A3094" s="3">
        <v>2926</v>
      </c>
      <c r="B3094" t="b">
        <v>0</v>
      </c>
      <c r="C3094" t="b">
        <v>0</v>
      </c>
      <c r="D3094" s="3">
        <v>1910</v>
      </c>
      <c r="E3094" s="3">
        <v>1910</v>
      </c>
      <c r="F3094" t="s">
        <v>6905</v>
      </c>
      <c r="G3094" t="s">
        <v>6906</v>
      </c>
      <c r="H3094" s="3">
        <v>20.226400000000002</v>
      </c>
      <c r="I3094" t="s">
        <v>949</v>
      </c>
      <c r="J3094" t="s">
        <v>14131</v>
      </c>
      <c r="L3094" t="s">
        <v>6907</v>
      </c>
      <c r="M3094" t="str">
        <f>"https://www.artic.edu/iiif/2/"&amp;Table9[[#This Row],[Image ID]]&amp;"/full/843,/0/default.jpg"</f>
        <v>https://www.artic.edu/iiif/2/e3d683ee-d24c-cd8e-db91-a98cbad3851a/full/843,/0/default.jpg</v>
      </c>
      <c r="N3094" s="3">
        <v>0.625</v>
      </c>
      <c r="O3094" s="3">
        <v>7.4999999999999997E-2</v>
      </c>
      <c r="P3094" s="3">
        <v>0.55000000000000004</v>
      </c>
      <c r="Q3094" s="3">
        <v>0.69702190160751298</v>
      </c>
    </row>
    <row r="3095" spans="1:17" x14ac:dyDescent="0.45">
      <c r="A3095" s="3">
        <v>17394</v>
      </c>
      <c r="B3095" t="b">
        <v>0</v>
      </c>
      <c r="C3095" t="b">
        <v>0</v>
      </c>
      <c r="D3095" s="3">
        <v>1917</v>
      </c>
      <c r="E3095" s="3">
        <v>1917</v>
      </c>
      <c r="F3095" t="s">
        <v>2056</v>
      </c>
      <c r="G3095" t="s">
        <v>7</v>
      </c>
      <c r="H3095" s="3">
        <v>33.767299999999999</v>
      </c>
      <c r="I3095" t="s">
        <v>70</v>
      </c>
      <c r="J3095" t="s">
        <v>14168</v>
      </c>
      <c r="L3095" t="s">
        <v>4643</v>
      </c>
      <c r="M3095" t="str">
        <f>"https://www.artic.edu/iiif/2/"&amp;Table9[[#This Row],[Image ID]]&amp;"/full/843,/0/default.jpg"</f>
        <v>https://www.artic.edu/iiif/2/e68f31b4-c722-3c24-c1ae-76e331d99e80/full/843,/0/default.jpg</v>
      </c>
      <c r="N3095" s="3">
        <v>0.67500000000000004</v>
      </c>
      <c r="O3095" s="3">
        <v>0.125</v>
      </c>
      <c r="P3095" s="3">
        <v>0.55000000000000004</v>
      </c>
      <c r="Q3095" s="3">
        <v>0.71453839540481501</v>
      </c>
    </row>
    <row r="3096" spans="1:17" x14ac:dyDescent="0.45">
      <c r="A3096" s="3">
        <v>225745</v>
      </c>
      <c r="B3096" t="b">
        <v>0</v>
      </c>
      <c r="C3096" t="b">
        <v>0</v>
      </c>
      <c r="D3096" s="3">
        <v>1959</v>
      </c>
      <c r="E3096" s="3">
        <v>1959</v>
      </c>
      <c r="F3096" t="s">
        <v>5950</v>
      </c>
      <c r="G3096" t="s">
        <v>5917</v>
      </c>
      <c r="H3096" s="3">
        <v>44.133299999999998</v>
      </c>
      <c r="I3096" t="s">
        <v>5918</v>
      </c>
      <c r="J3096" t="s">
        <v>11203</v>
      </c>
      <c r="L3096" t="s">
        <v>5951</v>
      </c>
      <c r="M3096" t="str">
        <f>"https://www.artic.edu/iiif/2/"&amp;Table9[[#This Row],[Image ID]]&amp;"/full/843,/0/default.jpg"</f>
        <v>https://www.artic.edu/iiif/2/eebecbd8-1460-d65e-ba66-286eb7c0ceaf/full/843,/0/default.jpg</v>
      </c>
      <c r="N3096" s="3">
        <v>0.625</v>
      </c>
      <c r="O3096" s="3">
        <v>7.4999999999999997E-2</v>
      </c>
      <c r="P3096" s="3">
        <v>0.55000000000000004</v>
      </c>
      <c r="Q3096" s="3">
        <v>0.72601121664047197</v>
      </c>
    </row>
    <row r="3097" spans="1:17" x14ac:dyDescent="0.45">
      <c r="A3097" s="3">
        <v>113680</v>
      </c>
      <c r="B3097" t="b">
        <v>0</v>
      </c>
      <c r="C3097" t="b">
        <v>0</v>
      </c>
      <c r="D3097" s="3">
        <v>1940</v>
      </c>
      <c r="E3097" s="3">
        <v>1950</v>
      </c>
      <c r="F3097" t="s">
        <v>1478</v>
      </c>
      <c r="G3097" t="s">
        <v>1479</v>
      </c>
      <c r="H3097" s="3">
        <v>10.1035</v>
      </c>
      <c r="I3097" t="s">
        <v>1275</v>
      </c>
      <c r="J3097" t="s">
        <v>14300</v>
      </c>
      <c r="L3097" t="s">
        <v>1480</v>
      </c>
      <c r="M3097" t="str">
        <f>"https://www.artic.edu/iiif/2/"&amp;Table9[[#This Row],[Image ID]]&amp;"/full/843,/0/default.jpg"</f>
        <v>https://www.artic.edu/iiif/2/ef2bd268-7ed2-3eed-b2c7-e062bf8ba474/full/843,/0/default.jpg</v>
      </c>
      <c r="N3097" s="3">
        <v>0.67500000000000004</v>
      </c>
      <c r="O3097" s="3">
        <v>0.125</v>
      </c>
      <c r="P3097" s="3">
        <v>0.55000000000000004</v>
      </c>
      <c r="Q3097" s="3">
        <v>0.72627437114715498</v>
      </c>
    </row>
    <row r="3098" spans="1:17" x14ac:dyDescent="0.45">
      <c r="A3098" s="3">
        <v>144467</v>
      </c>
      <c r="B3098" t="b">
        <v>0</v>
      </c>
      <c r="C3098" t="b">
        <v>1</v>
      </c>
      <c r="D3098" s="3">
        <v>1911</v>
      </c>
      <c r="E3098" s="3">
        <v>1921</v>
      </c>
      <c r="F3098" t="s">
        <v>3327</v>
      </c>
      <c r="G3098" t="s">
        <v>7</v>
      </c>
      <c r="H3098" s="3">
        <v>38.919800000000002</v>
      </c>
      <c r="I3098" t="s">
        <v>847</v>
      </c>
      <c r="J3098" t="s">
        <v>11372</v>
      </c>
      <c r="L3098" t="s">
        <v>3328</v>
      </c>
      <c r="M3098" t="str">
        <f>"https://www.artic.edu/iiif/2/"&amp;Table9[[#This Row],[Image ID]]&amp;"/full/843,/0/default.jpg"</f>
        <v>https://www.artic.edu/iiif/2/1cf0948e-6b18-45ac-c2c3-3ec6b936839b/full/843,/0/default.jpg</v>
      </c>
      <c r="N3098" s="3">
        <v>0.6</v>
      </c>
      <c r="O3098" s="3">
        <v>0.05</v>
      </c>
      <c r="P3098" s="3">
        <v>0.54999999999999993</v>
      </c>
      <c r="Q3098" s="3">
        <v>0.75170511007308904</v>
      </c>
    </row>
    <row r="3099" spans="1:17" x14ac:dyDescent="0.45">
      <c r="A3099" s="3">
        <v>114060</v>
      </c>
      <c r="B3099" t="b">
        <v>0</v>
      </c>
      <c r="C3099" t="b">
        <v>1</v>
      </c>
      <c r="D3099" s="3">
        <v>1800</v>
      </c>
      <c r="E3099" s="3">
        <v>1899</v>
      </c>
      <c r="F3099" t="s">
        <v>1551</v>
      </c>
      <c r="G3099" t="s">
        <v>1552</v>
      </c>
      <c r="H3099" s="3">
        <v>68.499499999999998</v>
      </c>
      <c r="I3099" t="s">
        <v>1553</v>
      </c>
      <c r="J3099" t="s">
        <v>11374</v>
      </c>
      <c r="L3099" t="s">
        <v>1554</v>
      </c>
      <c r="M3099" t="str">
        <f>"https://www.artic.edu/iiif/2/"&amp;Table9[[#This Row],[Image ID]]&amp;"/full/843,/0/default.jpg"</f>
        <v>https://www.artic.edu/iiif/2/1d06ec0f-a192-909b-ec2b-6aaa2455b1c8/full/843,/0/default.jpg</v>
      </c>
      <c r="N3099" s="3">
        <v>0.6</v>
      </c>
      <c r="O3099" s="3">
        <v>0.05</v>
      </c>
      <c r="P3099" s="3">
        <v>0.54999999999999993</v>
      </c>
      <c r="Q3099" s="3">
        <v>0.606819748878479</v>
      </c>
    </row>
    <row r="3100" spans="1:17" x14ac:dyDescent="0.45">
      <c r="A3100" s="3">
        <v>80905</v>
      </c>
      <c r="B3100" t="b">
        <v>0</v>
      </c>
      <c r="C3100" t="b">
        <v>1</v>
      </c>
      <c r="D3100" s="3">
        <v>1430</v>
      </c>
      <c r="E3100" s="3">
        <v>1440</v>
      </c>
      <c r="F3100" t="s">
        <v>10059</v>
      </c>
      <c r="G3100" t="s">
        <v>9814</v>
      </c>
      <c r="H3100" s="3">
        <v>27.340800000000002</v>
      </c>
      <c r="I3100" t="s">
        <v>2720</v>
      </c>
      <c r="J3100" t="s">
        <v>11631</v>
      </c>
      <c r="K3100" s="5" t="s">
        <v>278</v>
      </c>
      <c r="L3100" t="s">
        <v>10060</v>
      </c>
      <c r="M3100" t="str">
        <f>"https://www.artic.edu/iiif/2/"&amp;Table9[[#This Row],[Image ID]]&amp;"/full/843,/0/default.jpg"</f>
        <v>https://www.artic.edu/iiif/2/2d195c99-00eb-7ba0-d120-29b9d1f1fa9f/full/843,/0/default.jpg</v>
      </c>
      <c r="N3100" s="3">
        <v>0.57499999999999996</v>
      </c>
      <c r="O3100" s="3">
        <v>2.5000000000000001E-2</v>
      </c>
      <c r="P3100" s="3">
        <v>0.54999999999999993</v>
      </c>
      <c r="Q3100" s="3">
        <v>0.83451533317565896</v>
      </c>
    </row>
    <row r="3101" spans="1:17" x14ac:dyDescent="0.45">
      <c r="A3101" s="3">
        <v>17501</v>
      </c>
      <c r="B3101" t="b">
        <v>0</v>
      </c>
      <c r="C3101" t="b">
        <v>1</v>
      </c>
      <c r="D3101" s="3">
        <v>1818</v>
      </c>
      <c r="E3101" s="3">
        <v>1863</v>
      </c>
      <c r="F3101" t="s">
        <v>4653</v>
      </c>
      <c r="G3101" t="s">
        <v>1552</v>
      </c>
      <c r="H3101" s="3">
        <v>26.3962</v>
      </c>
      <c r="I3101" t="s">
        <v>14686</v>
      </c>
      <c r="J3101" t="s">
        <v>11867</v>
      </c>
      <c r="L3101" t="s">
        <v>4654</v>
      </c>
      <c r="M3101" t="str">
        <f>"https://www.artic.edu/iiif/2/"&amp;Table9[[#This Row],[Image ID]]&amp;"/full/843,/0/default.jpg"</f>
        <v>https://www.artic.edu/iiif/2/3c9cf237-317e-1b3c-c0c4-26959b2e84be/full/843,/0/default.jpg</v>
      </c>
      <c r="N3101" s="3">
        <v>0.7</v>
      </c>
      <c r="O3101" s="3">
        <v>0.15</v>
      </c>
      <c r="P3101" s="3">
        <v>0.54999999999999993</v>
      </c>
      <c r="Q3101" s="3">
        <v>0.64564853906631403</v>
      </c>
    </row>
    <row r="3102" spans="1:17" x14ac:dyDescent="0.45">
      <c r="A3102" s="3">
        <v>111623</v>
      </c>
      <c r="B3102" t="b">
        <v>0</v>
      </c>
      <c r="C3102" t="b">
        <v>1</v>
      </c>
      <c r="D3102" s="3">
        <v>1855</v>
      </c>
      <c r="E3102" s="3">
        <v>1865</v>
      </c>
      <c r="F3102" t="s">
        <v>1156</v>
      </c>
      <c r="G3102" t="s">
        <v>7</v>
      </c>
      <c r="H3102" s="3">
        <v>52.7898</v>
      </c>
      <c r="I3102" t="s">
        <v>1157</v>
      </c>
      <c r="J3102" t="s">
        <v>11966</v>
      </c>
      <c r="L3102" t="s">
        <v>1158</v>
      </c>
      <c r="M3102" t="str">
        <f>"https://www.artic.edu/iiif/2/"&amp;Table9[[#This Row],[Image ID]]&amp;"/full/843,/0/default.jpg"</f>
        <v>https://www.artic.edu/iiif/2/4339f21a-5a1c-8f40-931c-32686eefd8d5/full/843,/0/default.jpg</v>
      </c>
      <c r="N3102" s="3">
        <v>0.6</v>
      </c>
      <c r="O3102" s="3">
        <v>0.05</v>
      </c>
      <c r="P3102" s="3">
        <v>0.54999999999999993</v>
      </c>
      <c r="Q3102" s="3">
        <v>0.48459908366203303</v>
      </c>
    </row>
    <row r="3103" spans="1:17" x14ac:dyDescent="0.45">
      <c r="A3103" s="3">
        <v>11798</v>
      </c>
      <c r="B3103" t="b">
        <v>0</v>
      </c>
      <c r="C3103" t="b">
        <v>1</v>
      </c>
      <c r="D3103" s="3">
        <v>1300</v>
      </c>
      <c r="E3103" s="3">
        <v>1399</v>
      </c>
      <c r="F3103" t="s">
        <v>2464</v>
      </c>
      <c r="G3103" t="s">
        <v>584</v>
      </c>
      <c r="H3103" s="3">
        <v>35.557899999999997</v>
      </c>
      <c r="J3103" t="s">
        <v>12040</v>
      </c>
      <c r="K3103" s="5" t="s">
        <v>278</v>
      </c>
      <c r="L3103" t="s">
        <v>2465</v>
      </c>
      <c r="M3103" t="str">
        <f>"https://www.artic.edu/iiif/2/"&amp;Table9[[#This Row],[Image ID]]&amp;"/full/843,/0/default.jpg"</f>
        <v>https://www.artic.edu/iiif/2/48a2360b-8f69-4694-42e5-70bc3a78565b/full/843,/0/default.jpg</v>
      </c>
      <c r="N3103" s="3">
        <v>0.7</v>
      </c>
      <c r="O3103" s="3">
        <v>0.15</v>
      </c>
      <c r="P3103" s="3">
        <v>0.54999999999999993</v>
      </c>
      <c r="Q3103" s="3">
        <v>0.78426510095596302</v>
      </c>
    </row>
    <row r="3104" spans="1:17" x14ac:dyDescent="0.45">
      <c r="A3104" s="3">
        <v>39191</v>
      </c>
      <c r="B3104" t="b">
        <v>0</v>
      </c>
      <c r="C3104" t="b">
        <v>1</v>
      </c>
      <c r="D3104" s="3">
        <v>1835</v>
      </c>
      <c r="E3104" s="3">
        <v>1882</v>
      </c>
      <c r="F3104" t="s">
        <v>7496</v>
      </c>
      <c r="G3104" t="s">
        <v>7497</v>
      </c>
      <c r="H3104" s="3">
        <v>35.056199999999997</v>
      </c>
      <c r="I3104" t="s">
        <v>5317</v>
      </c>
      <c r="J3104" t="s">
        <v>12159</v>
      </c>
      <c r="L3104" t="s">
        <v>7498</v>
      </c>
      <c r="M3104" t="str">
        <f>"https://www.artic.edu/iiif/2/"&amp;Table9[[#This Row],[Image ID]]&amp;"/full/843,/0/default.jpg"</f>
        <v>https://www.artic.edu/iiif/2/5161d528-37e3-977d-5ed4-5edde3d7e42a/full/843,/0/default.jpg</v>
      </c>
      <c r="N3104" s="3">
        <v>0.6</v>
      </c>
      <c r="O3104" s="3">
        <v>0.05</v>
      </c>
      <c r="P3104" s="3">
        <v>0.54999999999999993</v>
      </c>
      <c r="Q3104" s="3">
        <v>0.74749523401260298</v>
      </c>
    </row>
    <row r="3105" spans="1:17" x14ac:dyDescent="0.45">
      <c r="A3105" s="3">
        <v>16823</v>
      </c>
      <c r="B3105" t="b">
        <v>0</v>
      </c>
      <c r="C3105" t="b">
        <v>1</v>
      </c>
      <c r="D3105" s="3">
        <v>1894</v>
      </c>
      <c r="E3105" s="3">
        <v>1894</v>
      </c>
      <c r="F3105" t="s">
        <v>4604</v>
      </c>
      <c r="G3105" t="s">
        <v>4605</v>
      </c>
      <c r="H3105" s="3">
        <v>22.608499999999999</v>
      </c>
      <c r="I3105" t="s">
        <v>1337</v>
      </c>
      <c r="J3105" t="s">
        <v>12270</v>
      </c>
      <c r="L3105" t="s">
        <v>4606</v>
      </c>
      <c r="M3105" t="str">
        <f>"https://www.artic.edu/iiif/2/"&amp;Table9[[#This Row],[Image ID]]&amp;"/full/843,/0/default.jpg"</f>
        <v>https://www.artic.edu/iiif/2/5873d7d7-732d-6e45-2bc0-8402afd7c0f0/full/843,/0/default.jpg</v>
      </c>
      <c r="N3105" s="3">
        <v>0.6</v>
      </c>
      <c r="O3105" s="3">
        <v>0.05</v>
      </c>
      <c r="P3105" s="3">
        <v>0.54999999999999993</v>
      </c>
      <c r="Q3105" s="3">
        <v>0.47751200199127197</v>
      </c>
    </row>
    <row r="3106" spans="1:17" ht="185.25" x14ac:dyDescent="0.45">
      <c r="A3106" s="3">
        <v>131915</v>
      </c>
      <c r="B3106" t="b">
        <v>0</v>
      </c>
      <c r="C3106" t="b">
        <v>1</v>
      </c>
      <c r="D3106" s="3">
        <v>1600</v>
      </c>
      <c r="E3106" s="3">
        <v>1799</v>
      </c>
      <c r="F3106" t="s">
        <v>3010</v>
      </c>
      <c r="G3106" t="s">
        <v>723</v>
      </c>
      <c r="H3106" s="3">
        <v>49.3035</v>
      </c>
      <c r="I3106" t="s">
        <v>2655</v>
      </c>
      <c r="J3106" s="1" t="s">
        <v>12302</v>
      </c>
      <c r="K3106" s="5" t="s">
        <v>4</v>
      </c>
      <c r="L3106" t="s">
        <v>3011</v>
      </c>
      <c r="M3106" t="str">
        <f>"https://www.artic.edu/iiif/2/"&amp;Table9[[#This Row],[Image ID]]&amp;"/full/843,/0/default.jpg"</f>
        <v>https://www.artic.edu/iiif/2/5acf227e-4a04-ef83-65e3-84285f9af16d/full/843,/0/default.jpg</v>
      </c>
      <c r="N3106" s="3">
        <v>0.7</v>
      </c>
      <c r="O3106" s="3">
        <v>0.15</v>
      </c>
      <c r="P3106" s="3">
        <v>0.54999999999999993</v>
      </c>
      <c r="Q3106" s="3">
        <v>0.67951494455337502</v>
      </c>
    </row>
    <row r="3107" spans="1:17" x14ac:dyDescent="0.45">
      <c r="A3107" s="3">
        <v>115879</v>
      </c>
      <c r="B3107" t="b">
        <v>0</v>
      </c>
      <c r="C3107" t="b">
        <v>1</v>
      </c>
      <c r="D3107" s="3">
        <v>1790</v>
      </c>
      <c r="E3107" s="3">
        <v>1831</v>
      </c>
      <c r="F3107" t="s">
        <v>2151</v>
      </c>
      <c r="G3107" t="s">
        <v>2152</v>
      </c>
      <c r="H3107" s="3">
        <v>48.712000000000003</v>
      </c>
      <c r="I3107" t="s">
        <v>2153</v>
      </c>
      <c r="J3107" t="s">
        <v>2155</v>
      </c>
      <c r="L3107" t="s">
        <v>2154</v>
      </c>
      <c r="M3107" t="str">
        <f>"https://www.artic.edu/iiif/2/"&amp;Table9[[#This Row],[Image ID]]&amp;"/full/843,/0/default.jpg"</f>
        <v>https://www.artic.edu/iiif/2/608e6be0-ed14-9fc6-462e-1442b30da960/full/843,/0/default.jpg</v>
      </c>
      <c r="N3107" s="3">
        <v>0.7</v>
      </c>
      <c r="O3107" s="3">
        <v>0.15</v>
      </c>
      <c r="P3107" s="3">
        <v>0.54999999999999993</v>
      </c>
      <c r="Q3107" s="3">
        <v>0.493014365434646</v>
      </c>
    </row>
    <row r="3108" spans="1:17" x14ac:dyDescent="0.45">
      <c r="A3108" s="3">
        <v>111618</v>
      </c>
      <c r="B3108" t="b">
        <v>0</v>
      </c>
      <c r="C3108" t="b">
        <v>1</v>
      </c>
      <c r="D3108" s="3">
        <v>1567</v>
      </c>
      <c r="E3108" s="3">
        <v>1578</v>
      </c>
      <c r="F3108" t="s">
        <v>1145</v>
      </c>
      <c r="G3108" t="s">
        <v>75</v>
      </c>
      <c r="H3108" s="3">
        <v>35.825200000000002</v>
      </c>
      <c r="I3108" t="s">
        <v>1146</v>
      </c>
      <c r="J3108" t="s">
        <v>12547</v>
      </c>
      <c r="L3108" t="s">
        <v>1147</v>
      </c>
      <c r="M3108" t="str">
        <f>"https://www.artic.edu/iiif/2/"&amp;Table9[[#This Row],[Image ID]]&amp;"/full/843,/0/default.jpg"</f>
        <v>https://www.artic.edu/iiif/2/6bde48ea-58f0-33eb-2d0b-a45aff7131e6/full/843,/0/default.jpg</v>
      </c>
      <c r="N3108" s="3">
        <v>0.6</v>
      </c>
      <c r="O3108" s="3">
        <v>0.05</v>
      </c>
      <c r="P3108" s="3">
        <v>0.54999999999999993</v>
      </c>
      <c r="Q3108" s="3">
        <v>0.77297848463058405</v>
      </c>
    </row>
    <row r="3109" spans="1:17" x14ac:dyDescent="0.45">
      <c r="A3109" s="3">
        <v>100060</v>
      </c>
      <c r="B3109" t="b">
        <v>0</v>
      </c>
      <c r="C3109" t="b">
        <v>1</v>
      </c>
      <c r="D3109" s="3">
        <v>1796</v>
      </c>
      <c r="E3109" s="3">
        <v>1796</v>
      </c>
      <c r="F3109" t="s">
        <v>22</v>
      </c>
      <c r="G3109" t="s">
        <v>7</v>
      </c>
      <c r="H3109" s="3">
        <v>32.8782</v>
      </c>
      <c r="I3109" t="s">
        <v>23</v>
      </c>
      <c r="J3109" t="s">
        <v>12658</v>
      </c>
      <c r="L3109" t="s">
        <v>25</v>
      </c>
      <c r="M3109" t="str">
        <f>"https://www.artic.edu/iiif/2/"&amp;Table9[[#This Row],[Image ID]]&amp;"/full/843,/0/default.jpg"</f>
        <v>https://www.artic.edu/iiif/2/7403cc73-8d41-1464-18df-4b6e89affff0/full/843,/0/default.jpg</v>
      </c>
      <c r="N3109" s="3">
        <v>0.7</v>
      </c>
      <c r="O3109" s="3">
        <v>0.15</v>
      </c>
      <c r="P3109" s="3">
        <v>0.54999999999999993</v>
      </c>
      <c r="Q3109" s="3">
        <v>0.58595108985900801</v>
      </c>
    </row>
    <row r="3110" spans="1:17" x14ac:dyDescent="0.45">
      <c r="A3110" s="3">
        <v>115385</v>
      </c>
      <c r="B3110" t="b">
        <v>0</v>
      </c>
      <c r="C3110" t="b">
        <v>1</v>
      </c>
      <c r="D3110" s="3">
        <v>1878</v>
      </c>
      <c r="E3110" s="3">
        <v>1878</v>
      </c>
      <c r="F3110" t="s">
        <v>1908</v>
      </c>
      <c r="G3110" t="s">
        <v>1909</v>
      </c>
      <c r="H3110" s="3">
        <v>32.204599999999999</v>
      </c>
      <c r="I3110" t="s">
        <v>16</v>
      </c>
      <c r="J3110" t="s">
        <v>12734</v>
      </c>
      <c r="L3110" t="s">
        <v>1910</v>
      </c>
      <c r="M3110" t="str">
        <f>"https://www.artic.edu/iiif/2/"&amp;Table9[[#This Row],[Image ID]]&amp;"/full/843,/0/default.jpg"</f>
        <v>https://www.artic.edu/iiif/2/79a7d547-76c9-fce6-e2db-cade93b60e33/full/843,/0/default.jpg</v>
      </c>
      <c r="N3110" s="3">
        <v>0.6</v>
      </c>
      <c r="O3110" s="3">
        <v>0.05</v>
      </c>
      <c r="P3110" s="3">
        <v>0.54999999999999993</v>
      </c>
      <c r="Q3110" s="3">
        <v>0.69089198112487704</v>
      </c>
    </row>
    <row r="3111" spans="1:17" x14ac:dyDescent="0.45">
      <c r="A3111" s="3">
        <v>14698</v>
      </c>
      <c r="B3111" t="b">
        <v>0</v>
      </c>
      <c r="C3111" t="b">
        <v>1</v>
      </c>
      <c r="D3111" s="3">
        <v>1301</v>
      </c>
      <c r="E3111" s="3">
        <v>1400</v>
      </c>
      <c r="F3111" t="s">
        <v>3542</v>
      </c>
      <c r="G3111" t="s">
        <v>584</v>
      </c>
      <c r="H3111" s="3">
        <v>30.168500000000002</v>
      </c>
      <c r="J3111" t="s">
        <v>12906</v>
      </c>
      <c r="K3111" s="5" t="s">
        <v>278</v>
      </c>
      <c r="L3111" t="s">
        <v>3543</v>
      </c>
      <c r="M3111" t="str">
        <f>"https://www.artic.edu/iiif/2/"&amp;Table9[[#This Row],[Image ID]]&amp;"/full/843,/0/default.jpg"</f>
        <v>https://www.artic.edu/iiif/2/86296102-d04c-8413-34e0-36d96668c0dd/full/843,/0/default.jpg</v>
      </c>
      <c r="N3111" s="3">
        <v>0.6</v>
      </c>
      <c r="O3111" s="3">
        <v>0.05</v>
      </c>
      <c r="P3111" s="3">
        <v>0.54999999999999993</v>
      </c>
      <c r="Q3111" s="3">
        <v>0.663105428218841</v>
      </c>
    </row>
    <row r="3112" spans="1:17" x14ac:dyDescent="0.45">
      <c r="A3112" s="3">
        <v>69041</v>
      </c>
      <c r="B3112" t="b">
        <v>0</v>
      </c>
      <c r="C3112" t="b">
        <v>1</v>
      </c>
      <c r="D3112" s="3">
        <v>1645</v>
      </c>
      <c r="E3112" s="3">
        <v>1650</v>
      </c>
      <c r="F3112" t="s">
        <v>9379</v>
      </c>
      <c r="G3112" t="s">
        <v>7</v>
      </c>
      <c r="H3112" s="3">
        <v>28.911899999999999</v>
      </c>
      <c r="I3112" t="s">
        <v>135</v>
      </c>
      <c r="J3112" t="s">
        <v>13099</v>
      </c>
      <c r="L3112" t="s">
        <v>9380</v>
      </c>
      <c r="M3112" t="str">
        <f>"https://www.artic.edu/iiif/2/"&amp;Table9[[#This Row],[Image ID]]&amp;"/full/843,/0/default.jpg"</f>
        <v>https://www.artic.edu/iiif/2/96458291-2c6c-76ba-4be9-dca201687edf/full/843,/0/default.jpg</v>
      </c>
      <c r="N3112" s="3">
        <v>0.82499999999999996</v>
      </c>
      <c r="O3112" s="3">
        <v>0.27500000000000002</v>
      </c>
      <c r="P3112" s="3">
        <v>0.54999999999999993</v>
      </c>
      <c r="Q3112" s="3">
        <v>0.41474863886833102</v>
      </c>
    </row>
    <row r="3113" spans="1:17" x14ac:dyDescent="0.45">
      <c r="A3113" s="3">
        <v>85710</v>
      </c>
      <c r="B3113" t="b">
        <v>0</v>
      </c>
      <c r="C3113" t="b">
        <v>1</v>
      </c>
      <c r="D3113" s="3">
        <v>1747</v>
      </c>
      <c r="E3113" s="3">
        <v>1806</v>
      </c>
      <c r="F3113" t="s">
        <v>10307</v>
      </c>
      <c r="G3113" t="s">
        <v>10308</v>
      </c>
      <c r="H3113" s="3">
        <v>23.662700000000001</v>
      </c>
      <c r="I3113" t="s">
        <v>10095</v>
      </c>
      <c r="J3113" t="s">
        <v>13265</v>
      </c>
      <c r="L3113" t="s">
        <v>10309</v>
      </c>
      <c r="M3113" t="str">
        <f>"https://www.artic.edu/iiif/2/"&amp;Table9[[#This Row],[Image ID]]&amp;"/full/843,/0/default.jpg"</f>
        <v>https://www.artic.edu/iiif/2/a29ac15e-f73f-6e07-0f62-436a755ce782/full/843,/0/default.jpg</v>
      </c>
      <c r="N3113" s="3">
        <v>0.7</v>
      </c>
      <c r="O3113" s="3">
        <v>0.15</v>
      </c>
      <c r="P3113" s="3">
        <v>0.54999999999999993</v>
      </c>
      <c r="Q3113" s="3">
        <v>0.61606144905090299</v>
      </c>
    </row>
    <row r="3114" spans="1:17" x14ac:dyDescent="0.45">
      <c r="A3114" s="3">
        <v>136394</v>
      </c>
      <c r="B3114" t="b">
        <v>0</v>
      </c>
      <c r="C3114" t="b">
        <v>1</v>
      </c>
      <c r="D3114" s="3">
        <v>1878</v>
      </c>
      <c r="E3114" s="3">
        <v>1878</v>
      </c>
      <c r="F3114" t="s">
        <v>3169</v>
      </c>
      <c r="G3114" t="s">
        <v>7</v>
      </c>
      <c r="H3114" s="3">
        <v>30.721399999999999</v>
      </c>
      <c r="I3114" t="s">
        <v>2615</v>
      </c>
      <c r="J3114" t="s">
        <v>13327</v>
      </c>
      <c r="L3114" t="s">
        <v>3170</v>
      </c>
      <c r="M3114" t="str">
        <f>"https://www.artic.edu/iiif/2/"&amp;Table9[[#This Row],[Image ID]]&amp;"/full/843,/0/default.jpg"</f>
        <v>https://www.artic.edu/iiif/2/a6f189f9-4bd8-85c4-ac28-0497458efa49/full/843,/0/default.jpg</v>
      </c>
      <c r="N3114" s="3">
        <v>0.7</v>
      </c>
      <c r="O3114" s="3">
        <v>0.15</v>
      </c>
      <c r="P3114" s="3">
        <v>0.54999999999999993</v>
      </c>
      <c r="Q3114" s="3">
        <v>0.64247840642928999</v>
      </c>
    </row>
    <row r="3115" spans="1:17" x14ac:dyDescent="0.45">
      <c r="A3115" s="3">
        <v>217681</v>
      </c>
      <c r="B3115" t="b">
        <v>0</v>
      </c>
      <c r="C3115" t="b">
        <v>1</v>
      </c>
      <c r="D3115" s="3">
        <v>1895</v>
      </c>
      <c r="E3115" s="3">
        <v>1896</v>
      </c>
      <c r="F3115" t="s">
        <v>5734</v>
      </c>
      <c r="G3115" t="s">
        <v>3028</v>
      </c>
      <c r="H3115" s="3">
        <v>19.197800000000001</v>
      </c>
      <c r="I3115" t="s">
        <v>5727</v>
      </c>
      <c r="J3115" t="s">
        <v>11026</v>
      </c>
      <c r="K3115" s="5" t="s">
        <v>130</v>
      </c>
      <c r="L3115" t="s">
        <v>5735</v>
      </c>
      <c r="M3115" t="str">
        <f>"https://www.artic.edu/iiif/2/"&amp;Table9[[#This Row],[Image ID]]&amp;"/full/843,/0/default.jpg"</f>
        <v>https://www.artic.edu/iiif/2/cbccdb03-29ff-95bd-1176-ed9581359baa/full/843,/0/default.jpg</v>
      </c>
      <c r="N3115" s="3">
        <v>0.6</v>
      </c>
      <c r="O3115" s="3">
        <v>0.05</v>
      </c>
      <c r="P3115" s="3">
        <v>0.54999999999999993</v>
      </c>
      <c r="Q3115" s="3">
        <v>0.72867912054061801</v>
      </c>
    </row>
    <row r="3116" spans="1:17" x14ac:dyDescent="0.45">
      <c r="A3116" s="3">
        <v>14634</v>
      </c>
      <c r="B3116" t="b">
        <v>0</v>
      </c>
      <c r="C3116" t="b">
        <v>1</v>
      </c>
      <c r="D3116" s="3">
        <v>1901</v>
      </c>
      <c r="E3116" s="3">
        <v>1901</v>
      </c>
      <c r="F3116" t="s">
        <v>14590</v>
      </c>
      <c r="G3116" t="s">
        <v>7</v>
      </c>
      <c r="H3116" s="3">
        <v>28.904699999999998</v>
      </c>
      <c r="I3116" t="s">
        <v>43</v>
      </c>
      <c r="J3116" t="s">
        <v>13883</v>
      </c>
      <c r="K3116" s="5" t="s">
        <v>9</v>
      </c>
      <c r="L3116" t="s">
        <v>3442</v>
      </c>
      <c r="M3116" t="str">
        <f>"https://www.artic.edu/iiif/2/"&amp;Table9[[#This Row],[Image ID]]&amp;"/full/843,/0/default.jpg"</f>
        <v>https://www.artic.edu/iiif/2/d39b1026-7d8d-6e6a-738e-8a136b1a0033/full/843,/0/default.jpg</v>
      </c>
      <c r="N3116" s="3">
        <v>0.7</v>
      </c>
      <c r="O3116" s="3">
        <v>0.15</v>
      </c>
      <c r="P3116" s="3">
        <v>0.54999999999999993</v>
      </c>
      <c r="Q3116" s="3">
        <v>0.55137532949447599</v>
      </c>
    </row>
    <row r="3117" spans="1:17" x14ac:dyDescent="0.45">
      <c r="A3117" s="3">
        <v>104463</v>
      </c>
      <c r="B3117" t="b">
        <v>0</v>
      </c>
      <c r="C3117" t="b">
        <v>1</v>
      </c>
      <c r="D3117" s="3">
        <v>1883</v>
      </c>
      <c r="E3117" s="3">
        <v>1898</v>
      </c>
      <c r="F3117" t="s">
        <v>444</v>
      </c>
      <c r="G3117" t="s">
        <v>445</v>
      </c>
      <c r="H3117" s="3">
        <v>20.731400000000001</v>
      </c>
      <c r="I3117" t="s">
        <v>65</v>
      </c>
      <c r="J3117" t="s">
        <v>14061</v>
      </c>
      <c r="L3117" t="s">
        <v>446</v>
      </c>
      <c r="M3117" t="str">
        <f>"https://www.artic.edu/iiif/2/"&amp;Table9[[#This Row],[Image ID]]&amp;"/full/843,/0/default.jpg"</f>
        <v>https://www.artic.edu/iiif/2/e0002909-4bcc-1a96-ecda-2eebd30a3f61/full/843,/0/default.jpg</v>
      </c>
      <c r="N3117" s="3">
        <v>0.6</v>
      </c>
      <c r="O3117" s="3">
        <v>0.05</v>
      </c>
      <c r="P3117" s="3">
        <v>0.54999999999999993</v>
      </c>
      <c r="Q3117" s="3">
        <v>0.70634186267852705</v>
      </c>
    </row>
    <row r="3118" spans="1:17" x14ac:dyDescent="0.45">
      <c r="A3118" s="3">
        <v>48679</v>
      </c>
      <c r="B3118" t="b">
        <v>0</v>
      </c>
      <c r="C3118" t="b">
        <v>1</v>
      </c>
      <c r="D3118" s="3">
        <v>1820</v>
      </c>
      <c r="E3118" s="3">
        <v>1840</v>
      </c>
      <c r="F3118" t="s">
        <v>8010</v>
      </c>
      <c r="G3118" t="s">
        <v>103</v>
      </c>
      <c r="H3118" s="3">
        <v>41.910499999999999</v>
      </c>
      <c r="I3118" t="s">
        <v>8011</v>
      </c>
      <c r="J3118" t="s">
        <v>14424</v>
      </c>
      <c r="L3118" t="s">
        <v>8012</v>
      </c>
      <c r="M3118" t="str">
        <f>"https://www.artic.edu/iiif/2/"&amp;Table9[[#This Row],[Image ID]]&amp;"/full/843,/0/default.jpg"</f>
        <v>https://www.artic.edu/iiif/2/f80705b7-da44-81b0-ee12-6a6b1f52da08/full/843,/0/default.jpg</v>
      </c>
      <c r="N3118" s="3">
        <v>0.7</v>
      </c>
      <c r="O3118" s="3">
        <v>0.15</v>
      </c>
      <c r="P3118" s="3">
        <v>0.54999999999999993</v>
      </c>
      <c r="Q3118" s="3">
        <v>0.69636815786361606</v>
      </c>
    </row>
    <row r="3119" spans="1:17" x14ac:dyDescent="0.45">
      <c r="A3119" s="3">
        <v>185205</v>
      </c>
      <c r="B3119" t="b">
        <v>0</v>
      </c>
      <c r="C3119" t="b">
        <v>0</v>
      </c>
      <c r="D3119" s="3">
        <v>1937</v>
      </c>
      <c r="E3119" s="3">
        <v>1937</v>
      </c>
      <c r="F3119" t="s">
        <v>4981</v>
      </c>
      <c r="G3119" t="s">
        <v>4982</v>
      </c>
      <c r="H3119" s="3">
        <v>35.133400000000002</v>
      </c>
      <c r="I3119" t="s">
        <v>378</v>
      </c>
      <c r="J3119" t="s">
        <v>11165</v>
      </c>
      <c r="L3119" t="s">
        <v>4983</v>
      </c>
      <c r="M3119" t="str">
        <f>"https://www.artic.edu/iiif/2/"&amp;Table9[[#This Row],[Image ID]]&amp;"/full/843,/0/default.jpg"</f>
        <v>https://www.artic.edu/iiif/2/0ec05d88-b2a9-3c61-6b22-d1c0c5519fb6/full/843,/0/default.jpg</v>
      </c>
      <c r="N3119" s="3">
        <v>0.7</v>
      </c>
      <c r="O3119" s="3">
        <v>0.15</v>
      </c>
      <c r="P3119" s="3">
        <v>0.54999999999999993</v>
      </c>
      <c r="Q3119" s="3">
        <v>0.823611140251159</v>
      </c>
    </row>
    <row r="3120" spans="1:17" x14ac:dyDescent="0.45">
      <c r="A3120" s="3">
        <v>3444</v>
      </c>
      <c r="B3120" t="b">
        <v>0</v>
      </c>
      <c r="C3120" t="b">
        <v>0</v>
      </c>
      <c r="D3120" s="3">
        <v>1889</v>
      </c>
      <c r="E3120" s="3">
        <v>1914</v>
      </c>
      <c r="F3120" t="s">
        <v>7117</v>
      </c>
      <c r="G3120" t="s">
        <v>7118</v>
      </c>
      <c r="H3120" s="3">
        <v>22.035499999999999</v>
      </c>
      <c r="I3120" t="s">
        <v>7119</v>
      </c>
      <c r="J3120" t="s">
        <v>11377</v>
      </c>
      <c r="L3120" t="s">
        <v>7120</v>
      </c>
      <c r="M3120" t="str">
        <f>"https://www.artic.edu/iiif/2/"&amp;Table9[[#This Row],[Image ID]]&amp;"/full/843,/0/default.jpg"</f>
        <v>https://www.artic.edu/iiif/2/1d3fd04d-3597-8ed4-824b-856341719ae0/full/843,/0/default.jpg</v>
      </c>
      <c r="N3120" s="3">
        <v>0.6</v>
      </c>
      <c r="O3120" s="3">
        <v>0.05</v>
      </c>
      <c r="P3120" s="3">
        <v>0.54999999999999993</v>
      </c>
      <c r="Q3120" s="3">
        <v>0.68566954135894698</v>
      </c>
    </row>
    <row r="3121" spans="1:17" x14ac:dyDescent="0.45">
      <c r="A3121" s="3">
        <v>202218</v>
      </c>
      <c r="B3121" t="b">
        <v>0</v>
      </c>
      <c r="C3121" t="b">
        <v>0</v>
      </c>
      <c r="D3121" s="3">
        <v>2009</v>
      </c>
      <c r="E3121" s="3">
        <v>2009</v>
      </c>
      <c r="F3121" t="s">
        <v>5349</v>
      </c>
      <c r="G3121" t="s">
        <v>59</v>
      </c>
      <c r="H3121" s="3">
        <v>71.436800000000005</v>
      </c>
      <c r="I3121" t="s">
        <v>2451</v>
      </c>
      <c r="J3121" t="s">
        <v>11378</v>
      </c>
      <c r="K3121" s="5" t="s">
        <v>15</v>
      </c>
      <c r="L3121" t="s">
        <v>5350</v>
      </c>
      <c r="M3121" t="str">
        <f>"https://www.artic.edu/iiif/2/"&amp;Table9[[#This Row],[Image ID]]&amp;"/full/843,/0/default.jpg"</f>
        <v>https://www.artic.edu/iiif/2/1d5e62e7-29eb-727c-ca09-da723b2ea9f3/full/843,/0/default.jpg</v>
      </c>
      <c r="N3121" s="3">
        <v>0.6</v>
      </c>
      <c r="O3121" s="3">
        <v>0.05</v>
      </c>
      <c r="P3121" s="3">
        <v>0.54999999999999993</v>
      </c>
      <c r="Q3121" s="3">
        <v>0.66798913478851296</v>
      </c>
    </row>
    <row r="3122" spans="1:17" x14ac:dyDescent="0.45">
      <c r="A3122" s="3">
        <v>30732</v>
      </c>
      <c r="B3122" t="b">
        <v>0</v>
      </c>
      <c r="C3122" t="b">
        <v>0</v>
      </c>
      <c r="D3122" s="3">
        <v>1911</v>
      </c>
      <c r="E3122" s="3">
        <v>1911</v>
      </c>
      <c r="F3122" t="s">
        <v>6955</v>
      </c>
      <c r="G3122" t="s">
        <v>7</v>
      </c>
      <c r="H3122" s="3">
        <v>27.615600000000001</v>
      </c>
      <c r="I3122" t="s">
        <v>6956</v>
      </c>
      <c r="J3122" t="s">
        <v>11675</v>
      </c>
      <c r="K3122" s="5" t="s">
        <v>9</v>
      </c>
      <c r="L3122" t="s">
        <v>6957</v>
      </c>
      <c r="M3122" t="str">
        <f>"https://www.artic.edu/iiif/2/"&amp;Table9[[#This Row],[Image ID]]&amp;"/full/843,/0/default.jpg"</f>
        <v>https://www.artic.edu/iiif/2/2ffde7b6-d57c-eba4-c6af-9f4e1dc91d72/full/843,/0/default.jpg</v>
      </c>
      <c r="N3122" s="3">
        <v>0.7</v>
      </c>
      <c r="O3122" s="3">
        <v>0.15</v>
      </c>
      <c r="P3122" s="3">
        <v>0.54999999999999993</v>
      </c>
      <c r="Q3122" s="3">
        <v>0.66259086132049505</v>
      </c>
    </row>
    <row r="3123" spans="1:17" x14ac:dyDescent="0.45">
      <c r="A3123" s="3">
        <v>48616</v>
      </c>
      <c r="B3123" t="b">
        <v>0</v>
      </c>
      <c r="C3123" t="b">
        <v>0</v>
      </c>
      <c r="D3123" s="3">
        <v>1924</v>
      </c>
      <c r="E3123" s="3">
        <v>1953</v>
      </c>
      <c r="F3123" t="s">
        <v>8005</v>
      </c>
      <c r="G3123" t="s">
        <v>8006</v>
      </c>
      <c r="H3123" s="3">
        <v>42.657499999999999</v>
      </c>
      <c r="I3123" t="s">
        <v>184</v>
      </c>
      <c r="J3123" t="s">
        <v>11716</v>
      </c>
      <c r="L3123" t="s">
        <v>8007</v>
      </c>
      <c r="M3123" t="str">
        <f>"https://www.artic.edu/iiif/2/"&amp;Table9[[#This Row],[Image ID]]&amp;"/full/843,/0/default.jpg"</f>
        <v>https://www.artic.edu/iiif/2/32b6ce0e-5177-73d5-3ff6-8c59288c96e3/full/843,/0/default.jpg</v>
      </c>
      <c r="N3123" s="3">
        <v>0.57499999999999996</v>
      </c>
      <c r="O3123" s="3">
        <v>2.5000000000000001E-2</v>
      </c>
      <c r="P3123" s="3">
        <v>0.54999999999999993</v>
      </c>
      <c r="Q3123" s="3">
        <v>0.71527832746505704</v>
      </c>
    </row>
    <row r="3124" spans="1:17" x14ac:dyDescent="0.45">
      <c r="A3124" s="3">
        <v>41795</v>
      </c>
      <c r="B3124" t="b">
        <v>0</v>
      </c>
      <c r="C3124" t="b">
        <v>0</v>
      </c>
      <c r="D3124" s="3">
        <v>1936</v>
      </c>
      <c r="E3124" s="3">
        <v>1936</v>
      </c>
      <c r="F3124" t="s">
        <v>4065</v>
      </c>
      <c r="G3124" t="s">
        <v>7702</v>
      </c>
      <c r="H3124" s="3">
        <v>32.549599999999998</v>
      </c>
      <c r="I3124" t="s">
        <v>914</v>
      </c>
      <c r="J3124" t="s">
        <v>11740</v>
      </c>
      <c r="L3124" t="s">
        <v>7703</v>
      </c>
      <c r="M3124" t="str">
        <f>"https://www.artic.edu/iiif/2/"&amp;Table9[[#This Row],[Image ID]]&amp;"/full/843,/0/default.jpg"</f>
        <v>https://www.artic.edu/iiif/2/34c193ec-5d22-5edd-d84e-6c7848cd4b3d/full/843,/0/default.jpg</v>
      </c>
      <c r="N3124" s="3">
        <v>0.57499999999999996</v>
      </c>
      <c r="O3124" s="3">
        <v>2.5000000000000001E-2</v>
      </c>
      <c r="P3124" s="3">
        <v>0.54999999999999993</v>
      </c>
      <c r="Q3124" s="3">
        <v>0.606134474277496</v>
      </c>
    </row>
    <row r="3125" spans="1:17" x14ac:dyDescent="0.45">
      <c r="A3125" s="3">
        <v>18615</v>
      </c>
      <c r="B3125" t="b">
        <v>0</v>
      </c>
      <c r="C3125" t="b">
        <v>0</v>
      </c>
      <c r="D3125" s="3">
        <v>1907</v>
      </c>
      <c r="E3125" s="3">
        <v>1963</v>
      </c>
      <c r="F3125" t="s">
        <v>5042</v>
      </c>
      <c r="G3125" t="s">
        <v>5043</v>
      </c>
      <c r="H3125" s="3">
        <v>28.266100000000002</v>
      </c>
      <c r="I3125" t="s">
        <v>5044</v>
      </c>
      <c r="J3125" t="s">
        <v>11783</v>
      </c>
      <c r="L3125" t="s">
        <v>5045</v>
      </c>
      <c r="M3125" t="str">
        <f>"https://www.artic.edu/iiif/2/"&amp;Table9[[#This Row],[Image ID]]&amp;"/full/843,/0/default.jpg"</f>
        <v>https://www.artic.edu/iiif/2/37f02bb0-84e8-0270-e7a9-c5957acd04ab/full/843,/0/default.jpg</v>
      </c>
      <c r="N3125" s="3">
        <v>0.6</v>
      </c>
      <c r="O3125" s="3">
        <v>0.05</v>
      </c>
      <c r="P3125" s="3">
        <v>0.54999999999999993</v>
      </c>
      <c r="Q3125" s="3">
        <v>0.61039233207702603</v>
      </c>
    </row>
    <row r="3126" spans="1:17" x14ac:dyDescent="0.45">
      <c r="A3126" s="3">
        <v>83911</v>
      </c>
      <c r="B3126" t="b">
        <v>0</v>
      </c>
      <c r="C3126" t="b">
        <v>0</v>
      </c>
      <c r="D3126" s="3">
        <v>1923</v>
      </c>
      <c r="E3126" s="3">
        <v>1923</v>
      </c>
      <c r="F3126" t="s">
        <v>10238</v>
      </c>
      <c r="G3126" t="s">
        <v>642</v>
      </c>
      <c r="H3126" s="3">
        <v>54.437100000000001</v>
      </c>
      <c r="I3126" t="s">
        <v>5246</v>
      </c>
      <c r="J3126" t="s">
        <v>12074</v>
      </c>
      <c r="L3126" t="s">
        <v>10239</v>
      </c>
      <c r="M3126" t="str">
        <f>"https://www.artic.edu/iiif/2/"&amp;Table9[[#This Row],[Image ID]]&amp;"/full/843,/0/default.jpg"</f>
        <v>https://www.artic.edu/iiif/2/4ba9dc92-d063-2f61-7a86-937a3111db88/full/843,/0/default.jpg</v>
      </c>
      <c r="N3126" s="3">
        <v>0.6</v>
      </c>
      <c r="O3126" s="3">
        <v>0.05</v>
      </c>
      <c r="P3126" s="3">
        <v>0.54999999999999993</v>
      </c>
      <c r="Q3126" s="3">
        <v>0.596291363239288</v>
      </c>
    </row>
    <row r="3127" spans="1:17" x14ac:dyDescent="0.45">
      <c r="A3127" s="3">
        <v>110973</v>
      </c>
      <c r="B3127" t="b">
        <v>0</v>
      </c>
      <c r="C3127" t="b">
        <v>0</v>
      </c>
      <c r="D3127" s="3">
        <v>1932</v>
      </c>
      <c r="E3127" s="3">
        <v>1932</v>
      </c>
      <c r="F3127" t="s">
        <v>813</v>
      </c>
      <c r="G3127" t="s">
        <v>75</v>
      </c>
      <c r="H3127" s="3">
        <v>61.396299999999997</v>
      </c>
      <c r="I3127" t="s">
        <v>4769</v>
      </c>
      <c r="J3127" t="s">
        <v>12374</v>
      </c>
      <c r="L3127" t="s">
        <v>982</v>
      </c>
      <c r="M3127" t="str">
        <f>"https://www.artic.edu/iiif/2/"&amp;Table9[[#This Row],[Image ID]]&amp;"/full/843,/0/default.jpg"</f>
        <v>https://www.artic.edu/iiif/2/5faa1c97-1e8d-b3b8-8aa9-208aab44e9f0/full/843,/0/default.jpg</v>
      </c>
      <c r="N3127" s="3">
        <v>0.6</v>
      </c>
      <c r="O3127" s="3">
        <v>0.05</v>
      </c>
      <c r="P3127" s="3">
        <v>0.54999999999999993</v>
      </c>
      <c r="Q3127" s="3">
        <v>0.80878645181655795</v>
      </c>
    </row>
    <row r="3128" spans="1:17" x14ac:dyDescent="0.45">
      <c r="A3128" s="3">
        <v>258002</v>
      </c>
      <c r="B3128" t="b">
        <v>0</v>
      </c>
      <c r="C3128" t="b">
        <v>0</v>
      </c>
      <c r="F3128" t="s">
        <v>606</v>
      </c>
      <c r="G3128" t="s">
        <v>6614</v>
      </c>
      <c r="H3128" s="3">
        <v>40.282800000000002</v>
      </c>
      <c r="I3128" t="s">
        <v>6615</v>
      </c>
      <c r="J3128" t="s">
        <v>12398</v>
      </c>
      <c r="K3128" s="5" t="s">
        <v>17</v>
      </c>
      <c r="L3128" t="s">
        <v>6616</v>
      </c>
      <c r="M3128" t="str">
        <f>"https://www.artic.edu/iiif/2/"&amp;Table9[[#This Row],[Image ID]]&amp;"/full/843,/0/default.jpg"</f>
        <v>https://www.artic.edu/iiif/2/612ba451-ab9f-0ad2-431a-485410b5b66f/full/843,/0/default.jpg</v>
      </c>
      <c r="N3128" s="3">
        <v>0.7</v>
      </c>
      <c r="O3128" s="3">
        <v>0.15</v>
      </c>
      <c r="P3128" s="3">
        <v>0.54999999999999993</v>
      </c>
      <c r="Q3128" s="3">
        <v>0.83973312377929599</v>
      </c>
    </row>
    <row r="3129" spans="1:17" x14ac:dyDescent="0.45">
      <c r="A3129" s="3">
        <v>73649</v>
      </c>
      <c r="B3129" t="b">
        <v>0</v>
      </c>
      <c r="C3129" t="b">
        <v>0</v>
      </c>
      <c r="D3129" s="3">
        <v>1913</v>
      </c>
      <c r="E3129" s="3">
        <v>1999</v>
      </c>
      <c r="F3129" t="s">
        <v>1397</v>
      </c>
      <c r="G3129" t="s">
        <v>7</v>
      </c>
      <c r="H3129" s="3">
        <v>29.846299999999999</v>
      </c>
      <c r="I3129" t="s">
        <v>9639</v>
      </c>
      <c r="J3129" t="s">
        <v>12423</v>
      </c>
      <c r="L3129" t="s">
        <v>9640</v>
      </c>
      <c r="M3129" t="str">
        <f>"https://www.artic.edu/iiif/2/"&amp;Table9[[#This Row],[Image ID]]&amp;"/full/843,/0/default.jpg"</f>
        <v>https://www.artic.edu/iiif/2/6361da9e-9179-dd0f-cf51-68e56db9b865/full/843,/0/default.jpg</v>
      </c>
      <c r="N3129" s="3">
        <v>0.6</v>
      </c>
      <c r="O3129" s="3">
        <v>0.05</v>
      </c>
      <c r="P3129" s="3">
        <v>0.54999999999999993</v>
      </c>
      <c r="Q3129" s="3">
        <v>0.78760355710983199</v>
      </c>
    </row>
    <row r="3130" spans="1:17" x14ac:dyDescent="0.45">
      <c r="A3130" s="3">
        <v>2905</v>
      </c>
      <c r="B3130" t="b">
        <v>0</v>
      </c>
      <c r="C3130" t="b">
        <v>0</v>
      </c>
      <c r="D3130" s="3">
        <v>1905</v>
      </c>
      <c r="E3130" s="3">
        <v>1915</v>
      </c>
      <c r="F3130" t="s">
        <v>6863</v>
      </c>
      <c r="G3130" t="s">
        <v>6864</v>
      </c>
      <c r="H3130" s="3">
        <v>33.283000000000001</v>
      </c>
      <c r="I3130" t="s">
        <v>949</v>
      </c>
      <c r="J3130" t="s">
        <v>12568</v>
      </c>
      <c r="L3130" t="s">
        <v>6865</v>
      </c>
      <c r="M3130" t="str">
        <f>"https://www.artic.edu/iiif/2/"&amp;Table9[[#This Row],[Image ID]]&amp;"/full/843,/0/default.jpg"</f>
        <v>https://www.artic.edu/iiif/2/6dd51655-7621-8084-af99-0cc0b783a76b/full/843,/0/default.jpg</v>
      </c>
      <c r="N3130" s="3">
        <v>0.7</v>
      </c>
      <c r="O3130" s="3">
        <v>0.15</v>
      </c>
      <c r="P3130" s="3">
        <v>0.54999999999999993</v>
      </c>
      <c r="Q3130" s="3">
        <v>0.69572007656097401</v>
      </c>
    </row>
    <row r="3131" spans="1:17" x14ac:dyDescent="0.45">
      <c r="A3131" s="3">
        <v>145243</v>
      </c>
      <c r="B3131" t="b">
        <v>0</v>
      </c>
      <c r="C3131" t="b">
        <v>0</v>
      </c>
      <c r="D3131" s="3">
        <v>1940</v>
      </c>
      <c r="E3131" s="3">
        <v>1940</v>
      </c>
      <c r="F3131" t="s">
        <v>3349</v>
      </c>
      <c r="G3131" t="s">
        <v>7</v>
      </c>
      <c r="H3131" s="3">
        <v>29.136700000000001</v>
      </c>
      <c r="I3131" t="s">
        <v>180</v>
      </c>
      <c r="J3131" t="s">
        <v>12576</v>
      </c>
      <c r="L3131" t="s">
        <v>3350</v>
      </c>
      <c r="M3131" t="str">
        <f>"https://www.artic.edu/iiif/2/"&amp;Table9[[#This Row],[Image ID]]&amp;"/full/843,/0/default.jpg"</f>
        <v>https://www.artic.edu/iiif/2/6e955343-deb7-ad17-e7be-4db9a06a2e83/full/843,/0/default.jpg</v>
      </c>
      <c r="N3131" s="3">
        <v>0.57499999999999996</v>
      </c>
      <c r="O3131" s="3">
        <v>2.5000000000000001E-2</v>
      </c>
      <c r="P3131" s="3">
        <v>0.54999999999999993</v>
      </c>
      <c r="Q3131" s="3">
        <v>0.77370327711105302</v>
      </c>
    </row>
    <row r="3132" spans="1:17" x14ac:dyDescent="0.45">
      <c r="A3132" s="3">
        <v>53501</v>
      </c>
      <c r="B3132" t="b">
        <v>0</v>
      </c>
      <c r="C3132" t="b">
        <v>0</v>
      </c>
      <c r="D3132" s="3">
        <v>1941</v>
      </c>
      <c r="E3132" s="3">
        <v>1941</v>
      </c>
      <c r="F3132" t="s">
        <v>8272</v>
      </c>
      <c r="G3132" t="s">
        <v>7</v>
      </c>
      <c r="H3132" s="3">
        <v>30.010400000000001</v>
      </c>
      <c r="I3132" t="s">
        <v>8273</v>
      </c>
      <c r="J3132" t="s">
        <v>12865</v>
      </c>
      <c r="K3132" s="5" t="s">
        <v>2</v>
      </c>
      <c r="L3132" t="s">
        <v>8274</v>
      </c>
      <c r="M3132" t="str">
        <f>"https://www.artic.edu/iiif/2/"&amp;Table9[[#This Row],[Image ID]]&amp;"/full/843,/0/default.jpg"</f>
        <v>https://www.artic.edu/iiif/2/833fb562-9d72-0bc1-8e2f-b05d3d352fde/full/843,/0/default.jpg</v>
      </c>
      <c r="N3132" s="3">
        <v>0.7</v>
      </c>
      <c r="O3132" s="3">
        <v>0.15</v>
      </c>
      <c r="P3132" s="3">
        <v>0.54999999999999993</v>
      </c>
      <c r="Q3132" s="3">
        <v>0.73959934711456299</v>
      </c>
    </row>
    <row r="3133" spans="1:17" x14ac:dyDescent="0.45">
      <c r="A3133" s="3">
        <v>107252</v>
      </c>
      <c r="B3133" t="b">
        <v>0</v>
      </c>
      <c r="C3133" t="b">
        <v>0</v>
      </c>
      <c r="D3133" s="3">
        <v>1968</v>
      </c>
      <c r="E3133" s="3">
        <v>1972</v>
      </c>
      <c r="F3133" t="s">
        <v>613</v>
      </c>
      <c r="G3133" t="s">
        <v>621</v>
      </c>
      <c r="H3133" s="3">
        <v>70.28</v>
      </c>
      <c r="I3133" t="s">
        <v>612</v>
      </c>
      <c r="J3133" t="s">
        <v>13100</v>
      </c>
      <c r="L3133" t="s">
        <v>622</v>
      </c>
      <c r="M3133" t="str">
        <f>"https://www.artic.edu/iiif/2/"&amp;Table9[[#This Row],[Image ID]]&amp;"/full/843,/0/default.jpg"</f>
        <v>https://www.artic.edu/iiif/2/965840bd-53e9-f6d6-5413-922d66826604/full/843,/0/default.jpg</v>
      </c>
      <c r="N3133" s="3">
        <v>0.57499999999999996</v>
      </c>
      <c r="O3133" s="3">
        <v>2.5000000000000001E-2</v>
      </c>
      <c r="P3133" s="3">
        <v>0.54999999999999993</v>
      </c>
      <c r="Q3133" s="3">
        <v>0.70818018913268999</v>
      </c>
    </row>
    <row r="3134" spans="1:17" x14ac:dyDescent="0.45">
      <c r="A3134" s="3">
        <v>22479</v>
      </c>
      <c r="B3134" t="b">
        <v>0</v>
      </c>
      <c r="C3134" t="b">
        <v>0</v>
      </c>
      <c r="D3134" s="3">
        <v>1920</v>
      </c>
      <c r="E3134" s="3">
        <v>1930</v>
      </c>
      <c r="F3134" t="s">
        <v>4699</v>
      </c>
      <c r="G3134" t="s">
        <v>2857</v>
      </c>
      <c r="H3134" s="3">
        <v>59.611199999999997</v>
      </c>
      <c r="I3134" t="s">
        <v>822</v>
      </c>
      <c r="J3134" t="s">
        <v>13227</v>
      </c>
      <c r="L3134" t="s">
        <v>5894</v>
      </c>
      <c r="M3134" t="str">
        <f>"https://www.artic.edu/iiif/2/"&amp;Table9[[#This Row],[Image ID]]&amp;"/full/843,/0/default.jpg"</f>
        <v>https://www.artic.edu/iiif/2/9fada888-1c76-246a-599b-8c5f53f6ce4e/full/843,/0/default.jpg</v>
      </c>
      <c r="N3134" s="3">
        <v>0.6</v>
      </c>
      <c r="O3134" s="3">
        <v>0.05</v>
      </c>
      <c r="P3134" s="3">
        <v>0.54999999999999993</v>
      </c>
      <c r="Q3134" s="3">
        <v>0.776505887508392</v>
      </c>
    </row>
    <row r="3135" spans="1:17" x14ac:dyDescent="0.45">
      <c r="A3135" s="3">
        <v>225737</v>
      </c>
      <c r="B3135" t="b">
        <v>0</v>
      </c>
      <c r="C3135" t="b">
        <v>0</v>
      </c>
      <c r="D3135" s="3">
        <v>1959</v>
      </c>
      <c r="E3135" s="3">
        <v>1959</v>
      </c>
      <c r="F3135" t="s">
        <v>5934</v>
      </c>
      <c r="G3135" t="s">
        <v>5917</v>
      </c>
      <c r="H3135" s="3">
        <v>31.139800000000001</v>
      </c>
      <c r="I3135" t="s">
        <v>5918</v>
      </c>
      <c r="J3135" t="s">
        <v>11203</v>
      </c>
      <c r="L3135" t="s">
        <v>5935</v>
      </c>
      <c r="M3135" t="str">
        <f>"https://www.artic.edu/iiif/2/"&amp;Table9[[#This Row],[Image ID]]&amp;"/full/843,/0/default.jpg"</f>
        <v>https://www.artic.edu/iiif/2/a181adcb-0f39-c0b3-b78a-9e9a5040cd3a/full/843,/0/default.jpg</v>
      </c>
      <c r="N3135" s="3">
        <v>0.7</v>
      </c>
      <c r="O3135" s="3">
        <v>0.15</v>
      </c>
      <c r="P3135" s="3">
        <v>0.54999999999999993</v>
      </c>
      <c r="Q3135" s="3">
        <v>0.78204303979873602</v>
      </c>
    </row>
    <row r="3136" spans="1:17" x14ac:dyDescent="0.45">
      <c r="A3136" s="3">
        <v>185780</v>
      </c>
      <c r="B3136" t="b">
        <v>0</v>
      </c>
      <c r="C3136" t="b">
        <v>0</v>
      </c>
      <c r="D3136" s="3">
        <v>1914</v>
      </c>
      <c r="E3136" s="3">
        <v>1914</v>
      </c>
      <c r="F3136" t="s">
        <v>5026</v>
      </c>
      <c r="G3136" t="s">
        <v>250</v>
      </c>
      <c r="H3136" s="3">
        <v>64.513000000000005</v>
      </c>
      <c r="I3136" t="s">
        <v>5027</v>
      </c>
      <c r="J3136" t="s">
        <v>12263</v>
      </c>
      <c r="K3136" s="5" t="s">
        <v>45</v>
      </c>
      <c r="L3136" t="s">
        <v>5028</v>
      </c>
      <c r="M3136" t="str">
        <f>"https://www.artic.edu/iiif/2/"&amp;Table9[[#This Row],[Image ID]]&amp;"/full/843,/0/default.jpg"</f>
        <v>https://www.artic.edu/iiif/2/a90346c9-1628-d6c9-8f55-60b8fcc2cdd4/full/843,/0/default.jpg</v>
      </c>
      <c r="N3136" s="3">
        <v>0.6</v>
      </c>
      <c r="O3136" s="3">
        <v>0.05</v>
      </c>
      <c r="P3136" s="3">
        <v>0.54999999999999993</v>
      </c>
      <c r="Q3136" s="3">
        <v>0.69020444154739302</v>
      </c>
    </row>
    <row r="3137" spans="1:17" x14ac:dyDescent="0.45">
      <c r="A3137" s="3">
        <v>62315</v>
      </c>
      <c r="B3137" t="b">
        <v>0</v>
      </c>
      <c r="C3137" t="b">
        <v>0</v>
      </c>
      <c r="D3137" s="3">
        <v>1949</v>
      </c>
      <c r="E3137" s="3">
        <v>1959</v>
      </c>
      <c r="F3137" t="s">
        <v>8885</v>
      </c>
      <c r="G3137" t="s">
        <v>7</v>
      </c>
      <c r="H3137" s="3">
        <v>49.025100000000002</v>
      </c>
      <c r="I3137" t="s">
        <v>1</v>
      </c>
      <c r="J3137" t="s">
        <v>13544</v>
      </c>
      <c r="K3137" s="5" t="s">
        <v>2</v>
      </c>
      <c r="L3137" t="s">
        <v>8886</v>
      </c>
      <c r="M3137" t="str">
        <f>"https://www.artic.edu/iiif/2/"&amp;Table9[[#This Row],[Image ID]]&amp;"/full/843,/0/default.jpg"</f>
        <v>https://www.artic.edu/iiif/2/b77d4b7b-abc7-f1ef-a8c2-377167820d63/full/843,/0/default.jpg</v>
      </c>
      <c r="N3137" s="3">
        <v>0.6</v>
      </c>
      <c r="O3137" s="3">
        <v>0.05</v>
      </c>
      <c r="P3137" s="3">
        <v>0.54999999999999993</v>
      </c>
      <c r="Q3137" s="3">
        <v>0.70397180318832397</v>
      </c>
    </row>
    <row r="3138" spans="1:17" x14ac:dyDescent="0.45">
      <c r="A3138" s="3">
        <v>118284</v>
      </c>
      <c r="B3138" t="b">
        <v>0</v>
      </c>
      <c r="C3138" t="b">
        <v>0</v>
      </c>
      <c r="D3138" s="3">
        <v>1912</v>
      </c>
      <c r="E3138" s="3">
        <v>1912</v>
      </c>
      <c r="F3138" t="s">
        <v>2492</v>
      </c>
      <c r="G3138" t="s">
        <v>7</v>
      </c>
      <c r="H3138" s="3">
        <v>19.728200000000001</v>
      </c>
      <c r="I3138" t="s">
        <v>1907</v>
      </c>
      <c r="J3138" t="s">
        <v>13670</v>
      </c>
      <c r="K3138" s="5" t="s">
        <v>284</v>
      </c>
      <c r="L3138" t="s">
        <v>2493</v>
      </c>
      <c r="M3138" t="str">
        <f>"https://www.artic.edu/iiif/2/"&amp;Table9[[#This Row],[Image ID]]&amp;"/full/843,/0/default.jpg"</f>
        <v>https://www.artic.edu/iiif/2/c1649f5f-f6c2-c518-07ef-a2114ec7ff59/full/843,/0/default.jpg</v>
      </c>
      <c r="N3138" s="3">
        <v>0.6</v>
      </c>
      <c r="O3138" s="3">
        <v>0.05</v>
      </c>
      <c r="P3138" s="3">
        <v>0.54999999999999993</v>
      </c>
      <c r="Q3138" s="3">
        <v>0.549160957336425</v>
      </c>
    </row>
    <row r="3139" spans="1:17" x14ac:dyDescent="0.45">
      <c r="A3139" s="3">
        <v>16532</v>
      </c>
      <c r="B3139" t="b">
        <v>0</v>
      </c>
      <c r="C3139" t="b">
        <v>0</v>
      </c>
      <c r="D3139" s="3">
        <v>1905</v>
      </c>
      <c r="E3139" s="3">
        <v>1915</v>
      </c>
      <c r="F3139" t="s">
        <v>4471</v>
      </c>
      <c r="G3139" t="s">
        <v>7</v>
      </c>
      <c r="H3139" s="3">
        <v>0</v>
      </c>
      <c r="I3139" t="s">
        <v>1539</v>
      </c>
      <c r="J3139" t="s">
        <v>13672</v>
      </c>
      <c r="L3139" t="s">
        <v>4472</v>
      </c>
      <c r="M3139" t="str">
        <f>"https://www.artic.edu/iiif/2/"&amp;Table9[[#This Row],[Image ID]]&amp;"/full/843,/0/default.jpg"</f>
        <v>https://www.artic.edu/iiif/2/c1bede9f-6e2d-7518-21d0-0f56a39a8866/full/843,/0/default.jpg</v>
      </c>
      <c r="N3139" s="3">
        <v>0.7</v>
      </c>
      <c r="O3139" s="3">
        <v>0.15</v>
      </c>
      <c r="P3139" s="3">
        <v>0.54999999999999993</v>
      </c>
      <c r="Q3139" s="3">
        <v>0.68270635604858398</v>
      </c>
    </row>
    <row r="3140" spans="1:17" x14ac:dyDescent="0.45">
      <c r="A3140" s="3">
        <v>69021</v>
      </c>
      <c r="B3140" t="b">
        <v>0</v>
      </c>
      <c r="C3140" t="b">
        <v>0</v>
      </c>
      <c r="D3140" s="3">
        <v>1986</v>
      </c>
      <c r="E3140" s="3">
        <v>1986</v>
      </c>
      <c r="F3140" t="s">
        <v>9377</v>
      </c>
      <c r="G3140" t="s">
        <v>642</v>
      </c>
      <c r="H3140" s="3">
        <v>47.037700000000001</v>
      </c>
      <c r="I3140" t="s">
        <v>2422</v>
      </c>
      <c r="J3140" t="s">
        <v>13707</v>
      </c>
      <c r="L3140" t="s">
        <v>9378</v>
      </c>
      <c r="M3140" t="str">
        <f>"https://www.artic.edu/iiif/2/"&amp;Table9[[#This Row],[Image ID]]&amp;"/full/843,/0/default.jpg"</f>
        <v>https://www.artic.edu/iiif/2/c50a8897-374b-f781-c533-d683b9f8551e/full/843,/0/default.jpg</v>
      </c>
      <c r="N3140" s="3">
        <v>0.57499999999999996</v>
      </c>
      <c r="O3140" s="3">
        <v>2.5000000000000001E-2</v>
      </c>
      <c r="P3140" s="3">
        <v>0.54999999999999993</v>
      </c>
      <c r="Q3140" s="3">
        <v>0.737554311752319</v>
      </c>
    </row>
    <row r="3141" spans="1:17" x14ac:dyDescent="0.45">
      <c r="A3141" s="3">
        <v>65912</v>
      </c>
      <c r="B3141" t="b">
        <v>0</v>
      </c>
      <c r="C3141" t="b">
        <v>0</v>
      </c>
      <c r="D3141" s="3">
        <v>1909</v>
      </c>
      <c r="E3141" s="3">
        <v>1910</v>
      </c>
      <c r="F3141" t="s">
        <v>9097</v>
      </c>
      <c r="G3141" t="s">
        <v>434</v>
      </c>
      <c r="H3141" s="3">
        <v>49.134900000000002</v>
      </c>
      <c r="I3141" t="s">
        <v>1019</v>
      </c>
      <c r="J3141" t="s">
        <v>6525</v>
      </c>
      <c r="L3141" t="s">
        <v>9098</v>
      </c>
      <c r="M3141" t="str">
        <f>"https://www.artic.edu/iiif/2/"&amp;Table9[[#This Row],[Image ID]]&amp;"/full/843,/0/default.jpg"</f>
        <v>https://www.artic.edu/iiif/2/d9b07617-7953-5ef1-6a0f-1f593baf06a1/full/843,/0/default.jpg</v>
      </c>
      <c r="N3141" s="3">
        <v>0.6</v>
      </c>
      <c r="O3141" s="3">
        <v>0.05</v>
      </c>
      <c r="P3141" s="3">
        <v>0.54999999999999993</v>
      </c>
      <c r="Q3141" s="3">
        <v>0.67143231630325295</v>
      </c>
    </row>
    <row r="3142" spans="1:17" x14ac:dyDescent="0.45">
      <c r="A3142" s="3">
        <v>63633</v>
      </c>
      <c r="B3142" t="b">
        <v>0</v>
      </c>
      <c r="C3142" t="b">
        <v>0</v>
      </c>
      <c r="D3142" s="3">
        <v>1948</v>
      </c>
      <c r="E3142" s="3">
        <v>1948</v>
      </c>
      <c r="F3142" t="s">
        <v>8938</v>
      </c>
      <c r="G3142" t="s">
        <v>8939</v>
      </c>
      <c r="H3142" s="3">
        <v>70.836200000000005</v>
      </c>
      <c r="I3142" t="s">
        <v>2385</v>
      </c>
      <c r="J3142" t="s">
        <v>13983</v>
      </c>
      <c r="L3142" t="s">
        <v>8940</v>
      </c>
      <c r="M3142" t="str">
        <f>"https://www.artic.edu/iiif/2/"&amp;Table9[[#This Row],[Image ID]]&amp;"/full/843,/0/default.jpg"</f>
        <v>https://www.artic.edu/iiif/2/da54b267-8531-2d34-bdb4-6185c609ebd3/full/843,/0/default.jpg</v>
      </c>
      <c r="N3142" s="3">
        <v>0.6</v>
      </c>
      <c r="O3142" s="3">
        <v>0.05</v>
      </c>
      <c r="P3142" s="3">
        <v>0.54999999999999993</v>
      </c>
      <c r="Q3142" s="3">
        <v>0.65082085132598799</v>
      </c>
    </row>
    <row r="3143" spans="1:17" x14ac:dyDescent="0.45">
      <c r="A3143" s="3">
        <v>11371</v>
      </c>
      <c r="B3143" t="b">
        <v>0</v>
      </c>
      <c r="C3143" t="b">
        <v>0</v>
      </c>
      <c r="D3143" s="3">
        <v>1924</v>
      </c>
      <c r="E3143" s="3">
        <v>1924</v>
      </c>
      <c r="F3143" t="s">
        <v>1490</v>
      </c>
      <c r="G3143" t="s">
        <v>7</v>
      </c>
      <c r="H3143" s="3">
        <v>22.9253</v>
      </c>
      <c r="I3143" t="s">
        <v>1491</v>
      </c>
      <c r="J3143" t="s">
        <v>14364</v>
      </c>
      <c r="K3143" s="5" t="s">
        <v>45</v>
      </c>
      <c r="L3143" t="s">
        <v>1492</v>
      </c>
      <c r="M3143" t="str">
        <f>"https://www.artic.edu/iiif/2/"&amp;Table9[[#This Row],[Image ID]]&amp;"/full/843,/0/default.jpg"</f>
        <v>https://www.artic.edu/iiif/2/f3ad0bd5-2502-a308-bd69-e6ca4987f55f/full/843,/0/default.jpg</v>
      </c>
      <c r="N3143" s="3">
        <v>0.57499999999999996</v>
      </c>
      <c r="O3143" s="3">
        <v>2.5000000000000001E-2</v>
      </c>
      <c r="P3143" s="3">
        <v>0.54999999999999993</v>
      </c>
      <c r="Q3143" s="3">
        <v>0.62380528450012196</v>
      </c>
    </row>
    <row r="3144" spans="1:17" x14ac:dyDescent="0.45">
      <c r="A3144" s="3">
        <v>81030</v>
      </c>
      <c r="B3144" t="b">
        <v>0</v>
      </c>
      <c r="C3144" t="b">
        <v>0</v>
      </c>
      <c r="D3144" s="3">
        <v>1899</v>
      </c>
      <c r="E3144" s="3">
        <v>1922</v>
      </c>
      <c r="F3144" t="s">
        <v>10073</v>
      </c>
      <c r="G3144" t="s">
        <v>10074</v>
      </c>
      <c r="H3144" s="3">
        <v>66.504599999999996</v>
      </c>
      <c r="I3144" t="s">
        <v>9926</v>
      </c>
      <c r="J3144" t="s">
        <v>14433</v>
      </c>
      <c r="L3144" t="s">
        <v>10075</v>
      </c>
      <c r="M3144" t="str">
        <f>"https://www.artic.edu/iiif/2/"&amp;Table9[[#This Row],[Image ID]]&amp;"/full/843,/0/default.jpg"</f>
        <v>https://www.artic.edu/iiif/2/f877efa8-a769-4ebe-fb9f-f691da69df3a/full/843,/0/default.jpg</v>
      </c>
      <c r="N3144" s="3">
        <v>0.57499999999999996</v>
      </c>
      <c r="O3144" s="3">
        <v>2.5000000000000001E-2</v>
      </c>
      <c r="P3144" s="3">
        <v>0.54999999999999993</v>
      </c>
      <c r="Q3144" s="3">
        <v>0.69554197788238503</v>
      </c>
    </row>
    <row r="3145" spans="1:17" x14ac:dyDescent="0.45">
      <c r="A3145" s="3">
        <v>16743</v>
      </c>
      <c r="B3145" t="b">
        <v>0</v>
      </c>
      <c r="C3145" t="b">
        <v>0</v>
      </c>
      <c r="D3145" s="3">
        <v>1924</v>
      </c>
      <c r="E3145" s="3">
        <v>1924</v>
      </c>
      <c r="F3145" t="s">
        <v>4553</v>
      </c>
      <c r="G3145" t="s">
        <v>4554</v>
      </c>
      <c r="H3145" s="3">
        <v>15.461</v>
      </c>
      <c r="I3145" t="s">
        <v>1277</v>
      </c>
      <c r="J3145" t="s">
        <v>14498</v>
      </c>
      <c r="L3145" t="s">
        <v>4555</v>
      </c>
      <c r="M3145" t="str">
        <f>"https://www.artic.edu/iiif/2/"&amp;Table9[[#This Row],[Image ID]]&amp;"/full/843,/0/default.jpg"</f>
        <v>https://www.artic.edu/iiif/2/fd718ee1-a8e5-71cd-55c6-fa1a5a3a6395/full/843,/0/default.jpg</v>
      </c>
      <c r="N3145" s="3">
        <v>0.6</v>
      </c>
      <c r="O3145" s="3">
        <v>0.05</v>
      </c>
      <c r="P3145" s="3">
        <v>0.54999999999999993</v>
      </c>
      <c r="Q3145" s="3">
        <v>0.67658191919326705</v>
      </c>
    </row>
    <row r="3146" spans="1:17" x14ac:dyDescent="0.45">
      <c r="A3146" s="3">
        <v>8996</v>
      </c>
      <c r="B3146" t="b">
        <v>0</v>
      </c>
      <c r="C3146" t="b">
        <v>0</v>
      </c>
      <c r="D3146" s="3">
        <v>1912</v>
      </c>
      <c r="E3146" s="3">
        <v>1912</v>
      </c>
      <c r="F3146" t="s">
        <v>2056</v>
      </c>
      <c r="G3146" t="s">
        <v>7</v>
      </c>
      <c r="H3146" s="3">
        <v>48.249200000000002</v>
      </c>
      <c r="I3146" t="s">
        <v>10485</v>
      </c>
      <c r="J3146" t="s">
        <v>11910</v>
      </c>
      <c r="L3146" t="s">
        <v>10487</v>
      </c>
      <c r="M3146" t="str">
        <f>"https://www.artic.edu/iiif/2/"&amp;Table9[[#This Row],[Image ID]]&amp;"/full/843,/0/default.jpg"</f>
        <v>https://www.artic.edu/iiif/2/3f860f0a-9996-4731-b43f-35468fc0e3fc/full/843,/0/default.jpg</v>
      </c>
      <c r="N3146" s="3">
        <v>0.61899999999999999</v>
      </c>
      <c r="O3146" s="3">
        <v>7.0000000000000007E-2</v>
      </c>
      <c r="P3146" s="3">
        <v>0.54899999999999993</v>
      </c>
      <c r="Q3146" s="3">
        <v>0.82900428771972601</v>
      </c>
    </row>
    <row r="3147" spans="1:17" x14ac:dyDescent="0.45">
      <c r="A3147" s="3">
        <v>17604</v>
      </c>
      <c r="B3147" t="b">
        <v>0</v>
      </c>
      <c r="C3147" t="b">
        <v>0</v>
      </c>
      <c r="D3147" s="3">
        <v>1907</v>
      </c>
      <c r="E3147" s="3">
        <v>1963</v>
      </c>
      <c r="F3147" t="s">
        <v>2757</v>
      </c>
      <c r="G3147" t="s">
        <v>4674</v>
      </c>
      <c r="H3147" s="3">
        <v>27.907299999999999</v>
      </c>
      <c r="I3147" t="s">
        <v>14639</v>
      </c>
      <c r="J3147" t="s">
        <v>13152</v>
      </c>
      <c r="L3147" t="s">
        <v>4675</v>
      </c>
      <c r="M3147" t="str">
        <f>"https://www.artic.edu/iiif/2/"&amp;Table9[[#This Row],[Image ID]]&amp;"/full/843,/0/default.jpg"</f>
        <v>https://www.artic.edu/iiif/2/9a2265e5-b036-ed2c-55d5-3835cccc3ffd/full/843,/0/default.jpg</v>
      </c>
      <c r="N3147" s="3">
        <v>0.61899999999999999</v>
      </c>
      <c r="O3147" s="3">
        <v>7.0000000000000007E-2</v>
      </c>
      <c r="P3147" s="3">
        <v>0.54899999999999993</v>
      </c>
      <c r="Q3147" s="3">
        <v>0.79071837663650502</v>
      </c>
    </row>
    <row r="3148" spans="1:17" x14ac:dyDescent="0.45">
      <c r="A3148" s="3">
        <v>61741</v>
      </c>
      <c r="B3148" t="b">
        <v>0</v>
      </c>
      <c r="C3148" t="b">
        <v>1</v>
      </c>
      <c r="D3148" s="3">
        <v>1725</v>
      </c>
      <c r="E3148" s="3">
        <v>1740</v>
      </c>
      <c r="F3148" t="s">
        <v>8838</v>
      </c>
      <c r="G3148" t="s">
        <v>7</v>
      </c>
      <c r="H3148" s="3">
        <v>16.598700000000001</v>
      </c>
      <c r="I3148" t="s">
        <v>1007</v>
      </c>
      <c r="J3148" t="s">
        <v>11757</v>
      </c>
      <c r="L3148" t="s">
        <v>8839</v>
      </c>
      <c r="M3148" t="str">
        <f>"https://www.artic.edu/iiif/2/"&amp;Table9[[#This Row],[Image ID]]&amp;"/full/843,/0/default.jpg"</f>
        <v>https://www.artic.edu/iiif/2/360e3e61-bb1c-1eb5-a9f5-e620f305b75b/full/843,/0/default.jpg</v>
      </c>
      <c r="N3148" s="3">
        <v>0.66700000000000004</v>
      </c>
      <c r="O3148" s="3">
        <v>0.11899999999999999</v>
      </c>
      <c r="P3148" s="3">
        <v>0.54800000000000004</v>
      </c>
      <c r="Q3148" s="3">
        <v>0.80497705936431796</v>
      </c>
    </row>
    <row r="3149" spans="1:17" x14ac:dyDescent="0.45">
      <c r="A3149" s="3">
        <v>38951</v>
      </c>
      <c r="B3149" t="b">
        <v>0</v>
      </c>
      <c r="C3149" t="b">
        <v>1</v>
      </c>
      <c r="D3149" s="3">
        <v>1776</v>
      </c>
      <c r="E3149" s="3">
        <v>1827</v>
      </c>
      <c r="F3149" t="s">
        <v>7343</v>
      </c>
      <c r="G3149" t="s">
        <v>7344</v>
      </c>
      <c r="H3149" s="3">
        <v>24.9831</v>
      </c>
      <c r="I3149" t="s">
        <v>1266</v>
      </c>
      <c r="J3149" t="s">
        <v>11921</v>
      </c>
      <c r="L3149" t="s">
        <v>7345</v>
      </c>
      <c r="M3149" t="str">
        <f>"https://www.artic.edu/iiif/2/"&amp;Table9[[#This Row],[Image ID]]&amp;"/full/843,/0/default.jpg"</f>
        <v>https://www.artic.edu/iiif/2/404b1ce2-0521-b67a-3ede-863e4c1f7d54/full/843,/0/default.jpg</v>
      </c>
      <c r="N3149" s="3">
        <v>0.66700000000000004</v>
      </c>
      <c r="O3149" s="3">
        <v>0.11899999999999999</v>
      </c>
      <c r="P3149" s="3">
        <v>0.54800000000000004</v>
      </c>
      <c r="Q3149" s="3">
        <v>0.64816427230834905</v>
      </c>
    </row>
    <row r="3150" spans="1:17" x14ac:dyDescent="0.45">
      <c r="A3150" s="3">
        <v>95993</v>
      </c>
      <c r="B3150" t="b">
        <v>0</v>
      </c>
      <c r="C3150" t="b">
        <v>1</v>
      </c>
      <c r="D3150" s="3">
        <v>1862</v>
      </c>
      <c r="E3150" s="3">
        <v>1862</v>
      </c>
      <c r="F3150" t="s">
        <v>10782</v>
      </c>
      <c r="G3150" t="s">
        <v>7</v>
      </c>
      <c r="H3150" s="3">
        <v>23.780200000000001</v>
      </c>
      <c r="I3150" t="s">
        <v>7152</v>
      </c>
      <c r="J3150" t="s">
        <v>11993</v>
      </c>
      <c r="L3150" t="s">
        <v>10783</v>
      </c>
      <c r="M3150" t="str">
        <f>"https://www.artic.edu/iiif/2/"&amp;Table9[[#This Row],[Image ID]]&amp;"/full/843,/0/default.jpg"</f>
        <v>https://www.artic.edu/iiif/2/44c6f2f1-90fc-f386-734b-fbb9427b6ff3/full/843,/0/default.jpg</v>
      </c>
      <c r="N3150" s="3">
        <v>0.73799999999999999</v>
      </c>
      <c r="O3150" s="3">
        <v>0.19</v>
      </c>
      <c r="P3150" s="3">
        <v>0.54800000000000004</v>
      </c>
      <c r="Q3150" s="3">
        <v>0.45827031135558999</v>
      </c>
    </row>
    <row r="3151" spans="1:17" x14ac:dyDescent="0.45">
      <c r="A3151" s="3">
        <v>100347</v>
      </c>
      <c r="B3151" t="b">
        <v>0</v>
      </c>
      <c r="C3151" t="b">
        <v>1</v>
      </c>
      <c r="D3151" s="3">
        <v>1515</v>
      </c>
      <c r="E3151" s="3">
        <v>1525</v>
      </c>
      <c r="F3151" t="s">
        <v>87</v>
      </c>
      <c r="G3151" t="s">
        <v>75</v>
      </c>
      <c r="H3151" s="3">
        <v>54.3035</v>
      </c>
      <c r="I3151" t="s">
        <v>85</v>
      </c>
      <c r="J3151" t="s">
        <v>12368</v>
      </c>
      <c r="L3151" t="s">
        <v>88</v>
      </c>
      <c r="M3151" t="str">
        <f>"https://www.artic.edu/iiif/2/"&amp;Table9[[#This Row],[Image ID]]&amp;"/full/843,/0/default.jpg"</f>
        <v>https://www.artic.edu/iiif/2/5f374b65-1f25-6034-af57-385d80ed302e/full/843,/0/default.jpg</v>
      </c>
      <c r="N3151" s="3">
        <v>0.61899999999999999</v>
      </c>
      <c r="O3151" s="3">
        <v>7.0999999999999994E-2</v>
      </c>
      <c r="P3151" s="3">
        <v>0.54800000000000004</v>
      </c>
      <c r="Q3151" s="3">
        <v>0.71817779541015603</v>
      </c>
    </row>
    <row r="3152" spans="1:17" x14ac:dyDescent="0.45">
      <c r="A3152" s="3">
        <v>115604</v>
      </c>
      <c r="B3152" t="b">
        <v>0</v>
      </c>
      <c r="C3152" t="b">
        <v>1</v>
      </c>
      <c r="D3152" s="3">
        <v>1849</v>
      </c>
      <c r="E3152" s="3">
        <v>1849</v>
      </c>
      <c r="F3152" t="s">
        <v>1721</v>
      </c>
      <c r="G3152" t="s">
        <v>2031</v>
      </c>
      <c r="H3152" s="3">
        <v>23.316400000000002</v>
      </c>
      <c r="I3152" t="s">
        <v>1723</v>
      </c>
      <c r="J3152" t="s">
        <v>12473</v>
      </c>
      <c r="L3152" t="s">
        <v>2032</v>
      </c>
      <c r="M3152" t="str">
        <f>"https://www.artic.edu/iiif/2/"&amp;Table9[[#This Row],[Image ID]]&amp;"/full/843,/0/default.jpg"</f>
        <v>https://www.artic.edu/iiif/2/666f2adf-79a3-cde3-e31d-9bf37bc4176d/full/843,/0/default.jpg</v>
      </c>
      <c r="N3152" s="3">
        <v>0.61899999999999999</v>
      </c>
      <c r="O3152" s="3">
        <v>7.0999999999999994E-2</v>
      </c>
      <c r="P3152" s="3">
        <v>0.54800000000000004</v>
      </c>
      <c r="Q3152" s="3">
        <v>0.72260540723800604</v>
      </c>
    </row>
    <row r="3153" spans="1:17" x14ac:dyDescent="0.45">
      <c r="A3153" s="3">
        <v>497</v>
      </c>
      <c r="B3153" t="b">
        <v>0</v>
      </c>
      <c r="C3153" t="b">
        <v>1</v>
      </c>
      <c r="D3153" s="3">
        <v>1707</v>
      </c>
      <c r="E3153" s="3">
        <v>1707</v>
      </c>
      <c r="F3153" t="s">
        <v>8070</v>
      </c>
      <c r="G3153" t="s">
        <v>75</v>
      </c>
      <c r="H3153" s="3">
        <v>24.676300000000001</v>
      </c>
      <c r="I3153" t="s">
        <v>8071</v>
      </c>
      <c r="J3153" t="s">
        <v>13247</v>
      </c>
      <c r="L3153" t="s">
        <v>8072</v>
      </c>
      <c r="M3153" t="str">
        <f>"https://www.artic.edu/iiif/2/"&amp;Table9[[#This Row],[Image ID]]&amp;"/full/843,/0/default.jpg"</f>
        <v>https://www.artic.edu/iiif/2/a161daf3-6766-63ed-3de6-0fc4f6d196fe/full/843,/0/default.jpg</v>
      </c>
      <c r="N3153" s="3">
        <v>0.76200000000000001</v>
      </c>
      <c r="O3153" s="3">
        <v>0.214</v>
      </c>
      <c r="P3153" s="3">
        <v>0.54800000000000004</v>
      </c>
      <c r="Q3153" s="3">
        <v>0.72259521484375</v>
      </c>
    </row>
    <row r="3154" spans="1:17" ht="99.75" x14ac:dyDescent="0.45">
      <c r="A3154" s="3">
        <v>111441</v>
      </c>
      <c r="B3154" t="b">
        <v>0</v>
      </c>
      <c r="C3154" t="b">
        <v>1</v>
      </c>
      <c r="D3154" s="3">
        <v>1505</v>
      </c>
      <c r="E3154" s="3">
        <v>1515</v>
      </c>
      <c r="F3154" t="s">
        <v>577</v>
      </c>
      <c r="G3154" t="s">
        <v>75</v>
      </c>
      <c r="H3154" s="3">
        <v>29.273599999999998</v>
      </c>
      <c r="I3154" t="s">
        <v>1104</v>
      </c>
      <c r="J3154" s="1" t="s">
        <v>13892</v>
      </c>
      <c r="L3154" t="s">
        <v>1105</v>
      </c>
      <c r="M3154" t="str">
        <f>"https://www.artic.edu/iiif/2/"&amp;Table9[[#This Row],[Image ID]]&amp;"/full/843,/0/default.jpg"</f>
        <v>https://www.artic.edu/iiif/2/d4167bca-367c-481b-a5df-2f5aa51e7280/full/843,/0/default.jpg</v>
      </c>
      <c r="N3154" s="3">
        <v>0.66700000000000004</v>
      </c>
      <c r="O3154" s="3">
        <v>0.11899999999999999</v>
      </c>
      <c r="P3154" s="3">
        <v>0.54800000000000004</v>
      </c>
      <c r="Q3154" s="3">
        <v>0.77653276920318604</v>
      </c>
    </row>
    <row r="3155" spans="1:17" x14ac:dyDescent="0.45">
      <c r="A3155" s="3">
        <v>120896</v>
      </c>
      <c r="B3155" t="b">
        <v>0</v>
      </c>
      <c r="C3155" t="b">
        <v>0</v>
      </c>
      <c r="D3155" s="3">
        <v>1928</v>
      </c>
      <c r="E3155" s="3">
        <v>1928</v>
      </c>
      <c r="F3155" t="s">
        <v>2659</v>
      </c>
      <c r="G3155" t="s">
        <v>7</v>
      </c>
      <c r="H3155" s="3">
        <v>39.472099999999998</v>
      </c>
      <c r="I3155" t="s">
        <v>2660</v>
      </c>
      <c r="J3155" t="s">
        <v>11288</v>
      </c>
      <c r="K3155" s="5" t="s">
        <v>45</v>
      </c>
      <c r="L3155" t="s">
        <v>2661</v>
      </c>
      <c r="M3155" t="str">
        <f>"https://www.artic.edu/iiif/2/"&amp;Table9[[#This Row],[Image ID]]&amp;"/full/843,/0/default.jpg"</f>
        <v>https://www.artic.edu/iiif/2/16f58e07-f189-e5f8-fe17-c4bb14abfc7f/full/843,/0/default.jpg</v>
      </c>
      <c r="N3155" s="3">
        <v>0.64300000000000002</v>
      </c>
      <c r="O3155" s="3">
        <v>9.5000000000000001E-2</v>
      </c>
      <c r="P3155" s="3">
        <v>0.54800000000000004</v>
      </c>
      <c r="Q3155" s="3">
        <v>0.71717268228530795</v>
      </c>
    </row>
    <row r="3156" spans="1:17" x14ac:dyDescent="0.45">
      <c r="A3156" s="3">
        <v>117739</v>
      </c>
      <c r="B3156" t="b">
        <v>0</v>
      </c>
      <c r="C3156" t="b">
        <v>0</v>
      </c>
      <c r="D3156" s="3">
        <v>1941</v>
      </c>
      <c r="E3156" s="3">
        <v>1941</v>
      </c>
      <c r="F3156" t="s">
        <v>2419</v>
      </c>
      <c r="G3156" t="s">
        <v>2420</v>
      </c>
      <c r="H3156" s="3">
        <v>49.853000000000002</v>
      </c>
      <c r="I3156" t="s">
        <v>2379</v>
      </c>
      <c r="J3156" t="s">
        <v>11440</v>
      </c>
      <c r="L3156" t="s">
        <v>2421</v>
      </c>
      <c r="M3156" t="str">
        <f>"https://www.artic.edu/iiif/2/"&amp;Table9[[#This Row],[Image ID]]&amp;"/full/843,/0/default.jpg"</f>
        <v>https://www.artic.edu/iiif/2/20d643a7-c591-5bef-0529-4e8bc2da7beb/full/843,/0/default.jpg</v>
      </c>
      <c r="N3156" s="3">
        <v>0.61899999999999999</v>
      </c>
      <c r="O3156" s="3">
        <v>7.0999999999999994E-2</v>
      </c>
      <c r="P3156" s="3">
        <v>0.54800000000000004</v>
      </c>
      <c r="Q3156" s="3">
        <v>0.66190820932388295</v>
      </c>
    </row>
    <row r="3157" spans="1:17" x14ac:dyDescent="0.45">
      <c r="A3157" s="3">
        <v>36327</v>
      </c>
      <c r="B3157" t="b">
        <v>0</v>
      </c>
      <c r="C3157" t="b">
        <v>0</v>
      </c>
      <c r="D3157" s="3">
        <v>1895</v>
      </c>
      <c r="E3157" s="3">
        <v>1905</v>
      </c>
      <c r="F3157" t="s">
        <v>14569</v>
      </c>
      <c r="G3157" t="s">
        <v>642</v>
      </c>
      <c r="H3157" s="3">
        <v>28.391300000000001</v>
      </c>
      <c r="I3157" t="s">
        <v>5248</v>
      </c>
      <c r="J3157" t="s">
        <v>11610</v>
      </c>
      <c r="L3157" t="s">
        <v>7218</v>
      </c>
      <c r="M3157" t="str">
        <f>"https://www.artic.edu/iiif/2/"&amp;Table9[[#This Row],[Image ID]]&amp;"/full/843,/0/default.jpg"</f>
        <v>https://www.artic.edu/iiif/2/2b49a619-07e7-fa85-3ee7-70bfe6e08064/full/843,/0/default.jpg</v>
      </c>
      <c r="N3157" s="3">
        <v>0.66700000000000004</v>
      </c>
      <c r="O3157" s="3">
        <v>0.11899999999999999</v>
      </c>
      <c r="P3157" s="3">
        <v>0.54800000000000004</v>
      </c>
      <c r="Q3157" s="3">
        <v>0.735268414020538</v>
      </c>
    </row>
    <row r="3158" spans="1:17" x14ac:dyDescent="0.45">
      <c r="A3158" s="3">
        <v>32749</v>
      </c>
      <c r="B3158" t="b">
        <v>0</v>
      </c>
      <c r="C3158" t="b">
        <v>0</v>
      </c>
      <c r="D3158" s="3">
        <v>1955</v>
      </c>
      <c r="E3158" s="3">
        <v>1955</v>
      </c>
      <c r="F3158" t="s">
        <v>7063</v>
      </c>
      <c r="G3158" t="s">
        <v>14584</v>
      </c>
      <c r="H3158" s="3">
        <v>25.040900000000001</v>
      </c>
      <c r="I3158" t="s">
        <v>2404</v>
      </c>
      <c r="J3158" t="s">
        <v>12189</v>
      </c>
      <c r="L3158" t="s">
        <v>7064</v>
      </c>
      <c r="M3158" t="str">
        <f>"https://www.artic.edu/iiif/2/"&amp;Table9[[#This Row],[Image ID]]&amp;"/full/843,/0/default.jpg"</f>
        <v>https://www.artic.edu/iiif/2/53752314-963a-7336-3a31-4d295fb4ef7d/full/843,/0/default.jpg</v>
      </c>
      <c r="N3158" s="3">
        <v>0.66700000000000004</v>
      </c>
      <c r="O3158" s="3">
        <v>0.11899999999999999</v>
      </c>
      <c r="P3158" s="3">
        <v>0.54800000000000004</v>
      </c>
      <c r="Q3158" s="3">
        <v>0.69474428892135598</v>
      </c>
    </row>
    <row r="3159" spans="1:17" x14ac:dyDescent="0.45">
      <c r="A3159" s="3">
        <v>62290</v>
      </c>
      <c r="B3159" t="b">
        <v>0</v>
      </c>
      <c r="C3159" t="b">
        <v>0</v>
      </c>
      <c r="D3159" s="3">
        <v>1948</v>
      </c>
      <c r="E3159" s="3">
        <v>1949</v>
      </c>
      <c r="F3159" t="s">
        <v>11</v>
      </c>
      <c r="G3159" t="s">
        <v>8873</v>
      </c>
      <c r="H3159" s="3">
        <v>7.4523000000000001</v>
      </c>
      <c r="I3159" t="s">
        <v>142</v>
      </c>
      <c r="J3159" t="s">
        <v>12625</v>
      </c>
      <c r="L3159" t="s">
        <v>8874</v>
      </c>
      <c r="M3159" t="str">
        <f>"https://www.artic.edu/iiif/2/"&amp;Table9[[#This Row],[Image ID]]&amp;"/full/843,/0/default.jpg"</f>
        <v>https://www.artic.edu/iiif/2/71600387-912a-2bf2-d166-e50ca392186e/full/843,/0/default.jpg</v>
      </c>
      <c r="N3159" s="3">
        <v>0.61899999999999999</v>
      </c>
      <c r="O3159" s="3">
        <v>7.0999999999999994E-2</v>
      </c>
      <c r="P3159" s="3">
        <v>0.54800000000000004</v>
      </c>
      <c r="Q3159" s="3">
        <v>0.82313311100006104</v>
      </c>
    </row>
    <row r="3160" spans="1:17" x14ac:dyDescent="0.45">
      <c r="A3160" s="3">
        <v>16706</v>
      </c>
      <c r="B3160" t="b">
        <v>0</v>
      </c>
      <c r="C3160" t="b">
        <v>0</v>
      </c>
      <c r="D3160" s="3">
        <v>1911</v>
      </c>
      <c r="E3160" s="3">
        <v>1963</v>
      </c>
      <c r="F3160" t="s">
        <v>11</v>
      </c>
      <c r="G3160" t="s">
        <v>4538</v>
      </c>
      <c r="H3160" s="3">
        <v>40.056600000000003</v>
      </c>
      <c r="I3160" t="s">
        <v>14549</v>
      </c>
      <c r="J3160" t="s">
        <v>12990</v>
      </c>
      <c r="L3160" t="s">
        <v>4539</v>
      </c>
      <c r="M3160" t="str">
        <f>"https://www.artic.edu/iiif/2/"&amp;Table9[[#This Row],[Image ID]]&amp;"/full/843,/0/default.jpg"</f>
        <v>https://www.artic.edu/iiif/2/8ce0baad-fc52-8d26-48cb-b0cecea6053e/full/843,/0/default.jpg</v>
      </c>
      <c r="N3160" s="3">
        <v>0.66700000000000004</v>
      </c>
      <c r="O3160" s="3">
        <v>0.11899999999999999</v>
      </c>
      <c r="P3160" s="3">
        <v>0.54800000000000004</v>
      </c>
      <c r="Q3160" s="3">
        <v>0.82119965553283603</v>
      </c>
    </row>
    <row r="3161" spans="1:17" x14ac:dyDescent="0.45">
      <c r="A3161" s="3">
        <v>88741</v>
      </c>
      <c r="B3161" t="b">
        <v>0</v>
      </c>
      <c r="C3161" t="b">
        <v>0</v>
      </c>
      <c r="D3161" s="3">
        <v>1927</v>
      </c>
      <c r="E3161" s="3">
        <v>1927</v>
      </c>
      <c r="F3161" t="s">
        <v>10439</v>
      </c>
      <c r="G3161" t="s">
        <v>10440</v>
      </c>
      <c r="H3161" s="3">
        <v>48.4328</v>
      </c>
      <c r="I3161" t="s">
        <v>3675</v>
      </c>
      <c r="J3161" t="s">
        <v>13459</v>
      </c>
      <c r="L3161" t="s">
        <v>10441</v>
      </c>
      <c r="M3161" t="str">
        <f>"https://www.artic.edu/iiif/2/"&amp;Table9[[#This Row],[Image ID]]&amp;"/full/843,/0/default.jpg"</f>
        <v>https://www.artic.edu/iiif/2/b0660aaa-e147-b82d-9f6c-250e6f16c862/full/843,/0/default.jpg</v>
      </c>
      <c r="N3161" s="3">
        <v>0.66700000000000004</v>
      </c>
      <c r="O3161" s="3">
        <v>0.11899999999999999</v>
      </c>
      <c r="P3161" s="3">
        <v>0.54800000000000004</v>
      </c>
      <c r="Q3161" s="3">
        <v>0.69315236806869496</v>
      </c>
    </row>
    <row r="3162" spans="1:17" x14ac:dyDescent="0.45">
      <c r="A3162" s="3">
        <v>109285</v>
      </c>
      <c r="B3162" t="b">
        <v>0</v>
      </c>
      <c r="C3162" t="b">
        <v>0</v>
      </c>
      <c r="D3162" s="3">
        <v>1955</v>
      </c>
      <c r="E3162" s="3">
        <v>1955</v>
      </c>
      <c r="F3162" t="s">
        <v>763</v>
      </c>
      <c r="G3162" t="s">
        <v>764</v>
      </c>
      <c r="H3162" s="3">
        <v>0</v>
      </c>
      <c r="I3162" t="s">
        <v>765</v>
      </c>
      <c r="J3162" t="s">
        <v>13646</v>
      </c>
      <c r="L3162" t="s">
        <v>766</v>
      </c>
      <c r="M3162" t="str">
        <f>"https://www.artic.edu/iiif/2/"&amp;Table9[[#This Row],[Image ID]]&amp;"/full/843,/0/default.jpg"</f>
        <v>https://www.artic.edu/iiif/2/bfdd1e83-ccfd-ccae-7832-70aec91d7cee/full/843,/0/default.jpg</v>
      </c>
      <c r="N3162" s="3">
        <v>0.64300000000000002</v>
      </c>
      <c r="O3162" s="3">
        <v>9.5000000000000001E-2</v>
      </c>
      <c r="P3162" s="3">
        <v>0.54800000000000004</v>
      </c>
      <c r="Q3162" s="3">
        <v>0.683391153812408</v>
      </c>
    </row>
    <row r="3163" spans="1:17" x14ac:dyDescent="0.45">
      <c r="A3163" s="3">
        <v>39082</v>
      </c>
      <c r="B3163" t="b">
        <v>0</v>
      </c>
      <c r="C3163" t="b">
        <v>1</v>
      </c>
      <c r="D3163" s="3">
        <v>1837</v>
      </c>
      <c r="E3163" s="3">
        <v>1864</v>
      </c>
      <c r="F3163" t="s">
        <v>7421</v>
      </c>
      <c r="G3163" t="s">
        <v>1374</v>
      </c>
      <c r="H3163" s="3">
        <v>19.547799999999999</v>
      </c>
      <c r="I3163" t="s">
        <v>1295</v>
      </c>
      <c r="J3163" t="s">
        <v>12148</v>
      </c>
      <c r="L3163" t="s">
        <v>7422</v>
      </c>
      <c r="M3163" t="str">
        <f>"https://www.artic.edu/iiif/2/"&amp;Table9[[#This Row],[Image ID]]&amp;"/full/843,/0/default.jpg"</f>
        <v>https://www.artic.edu/iiif/2/50e9566f-7b03-c96a-f807-600122f3a3fc/full/843,/0/default.jpg</v>
      </c>
      <c r="N3163" s="3">
        <v>0.71399999999999997</v>
      </c>
      <c r="O3163" s="3">
        <v>0.16700000000000001</v>
      </c>
      <c r="P3163" s="3">
        <v>0.54699999999999993</v>
      </c>
      <c r="Q3163" s="3">
        <v>0.745167255401611</v>
      </c>
    </row>
    <row r="3164" spans="1:17" x14ac:dyDescent="0.45">
      <c r="A3164" s="3">
        <v>97898</v>
      </c>
      <c r="B3164" t="b">
        <v>0</v>
      </c>
      <c r="C3164" t="b">
        <v>1</v>
      </c>
      <c r="D3164" s="3">
        <v>1897</v>
      </c>
      <c r="E3164" s="3">
        <v>1897</v>
      </c>
      <c r="F3164" t="s">
        <v>10882</v>
      </c>
      <c r="G3164" t="s">
        <v>7</v>
      </c>
      <c r="H3164" s="3">
        <v>17.956099999999999</v>
      </c>
      <c r="I3164" t="s">
        <v>192</v>
      </c>
      <c r="J3164" t="s">
        <v>12450</v>
      </c>
      <c r="L3164" t="s">
        <v>10883</v>
      </c>
      <c r="M3164" t="str">
        <f>"https://www.artic.edu/iiif/2/"&amp;Table9[[#This Row],[Image ID]]&amp;"/full/843,/0/default.jpg"</f>
        <v>https://www.artic.edu/iiif/2/65304369-e498-cab1-d046-ece7e57c1dc6/full/843,/0/default.jpg</v>
      </c>
      <c r="N3164" s="3">
        <v>0.59499999999999997</v>
      </c>
      <c r="O3164" s="3">
        <v>4.8000000000000001E-2</v>
      </c>
      <c r="P3164" s="3">
        <v>0.54699999999999993</v>
      </c>
      <c r="Q3164" s="3">
        <v>0.65428495407104403</v>
      </c>
    </row>
    <row r="3165" spans="1:17" x14ac:dyDescent="0.45">
      <c r="A3165" s="3">
        <v>66159</v>
      </c>
      <c r="B3165" t="b">
        <v>0</v>
      </c>
      <c r="C3165" t="b">
        <v>0</v>
      </c>
      <c r="D3165" s="3">
        <v>1911</v>
      </c>
      <c r="E3165" s="3">
        <v>1912</v>
      </c>
      <c r="F3165" t="s">
        <v>9202</v>
      </c>
      <c r="G3165" t="s">
        <v>7</v>
      </c>
      <c r="H3165" s="3">
        <v>22.4496</v>
      </c>
      <c r="I3165" t="s">
        <v>133</v>
      </c>
      <c r="J3165" t="s">
        <v>14071</v>
      </c>
      <c r="K3165" s="5" t="s">
        <v>134</v>
      </c>
      <c r="L3165" t="s">
        <v>9203</v>
      </c>
      <c r="M3165" t="str">
        <f>"https://www.artic.edu/iiif/2/"&amp;Table9[[#This Row],[Image ID]]&amp;"/full/843,/0/default.jpg"</f>
        <v>https://www.artic.edu/iiif/2/e0bf3630-f854-e621-cdd5-5ca13fd13d33/full/843,/0/default.jpg</v>
      </c>
      <c r="N3165" s="3">
        <v>0.68200000000000005</v>
      </c>
      <c r="O3165" s="3">
        <v>0.13600000000000001</v>
      </c>
      <c r="P3165" s="3">
        <v>0.54600000000000004</v>
      </c>
      <c r="Q3165" s="3">
        <v>0.90656828880310003</v>
      </c>
    </row>
    <row r="3166" spans="1:17" x14ac:dyDescent="0.45">
      <c r="A3166" s="3">
        <v>37384</v>
      </c>
      <c r="B3166" t="b">
        <v>0</v>
      </c>
      <c r="C3166" t="b">
        <v>0</v>
      </c>
      <c r="D3166" s="3">
        <v>1961</v>
      </c>
      <c r="E3166" s="3">
        <v>1961</v>
      </c>
      <c r="F3166" t="s">
        <v>7267</v>
      </c>
      <c r="G3166" t="s">
        <v>7</v>
      </c>
      <c r="H3166" s="3">
        <v>53.878599999999999</v>
      </c>
      <c r="I3166" t="s">
        <v>804</v>
      </c>
      <c r="J3166" t="s">
        <v>11228</v>
      </c>
      <c r="L3166" t="s">
        <v>7268</v>
      </c>
      <c r="M3166" t="str">
        <f>"https://www.artic.edu/iiif/2/"&amp;Table9[[#This Row],[Image ID]]&amp;"/full/843,/0/default.jpg"</f>
        <v>https://www.artic.edu/iiif/2/12b0312f-7db9-98b1-ee15-e5156cd76d8d/full/843,/0/default.jpg</v>
      </c>
      <c r="N3166" s="3">
        <v>0.65900000000000003</v>
      </c>
      <c r="O3166" s="3">
        <v>0.114</v>
      </c>
      <c r="P3166" s="3">
        <v>0.54500000000000004</v>
      </c>
      <c r="Q3166" s="3">
        <v>0.73186856508255005</v>
      </c>
    </row>
    <row r="3167" spans="1:17" x14ac:dyDescent="0.45">
      <c r="A3167" s="3">
        <v>129142</v>
      </c>
      <c r="B3167" t="b">
        <v>0</v>
      </c>
      <c r="C3167" t="b">
        <v>0</v>
      </c>
      <c r="D3167" s="3">
        <v>1944</v>
      </c>
      <c r="E3167" s="3">
        <v>1944</v>
      </c>
      <c r="F3167" t="s">
        <v>11</v>
      </c>
      <c r="G3167" t="s">
        <v>2857</v>
      </c>
      <c r="H3167" s="3">
        <v>52.805500000000002</v>
      </c>
      <c r="I3167" t="s">
        <v>14549</v>
      </c>
      <c r="J3167" t="s">
        <v>11294</v>
      </c>
      <c r="L3167" t="s">
        <v>2864</v>
      </c>
      <c r="M3167" t="str">
        <f>"https://www.artic.edu/iiif/2/"&amp;Table9[[#This Row],[Image ID]]&amp;"/full/843,/0/default.jpg"</f>
        <v>https://www.artic.edu/iiif/2/744a8adc-2f60-8809-7d3c-27cfbc3327e1/full/843,/0/default.jpg</v>
      </c>
      <c r="N3167" s="3">
        <v>0.63600000000000001</v>
      </c>
      <c r="O3167" s="3">
        <v>9.0999999999999998E-2</v>
      </c>
      <c r="P3167" s="3">
        <v>0.54500000000000004</v>
      </c>
      <c r="Q3167" s="3">
        <v>0.74322414398193304</v>
      </c>
    </row>
    <row r="3168" spans="1:17" x14ac:dyDescent="0.45">
      <c r="A3168" s="3">
        <v>58052</v>
      </c>
      <c r="B3168" t="b">
        <v>0</v>
      </c>
      <c r="C3168" t="b">
        <v>1</v>
      </c>
      <c r="D3168" s="3">
        <v>1720</v>
      </c>
      <c r="E3168" s="3">
        <v>1730</v>
      </c>
      <c r="F3168" t="s">
        <v>8501</v>
      </c>
      <c r="G3168" t="s">
        <v>75</v>
      </c>
      <c r="H3168" s="3">
        <v>23.056000000000001</v>
      </c>
      <c r="I3168" t="s">
        <v>8502</v>
      </c>
      <c r="J3168" t="s">
        <v>11996</v>
      </c>
      <c r="L3168" t="s">
        <v>8503</v>
      </c>
      <c r="M3168" t="str">
        <f>"https://www.artic.edu/iiif/2/"&amp;Table9[[#This Row],[Image ID]]&amp;"/full/843,/0/default.jpg"</f>
        <v>https://www.artic.edu/iiif/2/44fce132-4eb4-7541-06c5-1b6f61c32912/full/843,/0/default.jpg</v>
      </c>
      <c r="N3168" s="3">
        <v>0.68300000000000005</v>
      </c>
      <c r="O3168" s="3">
        <v>0.14299999999999999</v>
      </c>
      <c r="P3168" s="3">
        <v>0.54</v>
      </c>
      <c r="Q3168" s="3">
        <v>0.71570509672164895</v>
      </c>
    </row>
    <row r="3169" spans="1:17" x14ac:dyDescent="0.45">
      <c r="A3169" s="3">
        <v>36807</v>
      </c>
      <c r="B3169" t="b">
        <v>0</v>
      </c>
      <c r="C3169" t="b">
        <v>0</v>
      </c>
      <c r="D3169" s="3">
        <v>1939</v>
      </c>
      <c r="E3169" s="3">
        <v>1939</v>
      </c>
      <c r="F3169" t="s">
        <v>7248</v>
      </c>
      <c r="G3169" t="s">
        <v>7249</v>
      </c>
      <c r="H3169" s="3">
        <v>35.774099999999997</v>
      </c>
      <c r="I3169" t="s">
        <v>914</v>
      </c>
      <c r="J3169" t="s">
        <v>13289</v>
      </c>
      <c r="L3169" t="s">
        <v>7250</v>
      </c>
      <c r="M3169" t="str">
        <f>"https://www.artic.edu/iiif/2/"&amp;Table9[[#This Row],[Image ID]]&amp;"/full/843,/0/default.jpg"</f>
        <v>https://www.artic.edu/iiif/2/a41c3a73-a525-2b48-edc7-862e55121fc5/full/843,/0/default.jpg</v>
      </c>
      <c r="N3169" s="3">
        <v>0.61</v>
      </c>
      <c r="O3169" s="3">
        <v>7.0000000000000007E-2</v>
      </c>
      <c r="P3169" s="3">
        <v>0.54</v>
      </c>
      <c r="Q3169" s="3">
        <v>0.69601833820342995</v>
      </c>
    </row>
    <row r="3170" spans="1:17" x14ac:dyDescent="0.45">
      <c r="A3170" s="3">
        <v>54745</v>
      </c>
      <c r="B3170" t="b">
        <v>0</v>
      </c>
      <c r="C3170" t="b">
        <v>0</v>
      </c>
      <c r="D3170" s="3">
        <v>1945</v>
      </c>
      <c r="E3170" s="3">
        <v>1945</v>
      </c>
      <c r="F3170" t="s">
        <v>8299</v>
      </c>
      <c r="G3170" t="s">
        <v>7</v>
      </c>
      <c r="H3170" s="3">
        <v>24.1187</v>
      </c>
      <c r="I3170" t="s">
        <v>1275</v>
      </c>
      <c r="J3170" t="s">
        <v>12081</v>
      </c>
      <c r="L3170" t="s">
        <v>8300</v>
      </c>
      <c r="M3170" t="str">
        <f>"https://www.artic.edu/iiif/2/"&amp;Table9[[#This Row],[Image ID]]&amp;"/full/843,/0/default.jpg"</f>
        <v>https://www.artic.edu/iiif/2/4c57d38e-c3ca-2e57-057d-7a74f4616fb0/full/843,/0/default.jpg</v>
      </c>
      <c r="N3170" s="3">
        <v>0.61</v>
      </c>
      <c r="O3170" s="3">
        <v>7.0999999999999994E-2</v>
      </c>
      <c r="P3170" s="3">
        <v>0.53900000000000003</v>
      </c>
      <c r="Q3170" s="3">
        <v>0.69279736280441195</v>
      </c>
    </row>
    <row r="3171" spans="1:17" x14ac:dyDescent="0.45">
      <c r="A3171" s="3">
        <v>63979</v>
      </c>
      <c r="B3171" t="b">
        <v>0</v>
      </c>
      <c r="C3171" t="b">
        <v>0</v>
      </c>
      <c r="D3171" s="3">
        <v>1920</v>
      </c>
      <c r="E3171" s="3">
        <v>1920</v>
      </c>
      <c r="F3171" t="s">
        <v>8949</v>
      </c>
      <c r="G3171" t="s">
        <v>7</v>
      </c>
      <c r="H3171" s="3">
        <v>55.860700000000001</v>
      </c>
      <c r="I3171" t="s">
        <v>14565</v>
      </c>
      <c r="J3171" t="s">
        <v>12532</v>
      </c>
      <c r="L3171" t="s">
        <v>8950</v>
      </c>
      <c r="M3171" t="str">
        <f>"https://www.artic.edu/iiif/2/"&amp;Table9[[#This Row],[Image ID]]&amp;"/full/843,/0/default.jpg"</f>
        <v>https://www.artic.edu/iiif/2/6b245b09-5285-adb1-0273-e60838bea600/full/843,/0/default.jpg</v>
      </c>
      <c r="N3171" s="3">
        <v>0.63400000000000001</v>
      </c>
      <c r="O3171" s="3">
        <v>9.5000000000000001E-2</v>
      </c>
      <c r="P3171" s="3">
        <v>0.53900000000000003</v>
      </c>
      <c r="Q3171" s="3">
        <v>0.76532214879989602</v>
      </c>
    </row>
    <row r="3172" spans="1:17" x14ac:dyDescent="0.45">
      <c r="A3172" s="3">
        <v>71971</v>
      </c>
      <c r="B3172" t="b">
        <v>0</v>
      </c>
      <c r="C3172" t="b">
        <v>1</v>
      </c>
      <c r="D3172" s="3">
        <v>1861</v>
      </c>
      <c r="E3172" s="3">
        <v>1861</v>
      </c>
      <c r="F3172" t="s">
        <v>9528</v>
      </c>
      <c r="G3172" t="s">
        <v>7</v>
      </c>
      <c r="H3172" s="3">
        <v>28.1691</v>
      </c>
      <c r="I3172" t="s">
        <v>506</v>
      </c>
      <c r="J3172" t="s">
        <v>11680</v>
      </c>
      <c r="L3172" t="s">
        <v>9529</v>
      </c>
      <c r="M3172" t="str">
        <f>"https://www.artic.edu/iiif/2/"&amp;Table9[[#This Row],[Image ID]]&amp;"/full/843,/0/default.jpg"</f>
        <v>https://www.artic.edu/iiif/2/30491751-fb43-fc27-51fe-d068be7b6568/full/843,/0/default.jpg</v>
      </c>
      <c r="N3172" s="3">
        <v>0.61</v>
      </c>
      <c r="O3172" s="3">
        <v>7.2999999999999995E-2</v>
      </c>
      <c r="P3172" s="3">
        <v>0.53700000000000003</v>
      </c>
      <c r="Q3172" s="3">
        <v>0.53686374425887995</v>
      </c>
    </row>
    <row r="3173" spans="1:17" x14ac:dyDescent="0.45">
      <c r="A3173" s="3">
        <v>97896</v>
      </c>
      <c r="B3173" t="b">
        <v>0</v>
      </c>
      <c r="C3173" t="b">
        <v>1</v>
      </c>
      <c r="D3173" s="3">
        <v>1895</v>
      </c>
      <c r="E3173" s="3">
        <v>1895</v>
      </c>
      <c r="F3173" t="s">
        <v>10878</v>
      </c>
      <c r="G3173" t="s">
        <v>7</v>
      </c>
      <c r="H3173" s="3">
        <v>10.649900000000001</v>
      </c>
      <c r="I3173" t="s">
        <v>192</v>
      </c>
      <c r="J3173" t="s">
        <v>11821</v>
      </c>
      <c r="L3173" t="s">
        <v>10879</v>
      </c>
      <c r="M3173" t="str">
        <f>"https://www.artic.edu/iiif/2/"&amp;Table9[[#This Row],[Image ID]]&amp;"/full/843,/0/default.jpg"</f>
        <v>https://www.artic.edu/iiif/2/39fd7277-7714-ba0a-7218-7633f7a88923/full/843,/0/default.jpg</v>
      </c>
      <c r="N3173" s="3">
        <v>0.61</v>
      </c>
      <c r="O3173" s="3">
        <v>7.2999999999999995E-2</v>
      </c>
      <c r="P3173" s="3">
        <v>0.53700000000000003</v>
      </c>
      <c r="Q3173" s="3">
        <v>0.52629107236862105</v>
      </c>
    </row>
    <row r="3174" spans="1:17" x14ac:dyDescent="0.45">
      <c r="A3174" s="3">
        <v>12526</v>
      </c>
      <c r="B3174" t="b">
        <v>0</v>
      </c>
      <c r="C3174" t="b">
        <v>1</v>
      </c>
      <c r="D3174" s="3">
        <v>1832</v>
      </c>
      <c r="E3174" s="3">
        <v>1863</v>
      </c>
      <c r="F3174" t="s">
        <v>2751</v>
      </c>
      <c r="G3174" t="s">
        <v>2752</v>
      </c>
      <c r="H3174" s="3">
        <v>34.257800000000003</v>
      </c>
      <c r="I3174" t="s">
        <v>14686</v>
      </c>
      <c r="J3174" t="s">
        <v>11853</v>
      </c>
      <c r="L3174" t="s">
        <v>2753</v>
      </c>
      <c r="M3174" t="str">
        <f>"https://www.artic.edu/iiif/2/"&amp;Table9[[#This Row],[Image ID]]&amp;"/full/843,/0/default.jpg"</f>
        <v>https://www.artic.edu/iiif/2/3bc21c85-4e83-a70d-837f-21e8b403a17c/full/843,/0/default.jpg</v>
      </c>
      <c r="N3174" s="3">
        <v>0.61</v>
      </c>
      <c r="O3174" s="3">
        <v>7.2999999999999995E-2</v>
      </c>
      <c r="P3174" s="3">
        <v>0.53700000000000003</v>
      </c>
      <c r="Q3174" s="3">
        <v>0.81107795238494795</v>
      </c>
    </row>
    <row r="3175" spans="1:17" x14ac:dyDescent="0.45">
      <c r="A3175" s="3">
        <v>93760</v>
      </c>
      <c r="B3175" t="b">
        <v>0</v>
      </c>
      <c r="C3175" t="b">
        <v>1</v>
      </c>
      <c r="D3175" s="3">
        <v>1764</v>
      </c>
      <c r="E3175" s="3">
        <v>1796</v>
      </c>
      <c r="F3175" t="s">
        <v>10596</v>
      </c>
      <c r="G3175" t="s">
        <v>10597</v>
      </c>
      <c r="H3175" s="3">
        <v>20.935500000000001</v>
      </c>
      <c r="I3175" t="s">
        <v>10598</v>
      </c>
      <c r="J3175" t="s">
        <v>11875</v>
      </c>
      <c r="L3175" t="s">
        <v>10599</v>
      </c>
      <c r="M3175" t="str">
        <f>"https://www.artic.edu/iiif/2/"&amp;Table9[[#This Row],[Image ID]]&amp;"/full/843,/0/default.jpg"</f>
        <v>https://www.artic.edu/iiif/2/3d396341-26cb-5a5f-499e-750afef0c154/full/843,/0/default.jpg</v>
      </c>
      <c r="N3175" s="3">
        <v>0.68300000000000005</v>
      </c>
      <c r="O3175" s="3">
        <v>0.14599999999999999</v>
      </c>
      <c r="P3175" s="3">
        <v>0.53700000000000003</v>
      </c>
      <c r="Q3175" s="3">
        <v>0.724115431308746</v>
      </c>
    </row>
    <row r="3176" spans="1:17" x14ac:dyDescent="0.45">
      <c r="A3176" s="3">
        <v>12977</v>
      </c>
      <c r="B3176" t="b">
        <v>0</v>
      </c>
      <c r="C3176" t="b">
        <v>1</v>
      </c>
      <c r="D3176" s="3">
        <v>1885</v>
      </c>
      <c r="E3176" s="3">
        <v>1885</v>
      </c>
      <c r="F3176" t="s">
        <v>2938</v>
      </c>
      <c r="G3176" t="s">
        <v>2939</v>
      </c>
      <c r="H3176" s="3">
        <v>30.4969</v>
      </c>
      <c r="I3176" t="s">
        <v>2230</v>
      </c>
      <c r="J3176" t="s">
        <v>12076</v>
      </c>
      <c r="L3176" t="s">
        <v>2940</v>
      </c>
      <c r="M3176" t="str">
        <f>"https://www.artic.edu/iiif/2/"&amp;Table9[[#This Row],[Image ID]]&amp;"/full/843,/0/default.jpg"</f>
        <v>https://www.artic.edu/iiif/2/4bdff9ea-3a92-cde8-b3a2-0bde3f0d717a/full/843,/0/default.jpg</v>
      </c>
      <c r="N3176" s="3">
        <v>0.61</v>
      </c>
      <c r="O3176" s="3">
        <v>7.2999999999999995E-2</v>
      </c>
      <c r="P3176" s="3">
        <v>0.53700000000000003</v>
      </c>
      <c r="Q3176" s="3">
        <v>0.80348217487335205</v>
      </c>
    </row>
    <row r="3177" spans="1:17" x14ac:dyDescent="0.45">
      <c r="A3177" s="3">
        <v>115880</v>
      </c>
      <c r="B3177" t="b">
        <v>0</v>
      </c>
      <c r="C3177" t="b">
        <v>1</v>
      </c>
      <c r="D3177" s="3">
        <v>1790</v>
      </c>
      <c r="E3177" s="3">
        <v>1831</v>
      </c>
      <c r="F3177" t="s">
        <v>2156</v>
      </c>
      <c r="G3177" t="s">
        <v>2157</v>
      </c>
      <c r="H3177" s="3">
        <v>46.860199999999999</v>
      </c>
      <c r="I3177" t="s">
        <v>2153</v>
      </c>
      <c r="J3177" t="s">
        <v>2159</v>
      </c>
      <c r="L3177" t="s">
        <v>2158</v>
      </c>
      <c r="M3177" t="str">
        <f>"https://www.artic.edu/iiif/2/"&amp;Table9[[#This Row],[Image ID]]&amp;"/full/843,/0/default.jpg"</f>
        <v>https://www.artic.edu/iiif/2/51c32893-a0b6-1e28-3fe4-1ac9e499f6f9/full/843,/0/default.jpg</v>
      </c>
      <c r="N3177" s="3">
        <v>0.65900000000000003</v>
      </c>
      <c r="O3177" s="3">
        <v>0.122</v>
      </c>
      <c r="P3177" s="3">
        <v>0.53700000000000003</v>
      </c>
      <c r="Q3177" s="3">
        <v>0.473711907863616</v>
      </c>
    </row>
    <row r="3178" spans="1:17" x14ac:dyDescent="0.45">
      <c r="A3178" s="3">
        <v>59897</v>
      </c>
      <c r="B3178" t="b">
        <v>0</v>
      </c>
      <c r="C3178" t="b">
        <v>1</v>
      </c>
      <c r="D3178" s="3">
        <v>1420</v>
      </c>
      <c r="E3178" s="3">
        <v>1425</v>
      </c>
      <c r="F3178" t="s">
        <v>1112</v>
      </c>
      <c r="G3178" t="s">
        <v>75</v>
      </c>
      <c r="H3178" s="3">
        <v>49.374600000000001</v>
      </c>
      <c r="I3178" t="s">
        <v>8624</v>
      </c>
      <c r="J3178" t="s">
        <v>12884</v>
      </c>
      <c r="L3178" t="s">
        <v>8625</v>
      </c>
      <c r="M3178" t="str">
        <f>"https://www.artic.edu/iiif/2/"&amp;Table9[[#This Row],[Image ID]]&amp;"/full/843,/0/default.jpg"</f>
        <v>https://www.artic.edu/iiif/2/84899261-2add-0f0d-b7fa-eba017663d07/full/843,/0/default.jpg</v>
      </c>
      <c r="N3178" s="3">
        <v>0.56100000000000005</v>
      </c>
      <c r="O3178" s="3">
        <v>2.4E-2</v>
      </c>
      <c r="P3178" s="3">
        <v>0.53700000000000003</v>
      </c>
      <c r="Q3178" s="3">
        <v>0.75638484954833896</v>
      </c>
    </row>
    <row r="3179" spans="1:17" x14ac:dyDescent="0.45">
      <c r="A3179" s="3">
        <v>103418</v>
      </c>
      <c r="B3179" t="b">
        <v>0</v>
      </c>
      <c r="C3179" t="b">
        <v>1</v>
      </c>
      <c r="D3179" s="3">
        <v>1460</v>
      </c>
      <c r="E3179" s="3">
        <v>1470</v>
      </c>
      <c r="F3179" t="s">
        <v>323</v>
      </c>
      <c r="G3179" t="s">
        <v>324</v>
      </c>
      <c r="H3179" s="3">
        <v>41.930599999999998</v>
      </c>
      <c r="I3179" t="s">
        <v>325</v>
      </c>
      <c r="J3179" t="s">
        <v>12452</v>
      </c>
      <c r="K3179" s="5" t="s">
        <v>278</v>
      </c>
      <c r="L3179" t="s">
        <v>326</v>
      </c>
      <c r="M3179" t="str">
        <f>"https://www.artic.edu/iiif/2/"&amp;Table9[[#This Row],[Image ID]]&amp;"/full/843,/0/default.jpg"</f>
        <v>https://www.artic.edu/iiif/2/8c41c441-3e34-5a6e-f385-e98cf96e9b64/full/843,/0/default.jpg</v>
      </c>
      <c r="N3179" s="3">
        <v>0.68300000000000005</v>
      </c>
      <c r="O3179" s="3">
        <v>0.14599999999999999</v>
      </c>
      <c r="P3179" s="3">
        <v>0.53700000000000003</v>
      </c>
      <c r="Q3179" s="3">
        <v>0.67647588253021196</v>
      </c>
    </row>
    <row r="3180" spans="1:17" x14ac:dyDescent="0.45">
      <c r="A3180" s="3">
        <v>65848</v>
      </c>
      <c r="B3180" t="b">
        <v>0</v>
      </c>
      <c r="C3180" t="b">
        <v>1</v>
      </c>
      <c r="D3180" s="3">
        <v>1821</v>
      </c>
      <c r="E3180" s="3">
        <v>1821</v>
      </c>
      <c r="F3180" t="s">
        <v>7992</v>
      </c>
      <c r="G3180" t="s">
        <v>505</v>
      </c>
      <c r="H3180" s="3">
        <v>18.825399999999998</v>
      </c>
      <c r="I3180" t="s">
        <v>3269</v>
      </c>
      <c r="J3180" t="s">
        <v>13045</v>
      </c>
      <c r="L3180" t="s">
        <v>9064</v>
      </c>
      <c r="M3180" t="str">
        <f>"https://www.artic.edu/iiif/2/"&amp;Table9[[#This Row],[Image ID]]&amp;"/full/843,/0/default.jpg"</f>
        <v>https://www.artic.edu/iiif/2/9199e18e-3591-766e-79cd-23e81211cd1a/full/843,/0/default.jpg</v>
      </c>
      <c r="N3180" s="3">
        <v>0.61</v>
      </c>
      <c r="O3180" s="3">
        <v>7.2999999999999995E-2</v>
      </c>
      <c r="P3180" s="3">
        <v>0.53700000000000003</v>
      </c>
      <c r="Q3180" s="3">
        <v>0.52954357862472501</v>
      </c>
    </row>
    <row r="3181" spans="1:17" x14ac:dyDescent="0.45">
      <c r="A3181" s="3">
        <v>90906</v>
      </c>
      <c r="B3181" t="b">
        <v>0</v>
      </c>
      <c r="C3181" t="b">
        <v>1</v>
      </c>
      <c r="D3181" s="3">
        <v>1860</v>
      </c>
      <c r="E3181" s="3">
        <v>1879</v>
      </c>
      <c r="F3181" t="s">
        <v>10558</v>
      </c>
      <c r="G3181" t="s">
        <v>7</v>
      </c>
      <c r="H3181" s="3">
        <v>20.1129</v>
      </c>
      <c r="I3181" t="s">
        <v>10559</v>
      </c>
      <c r="J3181" t="s">
        <v>13332</v>
      </c>
      <c r="L3181" t="s">
        <v>10560</v>
      </c>
      <c r="M3181" t="str">
        <f>"https://www.artic.edu/iiif/2/"&amp;Table9[[#This Row],[Image ID]]&amp;"/full/843,/0/default.jpg"</f>
        <v>https://www.artic.edu/iiif/2/a7684dda-ed46-bd32-6cda-03f9998eb28a/full/843,/0/default.jpg</v>
      </c>
      <c r="N3181" s="3">
        <v>0.61</v>
      </c>
      <c r="O3181" s="3">
        <v>7.2999999999999995E-2</v>
      </c>
      <c r="P3181" s="3">
        <v>0.53700000000000003</v>
      </c>
      <c r="Q3181" s="3">
        <v>0.66357612609863204</v>
      </c>
    </row>
    <row r="3182" spans="1:17" x14ac:dyDescent="0.45">
      <c r="A3182" s="3">
        <v>74028</v>
      </c>
      <c r="B3182" t="b">
        <v>0</v>
      </c>
      <c r="C3182" t="b">
        <v>1</v>
      </c>
      <c r="D3182" s="3">
        <v>1811</v>
      </c>
      <c r="E3182" s="3">
        <v>1811</v>
      </c>
      <c r="F3182" t="s">
        <v>9665</v>
      </c>
      <c r="G3182" t="s">
        <v>9666</v>
      </c>
      <c r="H3182" s="3">
        <v>44.583399999999997</v>
      </c>
      <c r="I3182" t="s">
        <v>9667</v>
      </c>
      <c r="J3182" t="s">
        <v>13398</v>
      </c>
      <c r="L3182" t="s">
        <v>9668</v>
      </c>
      <c r="M3182" t="str">
        <f>"https://www.artic.edu/iiif/2/"&amp;Table9[[#This Row],[Image ID]]&amp;"/full/843,/0/default.jpg"</f>
        <v>https://www.artic.edu/iiif/2/ac832eff-773e-a3c2-4a53-f88b862aef21/full/843,/0/default.jpg</v>
      </c>
      <c r="N3182" s="3">
        <v>0.61</v>
      </c>
      <c r="O3182" s="3">
        <v>7.2999999999999995E-2</v>
      </c>
      <c r="P3182" s="3">
        <v>0.53700000000000003</v>
      </c>
      <c r="Q3182" s="3">
        <v>0.83080577850341797</v>
      </c>
    </row>
    <row r="3183" spans="1:17" x14ac:dyDescent="0.45">
      <c r="A3183" s="3">
        <v>39838</v>
      </c>
      <c r="B3183" t="b">
        <v>0</v>
      </c>
      <c r="C3183" t="b">
        <v>1</v>
      </c>
      <c r="D3183" s="3">
        <v>1885</v>
      </c>
      <c r="E3183" s="3">
        <v>1885</v>
      </c>
      <c r="F3183" t="s">
        <v>7613</v>
      </c>
      <c r="G3183" t="s">
        <v>7614</v>
      </c>
      <c r="H3183" s="3">
        <v>33.368099999999998</v>
      </c>
      <c r="I3183" t="s">
        <v>1287</v>
      </c>
      <c r="J3183" t="s">
        <v>13762</v>
      </c>
      <c r="L3183" t="s">
        <v>7615</v>
      </c>
      <c r="M3183" t="str">
        <f>"https://www.artic.edu/iiif/2/"&amp;Table9[[#This Row],[Image ID]]&amp;"/full/843,/0/default.jpg"</f>
        <v>https://www.artic.edu/iiif/2/c8ce1960-2213-ea18-0a34-1717015879f7/full/843,/0/default.jpg</v>
      </c>
      <c r="N3183" s="3">
        <v>0.61</v>
      </c>
      <c r="O3183" s="3">
        <v>7.2999999999999995E-2</v>
      </c>
      <c r="P3183" s="3">
        <v>0.53700000000000003</v>
      </c>
      <c r="Q3183" s="3">
        <v>0.76830941438674905</v>
      </c>
    </row>
    <row r="3184" spans="1:17" x14ac:dyDescent="0.45">
      <c r="A3184" s="3">
        <v>73987</v>
      </c>
      <c r="B3184" t="b">
        <v>0</v>
      </c>
      <c r="C3184" t="b">
        <v>1</v>
      </c>
      <c r="D3184" s="3">
        <v>1840</v>
      </c>
      <c r="E3184" s="3">
        <v>1850</v>
      </c>
      <c r="F3184" t="s">
        <v>9646</v>
      </c>
      <c r="G3184" t="s">
        <v>9647</v>
      </c>
      <c r="H3184" s="3">
        <v>37.647100000000002</v>
      </c>
      <c r="I3184" t="s">
        <v>9648</v>
      </c>
      <c r="J3184" t="s">
        <v>14237</v>
      </c>
      <c r="L3184" t="s">
        <v>9649</v>
      </c>
      <c r="M3184" t="str">
        <f>"https://www.artic.edu/iiif/2/"&amp;Table9[[#This Row],[Image ID]]&amp;"/full/843,/0/default.jpg"</f>
        <v>https://www.artic.edu/iiif/2/eb16da06-fb8c-b1c5-fcce-1582c1a5d30a/full/843,/0/default.jpg</v>
      </c>
      <c r="N3184" s="3">
        <v>0.56100000000000005</v>
      </c>
      <c r="O3184" s="3">
        <v>2.4E-2</v>
      </c>
      <c r="P3184" s="3">
        <v>0.53700000000000003</v>
      </c>
      <c r="Q3184" s="3">
        <v>0.66024321317672696</v>
      </c>
    </row>
    <row r="3185" spans="1:17" x14ac:dyDescent="0.45">
      <c r="A3185" s="3">
        <v>30901</v>
      </c>
      <c r="B3185" t="b">
        <v>0</v>
      </c>
      <c r="C3185" t="b">
        <v>1</v>
      </c>
      <c r="D3185" s="3">
        <v>1623</v>
      </c>
      <c r="E3185" s="3">
        <v>1633</v>
      </c>
      <c r="F3185" t="s">
        <v>6962</v>
      </c>
      <c r="G3185" t="s">
        <v>7</v>
      </c>
      <c r="H3185" s="3">
        <v>20.992899999999999</v>
      </c>
      <c r="I3185" t="s">
        <v>6963</v>
      </c>
      <c r="J3185" t="s">
        <v>14435</v>
      </c>
      <c r="L3185" t="s">
        <v>6964</v>
      </c>
      <c r="M3185" t="str">
        <f>"https://www.artic.edu/iiif/2/"&amp;Table9[[#This Row],[Image ID]]&amp;"/full/843,/0/default.jpg"</f>
        <v>https://www.artic.edu/iiif/2/f8a1f3b3-4506-d336-aceb-5aec6c4a2e3d/full/843,/0/default.jpg</v>
      </c>
      <c r="N3185" s="3">
        <v>0.65900000000000003</v>
      </c>
      <c r="O3185" s="3">
        <v>0.122</v>
      </c>
      <c r="P3185" s="3">
        <v>0.53700000000000003</v>
      </c>
      <c r="Q3185" s="3">
        <v>0.64226555824279696</v>
      </c>
    </row>
    <row r="3186" spans="1:17" x14ac:dyDescent="0.45">
      <c r="A3186" s="3">
        <v>34698</v>
      </c>
      <c r="B3186" t="b">
        <v>0</v>
      </c>
      <c r="C3186" t="b">
        <v>0</v>
      </c>
      <c r="D3186" s="3">
        <v>1916</v>
      </c>
      <c r="E3186" s="3">
        <v>1916</v>
      </c>
      <c r="F3186" t="s">
        <v>3810</v>
      </c>
      <c r="G3186" t="s">
        <v>2228</v>
      </c>
      <c r="H3186" s="3">
        <v>45.320900000000002</v>
      </c>
      <c r="I3186" t="s">
        <v>133</v>
      </c>
      <c r="J3186" t="s">
        <v>11893</v>
      </c>
      <c r="K3186" s="5" t="s">
        <v>134</v>
      </c>
      <c r="L3186" t="s">
        <v>7129</v>
      </c>
      <c r="M3186" t="str">
        <f>"https://www.artic.edu/iiif/2/"&amp;Table9[[#This Row],[Image ID]]&amp;"/full/843,/0/default.jpg"</f>
        <v>https://www.artic.edu/iiif/2/3e4d6d1b-a435-c5d3-e3d2-7da959a6936d/full/843,/0/default.jpg</v>
      </c>
      <c r="N3186" s="3">
        <v>0.68300000000000005</v>
      </c>
      <c r="O3186" s="3">
        <v>0.14599999999999999</v>
      </c>
      <c r="P3186" s="3">
        <v>0.53700000000000003</v>
      </c>
      <c r="Q3186" s="3">
        <v>0.77950096130371005</v>
      </c>
    </row>
    <row r="3187" spans="1:17" x14ac:dyDescent="0.45">
      <c r="A3187" s="3">
        <v>109260</v>
      </c>
      <c r="B3187" t="b">
        <v>0</v>
      </c>
      <c r="C3187" t="b">
        <v>0</v>
      </c>
      <c r="D3187" s="3">
        <v>1915</v>
      </c>
      <c r="E3187" s="3">
        <v>1915</v>
      </c>
      <c r="F3187" t="s">
        <v>750</v>
      </c>
      <c r="G3187" t="s">
        <v>7</v>
      </c>
      <c r="H3187" s="3">
        <v>29.923999999999999</v>
      </c>
      <c r="I3187" t="s">
        <v>133</v>
      </c>
      <c r="J3187" t="s">
        <v>11977</v>
      </c>
      <c r="K3187" s="5" t="s">
        <v>134</v>
      </c>
      <c r="L3187" t="s">
        <v>751</v>
      </c>
      <c r="M3187" t="str">
        <f>"https://www.artic.edu/iiif/2/"&amp;Table9[[#This Row],[Image ID]]&amp;"/full/843,/0/default.jpg"</f>
        <v>https://www.artic.edu/iiif/2/43bc66e2-95b2-fb3c-b9b1-232835bfd027/full/843,/0/default.jpg</v>
      </c>
      <c r="N3187" s="3">
        <v>0.65900000000000003</v>
      </c>
      <c r="O3187" s="3">
        <v>0.122</v>
      </c>
      <c r="P3187" s="3">
        <v>0.53700000000000003</v>
      </c>
      <c r="Q3187" s="3">
        <v>0.77567142248153598</v>
      </c>
    </row>
    <row r="3188" spans="1:17" x14ac:dyDescent="0.45">
      <c r="A3188" s="3">
        <v>59790</v>
      </c>
      <c r="B3188" t="b">
        <v>0</v>
      </c>
      <c r="C3188" t="b">
        <v>0</v>
      </c>
      <c r="D3188" s="3">
        <v>1918</v>
      </c>
      <c r="E3188" s="3">
        <v>1947</v>
      </c>
      <c r="F3188" t="s">
        <v>8576</v>
      </c>
      <c r="G3188" t="s">
        <v>8577</v>
      </c>
      <c r="H3188" s="3">
        <v>35.628500000000003</v>
      </c>
      <c r="I3188" t="s">
        <v>8578</v>
      </c>
      <c r="J3188" t="s">
        <v>12114</v>
      </c>
      <c r="L3188" t="s">
        <v>8579</v>
      </c>
      <c r="M3188" t="str">
        <f>"https://www.artic.edu/iiif/2/"&amp;Table9[[#This Row],[Image ID]]&amp;"/full/843,/0/default.jpg"</f>
        <v>https://www.artic.edu/iiif/2/4e6b3bb5-3c44-4e2f-64d4-e2ac58874636/full/843,/0/default.jpg</v>
      </c>
      <c r="N3188" s="3">
        <v>0.68300000000000005</v>
      </c>
      <c r="O3188" s="3">
        <v>0.14599999999999999</v>
      </c>
      <c r="P3188" s="3">
        <v>0.53700000000000003</v>
      </c>
      <c r="Q3188" s="3">
        <v>0.60329574346542303</v>
      </c>
    </row>
    <row r="3189" spans="1:17" x14ac:dyDescent="0.45">
      <c r="A3189" s="3">
        <v>70125</v>
      </c>
      <c r="B3189" t="b">
        <v>0</v>
      </c>
      <c r="C3189" t="b">
        <v>0</v>
      </c>
      <c r="D3189" s="3">
        <v>1946</v>
      </c>
      <c r="E3189" s="3">
        <v>1946</v>
      </c>
      <c r="F3189" t="s">
        <v>9436</v>
      </c>
      <c r="G3189" t="s">
        <v>141</v>
      </c>
      <c r="H3189" s="3">
        <v>56.002400000000002</v>
      </c>
      <c r="I3189" t="s">
        <v>848</v>
      </c>
      <c r="J3189" t="s">
        <v>12175</v>
      </c>
      <c r="L3189" t="s">
        <v>9437</v>
      </c>
      <c r="M3189" t="str">
        <f>"https://www.artic.edu/iiif/2/"&amp;Table9[[#This Row],[Image ID]]&amp;"/full/843,/0/default.jpg"</f>
        <v>https://www.artic.edu/iiif/2/524206a7-fb35-70d9-4b37-a0b7ac563be6/full/843,/0/default.jpg</v>
      </c>
      <c r="N3189" s="3">
        <v>0.68300000000000005</v>
      </c>
      <c r="O3189" s="3">
        <v>0.14599999999999999</v>
      </c>
      <c r="P3189" s="3">
        <v>0.53700000000000003</v>
      </c>
      <c r="Q3189" s="3">
        <v>0.62886422872543302</v>
      </c>
    </row>
    <row r="3190" spans="1:17" x14ac:dyDescent="0.45">
      <c r="A3190" s="3">
        <v>113426</v>
      </c>
      <c r="B3190" t="b">
        <v>0</v>
      </c>
      <c r="C3190" t="b">
        <v>0</v>
      </c>
      <c r="D3190" s="3">
        <v>1914</v>
      </c>
      <c r="E3190" s="3">
        <v>1924</v>
      </c>
      <c r="F3190" t="s">
        <v>1425</v>
      </c>
      <c r="G3190" t="s">
        <v>1426</v>
      </c>
      <c r="H3190" s="3">
        <v>13.930899999999999</v>
      </c>
      <c r="I3190" t="s">
        <v>1423</v>
      </c>
      <c r="J3190" t="s">
        <v>12438</v>
      </c>
      <c r="L3190" t="s">
        <v>1427</v>
      </c>
      <c r="M3190" t="str">
        <f>"https://www.artic.edu/iiif/2/"&amp;Table9[[#This Row],[Image ID]]&amp;"/full/843,/0/default.jpg"</f>
        <v>https://www.artic.edu/iiif/2/64a6ee63-45bc-9386-d02f-a10f51d34626/full/843,/0/default.jpg</v>
      </c>
      <c r="N3190" s="3">
        <v>0.61</v>
      </c>
      <c r="O3190" s="3">
        <v>7.2999999999999995E-2</v>
      </c>
      <c r="P3190" s="3">
        <v>0.53700000000000003</v>
      </c>
      <c r="Q3190" s="3">
        <v>0.66329938173294001</v>
      </c>
    </row>
    <row r="3191" spans="1:17" x14ac:dyDescent="0.45">
      <c r="A3191" s="3">
        <v>55590</v>
      </c>
      <c r="B3191" t="b">
        <v>0</v>
      </c>
      <c r="C3191" t="b">
        <v>0</v>
      </c>
      <c r="D3191" s="3">
        <v>1932</v>
      </c>
      <c r="E3191" s="3">
        <v>1932</v>
      </c>
      <c r="F3191" t="s">
        <v>8349</v>
      </c>
      <c r="G3191" t="s">
        <v>8350</v>
      </c>
      <c r="H3191" s="3">
        <v>64.647199999999998</v>
      </c>
      <c r="I3191" t="s">
        <v>2517</v>
      </c>
      <c r="J3191" t="s">
        <v>12875</v>
      </c>
      <c r="L3191" t="s">
        <v>8351</v>
      </c>
      <c r="M3191" t="str">
        <f>"https://www.artic.edu/iiif/2/"&amp;Table9[[#This Row],[Image ID]]&amp;"/full/843,/0/default.jpg"</f>
        <v>https://www.artic.edu/iiif/2/83d7bdfd-f336-e9a6-c522-6ef90f104cbf/full/843,/0/default.jpg</v>
      </c>
      <c r="N3191" s="3">
        <v>0.65900000000000003</v>
      </c>
      <c r="O3191" s="3">
        <v>0.122</v>
      </c>
      <c r="P3191" s="3">
        <v>0.53700000000000003</v>
      </c>
      <c r="Q3191" s="3">
        <v>0.65527319908142001</v>
      </c>
    </row>
    <row r="3192" spans="1:17" x14ac:dyDescent="0.45">
      <c r="A3192" s="3">
        <v>66089</v>
      </c>
      <c r="B3192" t="b">
        <v>0</v>
      </c>
      <c r="C3192" t="b">
        <v>0</v>
      </c>
      <c r="D3192" s="3">
        <v>1899</v>
      </c>
      <c r="E3192" s="3">
        <v>1949</v>
      </c>
      <c r="F3192" t="s">
        <v>9181</v>
      </c>
      <c r="G3192" t="s">
        <v>9182</v>
      </c>
      <c r="H3192" s="3">
        <v>41.724800000000002</v>
      </c>
      <c r="I3192" t="s">
        <v>3468</v>
      </c>
      <c r="J3192" t="s">
        <v>13451</v>
      </c>
      <c r="L3192" t="s">
        <v>9183</v>
      </c>
      <c r="M3192" t="str">
        <f>"https://www.artic.edu/iiif/2/"&amp;Table9[[#This Row],[Image ID]]&amp;"/full/843,/0/default.jpg"</f>
        <v>https://www.artic.edu/iiif/2/afea3dfe-233e-1052-9621-cbe3a7c156a7/full/843,/0/default.jpg</v>
      </c>
      <c r="N3192" s="3">
        <v>0.61</v>
      </c>
      <c r="O3192" s="3">
        <v>7.2999999999999995E-2</v>
      </c>
      <c r="P3192" s="3">
        <v>0.53700000000000003</v>
      </c>
      <c r="Q3192" s="3">
        <v>0.83038949966430597</v>
      </c>
    </row>
    <row r="3193" spans="1:17" x14ac:dyDescent="0.45">
      <c r="A3193" s="3">
        <v>79591</v>
      </c>
      <c r="B3193" t="b">
        <v>0</v>
      </c>
      <c r="C3193" t="b">
        <v>0</v>
      </c>
      <c r="D3193" s="3">
        <v>1938</v>
      </c>
      <c r="E3193" s="3">
        <v>1938</v>
      </c>
      <c r="F3193" t="s">
        <v>9902</v>
      </c>
      <c r="G3193" t="s">
        <v>9903</v>
      </c>
      <c r="H3193" s="3">
        <v>19.433299999999999</v>
      </c>
      <c r="I3193" t="s">
        <v>2957</v>
      </c>
      <c r="J3193" t="s">
        <v>13548</v>
      </c>
      <c r="L3193" t="s">
        <v>9904</v>
      </c>
      <c r="M3193" t="str">
        <f>"https://www.artic.edu/iiif/2/"&amp;Table9[[#This Row],[Image ID]]&amp;"/full/843,/0/default.jpg"</f>
        <v>https://www.artic.edu/iiif/2/b7eaf2a3-a0cc-4819-23c2-5ee63e52f221/full/843,/0/default.jpg</v>
      </c>
      <c r="N3193" s="3">
        <v>0.56100000000000005</v>
      </c>
      <c r="O3193" s="3">
        <v>2.4E-2</v>
      </c>
      <c r="P3193" s="3">
        <v>0.53700000000000003</v>
      </c>
      <c r="Q3193" s="3">
        <v>0.70484483242034901</v>
      </c>
    </row>
    <row r="3194" spans="1:17" x14ac:dyDescent="0.45">
      <c r="A3194" s="3">
        <v>13230</v>
      </c>
      <c r="B3194" t="b">
        <v>0</v>
      </c>
      <c r="C3194" t="b">
        <v>1</v>
      </c>
      <c r="D3194" s="3">
        <v>1234</v>
      </c>
      <c r="E3194" s="3">
        <v>1244</v>
      </c>
      <c r="F3194" t="s">
        <v>3016</v>
      </c>
      <c r="G3194" t="s">
        <v>3017</v>
      </c>
      <c r="J3194" t="s">
        <v>11092</v>
      </c>
      <c r="K3194" s="5" t="s">
        <v>278</v>
      </c>
      <c r="L3194" t="s">
        <v>3018</v>
      </c>
      <c r="M3194" t="str">
        <f>"https://www.artic.edu/iiif/2/"&amp;Table9[[#This Row],[Image ID]]&amp;"/full/843,/0/default.jpg"</f>
        <v>https://www.artic.edu/iiif/2/089d5c1e-3e15-3974-8130-635cf1e82cec/full/843,/0/default.jpg</v>
      </c>
      <c r="N3194" s="3">
        <v>0.63400000000000001</v>
      </c>
      <c r="O3194" s="3">
        <v>9.8000000000000004E-2</v>
      </c>
      <c r="P3194" s="3">
        <v>0.53600000000000003</v>
      </c>
      <c r="Q3194" s="3">
        <v>0.72945243120193404</v>
      </c>
    </row>
    <row r="3195" spans="1:17" x14ac:dyDescent="0.45">
      <c r="A3195" s="3">
        <v>39815</v>
      </c>
      <c r="B3195" t="b">
        <v>0</v>
      </c>
      <c r="C3195" t="b">
        <v>1</v>
      </c>
      <c r="D3195" s="3">
        <v>1885</v>
      </c>
      <c r="E3195" s="3">
        <v>1885</v>
      </c>
      <c r="F3195" t="s">
        <v>7610</v>
      </c>
      <c r="G3195" t="s">
        <v>7611</v>
      </c>
      <c r="H3195" s="3">
        <v>28.2164</v>
      </c>
      <c r="I3195" t="s">
        <v>1287</v>
      </c>
      <c r="J3195" t="s">
        <v>11280</v>
      </c>
      <c r="L3195" t="s">
        <v>7612</v>
      </c>
      <c r="M3195" t="str">
        <f>"https://www.artic.edu/iiif/2/"&amp;Table9[[#This Row],[Image ID]]&amp;"/full/843,/0/default.jpg"</f>
        <v>https://www.artic.edu/iiif/2/164392fb-6e2c-4ba8-ca31-e53d5d3770ac/full/843,/0/default.jpg</v>
      </c>
      <c r="N3195" s="3">
        <v>0.63400000000000001</v>
      </c>
      <c r="O3195" s="3">
        <v>9.8000000000000004E-2</v>
      </c>
      <c r="P3195" s="3">
        <v>0.53600000000000003</v>
      </c>
      <c r="Q3195" s="3">
        <v>0.79648834466934204</v>
      </c>
    </row>
    <row r="3196" spans="1:17" x14ac:dyDescent="0.45">
      <c r="A3196" s="3">
        <v>72183</v>
      </c>
      <c r="B3196" t="b">
        <v>0</v>
      </c>
      <c r="C3196" t="b">
        <v>1</v>
      </c>
      <c r="D3196" s="3">
        <v>1874</v>
      </c>
      <c r="E3196" s="3">
        <v>1874</v>
      </c>
      <c r="F3196" t="s">
        <v>9537</v>
      </c>
      <c r="G3196" t="s">
        <v>75</v>
      </c>
      <c r="H3196" s="3">
        <v>41.851999999999997</v>
      </c>
      <c r="I3196" t="s">
        <v>309</v>
      </c>
      <c r="J3196" t="s">
        <v>11863</v>
      </c>
      <c r="L3196" t="s">
        <v>9538</v>
      </c>
      <c r="M3196" t="str">
        <f>"https://www.artic.edu/iiif/2/"&amp;Table9[[#This Row],[Image ID]]&amp;"/full/843,/0/default.jpg"</f>
        <v>https://www.artic.edu/iiif/2/3c61e694-6a53-c3ad-8a1e-a2c5d3f25080/full/843,/0/default.jpg</v>
      </c>
      <c r="N3196" s="3">
        <v>0.63400000000000001</v>
      </c>
      <c r="O3196" s="3">
        <v>9.8000000000000004E-2</v>
      </c>
      <c r="P3196" s="3">
        <v>0.53600000000000003</v>
      </c>
      <c r="Q3196" s="3">
        <v>0.66181910037994296</v>
      </c>
    </row>
    <row r="3197" spans="1:17" x14ac:dyDescent="0.45">
      <c r="A3197" s="3">
        <v>16316</v>
      </c>
      <c r="B3197" t="b">
        <v>0</v>
      </c>
      <c r="C3197" t="b">
        <v>1</v>
      </c>
      <c r="D3197" s="3">
        <v>1490</v>
      </c>
      <c r="E3197" s="3">
        <v>1500</v>
      </c>
      <c r="F3197" t="s">
        <v>14587</v>
      </c>
      <c r="G3197" t="s">
        <v>75</v>
      </c>
      <c r="H3197" s="3">
        <v>55.794499999999999</v>
      </c>
      <c r="I3197" t="s">
        <v>1007</v>
      </c>
      <c r="J3197" t="s">
        <v>12243</v>
      </c>
      <c r="L3197" t="s">
        <v>4357</v>
      </c>
      <c r="M3197" t="str">
        <f>"https://www.artic.edu/iiif/2/"&amp;Table9[[#This Row],[Image ID]]&amp;"/full/843,/0/default.jpg"</f>
        <v>https://www.artic.edu/iiif/2/568d739d-9879-f0f0-8a4c-9e655d0ecce4/full/843,/0/default.jpg</v>
      </c>
      <c r="N3197" s="3">
        <v>0.63400000000000001</v>
      </c>
      <c r="O3197" s="3">
        <v>9.8000000000000004E-2</v>
      </c>
      <c r="P3197" s="3">
        <v>0.53600000000000003</v>
      </c>
      <c r="Q3197" s="3">
        <v>0.65913009643554599</v>
      </c>
    </row>
    <row r="3198" spans="1:17" x14ac:dyDescent="0.45">
      <c r="A3198" s="3">
        <v>65709</v>
      </c>
      <c r="B3198" t="b">
        <v>0</v>
      </c>
      <c r="C3198" t="b">
        <v>1</v>
      </c>
      <c r="D3198" s="3">
        <v>1865</v>
      </c>
      <c r="E3198" s="3">
        <v>1866</v>
      </c>
      <c r="F3198" t="s">
        <v>9033</v>
      </c>
      <c r="G3198" t="s">
        <v>9034</v>
      </c>
      <c r="H3198" s="3">
        <v>19.702500000000001</v>
      </c>
      <c r="I3198" t="s">
        <v>527</v>
      </c>
      <c r="J3198" t="s">
        <v>14063</v>
      </c>
      <c r="K3198" s="5" t="s">
        <v>9</v>
      </c>
      <c r="L3198" t="s">
        <v>9035</v>
      </c>
      <c r="M3198" t="str">
        <f>"https://www.artic.edu/iiif/2/"&amp;Table9[[#This Row],[Image ID]]&amp;"/full/843,/0/default.jpg"</f>
        <v>https://www.artic.edu/iiif/2/e01a4f76-d089-8e22-8431-3488db37a293/full/843,/0/default.jpg</v>
      </c>
      <c r="N3198" s="3">
        <v>0.63400000000000001</v>
      </c>
      <c r="O3198" s="3">
        <v>9.8000000000000004E-2</v>
      </c>
      <c r="P3198" s="3">
        <v>0.53600000000000003</v>
      </c>
      <c r="Q3198" s="3">
        <v>0.85626208782196001</v>
      </c>
    </row>
    <row r="3199" spans="1:17" x14ac:dyDescent="0.45">
      <c r="A3199" s="3">
        <v>26217</v>
      </c>
      <c r="B3199" t="b">
        <v>0</v>
      </c>
      <c r="C3199" t="b">
        <v>1</v>
      </c>
      <c r="D3199" s="3">
        <v>1740</v>
      </c>
      <c r="E3199" s="3">
        <v>1750</v>
      </c>
      <c r="F3199" t="s">
        <v>6679</v>
      </c>
      <c r="G3199" t="s">
        <v>7</v>
      </c>
      <c r="H3199" s="3">
        <v>0</v>
      </c>
      <c r="I3199" t="s">
        <v>6680</v>
      </c>
      <c r="J3199" t="s">
        <v>14341</v>
      </c>
      <c r="L3199" t="s">
        <v>6681</v>
      </c>
      <c r="M3199" t="str">
        <f>"https://www.artic.edu/iiif/2/"&amp;Table9[[#This Row],[Image ID]]&amp;"/full/843,/0/default.jpg"</f>
        <v>https://www.artic.edu/iiif/2/f1f3e628-5778-24be-aad0-628eef05a5a2/full/843,/0/default.jpg</v>
      </c>
      <c r="N3199" s="3">
        <v>0.63400000000000001</v>
      </c>
      <c r="O3199" s="3">
        <v>9.8000000000000004E-2</v>
      </c>
      <c r="P3199" s="3">
        <v>0.53600000000000003</v>
      </c>
      <c r="Q3199" s="3">
        <v>0.567921042442321</v>
      </c>
    </row>
    <row r="3200" spans="1:17" x14ac:dyDescent="0.45">
      <c r="A3200" s="3">
        <v>4745</v>
      </c>
      <c r="B3200" t="b">
        <v>0</v>
      </c>
      <c r="C3200" t="b">
        <v>0</v>
      </c>
      <c r="D3200" s="3">
        <v>1917</v>
      </c>
      <c r="E3200" s="3">
        <v>1927</v>
      </c>
      <c r="F3200" t="s">
        <v>7949</v>
      </c>
      <c r="G3200" t="s">
        <v>7</v>
      </c>
      <c r="H3200" s="3">
        <v>29.1707</v>
      </c>
      <c r="I3200" t="s">
        <v>590</v>
      </c>
      <c r="J3200" t="s">
        <v>11486</v>
      </c>
      <c r="L3200" t="s">
        <v>7950</v>
      </c>
      <c r="M3200" t="str">
        <f>"https://www.artic.edu/iiif/2/"&amp;Table9[[#This Row],[Image ID]]&amp;"/full/843,/0/default.jpg"</f>
        <v>https://www.artic.edu/iiif/2/23fe0fec-9566-cacd-99ed-6ecb7cddbd27/full/843,/0/default.jpg</v>
      </c>
      <c r="N3200" s="3">
        <v>0.63400000000000001</v>
      </c>
      <c r="O3200" s="3">
        <v>9.8000000000000004E-2</v>
      </c>
      <c r="P3200" s="3">
        <v>0.53600000000000003</v>
      </c>
      <c r="Q3200" s="3">
        <v>0.66324514150619496</v>
      </c>
    </row>
    <row r="3201" spans="1:17" x14ac:dyDescent="0.45">
      <c r="A3201" s="3">
        <v>47939</v>
      </c>
      <c r="B3201" t="b">
        <v>0</v>
      </c>
      <c r="C3201" t="b">
        <v>0</v>
      </c>
      <c r="D3201" s="3">
        <v>1939</v>
      </c>
      <c r="E3201" s="3">
        <v>1940</v>
      </c>
      <c r="F3201" t="s">
        <v>7978</v>
      </c>
      <c r="G3201" t="s">
        <v>7979</v>
      </c>
      <c r="H3201" s="3">
        <v>65.645600000000002</v>
      </c>
      <c r="I3201" t="s">
        <v>7980</v>
      </c>
      <c r="J3201" t="s">
        <v>12370</v>
      </c>
      <c r="L3201" t="s">
        <v>7981</v>
      </c>
      <c r="M3201" t="str">
        <f>"https://www.artic.edu/iiif/2/"&amp;Table9[[#This Row],[Image ID]]&amp;"/full/843,/0/default.jpg"</f>
        <v>https://www.artic.edu/iiif/2/5f3d5a1c-1f83-536f-99ab-8c54beedbf8d/full/843,/0/default.jpg</v>
      </c>
      <c r="N3201" s="3">
        <v>0.63400000000000001</v>
      </c>
      <c r="O3201" s="3">
        <v>9.8000000000000004E-2</v>
      </c>
      <c r="P3201" s="3">
        <v>0.53600000000000003</v>
      </c>
      <c r="Q3201" s="3">
        <v>0.69623559713363603</v>
      </c>
    </row>
    <row r="3202" spans="1:17" x14ac:dyDescent="0.45">
      <c r="A3202" s="3">
        <v>14676</v>
      </c>
      <c r="B3202" t="b">
        <v>0</v>
      </c>
      <c r="C3202" t="b">
        <v>0</v>
      </c>
      <c r="D3202" s="3">
        <v>1923</v>
      </c>
      <c r="E3202" s="3">
        <v>1923</v>
      </c>
      <c r="F3202" t="s">
        <v>3476</v>
      </c>
      <c r="G3202" t="s">
        <v>3477</v>
      </c>
      <c r="H3202" s="3">
        <v>29.625399999999999</v>
      </c>
      <c r="I3202" t="s">
        <v>590</v>
      </c>
      <c r="J3202" t="s">
        <v>13304</v>
      </c>
      <c r="L3202" t="s">
        <v>3478</v>
      </c>
      <c r="M3202" t="str">
        <f>"https://www.artic.edu/iiif/2/"&amp;Table9[[#This Row],[Image ID]]&amp;"/full/843,/0/default.jpg"</f>
        <v>https://www.artic.edu/iiif/2/a54a935c-0e90-b35e-2bad-fafddd3b72e0/full/843,/0/default.jpg</v>
      </c>
      <c r="N3202" s="3">
        <v>0.63400000000000001</v>
      </c>
      <c r="O3202" s="3">
        <v>9.8000000000000004E-2</v>
      </c>
      <c r="P3202" s="3">
        <v>0.53600000000000003</v>
      </c>
      <c r="Q3202" s="3">
        <v>0.71308016777038497</v>
      </c>
    </row>
    <row r="3203" spans="1:17" x14ac:dyDescent="0.45">
      <c r="A3203" s="3">
        <v>22163</v>
      </c>
      <c r="B3203" t="b">
        <v>0</v>
      </c>
      <c r="C3203" t="b">
        <v>0</v>
      </c>
      <c r="D3203" s="3">
        <v>1801</v>
      </c>
      <c r="E3203" s="3">
        <v>1900</v>
      </c>
      <c r="F3203" t="s">
        <v>5808</v>
      </c>
      <c r="G3203" t="s">
        <v>946</v>
      </c>
      <c r="H3203" s="3">
        <v>31.6675</v>
      </c>
      <c r="J3203" t="s">
        <v>14409</v>
      </c>
      <c r="L3203" t="s">
        <v>5809</v>
      </c>
      <c r="M3203" t="str">
        <f>"https://www.artic.edu/iiif/2/"&amp;Table9[[#This Row],[Image ID]]&amp;"/full/843,/0/default.jpg"</f>
        <v>https://www.artic.edu/iiif/2/f69aea11-804f-4ff8-c64b-f5bb9ea54092/full/843,/0/default.jpg</v>
      </c>
      <c r="N3203" s="3">
        <v>0.63400000000000001</v>
      </c>
      <c r="O3203" s="3">
        <v>9.8000000000000004E-2</v>
      </c>
      <c r="P3203" s="3">
        <v>0.53600000000000003</v>
      </c>
      <c r="Q3203" s="3">
        <v>0.73625278472900302</v>
      </c>
    </row>
    <row r="3204" spans="1:17" x14ac:dyDescent="0.45">
      <c r="A3204" s="3">
        <v>61642</v>
      </c>
      <c r="B3204" t="b">
        <v>0</v>
      </c>
      <c r="C3204" t="b">
        <v>1</v>
      </c>
      <c r="D3204" s="3">
        <v>1797</v>
      </c>
      <c r="E3204" s="3">
        <v>1807</v>
      </c>
      <c r="F3204" t="s">
        <v>8812</v>
      </c>
      <c r="G3204" t="s">
        <v>7</v>
      </c>
      <c r="H3204" s="3">
        <v>0</v>
      </c>
      <c r="I3204" t="s">
        <v>7569</v>
      </c>
      <c r="J3204" t="s">
        <v>11326</v>
      </c>
      <c r="L3204" t="s">
        <v>8813</v>
      </c>
      <c r="M3204" t="str">
        <f>"https://www.artic.edu/iiif/2/"&amp;Table9[[#This Row],[Image ID]]&amp;"/full/843,/0/default.jpg"</f>
        <v>https://www.artic.edu/iiif/2/199b5d9f-92ce-78b2-85f7-d731a786da51/full/843,/0/default.jpg</v>
      </c>
      <c r="N3204" s="3">
        <v>0.58499999999999996</v>
      </c>
      <c r="O3204" s="3">
        <v>4.9000000000000002E-2</v>
      </c>
      <c r="P3204" s="3">
        <v>0.53599999999999992</v>
      </c>
      <c r="Q3204" s="3">
        <v>0.41863554716110202</v>
      </c>
    </row>
    <row r="3205" spans="1:17" x14ac:dyDescent="0.45">
      <c r="A3205" s="3">
        <v>111041</v>
      </c>
      <c r="B3205" t="b">
        <v>0</v>
      </c>
      <c r="C3205" t="b">
        <v>1</v>
      </c>
      <c r="D3205" s="3">
        <v>1775</v>
      </c>
      <c r="E3205" s="3">
        <v>1795</v>
      </c>
      <c r="F3205" t="s">
        <v>1006</v>
      </c>
      <c r="G3205" t="s">
        <v>7</v>
      </c>
      <c r="H3205" s="3">
        <v>44.506100000000004</v>
      </c>
      <c r="I3205" t="s">
        <v>1007</v>
      </c>
      <c r="J3205" t="s">
        <v>11778</v>
      </c>
      <c r="L3205" t="s">
        <v>1008</v>
      </c>
      <c r="M3205" t="str">
        <f>"https://www.artic.edu/iiif/2/"&amp;Table9[[#This Row],[Image ID]]&amp;"/full/843,/0/default.jpg"</f>
        <v>https://www.artic.edu/iiif/2/37981a95-ee40-e075-07dc-bc7399ed487c/full/843,/0/default.jpg</v>
      </c>
      <c r="N3205" s="3">
        <v>0.58499999999999996</v>
      </c>
      <c r="O3205" s="3">
        <v>4.9000000000000002E-2</v>
      </c>
      <c r="P3205" s="3">
        <v>0.53599999999999992</v>
      </c>
      <c r="Q3205" s="3">
        <v>0.78981626033782903</v>
      </c>
    </row>
    <row r="3206" spans="1:17" x14ac:dyDescent="0.45">
      <c r="A3206" s="3">
        <v>111613</v>
      </c>
      <c r="B3206" t="b">
        <v>0</v>
      </c>
      <c r="C3206" t="b">
        <v>1</v>
      </c>
      <c r="D3206" s="3">
        <v>1611</v>
      </c>
      <c r="E3206" s="3">
        <v>1622</v>
      </c>
      <c r="F3206" t="s">
        <v>1134</v>
      </c>
      <c r="G3206" t="s">
        <v>75</v>
      </c>
      <c r="H3206" s="3">
        <v>45.725099999999998</v>
      </c>
      <c r="I3206" t="s">
        <v>1135</v>
      </c>
      <c r="J3206" t="s">
        <v>12230</v>
      </c>
      <c r="L3206" t="s">
        <v>1136</v>
      </c>
      <c r="M3206" t="str">
        <f>"https://www.artic.edu/iiif/2/"&amp;Table9[[#This Row],[Image ID]]&amp;"/full/843,/0/default.jpg"</f>
        <v>https://www.artic.edu/iiif/2/55cd82ad-be40-3ccc-11a5-cdbcc6c70d20/full/843,/0/default.jpg</v>
      </c>
      <c r="N3206" s="3">
        <v>0.70699999999999996</v>
      </c>
      <c r="O3206" s="3">
        <v>0.17100000000000001</v>
      </c>
      <c r="P3206" s="3">
        <v>0.53599999999999992</v>
      </c>
      <c r="Q3206" s="3">
        <v>0.69223868846893299</v>
      </c>
    </row>
    <row r="3207" spans="1:17" x14ac:dyDescent="0.45">
      <c r="A3207" s="3">
        <v>117554</v>
      </c>
      <c r="B3207" t="b">
        <v>0</v>
      </c>
      <c r="C3207" t="b">
        <v>1</v>
      </c>
      <c r="D3207" s="3">
        <v>-960</v>
      </c>
      <c r="E3207" s="3">
        <v>1278</v>
      </c>
      <c r="F3207" t="s">
        <v>2369</v>
      </c>
      <c r="G3207" t="s">
        <v>2370</v>
      </c>
      <c r="H3207" s="3">
        <v>24.051600000000001</v>
      </c>
      <c r="J3207" t="s">
        <v>12461</v>
      </c>
      <c r="K3207" s="5" t="s">
        <v>130</v>
      </c>
      <c r="L3207" t="s">
        <v>2371</v>
      </c>
      <c r="M3207" t="str">
        <f>"https://www.artic.edu/iiif/2/"&amp;Table9[[#This Row],[Image ID]]&amp;"/full/843,/0/default.jpg"</f>
        <v>https://www.artic.edu/iiif/2/6597bb58-d113-7369-7089-672f2d556dc3/full/843,/0/default.jpg</v>
      </c>
      <c r="N3207" s="3">
        <v>0.58499999999999996</v>
      </c>
      <c r="O3207" s="3">
        <v>4.9000000000000002E-2</v>
      </c>
      <c r="P3207" s="3">
        <v>0.53599999999999992</v>
      </c>
      <c r="Q3207" s="3">
        <v>0.718655705451965</v>
      </c>
    </row>
    <row r="3208" spans="1:17" x14ac:dyDescent="0.45">
      <c r="A3208" s="3">
        <v>73054</v>
      </c>
      <c r="B3208" t="b">
        <v>0</v>
      </c>
      <c r="C3208" t="b">
        <v>1</v>
      </c>
      <c r="D3208" s="3">
        <v>1896</v>
      </c>
      <c r="E3208" s="3">
        <v>1896</v>
      </c>
      <c r="F3208" t="s">
        <v>9592</v>
      </c>
      <c r="G3208" t="s">
        <v>7</v>
      </c>
      <c r="H3208" s="3">
        <v>27.2029</v>
      </c>
      <c r="I3208" t="s">
        <v>3452</v>
      </c>
      <c r="J3208" t="s">
        <v>13603</v>
      </c>
      <c r="K3208" s="5" t="s">
        <v>9</v>
      </c>
      <c r="L3208" t="s">
        <v>9593</v>
      </c>
      <c r="M3208" t="str">
        <f>"https://www.artic.edu/iiif/2/"&amp;Table9[[#This Row],[Image ID]]&amp;"/full/843,/0/default.jpg"</f>
        <v>https://www.artic.edu/iiif/2/bcc9c3a7-f5b0-41af-210a-bd17797d77d9/full/843,/0/default.jpg</v>
      </c>
      <c r="N3208" s="3">
        <v>0.70699999999999996</v>
      </c>
      <c r="O3208" s="3">
        <v>0.17100000000000001</v>
      </c>
      <c r="P3208" s="3">
        <v>0.53599999999999992</v>
      </c>
      <c r="Q3208" s="3">
        <v>0.61712187528610196</v>
      </c>
    </row>
    <row r="3209" spans="1:17" x14ac:dyDescent="0.45">
      <c r="A3209" s="3">
        <v>12883</v>
      </c>
      <c r="B3209" t="b">
        <v>0</v>
      </c>
      <c r="C3209" t="b">
        <v>1</v>
      </c>
      <c r="D3209" s="3">
        <v>1690</v>
      </c>
      <c r="E3209" s="3">
        <v>1695</v>
      </c>
      <c r="F3209" t="s">
        <v>2839</v>
      </c>
      <c r="G3209" t="s">
        <v>7</v>
      </c>
      <c r="H3209" s="3">
        <v>35.035600000000002</v>
      </c>
      <c r="I3209" t="s">
        <v>2833</v>
      </c>
      <c r="J3209" t="s">
        <v>12067</v>
      </c>
      <c r="L3209" t="s">
        <v>2840</v>
      </c>
      <c r="M3209" t="str">
        <f>"https://www.artic.edu/iiif/2/"&amp;Table9[[#This Row],[Image ID]]&amp;"/full/843,/0/default.jpg"</f>
        <v>https://www.artic.edu/iiif/2/ea80056a-5db8-b4b8-6110-3d12902b99cc/full/843,/0/default.jpg</v>
      </c>
      <c r="N3209" s="3">
        <v>0.70699999999999996</v>
      </c>
      <c r="O3209" s="3">
        <v>0.17100000000000001</v>
      </c>
      <c r="P3209" s="3">
        <v>0.53599999999999992</v>
      </c>
      <c r="Q3209" s="3">
        <v>0.63460558652877797</v>
      </c>
    </row>
    <row r="3210" spans="1:17" x14ac:dyDescent="0.45">
      <c r="A3210" s="3">
        <v>40773</v>
      </c>
      <c r="B3210" t="b">
        <v>0</v>
      </c>
      <c r="C3210" t="b">
        <v>0</v>
      </c>
      <c r="D3210" s="3">
        <v>1904</v>
      </c>
      <c r="E3210" s="3">
        <v>1904</v>
      </c>
      <c r="F3210" t="s">
        <v>7670</v>
      </c>
      <c r="G3210" t="s">
        <v>7</v>
      </c>
      <c r="H3210" s="3">
        <v>33.048000000000002</v>
      </c>
      <c r="I3210" t="s">
        <v>3372</v>
      </c>
      <c r="J3210" t="s">
        <v>11283</v>
      </c>
      <c r="K3210" s="5" t="s">
        <v>9</v>
      </c>
      <c r="L3210" t="s">
        <v>7671</v>
      </c>
      <c r="M3210" t="str">
        <f>"https://www.artic.edu/iiif/2/"&amp;Table9[[#This Row],[Image ID]]&amp;"/full/843,/0/default.jpg"</f>
        <v>https://www.artic.edu/iiif/2/16b1279a-dd39-b765-8708-9a8636f865ef/full/843,/0/default.jpg</v>
      </c>
      <c r="N3210" s="3">
        <v>0.70699999999999996</v>
      </c>
      <c r="O3210" s="3">
        <v>0.17100000000000001</v>
      </c>
      <c r="P3210" s="3">
        <v>0.53599999999999992</v>
      </c>
      <c r="Q3210" s="3">
        <v>0.55072957277297896</v>
      </c>
    </row>
    <row r="3211" spans="1:17" x14ac:dyDescent="0.45">
      <c r="A3211" s="3">
        <v>70132</v>
      </c>
      <c r="B3211" t="b">
        <v>0</v>
      </c>
      <c r="C3211" t="b">
        <v>0</v>
      </c>
      <c r="F3211" t="s">
        <v>9438</v>
      </c>
      <c r="G3211" t="s">
        <v>24</v>
      </c>
      <c r="H3211" s="3">
        <v>18.286300000000001</v>
      </c>
      <c r="I3211" t="s">
        <v>735</v>
      </c>
      <c r="L3211" t="s">
        <v>9439</v>
      </c>
      <c r="M3211" t="str">
        <f>"https://www.artic.edu/iiif/2/"&amp;Table9[[#This Row],[Image ID]]&amp;"/full/843,/0/default.jpg"</f>
        <v>https://www.artic.edu/iiif/2/996797a3-7ae9-b84e-4cbc-90f9b1f45d84/full/843,/0/default.jpg</v>
      </c>
      <c r="N3211" s="3">
        <v>0.70699999999999996</v>
      </c>
      <c r="O3211" s="3">
        <v>0.17100000000000001</v>
      </c>
      <c r="P3211" s="3">
        <v>0.53599999999999992</v>
      </c>
      <c r="Q3211" s="3">
        <v>0.58329403400421098</v>
      </c>
    </row>
    <row r="3212" spans="1:17" x14ac:dyDescent="0.45">
      <c r="A3212" s="3">
        <v>57906</v>
      </c>
      <c r="B3212" t="b">
        <v>0</v>
      </c>
      <c r="C3212" t="b">
        <v>0</v>
      </c>
      <c r="D3212" s="3">
        <v>1827</v>
      </c>
      <c r="E3212" s="3">
        <v>1827</v>
      </c>
      <c r="F3212" t="s">
        <v>8492</v>
      </c>
      <c r="G3212" t="s">
        <v>7</v>
      </c>
      <c r="H3212" s="3">
        <v>27.032699999999998</v>
      </c>
      <c r="I3212" t="s">
        <v>6706</v>
      </c>
      <c r="J3212" t="s">
        <v>14344</v>
      </c>
      <c r="L3212" t="s">
        <v>8493</v>
      </c>
      <c r="M3212" t="str">
        <f>"https://www.artic.edu/iiif/2/"&amp;Table9[[#This Row],[Image ID]]&amp;"/full/843,/0/default.jpg"</f>
        <v>https://www.artic.edu/iiif/2/f231ab88-fd43-f437-a352-b4c3c130dbe7/full/843,/0/default.jpg</v>
      </c>
      <c r="N3212" s="3">
        <v>0.70699999999999996</v>
      </c>
      <c r="O3212" s="3">
        <v>0.17100000000000001</v>
      </c>
      <c r="P3212" s="3">
        <v>0.53599999999999992</v>
      </c>
      <c r="Q3212" s="3">
        <v>0.50122940540313698</v>
      </c>
    </row>
    <row r="3213" spans="1:17" x14ac:dyDescent="0.45">
      <c r="A3213" s="3">
        <v>133556</v>
      </c>
      <c r="B3213" t="b">
        <v>0</v>
      </c>
      <c r="C3213" t="b">
        <v>0</v>
      </c>
      <c r="D3213" s="3">
        <v>1926</v>
      </c>
      <c r="E3213" s="3">
        <v>1926</v>
      </c>
      <c r="F3213" t="s">
        <v>3062</v>
      </c>
      <c r="G3213" t="s">
        <v>3041</v>
      </c>
      <c r="H3213" s="3">
        <v>30.1816</v>
      </c>
      <c r="I3213" t="s">
        <v>3058</v>
      </c>
      <c r="J3213" t="s">
        <v>11674</v>
      </c>
      <c r="L3213" t="s">
        <v>3063</v>
      </c>
      <c r="M3213" t="str">
        <f>"https://www.artic.edu/iiif/2/"&amp;Table9[[#This Row],[Image ID]]&amp;"/full/843,/0/default.jpg"</f>
        <v>https://www.artic.edu/iiif/2/2fe5bfd1-77d5-5252-53f8-d4c50be5d6be/full/843,/0/default.jpg</v>
      </c>
      <c r="N3213" s="3">
        <v>0.65100000000000002</v>
      </c>
      <c r="O3213" s="3">
        <v>0.11600000000000001</v>
      </c>
      <c r="P3213" s="3">
        <v>0.53500000000000003</v>
      </c>
      <c r="Q3213" s="3">
        <v>0.57744616270065297</v>
      </c>
    </row>
    <row r="3214" spans="1:17" x14ac:dyDescent="0.45">
      <c r="A3214" s="3">
        <v>55722</v>
      </c>
      <c r="B3214" t="b">
        <v>0</v>
      </c>
      <c r="C3214" t="b">
        <v>0</v>
      </c>
      <c r="D3214" s="3">
        <v>1965</v>
      </c>
      <c r="E3214" s="3">
        <v>1965</v>
      </c>
      <c r="F3214" t="s">
        <v>8389</v>
      </c>
      <c r="G3214" t="s">
        <v>8364</v>
      </c>
      <c r="H3214" s="3">
        <v>30.2226</v>
      </c>
      <c r="I3214" t="s">
        <v>599</v>
      </c>
      <c r="J3214" t="s">
        <v>12915</v>
      </c>
      <c r="L3214" t="s">
        <v>8390</v>
      </c>
      <c r="M3214" t="str">
        <f>"https://www.artic.edu/iiif/2/"&amp;Table9[[#This Row],[Image ID]]&amp;"/full/843,/0/default.jpg"</f>
        <v>https://www.artic.edu/iiif/2/ba1a368e-48f1-3489-224d-c28130452ed5/full/843,/0/default.jpg</v>
      </c>
      <c r="N3214" s="3">
        <v>0.628</v>
      </c>
      <c r="O3214" s="3">
        <v>9.2999999999999999E-2</v>
      </c>
      <c r="P3214" s="3">
        <v>0.53500000000000003</v>
      </c>
      <c r="Q3214" s="3">
        <v>0.81354773044586104</v>
      </c>
    </row>
    <row r="3215" spans="1:17" x14ac:dyDescent="0.45">
      <c r="A3215" s="3">
        <v>56076</v>
      </c>
      <c r="B3215" t="b">
        <v>0</v>
      </c>
      <c r="C3215" t="b">
        <v>0</v>
      </c>
      <c r="D3215" s="3">
        <v>1978</v>
      </c>
      <c r="E3215" s="3">
        <v>1979</v>
      </c>
      <c r="F3215" t="s">
        <v>8444</v>
      </c>
      <c r="G3215" t="s">
        <v>7810</v>
      </c>
      <c r="H3215" s="3">
        <v>48.581400000000002</v>
      </c>
      <c r="I3215" t="s">
        <v>8445</v>
      </c>
      <c r="J3215" t="s">
        <v>13284</v>
      </c>
      <c r="L3215" t="s">
        <v>8446</v>
      </c>
      <c r="M3215" t="str">
        <f>"https://www.artic.edu/iiif/2/"&amp;Table9[[#This Row],[Image ID]]&amp;"/full/843,/0/default.jpg"</f>
        <v>https://www.artic.edu/iiif/2/e5de1ff3-33ff-7066-b2b7-74655d6aa293/full/843,/0/default.jpg</v>
      </c>
      <c r="N3215" s="3">
        <v>0.65100000000000002</v>
      </c>
      <c r="O3215" s="3">
        <v>0.11600000000000001</v>
      </c>
      <c r="P3215" s="3">
        <v>0.53500000000000003</v>
      </c>
      <c r="Q3215" s="3">
        <v>0.68744564056396396</v>
      </c>
    </row>
    <row r="3216" spans="1:17" x14ac:dyDescent="0.45">
      <c r="A3216" s="3">
        <v>64748</v>
      </c>
      <c r="B3216" t="b">
        <v>0</v>
      </c>
      <c r="C3216" t="b">
        <v>1</v>
      </c>
      <c r="D3216" s="3">
        <v>1893</v>
      </c>
      <c r="E3216" s="3">
        <v>1893</v>
      </c>
      <c r="F3216" t="s">
        <v>9003</v>
      </c>
      <c r="G3216" t="s">
        <v>7</v>
      </c>
      <c r="H3216" s="3">
        <v>0</v>
      </c>
      <c r="I3216" t="s">
        <v>908</v>
      </c>
      <c r="J3216" t="s">
        <v>12144</v>
      </c>
      <c r="L3216" t="s">
        <v>9004</v>
      </c>
      <c r="M3216" t="str">
        <f>"https://www.artic.edu/iiif/2/"&amp;Table9[[#This Row],[Image ID]]&amp;"/full/843,/0/default.jpg"</f>
        <v>https://www.artic.edu/iiif/2/50b12a25-63da-2db1-34ea-4bf1d4d082a1/full/843,/0/default.jpg</v>
      </c>
      <c r="N3216" s="3">
        <v>0.60499999999999998</v>
      </c>
      <c r="O3216" s="3">
        <v>7.0000000000000007E-2</v>
      </c>
      <c r="P3216" s="3">
        <v>0.53499999999999992</v>
      </c>
      <c r="Q3216" s="3">
        <v>0.453480243682861</v>
      </c>
    </row>
    <row r="3217" spans="1:17" x14ac:dyDescent="0.45">
      <c r="A3217" s="3">
        <v>27642</v>
      </c>
      <c r="B3217" t="b">
        <v>0</v>
      </c>
      <c r="C3217" t="b">
        <v>1</v>
      </c>
      <c r="D3217" s="3">
        <v>1776</v>
      </c>
      <c r="E3217" s="3">
        <v>1827</v>
      </c>
      <c r="F3217" t="s">
        <v>6735</v>
      </c>
      <c r="G3217" t="s">
        <v>6736</v>
      </c>
      <c r="H3217" s="3">
        <v>35.595399999999998</v>
      </c>
      <c r="I3217" t="s">
        <v>1266</v>
      </c>
      <c r="J3217" t="s">
        <v>12980</v>
      </c>
      <c r="L3217" t="s">
        <v>6737</v>
      </c>
      <c r="M3217" t="str">
        <f>"https://www.artic.edu/iiif/2/"&amp;Table9[[#This Row],[Image ID]]&amp;"/full/843,/0/default.jpg"</f>
        <v>https://www.artic.edu/iiif/2/8c5331a0-7076-8b99-83b0-3ea9c8bbded7/full/843,/0/default.jpg</v>
      </c>
      <c r="N3217" s="3">
        <v>0.69799999999999995</v>
      </c>
      <c r="O3217" s="3">
        <v>0.16300000000000001</v>
      </c>
      <c r="P3217" s="3">
        <v>0.53499999999999992</v>
      </c>
      <c r="Q3217" s="3">
        <v>0.62962728738784701</v>
      </c>
    </row>
    <row r="3218" spans="1:17" x14ac:dyDescent="0.45">
      <c r="A3218" s="3">
        <v>66002</v>
      </c>
      <c r="B3218" t="b">
        <v>0</v>
      </c>
      <c r="C3218" t="b">
        <v>0</v>
      </c>
      <c r="D3218" s="3">
        <v>1930</v>
      </c>
      <c r="E3218" s="3">
        <v>1930</v>
      </c>
      <c r="F3218" t="s">
        <v>9148</v>
      </c>
      <c r="G3218" t="s">
        <v>9149</v>
      </c>
      <c r="H3218" s="3">
        <v>35.497999999999998</v>
      </c>
      <c r="I3218" t="s">
        <v>949</v>
      </c>
      <c r="J3218" t="s">
        <v>13503</v>
      </c>
      <c r="L3218" t="s">
        <v>9150</v>
      </c>
      <c r="M3218" t="str">
        <f>"https://www.artic.edu/iiif/2/"&amp;Table9[[#This Row],[Image ID]]&amp;"/full/843,/0/default.jpg"</f>
        <v>https://www.artic.edu/iiif/2/b42f2aac-398b-d8d7-e047-e12a965f154f/full/843,/0/default.jpg</v>
      </c>
      <c r="N3218" s="3">
        <v>0.60499999999999998</v>
      </c>
      <c r="O3218" s="3">
        <v>7.0000000000000007E-2</v>
      </c>
      <c r="P3218" s="3">
        <v>0.53499999999999992</v>
      </c>
      <c r="Q3218" s="3">
        <v>0.62760972976684504</v>
      </c>
    </row>
    <row r="3219" spans="1:17" x14ac:dyDescent="0.45">
      <c r="A3219" s="3">
        <v>15569</v>
      </c>
      <c r="B3219" t="b">
        <v>0</v>
      </c>
      <c r="C3219" t="b">
        <v>0</v>
      </c>
      <c r="D3219" s="3">
        <v>1951</v>
      </c>
      <c r="E3219" s="3">
        <v>1952</v>
      </c>
      <c r="F3219" t="s">
        <v>4024</v>
      </c>
      <c r="G3219" t="s">
        <v>7</v>
      </c>
      <c r="H3219" s="3">
        <v>4.4824000000000002</v>
      </c>
      <c r="I3219" t="s">
        <v>3550</v>
      </c>
      <c r="J3219" t="s">
        <v>14514</v>
      </c>
      <c r="L3219" t="s">
        <v>4025</v>
      </c>
      <c r="M3219" t="str">
        <f>"https://www.artic.edu/iiif/2/"&amp;Table9[[#This Row],[Image ID]]&amp;"/full/843,/0/default.jpg"</f>
        <v>https://www.artic.edu/iiif/2/fe68289b-d212-899e-86dd-c8c485ec77c6/full/843,/0/default.jpg</v>
      </c>
      <c r="N3219" s="3">
        <v>0.60499999999999998</v>
      </c>
      <c r="O3219" s="3">
        <v>7.0000000000000007E-2</v>
      </c>
      <c r="P3219" s="3">
        <v>0.53499999999999992</v>
      </c>
      <c r="Q3219" s="3">
        <v>0.72116816043853704</v>
      </c>
    </row>
    <row r="3220" spans="1:17" x14ac:dyDescent="0.45">
      <c r="A3220" s="3">
        <v>11816</v>
      </c>
      <c r="B3220" t="b">
        <v>0</v>
      </c>
      <c r="C3220" t="b">
        <v>1</v>
      </c>
      <c r="D3220" s="3">
        <v>1800</v>
      </c>
      <c r="E3220" s="3">
        <v>1908</v>
      </c>
      <c r="F3220" t="s">
        <v>2480</v>
      </c>
      <c r="G3220" t="s">
        <v>2474</v>
      </c>
      <c r="H3220" s="3">
        <v>39.477400000000003</v>
      </c>
      <c r="J3220" t="s">
        <v>11064</v>
      </c>
      <c r="K3220" s="5" t="s">
        <v>278</v>
      </c>
      <c r="L3220" t="s">
        <v>2481</v>
      </c>
      <c r="M3220" t="str">
        <f>"https://www.artic.edu/iiif/2/"&amp;Table9[[#This Row],[Image ID]]&amp;"/full/843,/0/default.jpg"</f>
        <v>https://www.artic.edu/iiif/2/06a79f3c-639c-a22e-57ea-bbe7d431c216/full/843,/0/default.jpg</v>
      </c>
      <c r="N3220" s="3">
        <v>0.76700000000000002</v>
      </c>
      <c r="O3220" s="3">
        <v>0.23300000000000001</v>
      </c>
      <c r="P3220" s="3">
        <v>0.53400000000000003</v>
      </c>
      <c r="Q3220" s="3">
        <v>0.754794001579284</v>
      </c>
    </row>
    <row r="3221" spans="1:17" x14ac:dyDescent="0.45">
      <c r="A3221" s="3">
        <v>115881</v>
      </c>
      <c r="B3221" t="b">
        <v>0</v>
      </c>
      <c r="C3221" t="b">
        <v>1</v>
      </c>
      <c r="D3221" s="3">
        <v>1880</v>
      </c>
      <c r="E3221" s="3">
        <v>1899</v>
      </c>
      <c r="F3221" t="s">
        <v>2160</v>
      </c>
      <c r="G3221" t="s">
        <v>1283</v>
      </c>
      <c r="H3221" s="3">
        <v>36.733699999999999</v>
      </c>
      <c r="I3221" t="s">
        <v>16</v>
      </c>
      <c r="J3221" t="s">
        <v>2162</v>
      </c>
      <c r="L3221" t="s">
        <v>2161</v>
      </c>
      <c r="M3221" t="str">
        <f>"https://www.artic.edu/iiif/2/"&amp;Table9[[#This Row],[Image ID]]&amp;"/full/843,/0/default.jpg"</f>
        <v>https://www.artic.edu/iiif/2/dbf45fa6-7463-a2b0-aff3-54137ad7e212/full/843,/0/default.jpg</v>
      </c>
      <c r="N3221" s="3">
        <v>0.58099999999999996</v>
      </c>
      <c r="O3221" s="3">
        <v>4.7E-2</v>
      </c>
      <c r="P3221" s="3">
        <v>0.53399999999999992</v>
      </c>
      <c r="Q3221" s="3">
        <v>0.70259135961532504</v>
      </c>
    </row>
    <row r="3222" spans="1:17" x14ac:dyDescent="0.45">
      <c r="A3222" s="3">
        <v>65871</v>
      </c>
      <c r="B3222" t="b">
        <v>0</v>
      </c>
      <c r="C3222" t="b">
        <v>0</v>
      </c>
      <c r="D3222" s="3">
        <v>1914</v>
      </c>
      <c r="E3222" s="3">
        <v>1914</v>
      </c>
      <c r="F3222" t="s">
        <v>9079</v>
      </c>
      <c r="G3222" t="s">
        <v>249</v>
      </c>
      <c r="H3222" s="3">
        <v>28.991499999999998</v>
      </c>
      <c r="I3222" t="s">
        <v>1430</v>
      </c>
      <c r="J3222" t="s">
        <v>12565</v>
      </c>
      <c r="K3222" s="5" t="s">
        <v>45</v>
      </c>
      <c r="L3222" t="s">
        <v>9080</v>
      </c>
      <c r="M3222" t="str">
        <f>"https://www.artic.edu/iiif/2/"&amp;Table9[[#This Row],[Image ID]]&amp;"/full/843,/0/default.jpg"</f>
        <v>https://www.artic.edu/iiif/2/6d5efb04-82ef-ff76-5700-8ba9f39aa00a/full/843,/0/default.jpg</v>
      </c>
      <c r="N3222" s="3">
        <v>0.58099999999999996</v>
      </c>
      <c r="O3222" s="3">
        <v>4.7E-2</v>
      </c>
      <c r="P3222" s="3">
        <v>0.53399999999999992</v>
      </c>
      <c r="Q3222" s="3">
        <v>0.64388626813888505</v>
      </c>
    </row>
    <row r="3223" spans="1:17" x14ac:dyDescent="0.45">
      <c r="A3223" s="3">
        <v>33552</v>
      </c>
      <c r="B3223" t="b">
        <v>0</v>
      </c>
      <c r="C3223" t="b">
        <v>1</v>
      </c>
      <c r="D3223" s="3">
        <v>1822</v>
      </c>
      <c r="E3223" s="3">
        <v>1822</v>
      </c>
      <c r="F3223" t="s">
        <v>7086</v>
      </c>
      <c r="G3223" t="s">
        <v>7</v>
      </c>
      <c r="H3223" s="3">
        <v>29.4298</v>
      </c>
      <c r="I3223" t="s">
        <v>6714</v>
      </c>
      <c r="J3223" t="s">
        <v>12044</v>
      </c>
      <c r="L3223" t="s">
        <v>7087</v>
      </c>
      <c r="M3223" t="str">
        <f>"https://www.artic.edu/iiif/2/"&amp;Table9[[#This Row],[Image ID]]&amp;"/full/843,/0/default.jpg"</f>
        <v>https://www.artic.edu/iiif/2/4900a490-b98a-a072-d753-1e57ec16767b/full/843,/0/default.jpg</v>
      </c>
      <c r="N3223" s="3">
        <v>0.82499999999999996</v>
      </c>
      <c r="O3223" s="3">
        <v>0.29299999999999998</v>
      </c>
      <c r="P3223" s="3">
        <v>0.53200000000000003</v>
      </c>
      <c r="Q3223" s="3">
        <v>0.77097314596176103</v>
      </c>
    </row>
    <row r="3224" spans="1:17" x14ac:dyDescent="0.45">
      <c r="A3224" s="3">
        <v>99652</v>
      </c>
      <c r="B3224" t="b">
        <v>0</v>
      </c>
      <c r="C3224" t="b">
        <v>1</v>
      </c>
      <c r="D3224" s="3">
        <v>1840</v>
      </c>
      <c r="E3224" s="3">
        <v>1840</v>
      </c>
      <c r="F3224" t="s">
        <v>10939</v>
      </c>
      <c r="G3224" t="s">
        <v>512</v>
      </c>
      <c r="H3224" s="3">
        <v>0</v>
      </c>
      <c r="I3224" t="s">
        <v>10940</v>
      </c>
      <c r="J3224" t="s">
        <v>12948</v>
      </c>
      <c r="L3224" t="s">
        <v>10941</v>
      </c>
      <c r="M3224" t="str">
        <f>"https://www.artic.edu/iiif/2/"&amp;Table9[[#This Row],[Image ID]]&amp;"/full/843,/0/default.jpg"</f>
        <v>https://www.artic.edu/iiif/2/8a4a56ab-bf5a-5d65-27d0-ebf3270ca9e3/full/843,/0/default.jpg</v>
      </c>
      <c r="N3224" s="3">
        <v>0.75</v>
      </c>
      <c r="O3224" s="3">
        <v>0.22</v>
      </c>
      <c r="P3224" s="3">
        <v>0.53</v>
      </c>
      <c r="Q3224" s="3">
        <v>0.78226518630981401</v>
      </c>
    </row>
    <row r="3225" spans="1:17" x14ac:dyDescent="0.45">
      <c r="A3225" s="3">
        <v>59916</v>
      </c>
      <c r="B3225" t="b">
        <v>0</v>
      </c>
      <c r="C3225" t="b">
        <v>1</v>
      </c>
      <c r="D3225" s="3">
        <v>1490</v>
      </c>
      <c r="E3225" s="3">
        <v>1496</v>
      </c>
      <c r="F3225" t="s">
        <v>201</v>
      </c>
      <c r="G3225" t="s">
        <v>3734</v>
      </c>
      <c r="H3225" s="3">
        <v>52.016599999999997</v>
      </c>
      <c r="I3225" t="s">
        <v>8636</v>
      </c>
      <c r="J3225" t="s">
        <v>13768</v>
      </c>
      <c r="L3225" t="s">
        <v>8637</v>
      </c>
      <c r="M3225" t="str">
        <f>"https://www.artic.edu/iiif/2/"&amp;Table9[[#This Row],[Image ID]]&amp;"/full/843,/0/default.jpg"</f>
        <v>https://www.artic.edu/iiif/2/c92e6967-fe67-1d55-da3e-42a2a2d62f0d/full/843,/0/default.jpg</v>
      </c>
      <c r="N3225" s="3">
        <v>0.67500000000000004</v>
      </c>
      <c r="O3225" s="3">
        <v>0.14599999999999999</v>
      </c>
      <c r="P3225" s="3">
        <v>0.52900000000000003</v>
      </c>
      <c r="Q3225" s="3">
        <v>0.88438403606414795</v>
      </c>
    </row>
    <row r="3226" spans="1:17" x14ac:dyDescent="0.45">
      <c r="A3226" s="3">
        <v>79586</v>
      </c>
      <c r="B3226" t="b">
        <v>0</v>
      </c>
      <c r="C3226" t="b">
        <v>1</v>
      </c>
      <c r="D3226" s="3">
        <v>1866</v>
      </c>
      <c r="E3226" s="3">
        <v>1870</v>
      </c>
      <c r="F3226" t="s">
        <v>9898</v>
      </c>
      <c r="G3226" t="s">
        <v>7</v>
      </c>
      <c r="H3226" s="3">
        <v>32.884900000000002</v>
      </c>
      <c r="I3226" t="s">
        <v>66</v>
      </c>
      <c r="J3226" t="s">
        <v>12974</v>
      </c>
      <c r="L3226" t="s">
        <v>9899</v>
      </c>
      <c r="M3226" t="str">
        <f>"https://www.artic.edu/iiif/2/"&amp;Table9[[#This Row],[Image ID]]&amp;"/full/843,/0/default.jpg"</f>
        <v>https://www.artic.edu/iiif/2/8bcc9188-1d3d-14be-6ae7-ed211e089c0f/full/843,/0/default.jpg</v>
      </c>
      <c r="N3226" s="3">
        <v>0.7</v>
      </c>
      <c r="O3226" s="3">
        <v>0.17100000000000001</v>
      </c>
      <c r="P3226" s="3">
        <v>0.52899999999999991</v>
      </c>
      <c r="Q3226" s="3">
        <v>0.73496454954147294</v>
      </c>
    </row>
    <row r="3227" spans="1:17" x14ac:dyDescent="0.45">
      <c r="A3227" s="3">
        <v>17589</v>
      </c>
      <c r="B3227" t="b">
        <v>0</v>
      </c>
      <c r="C3227" t="b">
        <v>0</v>
      </c>
      <c r="D3227" s="3">
        <v>1914</v>
      </c>
      <c r="E3227" s="3">
        <v>1914</v>
      </c>
      <c r="F3227" t="s">
        <v>985</v>
      </c>
      <c r="G3227" t="s">
        <v>4666</v>
      </c>
      <c r="H3227" s="3">
        <v>22.157699999999998</v>
      </c>
      <c r="I3227" t="s">
        <v>14639</v>
      </c>
      <c r="J3227" t="s">
        <v>12425</v>
      </c>
      <c r="L3227" t="s">
        <v>4667</v>
      </c>
      <c r="M3227" t="str">
        <f>"https://www.artic.edu/iiif/2/"&amp;Table9[[#This Row],[Image ID]]&amp;"/full/843,/0/default.jpg"</f>
        <v>https://www.artic.edu/iiif/2/637474d4-4467-ccb4-5259-ff243b65f012/full/843,/0/default.jpg</v>
      </c>
      <c r="N3227" s="3">
        <v>0.7</v>
      </c>
      <c r="O3227" s="3">
        <v>0.17100000000000001</v>
      </c>
      <c r="P3227" s="3">
        <v>0.52899999999999991</v>
      </c>
      <c r="Q3227" s="3">
        <v>0.59030860662460305</v>
      </c>
    </row>
    <row r="3228" spans="1:17" x14ac:dyDescent="0.45">
      <c r="A3228" s="3">
        <v>155551</v>
      </c>
      <c r="B3228" t="b">
        <v>0</v>
      </c>
      <c r="C3228" t="b">
        <v>0</v>
      </c>
      <c r="D3228" s="3">
        <v>1934</v>
      </c>
      <c r="E3228" s="3">
        <v>1934</v>
      </c>
      <c r="F3228" t="s">
        <v>4017</v>
      </c>
      <c r="G3228" t="s">
        <v>4018</v>
      </c>
      <c r="H3228" s="3">
        <v>24.647099999999998</v>
      </c>
      <c r="I3228" t="s">
        <v>4016</v>
      </c>
      <c r="J3228" t="s">
        <v>14440</v>
      </c>
      <c r="L3228" t="s">
        <v>4021</v>
      </c>
      <c r="M3228" t="str">
        <f>"https://www.artic.edu/iiif/2/"&amp;Table9[[#This Row],[Image ID]]&amp;"/full/843,/0/default.jpg"</f>
        <v>https://www.artic.edu/iiif/2/f9191d85-ee58-c5af-a91a-450aa2c50fe9/full/843,/0/default.jpg</v>
      </c>
      <c r="N3228" s="3">
        <v>0.65</v>
      </c>
      <c r="O3228" s="3">
        <v>0.122</v>
      </c>
      <c r="P3228" s="3">
        <v>0.52800000000000002</v>
      </c>
      <c r="Q3228" s="3">
        <v>0.574379622936248</v>
      </c>
    </row>
    <row r="3229" spans="1:17" x14ac:dyDescent="0.45">
      <c r="A3229" s="3">
        <v>151893</v>
      </c>
      <c r="B3229" t="b">
        <v>0</v>
      </c>
      <c r="C3229" t="b">
        <v>1</v>
      </c>
      <c r="D3229" s="3">
        <v>1300</v>
      </c>
      <c r="E3229" s="3">
        <v>1500</v>
      </c>
      <c r="F3229" t="s">
        <v>3857</v>
      </c>
      <c r="G3229" t="s">
        <v>3858</v>
      </c>
      <c r="H3229" s="3">
        <v>36.521999999999998</v>
      </c>
      <c r="J3229" t="s">
        <v>11197</v>
      </c>
      <c r="L3229" t="s">
        <v>3859</v>
      </c>
      <c r="M3229" t="str">
        <f>"https://www.artic.edu/iiif/2/"&amp;Table9[[#This Row],[Image ID]]&amp;"/full/843,/0/default.jpg"</f>
        <v>https://www.artic.edu/iiif/2/1153d28d-2bc4-bd1c-13f6-75259db26495/full/843,/0/default.jpg</v>
      </c>
      <c r="N3229" s="3">
        <v>0.625</v>
      </c>
      <c r="O3229" s="3">
        <v>9.8000000000000004E-2</v>
      </c>
      <c r="P3229" s="3">
        <v>0.52700000000000002</v>
      </c>
      <c r="Q3229" s="3">
        <v>0.81344431638717596</v>
      </c>
    </row>
    <row r="3230" spans="1:17" x14ac:dyDescent="0.45">
      <c r="A3230" s="3">
        <v>57727</v>
      </c>
      <c r="B3230" t="b">
        <v>0</v>
      </c>
      <c r="C3230" t="b">
        <v>1</v>
      </c>
      <c r="D3230" s="3">
        <v>1784</v>
      </c>
      <c r="E3230" s="3">
        <v>1787</v>
      </c>
      <c r="F3230" t="s">
        <v>8488</v>
      </c>
      <c r="G3230" t="s">
        <v>75</v>
      </c>
      <c r="H3230" s="3">
        <v>0</v>
      </c>
      <c r="I3230" t="s">
        <v>8489</v>
      </c>
      <c r="J3230" t="s">
        <v>11704</v>
      </c>
      <c r="L3230" t="s">
        <v>8490</v>
      </c>
      <c r="M3230" t="str">
        <f>"https://www.artic.edu/iiif/2/"&amp;Table9[[#This Row],[Image ID]]&amp;"/full/843,/0/default.jpg"</f>
        <v>https://www.artic.edu/iiif/2/321bef42-2c5d-29e9-de42-77ebf8221f7b/full/843,/0/default.jpg</v>
      </c>
      <c r="N3230" s="3">
        <v>0.6</v>
      </c>
      <c r="O3230" s="3">
        <v>7.2999999999999995E-2</v>
      </c>
      <c r="P3230" s="3">
        <v>0.52700000000000002</v>
      </c>
      <c r="Q3230" s="3">
        <v>0.41458064317703203</v>
      </c>
    </row>
    <row r="3231" spans="1:17" x14ac:dyDescent="0.45">
      <c r="A3231" s="3">
        <v>14798</v>
      </c>
      <c r="B3231" t="b">
        <v>0</v>
      </c>
      <c r="C3231" t="b">
        <v>0</v>
      </c>
      <c r="D3231" s="3">
        <v>1929</v>
      </c>
      <c r="E3231" s="3">
        <v>1929</v>
      </c>
      <c r="F3231" t="s">
        <v>3691</v>
      </c>
      <c r="G3231" t="s">
        <v>3692</v>
      </c>
      <c r="H3231" s="3">
        <v>39.131100000000004</v>
      </c>
      <c r="I3231" t="s">
        <v>3693</v>
      </c>
      <c r="J3231" t="s">
        <v>12411</v>
      </c>
      <c r="L3231" t="s">
        <v>3694</v>
      </c>
      <c r="M3231" t="str">
        <f>"https://www.artic.edu/iiif/2/"&amp;Table9[[#This Row],[Image ID]]&amp;"/full/843,/0/default.jpg"</f>
        <v>https://www.artic.edu/iiif/2/62c24265-ac3f-a064-b10d-adfbb880b869/full/843,/0/default.jpg</v>
      </c>
      <c r="N3231" s="3">
        <v>0.625</v>
      </c>
      <c r="O3231" s="3">
        <v>9.8000000000000004E-2</v>
      </c>
      <c r="P3231" s="3">
        <v>0.52700000000000002</v>
      </c>
      <c r="Q3231" s="3">
        <v>0.53197044134140004</v>
      </c>
    </row>
    <row r="3232" spans="1:17" x14ac:dyDescent="0.45">
      <c r="A3232" s="3">
        <v>145866</v>
      </c>
      <c r="B3232" t="b">
        <v>0</v>
      </c>
      <c r="C3232" t="b">
        <v>0</v>
      </c>
      <c r="D3232" s="3">
        <v>1938</v>
      </c>
      <c r="E3232" s="3">
        <v>1938</v>
      </c>
      <c r="F3232" t="s">
        <v>3405</v>
      </c>
      <c r="G3232" t="s">
        <v>3406</v>
      </c>
      <c r="H3232" s="3">
        <v>72.320700000000002</v>
      </c>
      <c r="I3232" t="s">
        <v>4769</v>
      </c>
      <c r="J3232" t="s">
        <v>14044</v>
      </c>
      <c r="L3232" t="s">
        <v>3407</v>
      </c>
      <c r="M3232" t="str">
        <f>"https://www.artic.edu/iiif/2/"&amp;Table9[[#This Row],[Image ID]]&amp;"/full/843,/0/default.jpg"</f>
        <v>https://www.artic.edu/iiif/2/de83846d-3d15-b236-20f9-a7684ab37ce4/full/843,/0/default.jpg</v>
      </c>
      <c r="N3232" s="3">
        <v>0.6</v>
      </c>
      <c r="O3232" s="3">
        <v>7.2999999999999995E-2</v>
      </c>
      <c r="P3232" s="3">
        <v>0.52700000000000002</v>
      </c>
      <c r="Q3232" s="3">
        <v>0.69830244779586703</v>
      </c>
    </row>
    <row r="3233" spans="1:17" x14ac:dyDescent="0.45">
      <c r="A3233" s="3">
        <v>131901</v>
      </c>
      <c r="B3233" t="b">
        <v>0</v>
      </c>
      <c r="C3233" t="b">
        <v>1</v>
      </c>
      <c r="D3233" s="3">
        <v>1550</v>
      </c>
      <c r="E3233" s="3">
        <v>1550</v>
      </c>
      <c r="F3233" t="s">
        <v>3002</v>
      </c>
      <c r="G3233" t="s">
        <v>2654</v>
      </c>
      <c r="H3233" s="3">
        <v>42.688000000000002</v>
      </c>
      <c r="J3233" t="s">
        <v>13438</v>
      </c>
      <c r="L3233" t="s">
        <v>3003</v>
      </c>
      <c r="M3233" t="str">
        <f>"https://www.artic.edu/iiif/2/"&amp;Table9[[#This Row],[Image ID]]&amp;"/full/843,/0/default.jpg"</f>
        <v>https://www.artic.edu/iiif/2/af55c636-a584-e216-f785-f2c43fdf68a9/full/843,/0/default.jpg</v>
      </c>
      <c r="N3233" s="3">
        <v>0.57499999999999996</v>
      </c>
      <c r="O3233" s="3">
        <v>4.9000000000000002E-2</v>
      </c>
      <c r="P3233" s="3">
        <v>0.52599999999999991</v>
      </c>
      <c r="Q3233" s="3">
        <v>0.70588004589080799</v>
      </c>
    </row>
    <row r="3234" spans="1:17" x14ac:dyDescent="0.45">
      <c r="A3234" s="3">
        <v>53599</v>
      </c>
      <c r="B3234" t="b">
        <v>0</v>
      </c>
      <c r="C3234" t="b">
        <v>0</v>
      </c>
      <c r="D3234" s="3">
        <v>1931</v>
      </c>
      <c r="E3234" s="3">
        <v>1940</v>
      </c>
      <c r="F3234" t="s">
        <v>8279</v>
      </c>
      <c r="G3234" t="s">
        <v>8280</v>
      </c>
      <c r="H3234" s="3">
        <v>51.0441</v>
      </c>
      <c r="I3234" t="s">
        <v>40</v>
      </c>
      <c r="J3234" t="s">
        <v>11004</v>
      </c>
      <c r="L3234" t="s">
        <v>8281</v>
      </c>
      <c r="M3234" t="str">
        <f>"https://www.artic.edu/iiif/2/"&amp;Table9[[#This Row],[Image ID]]&amp;"/full/843,/0/default.jpg"</f>
        <v>https://www.artic.edu/iiif/2/02872ecc-a5b6-25dc-3d50-977bb9cb68f2/full/843,/0/default.jpg</v>
      </c>
      <c r="N3234" s="3">
        <v>0.57499999999999996</v>
      </c>
      <c r="O3234" s="3">
        <v>4.9000000000000002E-2</v>
      </c>
      <c r="P3234" s="3">
        <v>0.52599999999999991</v>
      </c>
      <c r="Q3234" s="3">
        <v>0.81223148107528598</v>
      </c>
    </row>
    <row r="3235" spans="1:17" x14ac:dyDescent="0.45">
      <c r="A3235" s="3">
        <v>41441</v>
      </c>
      <c r="B3235" t="b">
        <v>0</v>
      </c>
      <c r="C3235" t="b">
        <v>0</v>
      </c>
      <c r="D3235" s="3">
        <v>1944</v>
      </c>
      <c r="E3235" s="3">
        <v>1944</v>
      </c>
      <c r="F3235" t="s">
        <v>7693</v>
      </c>
      <c r="G3235" t="s">
        <v>7</v>
      </c>
      <c r="H3235" s="3">
        <v>20.5306</v>
      </c>
      <c r="I3235" t="s">
        <v>915</v>
      </c>
      <c r="J3235" t="s">
        <v>11546</v>
      </c>
      <c r="L3235" t="s">
        <v>7694</v>
      </c>
      <c r="M3235" t="str">
        <f>"https://www.artic.edu/iiif/2/"&amp;Table9[[#This Row],[Image ID]]&amp;"/full/843,/0/default.jpg"</f>
        <v>https://www.artic.edu/iiif/2/277a3134-d98a-3c5f-488d-4c92ef6fdd9a/full/843,/0/default.jpg</v>
      </c>
      <c r="N3235" s="3">
        <v>0.57499999999999996</v>
      </c>
      <c r="O3235" s="3">
        <v>4.9000000000000002E-2</v>
      </c>
      <c r="P3235" s="3">
        <v>0.52599999999999991</v>
      </c>
      <c r="Q3235" s="3">
        <v>0.76989793777465798</v>
      </c>
    </row>
    <row r="3236" spans="1:17" x14ac:dyDescent="0.45">
      <c r="A3236" s="3">
        <v>9524</v>
      </c>
      <c r="B3236" t="b">
        <v>0</v>
      </c>
      <c r="C3236" t="b">
        <v>0</v>
      </c>
      <c r="D3236" s="3">
        <v>1958</v>
      </c>
      <c r="E3236" s="3">
        <v>1958</v>
      </c>
      <c r="F3236" t="s">
        <v>10759</v>
      </c>
      <c r="G3236" t="s">
        <v>7</v>
      </c>
      <c r="H3236" s="3">
        <v>41.575499999999998</v>
      </c>
      <c r="I3236" t="s">
        <v>838</v>
      </c>
      <c r="J3236" t="s">
        <v>13500</v>
      </c>
      <c r="L3236" t="s">
        <v>10760</v>
      </c>
      <c r="M3236" t="str">
        <f>"https://www.artic.edu/iiif/2/"&amp;Table9[[#This Row],[Image ID]]&amp;"/full/843,/0/default.jpg"</f>
        <v>https://www.artic.edu/iiif/2/b408d0fa-d8b9-5e8d-8918-281f27c621f4/full/843,/0/default.jpg</v>
      </c>
      <c r="N3236" s="3">
        <v>0.57499999999999996</v>
      </c>
      <c r="O3236" s="3">
        <v>4.9000000000000002E-2</v>
      </c>
      <c r="P3236" s="3">
        <v>0.52599999999999991</v>
      </c>
      <c r="Q3236" s="3">
        <v>0.74883329868316595</v>
      </c>
    </row>
    <row r="3237" spans="1:17" x14ac:dyDescent="0.45">
      <c r="A3237" s="3">
        <v>115756</v>
      </c>
      <c r="B3237" t="b">
        <v>0</v>
      </c>
      <c r="C3237" t="b">
        <v>1</v>
      </c>
      <c r="D3237" s="3">
        <v>1820</v>
      </c>
      <c r="E3237" s="3">
        <v>1830</v>
      </c>
      <c r="F3237" t="s">
        <v>2087</v>
      </c>
      <c r="G3237" t="s">
        <v>2088</v>
      </c>
      <c r="H3237" s="3">
        <v>13.3653</v>
      </c>
      <c r="I3237" t="s">
        <v>2089</v>
      </c>
      <c r="J3237" t="s">
        <v>11011</v>
      </c>
      <c r="L3237" t="s">
        <v>2090</v>
      </c>
      <c r="M3237" t="str">
        <f>"https://www.artic.edu/iiif/2/"&amp;Table9[[#This Row],[Image ID]]&amp;"/full/843,/0/default.jpg"</f>
        <v>https://www.artic.edu/iiif/2/02e60e1c-c652-21c8-f4fd-57b6ed35b94d/full/843,/0/default.jpg</v>
      </c>
      <c r="N3237" s="3">
        <v>0.65</v>
      </c>
      <c r="O3237" s="3">
        <v>0.125</v>
      </c>
      <c r="P3237" s="3">
        <v>0.52500000000000002</v>
      </c>
      <c r="Q3237" s="3">
        <v>0.78560751676559404</v>
      </c>
    </row>
    <row r="3238" spans="1:17" x14ac:dyDescent="0.45">
      <c r="A3238" s="3">
        <v>2166</v>
      </c>
      <c r="B3238" t="b">
        <v>0</v>
      </c>
      <c r="C3238" t="b">
        <v>1</v>
      </c>
      <c r="D3238" s="3">
        <v>1681</v>
      </c>
      <c r="E3238" s="3">
        <v>1691</v>
      </c>
      <c r="F3238" t="s">
        <v>5652</v>
      </c>
      <c r="G3238" t="s">
        <v>7</v>
      </c>
      <c r="H3238" s="3">
        <v>45.518900000000002</v>
      </c>
      <c r="I3238" t="s">
        <v>1298</v>
      </c>
      <c r="J3238" t="s">
        <v>11125</v>
      </c>
      <c r="L3238" t="s">
        <v>5653</v>
      </c>
      <c r="M3238" t="str">
        <f>"https://www.artic.edu/iiif/2/"&amp;Table9[[#This Row],[Image ID]]&amp;"/full/843,/0/default.jpg"</f>
        <v>https://www.artic.edu/iiif/2/0b0b5c15-0633-376b-278e-2660f09b582a/full/843,/0/default.jpg</v>
      </c>
      <c r="N3238" s="3">
        <v>0.67500000000000004</v>
      </c>
      <c r="O3238" s="3">
        <v>0.15</v>
      </c>
      <c r="P3238" s="3">
        <v>0.52500000000000002</v>
      </c>
      <c r="Q3238" s="3">
        <v>0.65443783998489302</v>
      </c>
    </row>
    <row r="3239" spans="1:17" x14ac:dyDescent="0.45">
      <c r="A3239" s="3">
        <v>111730</v>
      </c>
      <c r="B3239" t="b">
        <v>0</v>
      </c>
      <c r="C3239" t="b">
        <v>1</v>
      </c>
      <c r="D3239" s="3">
        <v>1845</v>
      </c>
      <c r="E3239" s="3">
        <v>1855</v>
      </c>
      <c r="F3239" t="s">
        <v>1246</v>
      </c>
      <c r="G3239" t="s">
        <v>7</v>
      </c>
      <c r="H3239" s="3">
        <v>23.3811</v>
      </c>
      <c r="I3239" t="s">
        <v>1247</v>
      </c>
      <c r="J3239" t="s">
        <v>11271</v>
      </c>
      <c r="K3239" s="5" t="s">
        <v>1248</v>
      </c>
      <c r="L3239" t="s">
        <v>1249</v>
      </c>
      <c r="M3239" t="str">
        <f>"https://www.artic.edu/iiif/2/"&amp;Table9[[#This Row],[Image ID]]&amp;"/full/843,/0/default.jpg"</f>
        <v>https://www.artic.edu/iiif/2/15e80e01-422d-ca0a-f773-01aff4052565/full/843,/0/default.jpg</v>
      </c>
      <c r="N3239" s="3">
        <v>0.6</v>
      </c>
      <c r="O3239" s="3">
        <v>7.4999999999999997E-2</v>
      </c>
      <c r="P3239" s="3">
        <v>0.52500000000000002</v>
      </c>
      <c r="Q3239" s="3">
        <v>0.66510659456252996</v>
      </c>
    </row>
    <row r="3240" spans="1:17" x14ac:dyDescent="0.45">
      <c r="A3240" s="3">
        <v>21735</v>
      </c>
      <c r="B3240" t="b">
        <v>0</v>
      </c>
      <c r="C3240" t="b">
        <v>1</v>
      </c>
      <c r="D3240" s="3">
        <v>1776</v>
      </c>
      <c r="E3240" s="3">
        <v>1827</v>
      </c>
      <c r="F3240" t="s">
        <v>5211</v>
      </c>
      <c r="G3240" t="s">
        <v>5676</v>
      </c>
      <c r="H3240" s="3">
        <v>36.369300000000003</v>
      </c>
      <c r="I3240" t="s">
        <v>1266</v>
      </c>
      <c r="J3240" t="s">
        <v>11402</v>
      </c>
      <c r="L3240" t="s">
        <v>5677</v>
      </c>
      <c r="M3240" t="str">
        <f>"https://www.artic.edu/iiif/2/"&amp;Table9[[#This Row],[Image ID]]&amp;"/full/843,/0/default.jpg"</f>
        <v>https://www.artic.edu/iiif/2/1eb334a4-a948-58e4-62ab-ad2b7ee1ae56/full/843,/0/default.jpg</v>
      </c>
      <c r="N3240" s="3">
        <v>0.75</v>
      </c>
      <c r="O3240" s="3">
        <v>0.22500000000000001</v>
      </c>
      <c r="P3240" s="3">
        <v>0.52500000000000002</v>
      </c>
      <c r="Q3240" s="3">
        <v>0.71457141637802102</v>
      </c>
    </row>
    <row r="3241" spans="1:17" x14ac:dyDescent="0.45">
      <c r="A3241" s="3">
        <v>16389</v>
      </c>
      <c r="B3241" t="b">
        <v>0</v>
      </c>
      <c r="C3241" t="b">
        <v>1</v>
      </c>
      <c r="D3241" s="3">
        <v>1695</v>
      </c>
      <c r="E3241" s="3">
        <v>1730</v>
      </c>
      <c r="F3241" t="s">
        <v>4406</v>
      </c>
      <c r="G3241" t="s">
        <v>7</v>
      </c>
      <c r="H3241" s="3">
        <v>0</v>
      </c>
      <c r="I3241" t="s">
        <v>1316</v>
      </c>
      <c r="J3241" t="s">
        <v>11488</v>
      </c>
      <c r="L3241" t="s">
        <v>4407</v>
      </c>
      <c r="M3241" t="str">
        <f>"https://www.artic.edu/iiif/2/"&amp;Table9[[#This Row],[Image ID]]&amp;"/full/843,/0/default.jpg"</f>
        <v>https://www.artic.edu/iiif/2/2432b014-7b1e-7d53-2c0c-62228344a14d/full/843,/0/default.jpg</v>
      </c>
      <c r="N3241" s="3">
        <v>0.75</v>
      </c>
      <c r="O3241" s="3">
        <v>0.22500000000000001</v>
      </c>
      <c r="P3241" s="3">
        <v>0.52500000000000002</v>
      </c>
      <c r="Q3241" s="3">
        <v>0.620250403881073</v>
      </c>
    </row>
    <row r="3242" spans="1:17" x14ac:dyDescent="0.45">
      <c r="A3242" s="3">
        <v>28853</v>
      </c>
      <c r="B3242" t="b">
        <v>0</v>
      </c>
      <c r="C3242" t="b">
        <v>1</v>
      </c>
      <c r="D3242" s="3">
        <v>1855</v>
      </c>
      <c r="E3242" s="3">
        <v>1865</v>
      </c>
      <c r="F3242" t="s">
        <v>6826</v>
      </c>
      <c r="G3242" t="s">
        <v>250</v>
      </c>
      <c r="H3242" s="3">
        <v>24.8034</v>
      </c>
      <c r="I3242" t="s">
        <v>14669</v>
      </c>
      <c r="J3242" t="s">
        <v>11497</v>
      </c>
      <c r="L3242" t="s">
        <v>6827</v>
      </c>
      <c r="M3242" t="str">
        <f>"https://www.artic.edu/iiif/2/"&amp;Table9[[#This Row],[Image ID]]&amp;"/full/843,/0/default.jpg"</f>
        <v>https://www.artic.edu/iiif/2/24f5a9ff-fe25-e1be-65f5-d65f2d509ad4/full/843,/0/default.jpg</v>
      </c>
      <c r="N3242" s="3">
        <v>0.625</v>
      </c>
      <c r="O3242" s="3">
        <v>0.1</v>
      </c>
      <c r="P3242" s="3">
        <v>0.52500000000000002</v>
      </c>
      <c r="Q3242" s="3">
        <v>0.71879196166992099</v>
      </c>
    </row>
    <row r="3243" spans="1:17" x14ac:dyDescent="0.45">
      <c r="A3243" s="3">
        <v>185185</v>
      </c>
      <c r="B3243" t="b">
        <v>0</v>
      </c>
      <c r="C3243" t="b">
        <v>1</v>
      </c>
      <c r="D3243" s="3">
        <v>1835</v>
      </c>
      <c r="E3243" s="3">
        <v>1835</v>
      </c>
      <c r="F3243" t="s">
        <v>4970</v>
      </c>
      <c r="G3243" t="s">
        <v>4971</v>
      </c>
      <c r="H3243" s="3">
        <v>26.849900000000002</v>
      </c>
      <c r="I3243" t="s">
        <v>2612</v>
      </c>
      <c r="J3243" t="s">
        <v>11564</v>
      </c>
      <c r="L3243" t="s">
        <v>4972</v>
      </c>
      <c r="M3243" t="str">
        <f>"https://www.artic.edu/iiif/2/"&amp;Table9[[#This Row],[Image ID]]&amp;"/full/843,/0/default.jpg"</f>
        <v>https://www.artic.edu/iiif/2/28a7765b-fc38-1a56-87dd-cbcdb647fcdb/full/843,/0/default.jpg</v>
      </c>
      <c r="N3243" s="3">
        <v>0.65</v>
      </c>
      <c r="O3243" s="3">
        <v>0.125</v>
      </c>
      <c r="P3243" s="3">
        <v>0.52500000000000002</v>
      </c>
      <c r="Q3243" s="3">
        <v>0.45652458071708601</v>
      </c>
    </row>
    <row r="3244" spans="1:17" x14ac:dyDescent="0.45">
      <c r="A3244" s="3">
        <v>3546</v>
      </c>
      <c r="B3244" t="b">
        <v>0</v>
      </c>
      <c r="C3244" t="b">
        <v>1</v>
      </c>
      <c r="D3244" s="3">
        <v>1868</v>
      </c>
      <c r="E3244" s="3">
        <v>1868</v>
      </c>
      <c r="F3244" t="s">
        <v>7194</v>
      </c>
      <c r="G3244" t="s">
        <v>7</v>
      </c>
      <c r="H3244" s="3">
        <v>17.854800000000001</v>
      </c>
      <c r="I3244" t="s">
        <v>3971</v>
      </c>
      <c r="J3244" t="s">
        <v>11587</v>
      </c>
      <c r="K3244" s="5" t="s">
        <v>284</v>
      </c>
      <c r="L3244" t="s">
        <v>7195</v>
      </c>
      <c r="M3244" t="str">
        <f>"https://www.artic.edu/iiif/2/"&amp;Table9[[#This Row],[Image ID]]&amp;"/full/843,/0/default.jpg"</f>
        <v>https://www.artic.edu/iiif/2/2a2163db-9351-018a-0d65-47be9c84dce8/full/843,/0/default.jpg</v>
      </c>
      <c r="N3244" s="3">
        <v>0.625</v>
      </c>
      <c r="O3244" s="3">
        <v>0.1</v>
      </c>
      <c r="P3244" s="3">
        <v>0.52500000000000002</v>
      </c>
      <c r="Q3244" s="3">
        <v>0.44866842031478799</v>
      </c>
    </row>
    <row r="3245" spans="1:17" x14ac:dyDescent="0.45">
      <c r="A3245" s="3">
        <v>104106</v>
      </c>
      <c r="B3245" t="b">
        <v>0</v>
      </c>
      <c r="C3245" t="b">
        <v>1</v>
      </c>
      <c r="D3245" s="3">
        <v>1885</v>
      </c>
      <c r="E3245" s="3">
        <v>1895</v>
      </c>
      <c r="F3245" t="s">
        <v>352</v>
      </c>
      <c r="G3245" t="s">
        <v>75</v>
      </c>
      <c r="H3245" s="3">
        <v>42.58</v>
      </c>
      <c r="I3245" t="s">
        <v>14670</v>
      </c>
      <c r="J3245" t="s">
        <v>11611</v>
      </c>
      <c r="L3245" t="s">
        <v>353</v>
      </c>
      <c r="M3245" t="str">
        <f>"https://www.artic.edu/iiif/2/"&amp;Table9[[#This Row],[Image ID]]&amp;"/full/843,/0/default.jpg"</f>
        <v>https://www.artic.edu/iiif/2/2b70372d-bad1-edda-8169-f6478f73a5e1/full/843,/0/default.jpg</v>
      </c>
      <c r="N3245" s="3">
        <v>0.625</v>
      </c>
      <c r="O3245" s="3">
        <v>0.1</v>
      </c>
      <c r="P3245" s="3">
        <v>0.52500000000000002</v>
      </c>
      <c r="Q3245" s="3">
        <v>0.75187909603118896</v>
      </c>
    </row>
    <row r="3246" spans="1:17" x14ac:dyDescent="0.45">
      <c r="A3246" s="3">
        <v>114488</v>
      </c>
      <c r="B3246" t="b">
        <v>0</v>
      </c>
      <c r="C3246" t="b">
        <v>1</v>
      </c>
      <c r="D3246" s="3">
        <v>1740</v>
      </c>
      <c r="E3246" s="3">
        <v>1850</v>
      </c>
      <c r="F3246" t="s">
        <v>1659</v>
      </c>
      <c r="G3246" t="s">
        <v>1660</v>
      </c>
      <c r="H3246" s="3">
        <v>18.752099999999999</v>
      </c>
      <c r="I3246" t="s">
        <v>1661</v>
      </c>
      <c r="J3246" t="s">
        <v>11641</v>
      </c>
      <c r="L3246" t="s">
        <v>1662</v>
      </c>
      <c r="M3246" t="str">
        <f>"https://www.artic.edu/iiif/2/"&amp;Table9[[#This Row],[Image ID]]&amp;"/full/843,/0/default.jpg"</f>
        <v>https://www.artic.edu/iiif/2/2e0b3ef3-5917-cce9-babc-62a6bdaa61e5/full/843,/0/default.jpg</v>
      </c>
      <c r="N3246" s="3">
        <v>0.67500000000000004</v>
      </c>
      <c r="O3246" s="3">
        <v>0.15</v>
      </c>
      <c r="P3246" s="3">
        <v>0.52500000000000002</v>
      </c>
      <c r="Q3246" s="3">
        <v>0.555134117603302</v>
      </c>
    </row>
    <row r="3247" spans="1:17" x14ac:dyDescent="0.45">
      <c r="A3247" s="3">
        <v>117533</v>
      </c>
      <c r="B3247" t="b">
        <v>0</v>
      </c>
      <c r="C3247" t="b">
        <v>1</v>
      </c>
      <c r="D3247" s="3">
        <v>1800</v>
      </c>
      <c r="E3247" s="3">
        <v>1860</v>
      </c>
      <c r="F3247" t="s">
        <v>2354</v>
      </c>
      <c r="G3247" t="s">
        <v>635</v>
      </c>
      <c r="H3247" s="3">
        <v>27.383099999999999</v>
      </c>
      <c r="I3247" t="s">
        <v>2037</v>
      </c>
      <c r="J3247" t="s">
        <v>11650</v>
      </c>
      <c r="L3247" t="s">
        <v>2355</v>
      </c>
      <c r="M3247" t="str">
        <f>"https://www.artic.edu/iiif/2/"&amp;Table9[[#This Row],[Image ID]]&amp;"/full/843,/0/default.jpg"</f>
        <v>https://www.artic.edu/iiif/2/2e79603c-680b-0924-2902-5b78ed1fdaec/full/843,/0/default.jpg</v>
      </c>
      <c r="N3247" s="3">
        <v>0.6</v>
      </c>
      <c r="O3247" s="3">
        <v>7.4999999999999997E-2</v>
      </c>
      <c r="P3247" s="3">
        <v>0.52500000000000002</v>
      </c>
      <c r="Q3247" s="3">
        <v>0.68873345851898105</v>
      </c>
    </row>
    <row r="3248" spans="1:17" x14ac:dyDescent="0.45">
      <c r="A3248" s="3">
        <v>29009</v>
      </c>
      <c r="B3248" t="b">
        <v>0</v>
      </c>
      <c r="C3248" t="b">
        <v>1</v>
      </c>
      <c r="D3248" s="3">
        <v>1800</v>
      </c>
      <c r="E3248" s="3">
        <v>1900</v>
      </c>
      <c r="F3248" t="s">
        <v>6858</v>
      </c>
      <c r="G3248" t="s">
        <v>75</v>
      </c>
      <c r="H3248" s="3">
        <v>41.528799999999997</v>
      </c>
      <c r="I3248" t="s">
        <v>3385</v>
      </c>
      <c r="J3248" t="s">
        <v>11877</v>
      </c>
      <c r="L3248" t="s">
        <v>6859</v>
      </c>
      <c r="M3248" t="str">
        <f>"https://www.artic.edu/iiif/2/"&amp;Table9[[#This Row],[Image ID]]&amp;"/full/843,/0/default.jpg"</f>
        <v>https://www.artic.edu/iiif/2/3d73a66a-3cf3-64e0-b98b-e8d7ab1d7f3d/full/843,/0/default.jpg</v>
      </c>
      <c r="N3248" s="3">
        <v>0.6</v>
      </c>
      <c r="O3248" s="3">
        <v>7.4999999999999997E-2</v>
      </c>
      <c r="P3248" s="3">
        <v>0.52500000000000002</v>
      </c>
      <c r="Q3248" s="3">
        <v>0.76404303312301602</v>
      </c>
    </row>
    <row r="3249" spans="1:17" x14ac:dyDescent="0.45">
      <c r="A3249" s="3">
        <v>28143</v>
      </c>
      <c r="B3249" t="b">
        <v>0</v>
      </c>
      <c r="C3249" t="b">
        <v>1</v>
      </c>
      <c r="D3249" s="3">
        <v>1760</v>
      </c>
      <c r="E3249" s="3">
        <v>1800</v>
      </c>
      <c r="F3249" t="s">
        <v>6788</v>
      </c>
      <c r="G3249" t="s">
        <v>7</v>
      </c>
      <c r="H3249" s="3">
        <v>0</v>
      </c>
      <c r="J3249" t="s">
        <v>11913</v>
      </c>
      <c r="L3249" t="s">
        <v>6789</v>
      </c>
      <c r="M3249" t="str">
        <f>"https://www.artic.edu/iiif/2/"&amp;Table9[[#This Row],[Image ID]]&amp;"/full/843,/0/default.jpg"</f>
        <v>https://www.artic.edu/iiif/2/3fa36102-97ed-7065-d072-ce0b15a9a2f1/full/843,/0/default.jpg</v>
      </c>
      <c r="N3249" s="3">
        <v>0.67500000000000004</v>
      </c>
      <c r="O3249" s="3">
        <v>0.15</v>
      </c>
      <c r="P3249" s="3">
        <v>0.52500000000000002</v>
      </c>
      <c r="Q3249" s="3">
        <v>0.64725917577743497</v>
      </c>
    </row>
    <row r="3250" spans="1:17" x14ac:dyDescent="0.45">
      <c r="A3250" s="3">
        <v>61716</v>
      </c>
      <c r="B3250" t="b">
        <v>0</v>
      </c>
      <c r="C3250" t="b">
        <v>1</v>
      </c>
      <c r="D3250" s="3">
        <v>1879</v>
      </c>
      <c r="E3250" s="3">
        <v>1881</v>
      </c>
      <c r="F3250" t="s">
        <v>8835</v>
      </c>
      <c r="G3250" t="s">
        <v>8836</v>
      </c>
      <c r="H3250" s="3">
        <v>17.783100000000001</v>
      </c>
      <c r="I3250" t="s">
        <v>259</v>
      </c>
      <c r="J3250" t="s">
        <v>11953</v>
      </c>
      <c r="L3250" t="s">
        <v>8837</v>
      </c>
      <c r="M3250" t="str">
        <f>"https://www.artic.edu/iiif/2/"&amp;Table9[[#This Row],[Image ID]]&amp;"/full/843,/0/default.jpg"</f>
        <v>https://www.artic.edu/iiif/2/42462a70-3018-4f76-aa2e-dbc593e82bdd/full/843,/0/default.jpg</v>
      </c>
      <c r="N3250" s="3">
        <v>0.65</v>
      </c>
      <c r="O3250" s="3">
        <v>0.125</v>
      </c>
      <c r="P3250" s="3">
        <v>0.52500000000000002</v>
      </c>
      <c r="Q3250" s="3">
        <v>0.65935134887695301</v>
      </c>
    </row>
    <row r="3251" spans="1:17" x14ac:dyDescent="0.45">
      <c r="A3251" s="3">
        <v>66605</v>
      </c>
      <c r="B3251" t="b">
        <v>0</v>
      </c>
      <c r="C3251" t="b">
        <v>1</v>
      </c>
      <c r="D3251" s="3">
        <v>1872</v>
      </c>
      <c r="E3251" s="3">
        <v>1886</v>
      </c>
      <c r="F3251" t="s">
        <v>9315</v>
      </c>
      <c r="G3251" t="s">
        <v>9316</v>
      </c>
      <c r="H3251" s="3">
        <v>39.265700000000002</v>
      </c>
      <c r="I3251" t="s">
        <v>7716</v>
      </c>
      <c r="J3251" t="s">
        <v>11955</v>
      </c>
      <c r="L3251" t="s">
        <v>9317</v>
      </c>
      <c r="M3251" t="str">
        <f>"https://www.artic.edu/iiif/2/"&amp;Table9[[#This Row],[Image ID]]&amp;"/full/843,/0/default.jpg"</f>
        <v>https://www.artic.edu/iiif/2/426d863d-b468-be12-5d44-8544e9efa0de/full/843,/0/default.jpg</v>
      </c>
      <c r="N3251" s="3">
        <v>0.65</v>
      </c>
      <c r="O3251" s="3">
        <v>0.125</v>
      </c>
      <c r="P3251" s="3">
        <v>0.52500000000000002</v>
      </c>
      <c r="Q3251" s="3">
        <v>0.69353336095809903</v>
      </c>
    </row>
    <row r="3252" spans="1:17" x14ac:dyDescent="0.45">
      <c r="A3252" s="3">
        <v>149018</v>
      </c>
      <c r="B3252" t="b">
        <v>0</v>
      </c>
      <c r="C3252" t="b">
        <v>1</v>
      </c>
      <c r="D3252" s="3">
        <v>1430</v>
      </c>
      <c r="E3252" s="3">
        <v>1440</v>
      </c>
      <c r="F3252" t="s">
        <v>3738</v>
      </c>
      <c r="G3252" t="s">
        <v>3739</v>
      </c>
      <c r="H3252" s="3">
        <v>54.769300000000001</v>
      </c>
      <c r="I3252" t="s">
        <v>3740</v>
      </c>
      <c r="J3252" t="s">
        <v>11983</v>
      </c>
      <c r="K3252" s="5" t="s">
        <v>278</v>
      </c>
      <c r="L3252" t="s">
        <v>3741</v>
      </c>
      <c r="M3252" t="str">
        <f>"https://www.artic.edu/iiif/2/"&amp;Table9[[#This Row],[Image ID]]&amp;"/full/843,/0/default.jpg"</f>
        <v>https://www.artic.edu/iiif/2/441fb550-8195-a00e-b1a0-44a66100e31b/full/843,/0/default.jpg</v>
      </c>
      <c r="N3252" s="3">
        <v>0.625</v>
      </c>
      <c r="O3252" s="3">
        <v>0.1</v>
      </c>
      <c r="P3252" s="3">
        <v>0.52500000000000002</v>
      </c>
      <c r="Q3252" s="3">
        <v>0.70442700386047297</v>
      </c>
    </row>
    <row r="3253" spans="1:17" x14ac:dyDescent="0.45">
      <c r="A3253" s="3">
        <v>74180</v>
      </c>
      <c r="B3253" t="b">
        <v>0</v>
      </c>
      <c r="C3253" t="b">
        <v>1</v>
      </c>
      <c r="D3253" s="3">
        <v>1715</v>
      </c>
      <c r="E3253" s="3">
        <v>1725</v>
      </c>
      <c r="F3253" t="s">
        <v>9681</v>
      </c>
      <c r="G3253" t="s">
        <v>9682</v>
      </c>
      <c r="H3253" s="3">
        <v>25.363600000000002</v>
      </c>
      <c r="I3253" t="s">
        <v>9683</v>
      </c>
      <c r="J3253" t="s">
        <v>12030</v>
      </c>
      <c r="L3253" t="s">
        <v>9684</v>
      </c>
      <c r="M3253" t="str">
        <f>"https://www.artic.edu/iiif/2/"&amp;Table9[[#This Row],[Image ID]]&amp;"/full/843,/0/default.jpg"</f>
        <v>https://www.artic.edu/iiif/2/47e54490-4761-aeb5-958c-2234aeb2da24/full/843,/0/default.jpg</v>
      </c>
      <c r="N3253" s="3">
        <v>0.6</v>
      </c>
      <c r="O3253" s="3">
        <v>7.4999999999999997E-2</v>
      </c>
      <c r="P3253" s="3">
        <v>0.52500000000000002</v>
      </c>
      <c r="Q3253" s="3">
        <v>0.51464593410491899</v>
      </c>
    </row>
    <row r="3254" spans="1:17" x14ac:dyDescent="0.45">
      <c r="A3254" s="3">
        <v>38937</v>
      </c>
      <c r="B3254" t="b">
        <v>0</v>
      </c>
      <c r="C3254" t="b">
        <v>1</v>
      </c>
      <c r="D3254" s="3">
        <v>1776</v>
      </c>
      <c r="E3254" s="3">
        <v>1827</v>
      </c>
      <c r="F3254" t="s">
        <v>7333</v>
      </c>
      <c r="G3254" t="s">
        <v>5745</v>
      </c>
      <c r="H3254" s="3">
        <v>24.5306</v>
      </c>
      <c r="I3254" t="s">
        <v>1266</v>
      </c>
      <c r="J3254" t="s">
        <v>12066</v>
      </c>
      <c r="L3254" t="s">
        <v>7334</v>
      </c>
      <c r="M3254" t="str">
        <f>"https://www.artic.edu/iiif/2/"&amp;Table9[[#This Row],[Image ID]]&amp;"/full/843,/0/default.jpg"</f>
        <v>https://www.artic.edu/iiif/2/4adfeed0-fa08-cc25-0dd2-f22e2323cf66/full/843,/0/default.jpg</v>
      </c>
      <c r="N3254" s="3">
        <v>0.77500000000000002</v>
      </c>
      <c r="O3254" s="3">
        <v>0.25</v>
      </c>
      <c r="P3254" s="3">
        <v>0.52500000000000002</v>
      </c>
      <c r="Q3254" s="3">
        <v>0.69773787260055498</v>
      </c>
    </row>
    <row r="3255" spans="1:17" x14ac:dyDescent="0.45">
      <c r="A3255" s="3">
        <v>79053</v>
      </c>
      <c r="B3255" t="b">
        <v>0</v>
      </c>
      <c r="C3255" t="b">
        <v>1</v>
      </c>
      <c r="D3255" s="3">
        <v>1800</v>
      </c>
      <c r="E3255" s="3">
        <v>1899</v>
      </c>
      <c r="F3255" t="s">
        <v>9883</v>
      </c>
      <c r="G3255" t="s">
        <v>9884</v>
      </c>
      <c r="H3255" s="3">
        <v>33.0717</v>
      </c>
      <c r="I3255" t="s">
        <v>16</v>
      </c>
      <c r="J3255" t="s">
        <v>12156</v>
      </c>
      <c r="L3255" t="s">
        <v>9885</v>
      </c>
      <c r="M3255" t="str">
        <f>"https://www.artic.edu/iiif/2/"&amp;Table9[[#This Row],[Image ID]]&amp;"/full/843,/0/default.jpg"</f>
        <v>https://www.artic.edu/iiif/2/515687bd-c9c1-8bbb-a731-0fa278c0a985/full/843,/0/default.jpg</v>
      </c>
      <c r="N3255" s="3">
        <v>0.625</v>
      </c>
      <c r="O3255" s="3">
        <v>0.1</v>
      </c>
      <c r="P3255" s="3">
        <v>0.52500000000000002</v>
      </c>
      <c r="Q3255" s="3">
        <v>0.68103003501892001</v>
      </c>
    </row>
    <row r="3256" spans="1:17" x14ac:dyDescent="0.45">
      <c r="A3256" s="3">
        <v>39554</v>
      </c>
      <c r="B3256" t="b">
        <v>0</v>
      </c>
      <c r="C3256" t="b">
        <v>1</v>
      </c>
      <c r="D3256" s="3">
        <v>1874</v>
      </c>
      <c r="E3256" s="3">
        <v>1874</v>
      </c>
      <c r="F3256" t="s">
        <v>7583</v>
      </c>
      <c r="G3256" t="s">
        <v>7</v>
      </c>
      <c r="H3256" s="3">
        <v>24.566600000000001</v>
      </c>
      <c r="I3256" t="s">
        <v>3971</v>
      </c>
      <c r="J3256" t="s">
        <v>12213</v>
      </c>
      <c r="L3256" t="s">
        <v>7584</v>
      </c>
      <c r="M3256" t="str">
        <f>"https://www.artic.edu/iiif/2/"&amp;Table9[[#This Row],[Image ID]]&amp;"/full/843,/0/default.jpg"</f>
        <v>https://www.artic.edu/iiif/2/54b7fd5e-3467-f777-45e7-0719400ecfc0/full/843,/0/default.jpg</v>
      </c>
      <c r="N3256" s="3">
        <v>0.6</v>
      </c>
      <c r="O3256" s="3">
        <v>7.4999999999999997E-2</v>
      </c>
      <c r="P3256" s="3">
        <v>0.52500000000000002</v>
      </c>
      <c r="Q3256" s="3">
        <v>0.41361758112907399</v>
      </c>
    </row>
    <row r="3257" spans="1:17" x14ac:dyDescent="0.45">
      <c r="A3257" s="3">
        <v>495</v>
      </c>
      <c r="B3257" t="b">
        <v>0</v>
      </c>
      <c r="C3257" t="b">
        <v>1</v>
      </c>
      <c r="D3257" s="3">
        <v>1625</v>
      </c>
      <c r="E3257" s="3">
        <v>1675</v>
      </c>
      <c r="F3257" t="s">
        <v>8058</v>
      </c>
      <c r="G3257" t="s">
        <v>6375</v>
      </c>
      <c r="H3257" s="3">
        <v>25.736499999999999</v>
      </c>
      <c r="I3257" t="s">
        <v>3843</v>
      </c>
      <c r="J3257" t="s">
        <v>12293</v>
      </c>
      <c r="L3257" t="s">
        <v>8059</v>
      </c>
      <c r="M3257" t="str">
        <f>"https://www.artic.edu/iiif/2/"&amp;Table9[[#This Row],[Image ID]]&amp;"/full/843,/0/default.jpg"</f>
        <v>https://www.artic.edu/iiif/2/5a47a0b8-d21b-b5ae-c8f2-3b99476e6e75/full/843,/0/default.jpg</v>
      </c>
      <c r="N3257" s="3">
        <v>0.55000000000000004</v>
      </c>
      <c r="O3257" s="3">
        <v>2.5000000000000001E-2</v>
      </c>
      <c r="P3257" s="3">
        <v>0.52500000000000002</v>
      </c>
      <c r="Q3257" s="3">
        <v>0.58014595508575395</v>
      </c>
    </row>
    <row r="3258" spans="1:17" x14ac:dyDescent="0.45">
      <c r="A3258" s="3">
        <v>16733</v>
      </c>
      <c r="B3258" t="b">
        <v>0</v>
      </c>
      <c r="C3258" t="b">
        <v>1</v>
      </c>
      <c r="D3258" s="3">
        <v>1880</v>
      </c>
      <c r="E3258" s="3">
        <v>1890</v>
      </c>
      <c r="F3258" t="s">
        <v>4546</v>
      </c>
      <c r="G3258" t="s">
        <v>2222</v>
      </c>
      <c r="H3258" s="3">
        <v>32.817999999999998</v>
      </c>
      <c r="I3258" t="s">
        <v>14591</v>
      </c>
      <c r="J3258" t="s">
        <v>12352</v>
      </c>
      <c r="L3258" t="s">
        <v>4547</v>
      </c>
      <c r="M3258" t="str">
        <f>"https://www.artic.edu/iiif/2/"&amp;Table9[[#This Row],[Image ID]]&amp;"/full/843,/0/default.jpg"</f>
        <v>https://www.artic.edu/iiif/2/5e3d20e5-fdae-6ac8-f372-9c62eaf9d725/full/843,/0/default.jpg</v>
      </c>
      <c r="N3258" s="3">
        <v>0.55000000000000004</v>
      </c>
      <c r="O3258" s="3">
        <v>2.5000000000000001E-2</v>
      </c>
      <c r="P3258" s="3">
        <v>0.52500000000000002</v>
      </c>
      <c r="Q3258" s="3">
        <v>0.63939517736434903</v>
      </c>
    </row>
    <row r="3259" spans="1:17" x14ac:dyDescent="0.45">
      <c r="A3259" s="3">
        <v>90333</v>
      </c>
      <c r="B3259" t="b">
        <v>0</v>
      </c>
      <c r="C3259" t="b">
        <v>1</v>
      </c>
      <c r="D3259" s="3">
        <v>1888</v>
      </c>
      <c r="E3259" s="3">
        <v>1888</v>
      </c>
      <c r="F3259" t="s">
        <v>10516</v>
      </c>
      <c r="G3259" t="s">
        <v>7</v>
      </c>
      <c r="H3259" s="3">
        <v>20.272400000000001</v>
      </c>
      <c r="I3259" t="s">
        <v>10517</v>
      </c>
      <c r="J3259" t="s">
        <v>12387</v>
      </c>
      <c r="K3259" s="5" t="s">
        <v>9</v>
      </c>
      <c r="L3259" t="s">
        <v>10518</v>
      </c>
      <c r="M3259" t="str">
        <f>"https://www.artic.edu/iiif/2/"&amp;Table9[[#This Row],[Image ID]]&amp;"/full/843,/0/default.jpg"</f>
        <v>https://www.artic.edu/iiif/2/607d4ff1-578f-79ee-9980-ed133c743e64/full/843,/0/default.jpg</v>
      </c>
      <c r="N3259" s="3">
        <v>0.52500000000000002</v>
      </c>
      <c r="O3259" s="3">
        <v>0</v>
      </c>
      <c r="P3259" s="3">
        <v>0.52500000000000002</v>
      </c>
      <c r="Q3259" s="3">
        <v>0.51685029268264704</v>
      </c>
    </row>
    <row r="3260" spans="1:17" x14ac:dyDescent="0.45">
      <c r="A3260" s="3">
        <v>39216</v>
      </c>
      <c r="B3260" t="b">
        <v>0</v>
      </c>
      <c r="C3260" t="b">
        <v>1</v>
      </c>
      <c r="D3260" s="3">
        <v>1835</v>
      </c>
      <c r="E3260" s="3">
        <v>1882</v>
      </c>
      <c r="F3260" t="s">
        <v>7512</v>
      </c>
      <c r="G3260" t="s">
        <v>7513</v>
      </c>
      <c r="H3260" s="3">
        <v>30.479600000000001</v>
      </c>
      <c r="I3260" t="s">
        <v>5317</v>
      </c>
      <c r="J3260" t="s">
        <v>12459</v>
      </c>
      <c r="L3260" t="s">
        <v>7514</v>
      </c>
      <c r="M3260" t="str">
        <f>"https://www.artic.edu/iiif/2/"&amp;Table9[[#This Row],[Image ID]]&amp;"/full/843,/0/default.jpg"</f>
        <v>https://www.artic.edu/iiif/2/658add8a-9651-5036-03d9-0248cc5605bc/full/843,/0/default.jpg</v>
      </c>
      <c r="N3260" s="3">
        <v>0.75</v>
      </c>
      <c r="O3260" s="3">
        <v>0.22500000000000001</v>
      </c>
      <c r="P3260" s="3">
        <v>0.52500000000000002</v>
      </c>
      <c r="Q3260" s="3">
        <v>0.67892938852310103</v>
      </c>
    </row>
    <row r="3261" spans="1:17" x14ac:dyDescent="0.45">
      <c r="A3261" s="3">
        <v>81500</v>
      </c>
      <c r="B3261" t="b">
        <v>0</v>
      </c>
      <c r="C3261" t="b">
        <v>1</v>
      </c>
      <c r="D3261" s="3">
        <v>1880</v>
      </c>
      <c r="E3261" s="3">
        <v>1890</v>
      </c>
      <c r="F3261" t="s">
        <v>10096</v>
      </c>
      <c r="G3261" t="s">
        <v>7</v>
      </c>
      <c r="H3261" s="3">
        <v>23.136600000000001</v>
      </c>
      <c r="I3261" t="s">
        <v>197</v>
      </c>
      <c r="J3261" t="s">
        <v>12556</v>
      </c>
      <c r="L3261" t="s">
        <v>10097</v>
      </c>
      <c r="M3261" t="str">
        <f>"https://www.artic.edu/iiif/2/"&amp;Table9[[#This Row],[Image ID]]&amp;"/full/843,/0/default.jpg"</f>
        <v>https://www.artic.edu/iiif/2/6c82c31d-c89d-6bf3-6517-7726897818ae/full/843,/0/default.jpg</v>
      </c>
      <c r="N3261" s="3">
        <v>0.625</v>
      </c>
      <c r="O3261" s="3">
        <v>0.1</v>
      </c>
      <c r="P3261" s="3">
        <v>0.52500000000000002</v>
      </c>
      <c r="Q3261" s="3">
        <v>0.60374909639358498</v>
      </c>
    </row>
    <row r="3262" spans="1:17" x14ac:dyDescent="0.45">
      <c r="A3262" s="3">
        <v>146272</v>
      </c>
      <c r="B3262" t="b">
        <v>0</v>
      </c>
      <c r="C3262" t="b">
        <v>1</v>
      </c>
      <c r="D3262" s="3">
        <v>1840</v>
      </c>
      <c r="E3262" s="3">
        <v>1840</v>
      </c>
      <c r="F3262" t="s">
        <v>3437</v>
      </c>
      <c r="G3262" t="s">
        <v>7</v>
      </c>
      <c r="H3262" s="3">
        <v>30.852699999999999</v>
      </c>
      <c r="I3262" t="s">
        <v>1157</v>
      </c>
      <c r="J3262" t="s">
        <v>12686</v>
      </c>
      <c r="L3262" t="s">
        <v>3438</v>
      </c>
      <c r="M3262" t="str">
        <f>"https://www.artic.edu/iiif/2/"&amp;Table9[[#This Row],[Image ID]]&amp;"/full/843,/0/default.jpg"</f>
        <v>https://www.artic.edu/iiif/2/7616bc53-7a4b-a7bb-0dac-131cf91aff80/full/843,/0/default.jpg</v>
      </c>
      <c r="N3262" s="3">
        <v>0.625</v>
      </c>
      <c r="O3262" s="3">
        <v>0.1</v>
      </c>
      <c r="P3262" s="3">
        <v>0.52500000000000002</v>
      </c>
      <c r="Q3262" s="3">
        <v>0.461289912462234</v>
      </c>
    </row>
    <row r="3263" spans="1:17" x14ac:dyDescent="0.45">
      <c r="A3263" s="3">
        <v>113066</v>
      </c>
      <c r="B3263" t="b">
        <v>0</v>
      </c>
      <c r="C3263" t="b">
        <v>1</v>
      </c>
      <c r="D3263" s="3">
        <v>1882</v>
      </c>
      <c r="E3263" s="3">
        <v>1882</v>
      </c>
      <c r="F3263" t="s">
        <v>1339</v>
      </c>
      <c r="G3263" t="s">
        <v>1340</v>
      </c>
      <c r="H3263" s="3">
        <v>23.507899999999999</v>
      </c>
      <c r="I3263" t="s">
        <v>1168</v>
      </c>
      <c r="J3263" t="s">
        <v>12818</v>
      </c>
      <c r="L3263" t="s">
        <v>1341</v>
      </c>
      <c r="M3263" t="str">
        <f>"https://www.artic.edu/iiif/2/"&amp;Table9[[#This Row],[Image ID]]&amp;"/full/843,/0/default.jpg"</f>
        <v>https://www.artic.edu/iiif/2/803c538e-1051-6210-3d6c-4e6d3f20d3df/full/843,/0/default.jpg</v>
      </c>
      <c r="N3263" s="3">
        <v>0.67500000000000004</v>
      </c>
      <c r="O3263" s="3">
        <v>0.15</v>
      </c>
      <c r="P3263" s="3">
        <v>0.52500000000000002</v>
      </c>
      <c r="Q3263" s="3">
        <v>0.65668201446533203</v>
      </c>
    </row>
    <row r="3264" spans="1:17" x14ac:dyDescent="0.45">
      <c r="A3264" s="3">
        <v>120102</v>
      </c>
      <c r="B3264" t="b">
        <v>0</v>
      </c>
      <c r="C3264" t="b">
        <v>1</v>
      </c>
      <c r="D3264" s="3">
        <v>1827</v>
      </c>
      <c r="E3264" s="3">
        <v>1830</v>
      </c>
      <c r="F3264" t="s">
        <v>2617</v>
      </c>
      <c r="G3264" t="s">
        <v>2618</v>
      </c>
      <c r="H3264" s="3">
        <v>38.090600000000002</v>
      </c>
      <c r="I3264" t="s">
        <v>2619</v>
      </c>
      <c r="J3264" t="s">
        <v>12992</v>
      </c>
      <c r="K3264" s="5" t="s">
        <v>125</v>
      </c>
      <c r="L3264" t="s">
        <v>2620</v>
      </c>
      <c r="M3264" t="str">
        <f>"https://www.artic.edu/iiif/2/"&amp;Table9[[#This Row],[Image ID]]&amp;"/full/843,/0/default.jpg"</f>
        <v>https://www.artic.edu/iiif/2/8ce83a09-9b09-0d08-ef30-93b6ba6439a2/full/843,/0/default.jpg</v>
      </c>
      <c r="N3264" s="3">
        <v>0.65</v>
      </c>
      <c r="O3264" s="3">
        <v>0.125</v>
      </c>
      <c r="P3264" s="3">
        <v>0.52500000000000002</v>
      </c>
      <c r="Q3264" s="3">
        <v>0.835926473140716</v>
      </c>
    </row>
    <row r="3265" spans="1:17" x14ac:dyDescent="0.45">
      <c r="A3265" s="3">
        <v>84092</v>
      </c>
      <c r="B3265" t="b">
        <v>0</v>
      </c>
      <c r="C3265" t="b">
        <v>1</v>
      </c>
      <c r="D3265" s="3">
        <v>1757</v>
      </c>
      <c r="E3265" s="3">
        <v>1760</v>
      </c>
      <c r="F3265" t="s">
        <v>10253</v>
      </c>
      <c r="G3265" t="s">
        <v>10254</v>
      </c>
      <c r="H3265" s="3">
        <v>52.465699999999998</v>
      </c>
      <c r="I3265" t="s">
        <v>1225</v>
      </c>
      <c r="J3265" t="s">
        <v>13147</v>
      </c>
      <c r="L3265" t="s">
        <v>10255</v>
      </c>
      <c r="M3265" t="str">
        <f>"https://www.artic.edu/iiif/2/"&amp;Table9[[#This Row],[Image ID]]&amp;"/full/843,/0/default.jpg"</f>
        <v>https://www.artic.edu/iiif/2/99c8eeea-f07a-af30-c79e-1da4d55243a3/full/843,/0/default.jpg</v>
      </c>
      <c r="N3265" s="3">
        <v>0.625</v>
      </c>
      <c r="O3265" s="3">
        <v>0.1</v>
      </c>
      <c r="P3265" s="3">
        <v>0.52500000000000002</v>
      </c>
      <c r="Q3265" s="3">
        <v>0.68399524688720703</v>
      </c>
    </row>
    <row r="3266" spans="1:17" x14ac:dyDescent="0.45">
      <c r="A3266" s="3">
        <v>39140</v>
      </c>
      <c r="B3266" t="b">
        <v>0</v>
      </c>
      <c r="C3266" t="b">
        <v>1</v>
      </c>
      <c r="D3266" s="3">
        <v>1850</v>
      </c>
      <c r="E3266" s="3">
        <v>1859</v>
      </c>
      <c r="F3266" t="s">
        <v>7471</v>
      </c>
      <c r="G3266" t="s">
        <v>1374</v>
      </c>
      <c r="H3266" s="3">
        <v>28.2669</v>
      </c>
      <c r="I3266" t="s">
        <v>1295</v>
      </c>
      <c r="J3266" t="s">
        <v>13175</v>
      </c>
      <c r="L3266" t="s">
        <v>7472</v>
      </c>
      <c r="M3266" t="str">
        <f>"https://www.artic.edu/iiif/2/"&amp;Table9[[#This Row],[Image ID]]&amp;"/full/843,/0/default.jpg"</f>
        <v>https://www.artic.edu/iiif/2/9be7358b-6cf9-0d3f-d5f5-854a5116f7d3/full/843,/0/default.jpg</v>
      </c>
      <c r="N3266" s="3">
        <v>0.6</v>
      </c>
      <c r="O3266" s="3">
        <v>7.4999999999999997E-2</v>
      </c>
      <c r="P3266" s="3">
        <v>0.52500000000000002</v>
      </c>
      <c r="Q3266" s="3">
        <v>0.81524449586868197</v>
      </c>
    </row>
    <row r="3267" spans="1:17" x14ac:dyDescent="0.45">
      <c r="A3267" s="3">
        <v>17981</v>
      </c>
      <c r="B3267" t="b">
        <v>0</v>
      </c>
      <c r="C3267" t="b">
        <v>1</v>
      </c>
      <c r="D3267" s="3">
        <v>1808</v>
      </c>
      <c r="E3267" s="3">
        <v>1808</v>
      </c>
      <c r="F3267" t="s">
        <v>4686</v>
      </c>
      <c r="G3267" t="s">
        <v>4687</v>
      </c>
      <c r="H3267" s="3">
        <v>21.110900000000001</v>
      </c>
      <c r="I3267" t="s">
        <v>1477</v>
      </c>
      <c r="J3267" t="s">
        <v>13176</v>
      </c>
      <c r="L3267" t="s">
        <v>4688</v>
      </c>
      <c r="M3267" t="str">
        <f>"https://www.artic.edu/iiif/2/"&amp;Table9[[#This Row],[Image ID]]&amp;"/full/843,/0/default.jpg"</f>
        <v>https://www.artic.edu/iiif/2/9be84842-07d3-11e7-e938-565ec49197ad/full/843,/0/default.jpg</v>
      </c>
      <c r="N3267" s="3">
        <v>0.67500000000000004</v>
      </c>
      <c r="O3267" s="3">
        <v>0.15</v>
      </c>
      <c r="P3267" s="3">
        <v>0.52500000000000002</v>
      </c>
      <c r="Q3267" s="3">
        <v>0.69372415542602495</v>
      </c>
    </row>
    <row r="3268" spans="1:17" x14ac:dyDescent="0.45">
      <c r="A3268" s="3">
        <v>14701</v>
      </c>
      <c r="B3268" t="b">
        <v>0</v>
      </c>
      <c r="C3268" t="b">
        <v>1</v>
      </c>
      <c r="D3268" s="3">
        <v>1301</v>
      </c>
      <c r="E3268" s="3">
        <v>1400</v>
      </c>
      <c r="F3268" t="s">
        <v>3571</v>
      </c>
      <c r="G3268" t="s">
        <v>584</v>
      </c>
      <c r="H3268" s="3">
        <v>35.282699999999998</v>
      </c>
      <c r="J3268" t="s">
        <v>13352</v>
      </c>
      <c r="K3268" s="5" t="s">
        <v>278</v>
      </c>
      <c r="L3268" t="s">
        <v>3572</v>
      </c>
      <c r="M3268" t="str">
        <f>"https://www.artic.edu/iiif/2/"&amp;Table9[[#This Row],[Image ID]]&amp;"/full/843,/0/default.jpg"</f>
        <v>https://www.artic.edu/iiif/2/a852b31e-7067-0372-7362-3aee2ceacdf8/full/843,/0/default.jpg</v>
      </c>
      <c r="N3268" s="3">
        <v>0.625</v>
      </c>
      <c r="O3268" s="3">
        <v>0.1</v>
      </c>
      <c r="P3268" s="3">
        <v>0.52500000000000002</v>
      </c>
      <c r="Q3268" s="3">
        <v>0.74903702735900801</v>
      </c>
    </row>
    <row r="3269" spans="1:17" x14ac:dyDescent="0.45">
      <c r="A3269" s="3">
        <v>115898</v>
      </c>
      <c r="B3269" t="b">
        <v>0</v>
      </c>
      <c r="C3269" t="b">
        <v>1</v>
      </c>
      <c r="D3269" s="3">
        <v>1800</v>
      </c>
      <c r="E3269" s="3">
        <v>1899</v>
      </c>
      <c r="F3269" t="s">
        <v>14644</v>
      </c>
      <c r="G3269" t="s">
        <v>2199</v>
      </c>
      <c r="H3269" s="3">
        <v>51.700899999999997</v>
      </c>
      <c r="I3269" t="s">
        <v>1280</v>
      </c>
      <c r="J3269" t="s">
        <v>13383</v>
      </c>
      <c r="L3269" t="s">
        <v>2200</v>
      </c>
      <c r="M3269" t="str">
        <f>"https://www.artic.edu/iiif/2/"&amp;Table9[[#This Row],[Image ID]]&amp;"/full/843,/0/default.jpg"</f>
        <v>https://www.artic.edu/iiif/2/aad71786-21e9-1ea2-c1d2-163e37552c15/full/843,/0/default.jpg</v>
      </c>
      <c r="N3269" s="3">
        <v>0.6</v>
      </c>
      <c r="O3269" s="3">
        <v>7.4999999999999997E-2</v>
      </c>
      <c r="P3269" s="3">
        <v>0.52500000000000002</v>
      </c>
      <c r="Q3269" s="3">
        <v>0.64443439245223999</v>
      </c>
    </row>
    <row r="3270" spans="1:17" x14ac:dyDescent="0.45">
      <c r="A3270" s="3">
        <v>4770</v>
      </c>
      <c r="B3270" t="b">
        <v>0</v>
      </c>
      <c r="C3270" t="b">
        <v>1</v>
      </c>
      <c r="D3270" s="3">
        <v>1663</v>
      </c>
      <c r="E3270" s="3">
        <v>1663</v>
      </c>
      <c r="F3270" t="s">
        <v>7969</v>
      </c>
      <c r="G3270" t="s">
        <v>7</v>
      </c>
      <c r="H3270" s="3">
        <v>18.0379</v>
      </c>
      <c r="I3270" t="s">
        <v>7970</v>
      </c>
      <c r="J3270" t="s">
        <v>13529</v>
      </c>
      <c r="L3270" t="s">
        <v>7971</v>
      </c>
      <c r="M3270" t="str">
        <f>"https://www.artic.edu/iiif/2/"&amp;Table9[[#This Row],[Image ID]]&amp;"/full/843,/0/default.jpg"</f>
        <v>https://www.artic.edu/iiif/2/b68961a6-eed0-da9d-2196-fe5732503064/full/843,/0/default.jpg</v>
      </c>
      <c r="N3270" s="3">
        <v>0.625</v>
      </c>
      <c r="O3270" s="3">
        <v>0.1</v>
      </c>
      <c r="P3270" s="3">
        <v>0.52500000000000002</v>
      </c>
      <c r="Q3270" s="3">
        <v>0.46350979804992598</v>
      </c>
    </row>
    <row r="3271" spans="1:17" x14ac:dyDescent="0.45">
      <c r="A3271" s="3">
        <v>9672</v>
      </c>
      <c r="B3271" t="b">
        <v>0</v>
      </c>
      <c r="C3271" t="b">
        <v>1</v>
      </c>
      <c r="D3271" s="3">
        <v>1650</v>
      </c>
      <c r="E3271" s="3">
        <v>1660</v>
      </c>
      <c r="F3271" t="s">
        <v>10807</v>
      </c>
      <c r="G3271" t="s">
        <v>7</v>
      </c>
      <c r="H3271" s="3">
        <v>38.266399999999997</v>
      </c>
      <c r="I3271" t="s">
        <v>14613</v>
      </c>
      <c r="J3271" t="s">
        <v>13640</v>
      </c>
      <c r="L3271" t="s">
        <v>10808</v>
      </c>
      <c r="M3271" t="str">
        <f>"https://www.artic.edu/iiif/2/"&amp;Table9[[#This Row],[Image ID]]&amp;"/full/843,/0/default.jpg"</f>
        <v>https://www.artic.edu/iiif/2/beeba230-022f-449a-a2fd-c0cf6c47d232/full/843,/0/default.jpg</v>
      </c>
      <c r="N3271" s="3">
        <v>0.67500000000000004</v>
      </c>
      <c r="O3271" s="3">
        <v>0.15</v>
      </c>
      <c r="P3271" s="3">
        <v>0.52500000000000002</v>
      </c>
      <c r="Q3271" s="3">
        <v>0.74400877952575595</v>
      </c>
    </row>
    <row r="3272" spans="1:17" x14ac:dyDescent="0.45">
      <c r="A3272" s="3">
        <v>81561</v>
      </c>
      <c r="B3272" t="b">
        <v>0</v>
      </c>
      <c r="C3272" t="b">
        <v>1</v>
      </c>
      <c r="D3272" s="3">
        <v>1885</v>
      </c>
      <c r="E3272" s="3">
        <v>1895</v>
      </c>
      <c r="F3272" t="s">
        <v>10138</v>
      </c>
      <c r="G3272" t="s">
        <v>7</v>
      </c>
      <c r="H3272" s="3">
        <v>19.353000000000002</v>
      </c>
      <c r="I3272" t="s">
        <v>3452</v>
      </c>
      <c r="J3272" t="s">
        <v>13679</v>
      </c>
      <c r="L3272" t="s">
        <v>10139</v>
      </c>
      <c r="M3272" t="str">
        <f>"https://www.artic.edu/iiif/2/"&amp;Table9[[#This Row],[Image ID]]&amp;"/full/843,/0/default.jpg"</f>
        <v>https://www.artic.edu/iiif/2/c233d88b-fe56-6b9e-d5c2-47b9a7386756/full/843,/0/default.jpg</v>
      </c>
      <c r="N3272" s="3">
        <v>0.625</v>
      </c>
      <c r="O3272" s="3">
        <v>0.1</v>
      </c>
      <c r="P3272" s="3">
        <v>0.52500000000000002</v>
      </c>
      <c r="Q3272" s="3">
        <v>0.45112246274948098</v>
      </c>
    </row>
    <row r="3273" spans="1:17" x14ac:dyDescent="0.45">
      <c r="A3273" s="3">
        <v>8987</v>
      </c>
      <c r="B3273" t="b">
        <v>0</v>
      </c>
      <c r="C3273" t="b">
        <v>1</v>
      </c>
      <c r="D3273" s="3">
        <v>1913</v>
      </c>
      <c r="E3273" s="3">
        <v>1913</v>
      </c>
      <c r="F3273" t="s">
        <v>10482</v>
      </c>
      <c r="G3273" t="s">
        <v>7</v>
      </c>
      <c r="H3273" s="3">
        <v>54.223599999999998</v>
      </c>
      <c r="I3273" t="s">
        <v>2957</v>
      </c>
      <c r="J3273" t="s">
        <v>13725</v>
      </c>
      <c r="L3273" t="s">
        <v>10483</v>
      </c>
      <c r="M3273" t="str">
        <f>"https://www.artic.edu/iiif/2/"&amp;Table9[[#This Row],[Image ID]]&amp;"/full/843,/0/default.jpg"</f>
        <v>https://www.artic.edu/iiif/2/c68f33ec-feb1-5277-334b-b71ac15ae394/full/843,/0/default.jpg</v>
      </c>
      <c r="N3273" s="3">
        <v>0.625</v>
      </c>
      <c r="O3273" s="3">
        <v>0.1</v>
      </c>
      <c r="P3273" s="3">
        <v>0.52500000000000002</v>
      </c>
      <c r="Q3273" s="3">
        <v>0.67892950773239102</v>
      </c>
    </row>
    <row r="3274" spans="1:17" x14ac:dyDescent="0.45">
      <c r="A3274" s="3">
        <v>149753</v>
      </c>
      <c r="B3274" t="b">
        <v>0</v>
      </c>
      <c r="C3274" t="b">
        <v>1</v>
      </c>
      <c r="D3274" s="3">
        <v>1605</v>
      </c>
      <c r="E3274" s="3">
        <v>1615</v>
      </c>
      <c r="F3274" t="s">
        <v>3760</v>
      </c>
      <c r="G3274" t="s">
        <v>3761</v>
      </c>
      <c r="H3274" s="3">
        <v>29.967300000000002</v>
      </c>
      <c r="I3274" t="s">
        <v>3762</v>
      </c>
      <c r="J3274" t="s">
        <v>13738</v>
      </c>
      <c r="L3274" t="s">
        <v>3763</v>
      </c>
      <c r="M3274" t="str">
        <f>"https://www.artic.edu/iiif/2/"&amp;Table9[[#This Row],[Image ID]]&amp;"/full/843,/0/default.jpg"</f>
        <v>https://www.artic.edu/iiif/2/c73f82cb-2ced-e3de-be94-f0615a2f4f1d/full/843,/0/default.jpg</v>
      </c>
      <c r="N3274" s="3">
        <v>0.55000000000000004</v>
      </c>
      <c r="O3274" s="3">
        <v>2.5000000000000001E-2</v>
      </c>
      <c r="P3274" s="3">
        <v>0.52500000000000002</v>
      </c>
      <c r="Q3274" s="3">
        <v>0.70297592878341597</v>
      </c>
    </row>
    <row r="3275" spans="1:17" x14ac:dyDescent="0.45">
      <c r="A3275" s="3">
        <v>209942</v>
      </c>
      <c r="B3275" t="b">
        <v>0</v>
      </c>
      <c r="C3275" t="b">
        <v>1</v>
      </c>
      <c r="D3275" s="3">
        <v>1832</v>
      </c>
      <c r="E3275" s="3">
        <v>1832</v>
      </c>
      <c r="F3275" t="s">
        <v>5551</v>
      </c>
      <c r="G3275" t="s">
        <v>7</v>
      </c>
      <c r="H3275" s="3">
        <v>39.770000000000003</v>
      </c>
      <c r="I3275" t="s">
        <v>2883</v>
      </c>
      <c r="J3275" t="s">
        <v>13799</v>
      </c>
      <c r="L3275" t="s">
        <v>5552</v>
      </c>
      <c r="M3275" t="str">
        <f>"https://www.artic.edu/iiif/2/"&amp;Table9[[#This Row],[Image ID]]&amp;"/full/843,/0/default.jpg"</f>
        <v>https://www.artic.edu/iiif/2/cbd38483-e626-7a2e-9615-239e359f9e50/full/843,/0/default.jpg</v>
      </c>
      <c r="N3275" s="3">
        <v>0.625</v>
      </c>
      <c r="O3275" s="3">
        <v>0.1</v>
      </c>
      <c r="P3275" s="3">
        <v>0.52500000000000002</v>
      </c>
      <c r="Q3275" s="3">
        <v>0.52024102210998502</v>
      </c>
    </row>
    <row r="3276" spans="1:17" x14ac:dyDescent="0.45">
      <c r="A3276" s="3">
        <v>12895</v>
      </c>
      <c r="B3276" t="b">
        <v>0</v>
      </c>
      <c r="C3276" t="b">
        <v>1</v>
      </c>
      <c r="D3276" s="3">
        <v>1755</v>
      </c>
      <c r="E3276" s="3">
        <v>1765</v>
      </c>
      <c r="F3276" t="s">
        <v>2850</v>
      </c>
      <c r="G3276" t="s">
        <v>7</v>
      </c>
      <c r="H3276" s="3">
        <v>28.856300000000001</v>
      </c>
      <c r="I3276" t="s">
        <v>2851</v>
      </c>
      <c r="J3276" t="s">
        <v>14033</v>
      </c>
      <c r="L3276" t="s">
        <v>2852</v>
      </c>
      <c r="M3276" t="str">
        <f>"https://www.artic.edu/iiif/2/"&amp;Table9[[#This Row],[Image ID]]&amp;"/full/843,/0/default.jpg"</f>
        <v>https://www.artic.edu/iiif/2/ddd364dd-f791-ed27-4297-ea47fde36f12/full/843,/0/default.jpg</v>
      </c>
      <c r="N3276" s="3">
        <v>0.625</v>
      </c>
      <c r="O3276" s="3">
        <v>0.1</v>
      </c>
      <c r="P3276" s="3">
        <v>0.52500000000000002</v>
      </c>
      <c r="Q3276" s="3">
        <v>0.44765487313270502</v>
      </c>
    </row>
    <row r="3277" spans="1:17" x14ac:dyDescent="0.45">
      <c r="A3277" s="3">
        <v>115209</v>
      </c>
      <c r="B3277" t="b">
        <v>0</v>
      </c>
      <c r="C3277" t="b">
        <v>1</v>
      </c>
      <c r="D3277" s="3">
        <v>1841</v>
      </c>
      <c r="E3277" s="3">
        <v>1841</v>
      </c>
      <c r="F3277" t="s">
        <v>1864</v>
      </c>
      <c r="G3277" t="s">
        <v>1837</v>
      </c>
      <c r="H3277" s="3">
        <v>19.910799999999998</v>
      </c>
      <c r="I3277" t="s">
        <v>1555</v>
      </c>
      <c r="J3277" t="s">
        <v>14247</v>
      </c>
      <c r="L3277" t="s">
        <v>1865</v>
      </c>
      <c r="M3277" t="str">
        <f>"https://www.artic.edu/iiif/2/"&amp;Table9[[#This Row],[Image ID]]&amp;"/full/843,/0/default.jpg"</f>
        <v>https://www.artic.edu/iiif/2/ebb31959-a861-669b-1deb-f4c04dc7b1fb/full/843,/0/default.jpg</v>
      </c>
      <c r="N3277" s="3">
        <v>0.8</v>
      </c>
      <c r="O3277" s="3">
        <v>0.27500000000000002</v>
      </c>
      <c r="P3277" s="3">
        <v>0.52500000000000002</v>
      </c>
      <c r="Q3277" s="3">
        <v>0.56461238861083896</v>
      </c>
    </row>
    <row r="3278" spans="1:17" x14ac:dyDescent="0.45">
      <c r="A3278" s="3">
        <v>44831</v>
      </c>
      <c r="B3278" t="b">
        <v>0</v>
      </c>
      <c r="C3278" t="b">
        <v>1</v>
      </c>
      <c r="D3278" s="3">
        <v>1850</v>
      </c>
      <c r="E3278" s="3">
        <v>1863</v>
      </c>
      <c r="F3278" t="s">
        <v>7799</v>
      </c>
      <c r="G3278" t="s">
        <v>7</v>
      </c>
      <c r="H3278" s="3">
        <v>36.869100000000003</v>
      </c>
      <c r="I3278" t="s">
        <v>21</v>
      </c>
      <c r="J3278" t="s">
        <v>14464</v>
      </c>
      <c r="L3278" t="s">
        <v>7800</v>
      </c>
      <c r="M3278" t="str">
        <f>"https://www.artic.edu/iiif/2/"&amp;Table9[[#This Row],[Image ID]]&amp;"/full/843,/0/default.jpg"</f>
        <v>https://www.artic.edu/iiif/2/fad138a8-80f1-45a3-1dc7-b9ff991b4812/full/843,/0/default.jpg</v>
      </c>
      <c r="N3278" s="3">
        <v>0.6</v>
      </c>
      <c r="O3278" s="3">
        <v>7.4999999999999997E-2</v>
      </c>
      <c r="P3278" s="3">
        <v>0.52500000000000002</v>
      </c>
      <c r="Q3278" s="3">
        <v>0.56572151184081998</v>
      </c>
    </row>
    <row r="3279" spans="1:17" x14ac:dyDescent="0.45">
      <c r="A3279" s="3">
        <v>62375</v>
      </c>
      <c r="B3279" t="b">
        <v>0</v>
      </c>
      <c r="C3279" t="b">
        <v>0</v>
      </c>
      <c r="D3279" s="3">
        <v>1924</v>
      </c>
      <c r="E3279" s="3">
        <v>1940</v>
      </c>
      <c r="F3279" t="s">
        <v>8898</v>
      </c>
      <c r="G3279" t="s">
        <v>8899</v>
      </c>
      <c r="H3279" s="3">
        <v>52.3339</v>
      </c>
      <c r="I3279" t="s">
        <v>40</v>
      </c>
      <c r="J3279" t="s">
        <v>10979</v>
      </c>
      <c r="L3279" t="s">
        <v>8900</v>
      </c>
      <c r="M3279" t="str">
        <f>"https://www.artic.edu/iiif/2/"&amp;Table9[[#This Row],[Image ID]]&amp;"/full/843,/0/default.jpg"</f>
        <v>https://www.artic.edu/iiif/2/00685fbd-5ecd-da39-d04b-d11df41c54f0/full/843,/0/default.jpg</v>
      </c>
      <c r="N3279" s="3">
        <v>0.6</v>
      </c>
      <c r="O3279" s="3">
        <v>7.4999999999999997E-2</v>
      </c>
      <c r="P3279" s="3">
        <v>0.52500000000000002</v>
      </c>
      <c r="Q3279" s="3">
        <v>0.69433373212814298</v>
      </c>
    </row>
    <row r="3280" spans="1:17" x14ac:dyDescent="0.45">
      <c r="A3280" s="3">
        <v>100355</v>
      </c>
      <c r="B3280" t="b">
        <v>0</v>
      </c>
      <c r="C3280" t="b">
        <v>0</v>
      </c>
      <c r="D3280" s="3">
        <v>1801</v>
      </c>
      <c r="E3280" s="3">
        <v>1900</v>
      </c>
      <c r="F3280" t="s">
        <v>106</v>
      </c>
      <c r="G3280" t="s">
        <v>7</v>
      </c>
      <c r="H3280" s="3">
        <v>0</v>
      </c>
      <c r="I3280" t="s">
        <v>107</v>
      </c>
      <c r="J3280" t="s">
        <v>11123</v>
      </c>
      <c r="L3280" t="s">
        <v>108</v>
      </c>
      <c r="M3280" t="str">
        <f>"https://www.artic.edu/iiif/2/"&amp;Table9[[#This Row],[Image ID]]&amp;"/full/843,/0/default.jpg"</f>
        <v>https://www.artic.edu/iiif/2/0ada3c07-da75-7a0a-87d0-1fb4566e49af/full/843,/0/default.jpg</v>
      </c>
      <c r="N3280" s="3">
        <v>0.67500000000000004</v>
      </c>
      <c r="O3280" s="3">
        <v>0.15</v>
      </c>
      <c r="P3280" s="3">
        <v>0.52500000000000002</v>
      </c>
      <c r="Q3280" s="3">
        <v>0.59974378347396795</v>
      </c>
    </row>
    <row r="3281" spans="1:17" x14ac:dyDescent="0.45">
      <c r="A3281" s="3">
        <v>68399</v>
      </c>
      <c r="B3281" t="b">
        <v>0</v>
      </c>
      <c r="C3281" t="b">
        <v>0</v>
      </c>
      <c r="D3281" s="3">
        <v>1928</v>
      </c>
      <c r="E3281" s="3">
        <v>1947</v>
      </c>
      <c r="F3281" t="s">
        <v>9350</v>
      </c>
      <c r="G3281" t="s">
        <v>9351</v>
      </c>
      <c r="H3281" s="3">
        <v>20.112200000000001</v>
      </c>
      <c r="I3281" t="s">
        <v>1539</v>
      </c>
      <c r="J3281" t="s">
        <v>11139</v>
      </c>
      <c r="L3281" t="s">
        <v>9352</v>
      </c>
      <c r="M3281" t="str">
        <f>"https://www.artic.edu/iiif/2/"&amp;Table9[[#This Row],[Image ID]]&amp;"/full/843,/0/default.jpg"</f>
        <v>https://www.artic.edu/iiif/2/0c42ee33-1fe0-4bf7-c983-1287f8d2c8d5/full/843,/0/default.jpg</v>
      </c>
      <c r="N3281" s="3">
        <v>0.75</v>
      </c>
      <c r="O3281" s="3">
        <v>0.22500000000000001</v>
      </c>
      <c r="P3281" s="3">
        <v>0.52500000000000002</v>
      </c>
      <c r="Q3281" s="3">
        <v>0.59727728366851796</v>
      </c>
    </row>
    <row r="3282" spans="1:17" x14ac:dyDescent="0.45">
      <c r="A3282" s="3">
        <v>238802</v>
      </c>
      <c r="B3282" t="b">
        <v>0</v>
      </c>
      <c r="C3282" t="b">
        <v>0</v>
      </c>
      <c r="D3282" s="3">
        <v>1958</v>
      </c>
      <c r="E3282" s="3">
        <v>1958</v>
      </c>
      <c r="F3282" t="s">
        <v>11</v>
      </c>
      <c r="G3282" t="s">
        <v>6337</v>
      </c>
      <c r="H3282" s="3">
        <v>88.291499999999999</v>
      </c>
      <c r="I3282" t="s">
        <v>6338</v>
      </c>
      <c r="J3282" t="s">
        <v>11169</v>
      </c>
      <c r="L3282" t="s">
        <v>6339</v>
      </c>
      <c r="M3282" t="str">
        <f>"https://www.artic.edu/iiif/2/"&amp;Table9[[#This Row],[Image ID]]&amp;"/full/843,/0/default.jpg"</f>
        <v>https://www.artic.edu/iiif/2/0f0e10fc-719f-e194-7dcf-00a8ffaf4548/full/843,/0/default.jpg</v>
      </c>
      <c r="N3282" s="3">
        <v>0.625</v>
      </c>
      <c r="O3282" s="3">
        <v>0.1</v>
      </c>
      <c r="P3282" s="3">
        <v>0.52500000000000002</v>
      </c>
      <c r="Q3282" s="3">
        <v>0.77165520191192605</v>
      </c>
    </row>
    <row r="3283" spans="1:17" x14ac:dyDescent="0.45">
      <c r="A3283" s="3">
        <v>183292</v>
      </c>
      <c r="B3283" t="b">
        <v>0</v>
      </c>
      <c r="C3283" t="b">
        <v>0</v>
      </c>
      <c r="D3283" s="3">
        <v>1920</v>
      </c>
      <c r="E3283" s="3">
        <v>1922</v>
      </c>
      <c r="F3283" t="s">
        <v>4780</v>
      </c>
      <c r="G3283" t="s">
        <v>7</v>
      </c>
      <c r="H3283" s="3">
        <v>45.075400000000002</v>
      </c>
      <c r="I3283" t="s">
        <v>4781</v>
      </c>
      <c r="J3283" t="s">
        <v>11286</v>
      </c>
      <c r="K3283" s="5" t="s">
        <v>45</v>
      </c>
      <c r="L3283" t="s">
        <v>4782</v>
      </c>
      <c r="M3283" t="str">
        <f>"https://www.artic.edu/iiif/2/"&amp;Table9[[#This Row],[Image ID]]&amp;"/full/843,/0/default.jpg"</f>
        <v>https://www.artic.edu/iiif/2/16d2efa0-6896-5c54-b024-de9b152f4195/full/843,/0/default.jpg</v>
      </c>
      <c r="N3283" s="3">
        <v>0.55000000000000004</v>
      </c>
      <c r="O3283" s="3">
        <v>2.5000000000000001E-2</v>
      </c>
      <c r="P3283" s="3">
        <v>0.52500000000000002</v>
      </c>
      <c r="Q3283" s="3">
        <v>0.68797397613525302</v>
      </c>
    </row>
    <row r="3284" spans="1:17" x14ac:dyDescent="0.45">
      <c r="A3284" s="3">
        <v>59862</v>
      </c>
      <c r="B3284" t="b">
        <v>0</v>
      </c>
      <c r="C3284" t="b">
        <v>0</v>
      </c>
      <c r="D3284" s="3">
        <v>1917</v>
      </c>
      <c r="E3284" s="3">
        <v>1972</v>
      </c>
      <c r="F3284" t="s">
        <v>8604</v>
      </c>
      <c r="G3284" t="s">
        <v>8605</v>
      </c>
      <c r="H3284" s="3">
        <v>34.501300000000001</v>
      </c>
      <c r="I3284" t="s">
        <v>8606</v>
      </c>
      <c r="J3284" t="s">
        <v>11323</v>
      </c>
      <c r="L3284" t="s">
        <v>8607</v>
      </c>
      <c r="M3284" t="str">
        <f>"https://www.artic.edu/iiif/2/"&amp;Table9[[#This Row],[Image ID]]&amp;"/full/843,/0/default.jpg"</f>
        <v>https://www.artic.edu/iiif/2/198f9f20-b86a-f3f8-bca0-eddb0598b6e7/full/843,/0/default.jpg</v>
      </c>
      <c r="N3284" s="3">
        <v>0.625</v>
      </c>
      <c r="O3284" s="3">
        <v>0.1</v>
      </c>
      <c r="P3284" s="3">
        <v>0.52500000000000002</v>
      </c>
      <c r="Q3284" s="3">
        <v>0.67843574285507202</v>
      </c>
    </row>
    <row r="3285" spans="1:17" x14ac:dyDescent="0.45">
      <c r="A3285" s="3">
        <v>257131</v>
      </c>
      <c r="B3285" t="b">
        <v>0</v>
      </c>
      <c r="C3285" t="b">
        <v>0</v>
      </c>
      <c r="D3285" s="3">
        <v>1946</v>
      </c>
      <c r="E3285" s="3">
        <v>1946</v>
      </c>
      <c r="F3285" t="s">
        <v>6541</v>
      </c>
      <c r="G3285" t="s">
        <v>7</v>
      </c>
      <c r="H3285" s="3">
        <v>20.049700000000001</v>
      </c>
      <c r="I3285" t="s">
        <v>6542</v>
      </c>
      <c r="J3285" t="s">
        <v>11413</v>
      </c>
      <c r="K3285" s="5" t="s">
        <v>2975</v>
      </c>
      <c r="L3285" t="s">
        <v>6543</v>
      </c>
      <c r="M3285" t="str">
        <f>"https://www.artic.edu/iiif/2/"&amp;Table9[[#This Row],[Image ID]]&amp;"/full/843,/0/default.jpg"</f>
        <v>https://www.artic.edu/iiif/2/1f6b23e1-fbe7-b604-f4bb-aadb2a763d48/full/843,/0/default.jpg</v>
      </c>
      <c r="N3285" s="3">
        <v>0.625</v>
      </c>
      <c r="O3285" s="3">
        <v>0.1</v>
      </c>
      <c r="P3285" s="3">
        <v>0.52500000000000002</v>
      </c>
      <c r="Q3285" s="3">
        <v>0.74782240390777499</v>
      </c>
    </row>
    <row r="3286" spans="1:17" x14ac:dyDescent="0.45">
      <c r="A3286" s="3">
        <v>96546</v>
      </c>
      <c r="B3286" t="b">
        <v>0</v>
      </c>
      <c r="C3286" t="b">
        <v>0</v>
      </c>
      <c r="D3286" s="3">
        <v>1929</v>
      </c>
      <c r="E3286" s="3">
        <v>1945</v>
      </c>
      <c r="F3286" t="s">
        <v>10795</v>
      </c>
      <c r="G3286" t="s">
        <v>238</v>
      </c>
      <c r="H3286" s="3">
        <v>32.483600000000003</v>
      </c>
      <c r="I3286" t="s">
        <v>5646</v>
      </c>
      <c r="J3286" t="s">
        <v>11534</v>
      </c>
      <c r="L3286" t="s">
        <v>10796</v>
      </c>
      <c r="M3286" t="str">
        <f>"https://www.artic.edu/iiif/2/"&amp;Table9[[#This Row],[Image ID]]&amp;"/full/843,/0/default.jpg"</f>
        <v>https://www.artic.edu/iiif/2/26cb4f0a-0551-fbd6-663a-09661474be5b/full/843,/0/default.jpg</v>
      </c>
      <c r="N3286" s="3">
        <v>0.55000000000000004</v>
      </c>
      <c r="O3286" s="3">
        <v>2.5000000000000001E-2</v>
      </c>
      <c r="P3286" s="3">
        <v>0.52500000000000002</v>
      </c>
      <c r="Q3286" s="3">
        <v>0.59470397233963002</v>
      </c>
    </row>
    <row r="3287" spans="1:17" x14ac:dyDescent="0.45">
      <c r="A3287" s="3">
        <v>86955</v>
      </c>
      <c r="B3287" t="b">
        <v>0</v>
      </c>
      <c r="C3287" t="b">
        <v>0</v>
      </c>
      <c r="D3287" s="3">
        <v>1961</v>
      </c>
      <c r="E3287" s="3">
        <v>1961</v>
      </c>
      <c r="F3287" t="s">
        <v>10357</v>
      </c>
      <c r="G3287" t="s">
        <v>7</v>
      </c>
      <c r="H3287" s="3">
        <v>14.120200000000001</v>
      </c>
      <c r="I3287" t="s">
        <v>1530</v>
      </c>
      <c r="J3287" t="s">
        <v>11579</v>
      </c>
      <c r="L3287" t="s">
        <v>10358</v>
      </c>
      <c r="M3287" t="str">
        <f>"https://www.artic.edu/iiif/2/"&amp;Table9[[#This Row],[Image ID]]&amp;"/full/843,/0/default.jpg"</f>
        <v>https://www.artic.edu/iiif/2/29aa6ca5-6ebc-518c-1e35-54a07aaad039/full/843,/0/default.jpg</v>
      </c>
      <c r="N3287" s="3">
        <v>0.625</v>
      </c>
      <c r="O3287" s="3">
        <v>0.1</v>
      </c>
      <c r="P3287" s="3">
        <v>0.52500000000000002</v>
      </c>
      <c r="Q3287" s="3">
        <v>0.61433249711990301</v>
      </c>
    </row>
    <row r="3288" spans="1:17" x14ac:dyDescent="0.45">
      <c r="A3288" s="3">
        <v>236823</v>
      </c>
      <c r="B3288" t="b">
        <v>0</v>
      </c>
      <c r="C3288" t="b">
        <v>0</v>
      </c>
      <c r="D3288" s="3">
        <v>2015</v>
      </c>
      <c r="E3288" s="3">
        <v>2015</v>
      </c>
      <c r="F3288" t="s">
        <v>6290</v>
      </c>
      <c r="G3288" t="s">
        <v>6293</v>
      </c>
      <c r="H3288" s="3">
        <v>32.800699999999999</v>
      </c>
      <c r="I3288" t="s">
        <v>6045</v>
      </c>
      <c r="J3288" t="s">
        <v>11639</v>
      </c>
      <c r="K3288" s="5" t="s">
        <v>15</v>
      </c>
      <c r="L3288" t="s">
        <v>6294</v>
      </c>
      <c r="M3288" t="str">
        <f>"https://www.artic.edu/iiif/2/"&amp;Table9[[#This Row],[Image ID]]&amp;"/full/843,/0/default.jpg"</f>
        <v>https://www.artic.edu/iiif/2/2de6056a-84a8-0307-e705-be177f47cc0c/full/843,/0/default.jpg</v>
      </c>
      <c r="N3288" s="3">
        <v>0.54800000000000004</v>
      </c>
      <c r="O3288" s="3">
        <v>2.3E-2</v>
      </c>
      <c r="P3288" s="3">
        <v>0.52500000000000002</v>
      </c>
      <c r="Q3288" s="3">
        <v>0.66274023056030196</v>
      </c>
    </row>
    <row r="3289" spans="1:17" x14ac:dyDescent="0.45">
      <c r="A3289" s="3">
        <v>109328</v>
      </c>
      <c r="B3289" t="b">
        <v>0</v>
      </c>
      <c r="C3289" t="b">
        <v>0</v>
      </c>
      <c r="D3289" s="3">
        <v>1961</v>
      </c>
      <c r="E3289" s="3">
        <v>1961</v>
      </c>
      <c r="F3289" t="s">
        <v>302</v>
      </c>
      <c r="G3289" t="s">
        <v>7</v>
      </c>
      <c r="H3289" s="3">
        <v>3.0270000000000001</v>
      </c>
      <c r="I3289" t="s">
        <v>772</v>
      </c>
      <c r="J3289" t="s">
        <v>11732</v>
      </c>
      <c r="L3289" t="s">
        <v>773</v>
      </c>
      <c r="M3289" t="str">
        <f>"https://www.artic.edu/iiif/2/"&amp;Table9[[#This Row],[Image ID]]&amp;"/full/843,/0/default.jpg"</f>
        <v>https://www.artic.edu/iiif/2/342b24da-c5a0-a781-44c9-1964ba40d086/full/843,/0/default.jpg</v>
      </c>
      <c r="N3289" s="3">
        <v>0.6</v>
      </c>
      <c r="O3289" s="3">
        <v>7.4999999999999997E-2</v>
      </c>
      <c r="P3289" s="3">
        <v>0.52500000000000002</v>
      </c>
      <c r="Q3289" s="3">
        <v>0.68151962757110596</v>
      </c>
    </row>
    <row r="3290" spans="1:17" x14ac:dyDescent="0.45">
      <c r="A3290" s="3">
        <v>117294</v>
      </c>
      <c r="B3290" t="b">
        <v>0</v>
      </c>
      <c r="C3290" t="b">
        <v>0</v>
      </c>
      <c r="D3290" s="3">
        <v>1936</v>
      </c>
      <c r="E3290" s="3">
        <v>1936</v>
      </c>
      <c r="F3290" t="s">
        <v>2281</v>
      </c>
      <c r="G3290" t="s">
        <v>642</v>
      </c>
      <c r="H3290" s="3">
        <v>34.2014</v>
      </c>
      <c r="I3290" t="s">
        <v>2282</v>
      </c>
      <c r="J3290" t="s">
        <v>11766</v>
      </c>
      <c r="L3290" t="s">
        <v>2283</v>
      </c>
      <c r="M3290" t="str">
        <f>"https://www.artic.edu/iiif/2/"&amp;Table9[[#This Row],[Image ID]]&amp;"/full/843,/0/default.jpg"</f>
        <v>https://www.artic.edu/iiif/2/36d1d89f-6610-1f9c-7c59-463cb59f0b13/full/843,/0/default.jpg</v>
      </c>
      <c r="N3290" s="3">
        <v>0.6</v>
      </c>
      <c r="O3290" s="3">
        <v>7.4999999999999997E-2</v>
      </c>
      <c r="P3290" s="3">
        <v>0.52500000000000002</v>
      </c>
      <c r="Q3290" s="3">
        <v>0.82331496477126997</v>
      </c>
    </row>
    <row r="3291" spans="1:17" x14ac:dyDescent="0.45">
      <c r="A3291" s="3">
        <v>145862</v>
      </c>
      <c r="B3291" t="b">
        <v>0</v>
      </c>
      <c r="C3291" t="b">
        <v>0</v>
      </c>
      <c r="D3291" s="3">
        <v>1912</v>
      </c>
      <c r="E3291" s="3">
        <v>1922</v>
      </c>
      <c r="F3291" t="s">
        <v>1397</v>
      </c>
      <c r="G3291" t="s">
        <v>3403</v>
      </c>
      <c r="H3291" s="3">
        <v>43.991199999999999</v>
      </c>
      <c r="I3291" t="s">
        <v>462</v>
      </c>
      <c r="J3291" t="s">
        <v>11917</v>
      </c>
      <c r="L3291" t="s">
        <v>3404</v>
      </c>
      <c r="M3291" t="str">
        <f>"https://www.artic.edu/iiif/2/"&amp;Table9[[#This Row],[Image ID]]&amp;"/full/843,/0/default.jpg"</f>
        <v>https://www.artic.edu/iiif/2/3ff1d2d8-2665-e9e8-f071-951ddd99d5dd/full/843,/0/default.jpg</v>
      </c>
      <c r="N3291" s="3">
        <v>0.65</v>
      </c>
      <c r="O3291" s="3">
        <v>0.125</v>
      </c>
      <c r="P3291" s="3">
        <v>0.52500000000000002</v>
      </c>
      <c r="Q3291" s="3">
        <v>0.77111119031906095</v>
      </c>
    </row>
    <row r="3292" spans="1:17" x14ac:dyDescent="0.45">
      <c r="A3292" s="3">
        <v>184737</v>
      </c>
      <c r="B3292" t="b">
        <v>0</v>
      </c>
      <c r="C3292" t="b">
        <v>0</v>
      </c>
      <c r="D3292" s="3">
        <v>2003</v>
      </c>
      <c r="E3292" s="3">
        <v>2003</v>
      </c>
      <c r="F3292" t="s">
        <v>4843</v>
      </c>
      <c r="G3292" t="s">
        <v>4823</v>
      </c>
      <c r="H3292" s="3">
        <v>10.545</v>
      </c>
      <c r="I3292" t="s">
        <v>293</v>
      </c>
      <c r="J3292" t="s">
        <v>10977</v>
      </c>
      <c r="K3292" s="5" t="s">
        <v>15</v>
      </c>
      <c r="L3292" t="s">
        <v>4844</v>
      </c>
      <c r="M3292" t="str">
        <f>"https://www.artic.edu/iiif/2/"&amp;Table9[[#This Row],[Image ID]]&amp;"/full/843,/0/default.jpg"</f>
        <v>https://www.artic.edu/iiif/2/4909f44d-a33e-270a-5714-0f6f1e815b6f/full/843,/0/default.jpg</v>
      </c>
      <c r="N3292" s="3">
        <v>0.6</v>
      </c>
      <c r="O3292" s="3">
        <v>7.4999999999999997E-2</v>
      </c>
      <c r="P3292" s="3">
        <v>0.52500000000000002</v>
      </c>
      <c r="Q3292" s="3">
        <v>0.856725513935089</v>
      </c>
    </row>
    <row r="3293" spans="1:17" x14ac:dyDescent="0.45">
      <c r="A3293" s="3">
        <v>117562</v>
      </c>
      <c r="B3293" t="b">
        <v>0</v>
      </c>
      <c r="C3293" t="b">
        <v>0</v>
      </c>
      <c r="D3293" s="3">
        <v>1982</v>
      </c>
      <c r="E3293" s="3">
        <v>1982</v>
      </c>
      <c r="F3293" t="s">
        <v>2376</v>
      </c>
      <c r="G3293" t="s">
        <v>2377</v>
      </c>
      <c r="H3293" s="3">
        <v>40.472200000000001</v>
      </c>
      <c r="I3293" t="s">
        <v>2374</v>
      </c>
      <c r="J3293" t="s">
        <v>12206</v>
      </c>
      <c r="L3293" t="s">
        <v>2378</v>
      </c>
      <c r="M3293" t="str">
        <f>"https://www.artic.edu/iiif/2/"&amp;Table9[[#This Row],[Image ID]]&amp;"/full/843,/0/default.jpg"</f>
        <v>https://www.artic.edu/iiif/2/5474c6b6-a26e-f583-eee8-304ba35deacb/full/843,/0/default.jpg</v>
      </c>
      <c r="N3293" s="3">
        <v>0.67500000000000004</v>
      </c>
      <c r="O3293" s="3">
        <v>0.15</v>
      </c>
      <c r="P3293" s="3">
        <v>0.52500000000000002</v>
      </c>
      <c r="Q3293" s="3">
        <v>0.71184128522872903</v>
      </c>
    </row>
    <row r="3294" spans="1:17" x14ac:dyDescent="0.45">
      <c r="A3294" s="3">
        <v>236500</v>
      </c>
      <c r="B3294" t="b">
        <v>0</v>
      </c>
      <c r="C3294" t="b">
        <v>0</v>
      </c>
      <c r="D3294" s="3">
        <v>1924</v>
      </c>
      <c r="E3294" s="3">
        <v>1924</v>
      </c>
      <c r="F3294" t="s">
        <v>6267</v>
      </c>
      <c r="G3294" t="s">
        <v>7</v>
      </c>
      <c r="H3294" s="3">
        <v>29.784400000000002</v>
      </c>
      <c r="I3294" t="s">
        <v>14588</v>
      </c>
      <c r="J3294" t="s">
        <v>12257</v>
      </c>
      <c r="L3294" t="s">
        <v>6268</v>
      </c>
      <c r="M3294" t="str">
        <f>"https://www.artic.edu/iiif/2/"&amp;Table9[[#This Row],[Image ID]]&amp;"/full/843,/0/default.jpg"</f>
        <v>https://www.artic.edu/iiif/2/575b46fc-92f0-4ff2-30f1-f53db503bfa7/full/843,/0/default.jpg</v>
      </c>
      <c r="N3294" s="3">
        <v>0.52500000000000002</v>
      </c>
      <c r="O3294" s="3">
        <v>0</v>
      </c>
      <c r="P3294" s="3">
        <v>0.52500000000000002</v>
      </c>
      <c r="Q3294" s="3">
        <v>0.76136130094528198</v>
      </c>
    </row>
    <row r="3295" spans="1:17" x14ac:dyDescent="0.45">
      <c r="A3295" s="3">
        <v>107324</v>
      </c>
      <c r="B3295" t="b">
        <v>0</v>
      </c>
      <c r="C3295" t="b">
        <v>0</v>
      </c>
      <c r="D3295" s="3">
        <v>1927</v>
      </c>
      <c r="E3295" s="3">
        <v>1927</v>
      </c>
      <c r="F3295" t="s">
        <v>649</v>
      </c>
      <c r="G3295" t="s">
        <v>650</v>
      </c>
      <c r="H3295" s="3">
        <v>51.305799999999998</v>
      </c>
      <c r="I3295" t="s">
        <v>651</v>
      </c>
      <c r="J3295" t="s">
        <v>12303</v>
      </c>
      <c r="L3295" t="s">
        <v>652</v>
      </c>
      <c r="M3295" t="str">
        <f>"https://www.artic.edu/iiif/2/"&amp;Table9[[#This Row],[Image ID]]&amp;"/full/843,/0/default.jpg"</f>
        <v>https://www.artic.edu/iiif/2/5adde73c-b70a-44c8-e9c8-cdb14c384144/full/843,/0/default.jpg</v>
      </c>
      <c r="N3295" s="3">
        <v>0.55000000000000004</v>
      </c>
      <c r="O3295" s="3">
        <v>2.5000000000000001E-2</v>
      </c>
      <c r="P3295" s="3">
        <v>0.52500000000000002</v>
      </c>
      <c r="Q3295" s="3">
        <v>0.71212679147720304</v>
      </c>
    </row>
    <row r="3296" spans="1:17" x14ac:dyDescent="0.45">
      <c r="A3296" s="3">
        <v>100830</v>
      </c>
      <c r="B3296" t="b">
        <v>0</v>
      </c>
      <c r="C3296" t="b">
        <v>0</v>
      </c>
      <c r="D3296" s="3">
        <v>1975</v>
      </c>
      <c r="E3296" s="3">
        <v>1975</v>
      </c>
      <c r="F3296" t="s">
        <v>140</v>
      </c>
      <c r="G3296" t="s">
        <v>141</v>
      </c>
      <c r="H3296" s="3">
        <v>67.156700000000001</v>
      </c>
      <c r="I3296" t="s">
        <v>142</v>
      </c>
      <c r="J3296" t="s">
        <v>12311</v>
      </c>
      <c r="L3296" t="s">
        <v>143</v>
      </c>
      <c r="M3296" t="str">
        <f>"https://www.artic.edu/iiif/2/"&amp;Table9[[#This Row],[Image ID]]&amp;"/full/843,/0/default.jpg"</f>
        <v>https://www.artic.edu/iiif/2/5b47411e-93d7-580f-be82-d122d7a525e0/full/843,/0/default.jpg</v>
      </c>
      <c r="N3296" s="3">
        <v>0.6</v>
      </c>
      <c r="O3296" s="3">
        <v>7.4999999999999997E-2</v>
      </c>
      <c r="P3296" s="3">
        <v>0.52500000000000002</v>
      </c>
      <c r="Q3296" s="3">
        <v>0.62364852428436202</v>
      </c>
    </row>
    <row r="3297" spans="1:17" x14ac:dyDescent="0.45">
      <c r="A3297" s="3">
        <v>65937</v>
      </c>
      <c r="B3297" t="b">
        <v>0</v>
      </c>
      <c r="C3297" t="b">
        <v>0</v>
      </c>
      <c r="D3297" s="3">
        <v>1920</v>
      </c>
      <c r="E3297" s="3">
        <v>1920</v>
      </c>
      <c r="F3297" t="s">
        <v>9104</v>
      </c>
      <c r="G3297" t="s">
        <v>7</v>
      </c>
      <c r="H3297" s="3">
        <v>33.757199999999997</v>
      </c>
      <c r="I3297" t="s">
        <v>1019</v>
      </c>
      <c r="J3297" t="s">
        <v>12653</v>
      </c>
      <c r="K3297" s="5" t="s">
        <v>45</v>
      </c>
      <c r="L3297" t="s">
        <v>9105</v>
      </c>
      <c r="M3297" t="str">
        <f>"https://www.artic.edu/iiif/2/"&amp;Table9[[#This Row],[Image ID]]&amp;"/full/843,/0/default.jpg"</f>
        <v>https://www.artic.edu/iiif/2/73a61bab-fcf6-7145-3e29-8edd95212db1/full/843,/0/default.jpg</v>
      </c>
      <c r="N3297" s="3">
        <v>0.625</v>
      </c>
      <c r="O3297" s="3">
        <v>0.1</v>
      </c>
      <c r="P3297" s="3">
        <v>0.52500000000000002</v>
      </c>
      <c r="Q3297" s="3">
        <v>0.74590963125228804</v>
      </c>
    </row>
    <row r="3298" spans="1:17" x14ac:dyDescent="0.45">
      <c r="A3298" s="3">
        <v>18830</v>
      </c>
      <c r="B3298" t="b">
        <v>0</v>
      </c>
      <c r="C3298" t="b">
        <v>0</v>
      </c>
      <c r="D3298" s="3">
        <v>1927</v>
      </c>
      <c r="E3298" s="3">
        <v>1927</v>
      </c>
      <c r="F3298" t="s">
        <v>499</v>
      </c>
      <c r="G3298" t="s">
        <v>7</v>
      </c>
      <c r="H3298" s="3">
        <v>62.854700000000001</v>
      </c>
      <c r="I3298" t="s">
        <v>14639</v>
      </c>
      <c r="J3298" t="s">
        <v>12815</v>
      </c>
      <c r="L3298" t="s">
        <v>5120</v>
      </c>
      <c r="M3298" t="str">
        <f>"https://www.artic.edu/iiif/2/"&amp;Table9[[#This Row],[Image ID]]&amp;"/full/843,/0/default.jpg"</f>
        <v>https://www.artic.edu/iiif/2/80023112-af68-e396-2e52-1627939ab75a/full/843,/0/default.jpg</v>
      </c>
      <c r="N3298" s="3">
        <v>0.625</v>
      </c>
      <c r="O3298" s="3">
        <v>0.1</v>
      </c>
      <c r="P3298" s="3">
        <v>0.52500000000000002</v>
      </c>
      <c r="Q3298" s="3">
        <v>0.773934006690979</v>
      </c>
    </row>
    <row r="3299" spans="1:17" x14ac:dyDescent="0.45">
      <c r="A3299" s="3">
        <v>235653</v>
      </c>
      <c r="B3299" t="b">
        <v>0</v>
      </c>
      <c r="C3299" t="b">
        <v>0</v>
      </c>
      <c r="D3299" s="3">
        <v>1928</v>
      </c>
      <c r="E3299" s="3">
        <v>1928</v>
      </c>
      <c r="F3299" t="s">
        <v>6252</v>
      </c>
      <c r="G3299" t="s">
        <v>7</v>
      </c>
      <c r="H3299" s="3">
        <v>19.582699999999999</v>
      </c>
      <c r="I3299" t="s">
        <v>6253</v>
      </c>
      <c r="J3299" t="s">
        <v>12817</v>
      </c>
      <c r="K3299" s="5" t="s">
        <v>45</v>
      </c>
      <c r="L3299" t="s">
        <v>6254</v>
      </c>
      <c r="M3299" t="str">
        <f>"https://www.artic.edu/iiif/2/"&amp;Table9[[#This Row],[Image ID]]&amp;"/full/843,/0/default.jpg"</f>
        <v>https://www.artic.edu/iiif/2/80394944-0342-11ad-89e6-b8367b31ad6f/full/843,/0/default.jpg</v>
      </c>
      <c r="N3299" s="3">
        <v>0.625</v>
      </c>
      <c r="O3299" s="3">
        <v>0.1</v>
      </c>
      <c r="P3299" s="3">
        <v>0.52500000000000002</v>
      </c>
      <c r="Q3299" s="3">
        <v>0.70355200767517001</v>
      </c>
    </row>
    <row r="3300" spans="1:17" x14ac:dyDescent="0.45">
      <c r="A3300" s="3">
        <v>40614</v>
      </c>
      <c r="B3300" t="b">
        <v>0</v>
      </c>
      <c r="C3300" t="b">
        <v>0</v>
      </c>
      <c r="D3300" s="3">
        <v>1944</v>
      </c>
      <c r="E3300" s="3">
        <v>1972</v>
      </c>
      <c r="F3300" t="s">
        <v>11</v>
      </c>
      <c r="G3300" t="s">
        <v>7656</v>
      </c>
      <c r="H3300" s="3">
        <v>61.241500000000002</v>
      </c>
      <c r="I3300" t="s">
        <v>2680</v>
      </c>
      <c r="J3300" t="s">
        <v>12901</v>
      </c>
      <c r="L3300" t="s">
        <v>7657</v>
      </c>
      <c r="M3300" t="str">
        <f>"https://www.artic.edu/iiif/2/"&amp;Table9[[#This Row],[Image ID]]&amp;"/full/843,/0/default.jpg"</f>
        <v>https://www.artic.edu/iiif/2/85d355c4-8b7d-a77b-537e-83dc59c5d6d7/full/843,/0/default.jpg</v>
      </c>
      <c r="N3300" s="3">
        <v>0.6</v>
      </c>
      <c r="O3300" s="3">
        <v>7.4999999999999997E-2</v>
      </c>
      <c r="P3300" s="3">
        <v>0.52500000000000002</v>
      </c>
      <c r="Q3300" s="3">
        <v>0.74602007865905695</v>
      </c>
    </row>
    <row r="3301" spans="1:17" x14ac:dyDescent="0.45">
      <c r="A3301" s="3">
        <v>255887</v>
      </c>
      <c r="B3301" t="b">
        <v>0</v>
      </c>
      <c r="C3301" t="b">
        <v>0</v>
      </c>
      <c r="D3301" s="3">
        <v>2016</v>
      </c>
      <c r="E3301" s="3">
        <v>2016</v>
      </c>
      <c r="F3301" t="s">
        <v>6521</v>
      </c>
      <c r="G3301" t="s">
        <v>6522</v>
      </c>
      <c r="H3301" s="3">
        <v>12.5283</v>
      </c>
      <c r="I3301" t="s">
        <v>6523</v>
      </c>
      <c r="J3301" t="s">
        <v>12946</v>
      </c>
      <c r="L3301" t="s">
        <v>6524</v>
      </c>
      <c r="M3301" t="str">
        <f>"https://www.artic.edu/iiif/2/"&amp;Table9[[#This Row],[Image ID]]&amp;"/full/843,/0/default.jpg"</f>
        <v>https://www.artic.edu/iiif/2/8a362cc1-8c24-4bba-c5be-e59d26441a76/full/843,/0/default.jpg</v>
      </c>
      <c r="N3301" s="3">
        <v>0.55000000000000004</v>
      </c>
      <c r="O3301" s="3">
        <v>2.5000000000000001E-2</v>
      </c>
      <c r="P3301" s="3">
        <v>0.52500000000000002</v>
      </c>
      <c r="Q3301" s="3">
        <v>0.68990617990493697</v>
      </c>
    </row>
    <row r="3302" spans="1:17" x14ac:dyDescent="0.45">
      <c r="A3302" s="3">
        <v>9530</v>
      </c>
      <c r="B3302" t="b">
        <v>0</v>
      </c>
      <c r="C3302" t="b">
        <v>0</v>
      </c>
      <c r="D3302" s="3">
        <v>1956</v>
      </c>
      <c r="E3302" s="3">
        <v>1956</v>
      </c>
      <c r="F3302" t="s">
        <v>10762</v>
      </c>
      <c r="G3302" t="s">
        <v>7</v>
      </c>
      <c r="H3302" s="3">
        <v>12.32</v>
      </c>
      <c r="I3302" t="s">
        <v>752</v>
      </c>
      <c r="J3302" t="s">
        <v>13112</v>
      </c>
      <c r="L3302" t="s">
        <v>10763</v>
      </c>
      <c r="M3302" t="str">
        <f>"https://www.artic.edu/iiif/2/"&amp;Table9[[#This Row],[Image ID]]&amp;"/full/843,/0/default.jpg"</f>
        <v>https://www.artic.edu/iiif/2/971c3cc0-b3c2-328a-8ee7-23254b43baac/full/843,/0/default.jpg</v>
      </c>
      <c r="N3302" s="3">
        <v>0.55000000000000004</v>
      </c>
      <c r="O3302" s="3">
        <v>2.5000000000000001E-2</v>
      </c>
      <c r="P3302" s="3">
        <v>0.52500000000000002</v>
      </c>
      <c r="Q3302" s="3">
        <v>0.81290340423583896</v>
      </c>
    </row>
    <row r="3303" spans="1:17" x14ac:dyDescent="0.45">
      <c r="A3303" s="3">
        <v>62879</v>
      </c>
      <c r="B3303" t="b">
        <v>0</v>
      </c>
      <c r="C3303" t="b">
        <v>0</v>
      </c>
      <c r="D3303" s="3">
        <v>1893</v>
      </c>
      <c r="E3303" s="3">
        <v>1903</v>
      </c>
      <c r="F3303" t="s">
        <v>8918</v>
      </c>
      <c r="G3303" t="s">
        <v>8919</v>
      </c>
      <c r="H3303" s="3">
        <v>21.2575</v>
      </c>
      <c r="I3303" t="s">
        <v>786</v>
      </c>
      <c r="J3303" t="s">
        <v>13190</v>
      </c>
      <c r="L3303" t="s">
        <v>8920</v>
      </c>
      <c r="M3303" t="str">
        <f>"https://www.artic.edu/iiif/2/"&amp;Table9[[#This Row],[Image ID]]&amp;"/full/843,/0/default.jpg"</f>
        <v>https://www.artic.edu/iiif/2/9cfdaeda-5a61-b74c-a62d-c28efaea197d/full/843,/0/default.jpg</v>
      </c>
      <c r="N3303" s="3">
        <v>0.6</v>
      </c>
      <c r="O3303" s="3">
        <v>7.4999999999999997E-2</v>
      </c>
      <c r="P3303" s="3">
        <v>0.52500000000000002</v>
      </c>
      <c r="Q3303" s="3">
        <v>0.71305900812149003</v>
      </c>
    </row>
    <row r="3304" spans="1:17" x14ac:dyDescent="0.45">
      <c r="A3304" s="3">
        <v>43995</v>
      </c>
      <c r="B3304" t="b">
        <v>0</v>
      </c>
      <c r="C3304" t="b">
        <v>0</v>
      </c>
      <c r="D3304" s="3">
        <v>1940</v>
      </c>
      <c r="E3304" s="3">
        <v>1940</v>
      </c>
      <c r="F3304" t="s">
        <v>7739</v>
      </c>
      <c r="G3304" t="s">
        <v>7</v>
      </c>
      <c r="H3304" s="3">
        <v>40.976700000000001</v>
      </c>
      <c r="I3304" t="s">
        <v>539</v>
      </c>
      <c r="J3304" t="s">
        <v>13536</v>
      </c>
      <c r="L3304" t="s">
        <v>7740</v>
      </c>
      <c r="M3304" t="str">
        <f>"https://www.artic.edu/iiif/2/"&amp;Table9[[#This Row],[Image ID]]&amp;"/full/843,/0/default.jpg"</f>
        <v>https://www.artic.edu/iiif/2/b6e351f8-15a8-748a-3a09-6f87386eb7c8/full/843,/0/default.jpg</v>
      </c>
      <c r="N3304" s="3">
        <v>0.65</v>
      </c>
      <c r="O3304" s="3">
        <v>0.125</v>
      </c>
      <c r="P3304" s="3">
        <v>0.52500000000000002</v>
      </c>
      <c r="Q3304" s="3">
        <v>0.67590636014938299</v>
      </c>
    </row>
    <row r="3305" spans="1:17" x14ac:dyDescent="0.45">
      <c r="A3305" s="3">
        <v>2900</v>
      </c>
      <c r="B3305" t="b">
        <v>0</v>
      </c>
      <c r="C3305" t="b">
        <v>0</v>
      </c>
      <c r="D3305" s="3">
        <v>1910</v>
      </c>
      <c r="E3305" s="3">
        <v>1910</v>
      </c>
      <c r="F3305" t="s">
        <v>2594</v>
      </c>
      <c r="G3305" t="s">
        <v>6856</v>
      </c>
      <c r="H3305" s="3">
        <v>21.459700000000002</v>
      </c>
      <c r="I3305" t="s">
        <v>949</v>
      </c>
      <c r="J3305" t="s">
        <v>13676</v>
      </c>
      <c r="L3305" t="s">
        <v>6857</v>
      </c>
      <c r="M3305" t="str">
        <f>"https://www.artic.edu/iiif/2/"&amp;Table9[[#This Row],[Image ID]]&amp;"/full/843,/0/default.jpg"</f>
        <v>https://www.artic.edu/iiif/2/c215b9d5-6de7-1b9d-819d-91271cc2115a/full/843,/0/default.jpg</v>
      </c>
      <c r="N3305" s="3">
        <v>0.75</v>
      </c>
      <c r="O3305" s="3">
        <v>0.22500000000000001</v>
      </c>
      <c r="P3305" s="3">
        <v>0.52500000000000002</v>
      </c>
      <c r="Q3305" s="3">
        <v>0.70411598682403498</v>
      </c>
    </row>
    <row r="3306" spans="1:17" x14ac:dyDescent="0.45">
      <c r="A3306" s="3">
        <v>55498</v>
      </c>
      <c r="B3306" t="b">
        <v>0</v>
      </c>
      <c r="C3306" t="b">
        <v>0</v>
      </c>
      <c r="D3306" s="3">
        <v>1911</v>
      </c>
      <c r="E3306" s="3">
        <v>1911</v>
      </c>
      <c r="F3306" t="s">
        <v>5351</v>
      </c>
      <c r="G3306" t="s">
        <v>7</v>
      </c>
      <c r="H3306" s="3">
        <v>14.1675</v>
      </c>
      <c r="I3306" t="s">
        <v>14554</v>
      </c>
      <c r="J3306" t="s">
        <v>13958</v>
      </c>
      <c r="L3306" t="s">
        <v>8342</v>
      </c>
      <c r="M3306" t="str">
        <f>"https://www.artic.edu/iiif/2/"&amp;Table9[[#This Row],[Image ID]]&amp;"/full/843,/0/default.jpg"</f>
        <v>https://www.artic.edu/iiif/2/d864624c-75c3-b1dc-68bf-7243e303c371/full/843,/0/default.jpg</v>
      </c>
      <c r="N3306" s="3">
        <v>0.67500000000000004</v>
      </c>
      <c r="O3306" s="3">
        <v>0.15</v>
      </c>
      <c r="P3306" s="3">
        <v>0.52500000000000002</v>
      </c>
      <c r="Q3306" s="3">
        <v>0.69186514616012496</v>
      </c>
    </row>
    <row r="3307" spans="1:17" x14ac:dyDescent="0.45">
      <c r="A3307" s="3">
        <v>41861</v>
      </c>
      <c r="B3307" t="b">
        <v>0</v>
      </c>
      <c r="C3307" t="b">
        <v>0</v>
      </c>
      <c r="D3307" s="3">
        <v>1924</v>
      </c>
      <c r="E3307" s="3">
        <v>1924</v>
      </c>
      <c r="F3307" t="s">
        <v>7704</v>
      </c>
      <c r="G3307" t="s">
        <v>7705</v>
      </c>
      <c r="H3307" s="3">
        <v>44.72</v>
      </c>
      <c r="I3307" t="s">
        <v>2404</v>
      </c>
      <c r="J3307" t="s">
        <v>13968</v>
      </c>
      <c r="L3307" t="s">
        <v>7706</v>
      </c>
      <c r="M3307" t="str">
        <f>"https://www.artic.edu/iiif/2/"&amp;Table9[[#This Row],[Image ID]]&amp;"/full/843,/0/default.jpg"</f>
        <v>https://www.artic.edu/iiif/2/d94eadf9-e9de-cc72-f9eb-e170506f6f89/full/843,/0/default.jpg</v>
      </c>
      <c r="N3307" s="3">
        <v>0.65</v>
      </c>
      <c r="O3307" s="3">
        <v>0.125</v>
      </c>
      <c r="P3307" s="3">
        <v>0.52500000000000002</v>
      </c>
      <c r="Q3307" s="3">
        <v>0.59400910139083796</v>
      </c>
    </row>
    <row r="3308" spans="1:17" x14ac:dyDescent="0.45">
      <c r="A3308" s="3">
        <v>74164</v>
      </c>
      <c r="B3308" t="b">
        <v>0</v>
      </c>
      <c r="C3308" t="b">
        <v>0</v>
      </c>
      <c r="D3308" s="3">
        <v>1918</v>
      </c>
      <c r="E3308" s="3">
        <v>1918</v>
      </c>
      <c r="F3308" t="s">
        <v>9678</v>
      </c>
      <c r="G3308" t="s">
        <v>9679</v>
      </c>
      <c r="H3308" s="3">
        <v>36.103700000000003</v>
      </c>
      <c r="I3308" t="s">
        <v>14678</v>
      </c>
      <c r="J3308" t="s">
        <v>14021</v>
      </c>
      <c r="L3308" t="s">
        <v>9680</v>
      </c>
      <c r="M3308" t="str">
        <f>"https://www.artic.edu/iiif/2/"&amp;Table9[[#This Row],[Image ID]]&amp;"/full/843,/0/default.jpg"</f>
        <v>https://www.artic.edu/iiif/2/dd090337-83e6-1509-dbbe-81372fff8d96/full/843,/0/default.jpg</v>
      </c>
      <c r="N3308" s="3">
        <v>0.65</v>
      </c>
      <c r="O3308" s="3">
        <v>0.125</v>
      </c>
      <c r="P3308" s="3">
        <v>0.52500000000000002</v>
      </c>
      <c r="Q3308" s="3">
        <v>0.74416530132293701</v>
      </c>
    </row>
    <row r="3309" spans="1:17" x14ac:dyDescent="0.45">
      <c r="A3309" s="3">
        <v>10154</v>
      </c>
      <c r="B3309" t="b">
        <v>0</v>
      </c>
      <c r="C3309" t="b">
        <v>0</v>
      </c>
      <c r="D3309" s="3">
        <v>1938</v>
      </c>
      <c r="E3309" s="3">
        <v>1953</v>
      </c>
      <c r="F3309" t="s">
        <v>182</v>
      </c>
      <c r="G3309" t="s">
        <v>183</v>
      </c>
      <c r="H3309" s="3">
        <v>53.447099999999999</v>
      </c>
      <c r="I3309" t="s">
        <v>184</v>
      </c>
      <c r="J3309" t="s">
        <v>14290</v>
      </c>
      <c r="L3309" t="s">
        <v>185</v>
      </c>
      <c r="M3309" t="str">
        <f>"https://www.artic.edu/iiif/2/"&amp;Table9[[#This Row],[Image ID]]&amp;"/full/843,/0/default.jpg"</f>
        <v>https://www.artic.edu/iiif/2/ee24e74f-2a20-21c6-76b4-a3458a1a70cf/full/843,/0/default.jpg</v>
      </c>
      <c r="N3309" s="3">
        <v>0.6</v>
      </c>
      <c r="O3309" s="3">
        <v>7.4999999999999997E-2</v>
      </c>
      <c r="P3309" s="3">
        <v>0.52500000000000002</v>
      </c>
      <c r="Q3309" s="3">
        <v>0.67574161291122403</v>
      </c>
    </row>
    <row r="3310" spans="1:17" x14ac:dyDescent="0.45">
      <c r="A3310" s="3">
        <v>3100</v>
      </c>
      <c r="B3310" t="b">
        <v>0</v>
      </c>
      <c r="C3310" t="b">
        <v>0</v>
      </c>
      <c r="D3310" s="3">
        <v>1928</v>
      </c>
      <c r="E3310" s="3">
        <v>1928</v>
      </c>
      <c r="F3310" t="s">
        <v>6984</v>
      </c>
      <c r="G3310" t="s">
        <v>6985</v>
      </c>
      <c r="H3310" s="3">
        <v>29.996200000000002</v>
      </c>
      <c r="I3310" t="s">
        <v>1404</v>
      </c>
      <c r="J3310" t="s">
        <v>14373</v>
      </c>
      <c r="L3310" t="s">
        <v>6986</v>
      </c>
      <c r="M3310" t="str">
        <f>"https://www.artic.edu/iiif/2/"&amp;Table9[[#This Row],[Image ID]]&amp;"/full/843,/0/default.jpg"</f>
        <v>https://www.artic.edu/iiif/2/f4bacab6-cefe-2389-7132-99202b614e0f/full/843,/0/default.jpg</v>
      </c>
      <c r="N3310" s="3">
        <v>0.6</v>
      </c>
      <c r="O3310" s="3">
        <v>7.4999999999999997E-2</v>
      </c>
      <c r="P3310" s="3">
        <v>0.52500000000000002</v>
      </c>
      <c r="Q3310" s="3">
        <v>0.60457706451416005</v>
      </c>
    </row>
    <row r="3311" spans="1:17" x14ac:dyDescent="0.45">
      <c r="A3311" s="3">
        <v>64036</v>
      </c>
      <c r="B3311" t="b">
        <v>0</v>
      </c>
      <c r="C3311" t="b">
        <v>0</v>
      </c>
      <c r="D3311" s="3">
        <v>1888</v>
      </c>
      <c r="E3311" s="3">
        <v>1932</v>
      </c>
      <c r="F3311" t="s">
        <v>8966</v>
      </c>
      <c r="G3311" t="s">
        <v>8967</v>
      </c>
      <c r="H3311" s="3">
        <v>43.102499999999999</v>
      </c>
      <c r="I3311" t="s">
        <v>8968</v>
      </c>
      <c r="J3311" t="s">
        <v>14412</v>
      </c>
      <c r="L3311" t="s">
        <v>8969</v>
      </c>
      <c r="M3311" t="str">
        <f>"https://www.artic.edu/iiif/2/"&amp;Table9[[#This Row],[Image ID]]&amp;"/full/843,/0/default.jpg"</f>
        <v>https://www.artic.edu/iiif/2/f6d4295a-be9e-9fe9-9eeb-c11f9844eadd/full/843,/0/default.jpg</v>
      </c>
      <c r="N3311" s="3">
        <v>0.625</v>
      </c>
      <c r="O3311" s="3">
        <v>0.1</v>
      </c>
      <c r="P3311" s="3">
        <v>0.52500000000000002</v>
      </c>
      <c r="Q3311" s="3">
        <v>0.66789883375167802</v>
      </c>
    </row>
    <row r="3312" spans="1:17" x14ac:dyDescent="0.45">
      <c r="A3312" s="3">
        <v>80574</v>
      </c>
      <c r="B3312" t="b">
        <v>0</v>
      </c>
      <c r="C3312" t="b">
        <v>0</v>
      </c>
      <c r="D3312" s="3">
        <v>1923</v>
      </c>
      <c r="E3312" s="3">
        <v>1923</v>
      </c>
      <c r="F3312" t="s">
        <v>985</v>
      </c>
      <c r="G3312" t="s">
        <v>7</v>
      </c>
      <c r="H3312" s="3">
        <v>0</v>
      </c>
      <c r="I3312" t="s">
        <v>4681</v>
      </c>
      <c r="J3312" t="s">
        <v>14495</v>
      </c>
      <c r="L3312" t="s">
        <v>10029</v>
      </c>
      <c r="M3312" t="str">
        <f>"https://www.artic.edu/iiif/2/"&amp;Table9[[#This Row],[Image ID]]&amp;"/full/843,/0/default.jpg"</f>
        <v>https://www.artic.edu/iiif/2/fd23ea1a-62c4-e257-223e-195e7953efba/full/843,/0/default.jpg</v>
      </c>
      <c r="N3312" s="3">
        <v>0.625</v>
      </c>
      <c r="O3312" s="3">
        <v>0.1</v>
      </c>
      <c r="P3312" s="3">
        <v>0.52500000000000002</v>
      </c>
      <c r="Q3312" s="3">
        <v>0.66589689254760698</v>
      </c>
    </row>
    <row r="3313" spans="1:17" x14ac:dyDescent="0.45">
      <c r="A3313" s="3">
        <v>102092</v>
      </c>
      <c r="B3313" t="b">
        <v>0</v>
      </c>
      <c r="C3313" t="b">
        <v>0</v>
      </c>
      <c r="D3313" s="3">
        <v>1350</v>
      </c>
      <c r="E3313" s="3">
        <v>1600</v>
      </c>
      <c r="F3313" t="s">
        <v>220</v>
      </c>
      <c r="G3313" t="s">
        <v>221</v>
      </c>
      <c r="H3313" s="3">
        <v>36.779899999999998</v>
      </c>
      <c r="I3313" t="s">
        <v>217</v>
      </c>
      <c r="J3313" t="s">
        <v>219</v>
      </c>
      <c r="L3313" t="s">
        <v>222</v>
      </c>
      <c r="M3313" t="str">
        <f>"https://www.artic.edu/iiif/2/"&amp;Table9[[#This Row],[Image ID]]&amp;"/full/843,/0/default.jpg"</f>
        <v>https://www.artic.edu/iiif/2/fd388bf1-5388-2993-9eca-3aa27948f134/full/843,/0/default.jpg</v>
      </c>
      <c r="N3313" s="3">
        <v>0.55000000000000004</v>
      </c>
      <c r="O3313" s="3">
        <v>2.5000000000000001E-2</v>
      </c>
      <c r="P3313" s="3">
        <v>0.52500000000000002</v>
      </c>
      <c r="Q3313" s="3">
        <v>0.71854209899902299</v>
      </c>
    </row>
    <row r="3314" spans="1:17" x14ac:dyDescent="0.45">
      <c r="A3314" s="3">
        <v>53010</v>
      </c>
      <c r="B3314" t="b">
        <v>0</v>
      </c>
      <c r="C3314" t="b">
        <v>0</v>
      </c>
      <c r="D3314" s="3">
        <v>1956</v>
      </c>
      <c r="E3314" s="3">
        <v>1956</v>
      </c>
      <c r="F3314" t="s">
        <v>8221</v>
      </c>
      <c r="G3314" t="s">
        <v>7</v>
      </c>
      <c r="H3314" s="3">
        <v>25.325700000000001</v>
      </c>
      <c r="I3314" t="s">
        <v>8222</v>
      </c>
      <c r="J3314" t="s">
        <v>14502</v>
      </c>
      <c r="L3314" t="s">
        <v>8223</v>
      </c>
      <c r="M3314" t="str">
        <f>"https://www.artic.edu/iiif/2/"&amp;Table9[[#This Row],[Image ID]]&amp;"/full/843,/0/default.jpg"</f>
        <v>https://www.artic.edu/iiif/2/fdb0b101-b858-e7f4-26d2-d75a992cd767/full/843,/0/default.jpg</v>
      </c>
      <c r="N3314" s="3">
        <v>0.52500000000000002</v>
      </c>
      <c r="O3314" s="3">
        <v>0</v>
      </c>
      <c r="P3314" s="3">
        <v>0.52500000000000002</v>
      </c>
      <c r="Q3314" s="3">
        <v>0.57054716348648005</v>
      </c>
    </row>
    <row r="3315" spans="1:17" x14ac:dyDescent="0.45">
      <c r="A3315" s="3">
        <v>158375</v>
      </c>
      <c r="B3315" t="b">
        <v>0</v>
      </c>
      <c r="C3315" t="b">
        <v>0</v>
      </c>
      <c r="D3315" s="3">
        <v>1960</v>
      </c>
      <c r="E3315" s="3">
        <v>1960</v>
      </c>
      <c r="F3315" t="s">
        <v>11</v>
      </c>
      <c r="G3315" t="s">
        <v>370</v>
      </c>
      <c r="H3315" s="3">
        <v>72.364900000000006</v>
      </c>
      <c r="I3315" t="s">
        <v>4122</v>
      </c>
      <c r="J3315" t="s">
        <v>14527</v>
      </c>
      <c r="L3315" t="s">
        <v>4123</v>
      </c>
      <c r="M3315" t="str">
        <f>"https://www.artic.edu/iiif/2/"&amp;Table9[[#This Row],[Image ID]]&amp;"/full/843,/0/default.jpg"</f>
        <v>https://www.artic.edu/iiif/2/ff1ac467-bc3f-614b-c337-b13dc36a4a22/full/843,/0/default.jpg</v>
      </c>
      <c r="N3315" s="3">
        <v>0.625</v>
      </c>
      <c r="O3315" s="3">
        <v>0.1</v>
      </c>
      <c r="P3315" s="3">
        <v>0.52500000000000002</v>
      </c>
      <c r="Q3315" s="3">
        <v>0.74973946809768599</v>
      </c>
    </row>
    <row r="3316" spans="1:17" x14ac:dyDescent="0.45">
      <c r="A3316" s="3">
        <v>61549</v>
      </c>
      <c r="B3316" t="b">
        <v>0</v>
      </c>
      <c r="C3316" t="b">
        <v>1</v>
      </c>
      <c r="D3316" s="3">
        <v>1800</v>
      </c>
      <c r="E3316" s="3">
        <v>1805</v>
      </c>
      <c r="F3316" t="s">
        <v>4000</v>
      </c>
      <c r="G3316" t="s">
        <v>8803</v>
      </c>
      <c r="H3316" s="3">
        <v>33.677100000000003</v>
      </c>
      <c r="I3316" t="s">
        <v>1312</v>
      </c>
      <c r="J3316" t="s">
        <v>11522</v>
      </c>
      <c r="L3316" t="s">
        <v>8804</v>
      </c>
      <c r="M3316" t="str">
        <f>"https://www.artic.edu/iiif/2/"&amp;Table9[[#This Row],[Image ID]]&amp;"/full/843,/0/default.jpg"</f>
        <v>https://www.artic.edu/iiif/2/265a8ea5-ca29-c834-7211-63f140986d67/full/843,/0/default.jpg</v>
      </c>
      <c r="N3316" s="3">
        <v>0.57499999999999996</v>
      </c>
      <c r="O3316" s="3">
        <v>0.05</v>
      </c>
      <c r="P3316" s="3">
        <v>0.52499999999999991</v>
      </c>
      <c r="Q3316" s="3">
        <v>0.73288846015930098</v>
      </c>
    </row>
    <row r="3317" spans="1:17" x14ac:dyDescent="0.45">
      <c r="A3317" s="3">
        <v>22644</v>
      </c>
      <c r="B3317" t="b">
        <v>0</v>
      </c>
      <c r="C3317" t="b">
        <v>1</v>
      </c>
      <c r="D3317" s="3">
        <v>1832</v>
      </c>
      <c r="E3317" s="3">
        <v>1905</v>
      </c>
      <c r="F3317" t="s">
        <v>5962</v>
      </c>
      <c r="G3317" t="s">
        <v>642</v>
      </c>
      <c r="H3317" s="3">
        <v>23.683900000000001</v>
      </c>
      <c r="I3317" t="s">
        <v>5963</v>
      </c>
      <c r="J3317" t="s">
        <v>11567</v>
      </c>
      <c r="L3317" t="s">
        <v>5964</v>
      </c>
      <c r="M3317" t="str">
        <f>"https://www.artic.edu/iiif/2/"&amp;Table9[[#This Row],[Image ID]]&amp;"/full/843,/0/default.jpg"</f>
        <v>https://www.artic.edu/iiif/2/28e56e28-7cd0-ba75-7d4f-0b4b116cfe5c/full/843,/0/default.jpg</v>
      </c>
      <c r="N3317" s="3">
        <v>0.72499999999999998</v>
      </c>
      <c r="O3317" s="3">
        <v>0.2</v>
      </c>
      <c r="P3317" s="3">
        <v>0.52499999999999991</v>
      </c>
      <c r="Q3317" s="3">
        <v>0.61525326967239302</v>
      </c>
    </row>
    <row r="3318" spans="1:17" x14ac:dyDescent="0.45">
      <c r="A3318" s="3">
        <v>21781</v>
      </c>
      <c r="B3318" t="b">
        <v>0</v>
      </c>
      <c r="C3318" t="b">
        <v>1</v>
      </c>
      <c r="D3318" s="3">
        <v>1794</v>
      </c>
      <c r="E3318" s="3">
        <v>1794</v>
      </c>
      <c r="F3318" t="s">
        <v>5750</v>
      </c>
      <c r="G3318" t="s">
        <v>5751</v>
      </c>
      <c r="H3318" s="3">
        <v>18.024999999999999</v>
      </c>
      <c r="I3318" t="s">
        <v>1266</v>
      </c>
      <c r="J3318" t="s">
        <v>11889</v>
      </c>
      <c r="L3318" t="s">
        <v>5752</v>
      </c>
      <c r="M3318" t="str">
        <f>"https://www.artic.edu/iiif/2/"&amp;Table9[[#This Row],[Image ID]]&amp;"/full/843,/0/default.jpg"</f>
        <v>https://www.artic.edu/iiif/2/3df946c2-c283-4993-2d88-b255599ea957/full/843,/0/default.jpg</v>
      </c>
      <c r="N3318" s="3">
        <v>0.82499999999999996</v>
      </c>
      <c r="O3318" s="3">
        <v>0.3</v>
      </c>
      <c r="P3318" s="3">
        <v>0.52499999999999991</v>
      </c>
      <c r="Q3318" s="3">
        <v>0.61769151687622004</v>
      </c>
    </row>
    <row r="3319" spans="1:17" x14ac:dyDescent="0.45">
      <c r="A3319" s="3">
        <v>81505</v>
      </c>
      <c r="B3319" t="b">
        <v>0</v>
      </c>
      <c r="C3319" t="b">
        <v>1</v>
      </c>
      <c r="D3319" s="3">
        <v>1860</v>
      </c>
      <c r="E3319" s="3">
        <v>1861</v>
      </c>
      <c r="F3319" t="s">
        <v>10102</v>
      </c>
      <c r="G3319" t="s">
        <v>7</v>
      </c>
      <c r="H3319" s="3">
        <v>34.331400000000002</v>
      </c>
      <c r="I3319" t="s">
        <v>14686</v>
      </c>
      <c r="J3319" t="s">
        <v>11902</v>
      </c>
      <c r="L3319" t="s">
        <v>10103</v>
      </c>
      <c r="M3319" t="str">
        <f>"https://www.artic.edu/iiif/2/"&amp;Table9[[#This Row],[Image ID]]&amp;"/full/843,/0/default.jpg"</f>
        <v>https://www.artic.edu/iiif/2/3f0cd83f-84db-23e9-fb41-286de4bdae62/full/843,/0/default.jpg</v>
      </c>
      <c r="N3319" s="3">
        <v>0.72499999999999998</v>
      </c>
      <c r="O3319" s="3">
        <v>0.2</v>
      </c>
      <c r="P3319" s="3">
        <v>0.52499999999999991</v>
      </c>
      <c r="Q3319" s="3">
        <v>0.56039059162139804</v>
      </c>
    </row>
    <row r="3320" spans="1:17" x14ac:dyDescent="0.45">
      <c r="A3320" s="3">
        <v>64754</v>
      </c>
      <c r="B3320" t="b">
        <v>0</v>
      </c>
      <c r="C3320" t="b">
        <v>1</v>
      </c>
      <c r="D3320" s="3">
        <v>1891</v>
      </c>
      <c r="E3320" s="3">
        <v>1891</v>
      </c>
      <c r="F3320" t="s">
        <v>6008</v>
      </c>
      <c r="G3320" t="s">
        <v>7</v>
      </c>
      <c r="H3320" s="3">
        <v>37.606900000000003</v>
      </c>
      <c r="I3320" t="s">
        <v>908</v>
      </c>
      <c r="J3320" t="s">
        <v>11370</v>
      </c>
      <c r="L3320" t="s">
        <v>9005</v>
      </c>
      <c r="M3320" t="str">
        <f>"https://www.artic.edu/iiif/2/"&amp;Table9[[#This Row],[Image ID]]&amp;"/full/843,/0/default.jpg"</f>
        <v>https://www.artic.edu/iiif/2/4425984b-e241-6413-1404-cdac0fb06518/full/843,/0/default.jpg</v>
      </c>
      <c r="N3320" s="3">
        <v>0.57499999999999996</v>
      </c>
      <c r="O3320" s="3">
        <v>0.05</v>
      </c>
      <c r="P3320" s="3">
        <v>0.52499999999999991</v>
      </c>
      <c r="Q3320" s="3">
        <v>0.57306772470474199</v>
      </c>
    </row>
    <row r="3321" spans="1:17" x14ac:dyDescent="0.45">
      <c r="A3321" s="3">
        <v>28874</v>
      </c>
      <c r="B3321" t="b">
        <v>0</v>
      </c>
      <c r="C3321" t="b">
        <v>1</v>
      </c>
      <c r="D3321" s="3">
        <v>1620</v>
      </c>
      <c r="E3321" s="3">
        <v>1620</v>
      </c>
      <c r="F3321" t="s">
        <v>6837</v>
      </c>
      <c r="G3321" t="s">
        <v>75</v>
      </c>
      <c r="H3321" s="3">
        <v>45.630499999999998</v>
      </c>
      <c r="I3321" t="s">
        <v>79</v>
      </c>
      <c r="J3321" t="s">
        <v>12274</v>
      </c>
      <c r="L3321" t="s">
        <v>6838</v>
      </c>
      <c r="M3321" t="str">
        <f>"https://www.artic.edu/iiif/2/"&amp;Table9[[#This Row],[Image ID]]&amp;"/full/843,/0/default.jpg"</f>
        <v>https://www.artic.edu/iiif/2/58f58363-f567-0e49-7956-d49400721b1c/full/843,/0/default.jpg</v>
      </c>
      <c r="N3321" s="3">
        <v>0.57499999999999996</v>
      </c>
      <c r="O3321" s="3">
        <v>0.05</v>
      </c>
      <c r="P3321" s="3">
        <v>0.52499999999999991</v>
      </c>
      <c r="Q3321" s="3">
        <v>0.74525403976440396</v>
      </c>
    </row>
    <row r="3322" spans="1:17" x14ac:dyDescent="0.45">
      <c r="A3322" s="3">
        <v>72193</v>
      </c>
      <c r="B3322" t="b">
        <v>0</v>
      </c>
      <c r="C3322" t="b">
        <v>1</v>
      </c>
      <c r="D3322" s="3">
        <v>1530</v>
      </c>
      <c r="E3322" s="3">
        <v>1550</v>
      </c>
      <c r="F3322" t="s">
        <v>955</v>
      </c>
      <c r="G3322" t="s">
        <v>75</v>
      </c>
      <c r="H3322" s="3">
        <v>27.714400000000001</v>
      </c>
      <c r="I3322" t="s">
        <v>9550</v>
      </c>
      <c r="J3322" t="s">
        <v>12320</v>
      </c>
      <c r="L3322" t="s">
        <v>9551</v>
      </c>
      <c r="M3322" t="str">
        <f>"https://www.artic.edu/iiif/2/"&amp;Table9[[#This Row],[Image ID]]&amp;"/full/843,/0/default.jpg"</f>
        <v>https://www.artic.edu/iiif/2/5bf8ad56-c6dd-195e-c894-175dd028d926/full/843,/0/default.jpg</v>
      </c>
      <c r="N3322" s="3">
        <v>0.7</v>
      </c>
      <c r="O3322" s="3">
        <v>0.17499999999999999</v>
      </c>
      <c r="P3322" s="3">
        <v>0.52499999999999991</v>
      </c>
      <c r="Q3322" s="3">
        <v>0.81161314249038696</v>
      </c>
    </row>
    <row r="3323" spans="1:17" x14ac:dyDescent="0.45">
      <c r="A3323" s="3">
        <v>71554</v>
      </c>
      <c r="B3323" t="b">
        <v>0</v>
      </c>
      <c r="C3323" t="b">
        <v>1</v>
      </c>
      <c r="D3323" s="3">
        <v>1375</v>
      </c>
      <c r="E3323" s="3">
        <v>1399</v>
      </c>
      <c r="F3323" t="s">
        <v>9507</v>
      </c>
      <c r="G3323" t="s">
        <v>9508</v>
      </c>
      <c r="H3323" s="3">
        <v>37.269300000000001</v>
      </c>
      <c r="J3323" t="s">
        <v>12975</v>
      </c>
      <c r="K3323" s="5" t="s">
        <v>278</v>
      </c>
      <c r="L3323" t="s">
        <v>9509</v>
      </c>
      <c r="M3323" t="str">
        <f>"https://www.artic.edu/iiif/2/"&amp;Table9[[#This Row],[Image ID]]&amp;"/full/843,/0/default.jpg"</f>
        <v>https://www.artic.edu/iiif/2/8bcef6a1-7b06-fbdc-290a-0c9a97349baf/full/843,/0/default.jpg</v>
      </c>
      <c r="N3323" s="3">
        <v>0.57499999999999996</v>
      </c>
      <c r="O3323" s="3">
        <v>0.05</v>
      </c>
      <c r="P3323" s="3">
        <v>0.52499999999999991</v>
      </c>
      <c r="Q3323" s="3">
        <v>0.79891306161880404</v>
      </c>
    </row>
    <row r="3324" spans="1:17" x14ac:dyDescent="0.45">
      <c r="A3324" s="3">
        <v>11442</v>
      </c>
      <c r="B3324" t="b">
        <v>0</v>
      </c>
      <c r="C3324" t="b">
        <v>1</v>
      </c>
      <c r="D3324" s="3">
        <v>1840</v>
      </c>
      <c r="E3324" s="3">
        <v>1841</v>
      </c>
      <c r="F3324" t="s">
        <v>1647</v>
      </c>
      <c r="G3324" t="s">
        <v>1648</v>
      </c>
      <c r="H3324" s="3">
        <v>16.302700000000002</v>
      </c>
      <c r="I3324" t="s">
        <v>868</v>
      </c>
      <c r="J3324" t="s">
        <v>13361</v>
      </c>
      <c r="L3324" t="s">
        <v>1649</v>
      </c>
      <c r="M3324" t="str">
        <f>"https://www.artic.edu/iiif/2/"&amp;Table9[[#This Row],[Image ID]]&amp;"/full/843,/0/default.jpg"</f>
        <v>https://www.artic.edu/iiif/2/a8e48137-9223-54d4-358c-c0c932e4829b/full/843,/0/default.jpg</v>
      </c>
      <c r="N3324" s="3">
        <v>0.7</v>
      </c>
      <c r="O3324" s="3">
        <v>0.17499999999999999</v>
      </c>
      <c r="P3324" s="3">
        <v>0.52499999999999991</v>
      </c>
      <c r="Q3324" s="3">
        <v>0.65491437911987305</v>
      </c>
    </row>
    <row r="3325" spans="1:17" x14ac:dyDescent="0.45">
      <c r="A3325" s="3">
        <v>71541</v>
      </c>
      <c r="B3325" t="b">
        <v>0</v>
      </c>
      <c r="C3325" t="b">
        <v>1</v>
      </c>
      <c r="D3325" s="3">
        <v>1401</v>
      </c>
      <c r="E3325" s="3">
        <v>1500</v>
      </c>
      <c r="F3325" t="s">
        <v>9497</v>
      </c>
      <c r="G3325" t="s">
        <v>9498</v>
      </c>
      <c r="H3325" s="3">
        <v>44.144100000000002</v>
      </c>
      <c r="J3325" t="s">
        <v>13478</v>
      </c>
      <c r="K3325" s="5" t="s">
        <v>278</v>
      </c>
      <c r="L3325" t="s">
        <v>9499</v>
      </c>
      <c r="M3325" t="str">
        <f>"https://www.artic.edu/iiif/2/"&amp;Table9[[#This Row],[Image ID]]&amp;"/full/843,/0/default.jpg"</f>
        <v>https://www.artic.edu/iiif/2/b2439659-f1ff-212f-67d6-0ca081670a70/full/843,/0/default.jpg</v>
      </c>
      <c r="N3325" s="3">
        <v>0.72499999999999998</v>
      </c>
      <c r="O3325" s="3">
        <v>0.2</v>
      </c>
      <c r="P3325" s="3">
        <v>0.52499999999999991</v>
      </c>
      <c r="Q3325" s="3">
        <v>0.70426106452941895</v>
      </c>
    </row>
    <row r="3326" spans="1:17" x14ac:dyDescent="0.45">
      <c r="A3326" s="3">
        <v>57652</v>
      </c>
      <c r="B3326" t="b">
        <v>0</v>
      </c>
      <c r="C3326" t="b">
        <v>1</v>
      </c>
      <c r="D3326" s="3">
        <v>1784</v>
      </c>
      <c r="E3326" s="3">
        <v>1794</v>
      </c>
      <c r="F3326" t="s">
        <v>8486</v>
      </c>
      <c r="G3326" t="s">
        <v>7</v>
      </c>
      <c r="H3326" s="3">
        <v>0</v>
      </c>
      <c r="I3326" t="s">
        <v>156</v>
      </c>
      <c r="J3326" t="s">
        <v>13761</v>
      </c>
      <c r="L3326" t="s">
        <v>8487</v>
      </c>
      <c r="M3326" t="str">
        <f>"https://www.artic.edu/iiif/2/"&amp;Table9[[#This Row],[Image ID]]&amp;"/full/843,/0/default.jpg"</f>
        <v>https://www.artic.edu/iiif/2/c8c3973f-971a-83d3-e3ed-e5f76101f7b3/full/843,/0/default.jpg</v>
      </c>
      <c r="N3326" s="3">
        <v>0.7</v>
      </c>
      <c r="O3326" s="3">
        <v>0.17499999999999999</v>
      </c>
      <c r="P3326" s="3">
        <v>0.52499999999999991</v>
      </c>
      <c r="Q3326" s="3">
        <v>0.71171247959136896</v>
      </c>
    </row>
    <row r="3327" spans="1:17" x14ac:dyDescent="0.45">
      <c r="A3327" s="3">
        <v>64979</v>
      </c>
      <c r="B3327" t="b">
        <v>0</v>
      </c>
      <c r="C3327" t="b">
        <v>1</v>
      </c>
      <c r="D3327" s="3">
        <v>1824</v>
      </c>
      <c r="E3327" s="3">
        <v>1824</v>
      </c>
      <c r="F3327" t="s">
        <v>9016</v>
      </c>
      <c r="G3327" t="s">
        <v>7</v>
      </c>
      <c r="H3327" s="3">
        <v>36.631</v>
      </c>
      <c r="I3327" t="s">
        <v>5622</v>
      </c>
      <c r="J3327" t="s">
        <v>14415</v>
      </c>
      <c r="L3327" t="s">
        <v>9017</v>
      </c>
      <c r="M3327" t="str">
        <f>"https://www.artic.edu/iiif/2/"&amp;Table9[[#This Row],[Image ID]]&amp;"/full/843,/0/default.jpg"</f>
        <v>https://www.artic.edu/iiif/2/f72718c3-1fec-dce3-8c41-85b42a5ea273/full/843,/0/default.jpg</v>
      </c>
      <c r="N3327" s="3">
        <v>0.7</v>
      </c>
      <c r="O3327" s="3">
        <v>0.17499999999999999</v>
      </c>
      <c r="P3327" s="3">
        <v>0.52499999999999991</v>
      </c>
      <c r="Q3327" s="3">
        <v>0.66328626871108998</v>
      </c>
    </row>
    <row r="3328" spans="1:17" x14ac:dyDescent="0.45">
      <c r="A3328" s="3">
        <v>2923</v>
      </c>
      <c r="B3328" t="b">
        <v>0</v>
      </c>
      <c r="C3328" t="b">
        <v>0</v>
      </c>
      <c r="D3328" s="3">
        <v>1909</v>
      </c>
      <c r="E3328" s="3">
        <v>1911</v>
      </c>
      <c r="F3328" t="s">
        <v>5247</v>
      </c>
      <c r="G3328" t="s">
        <v>6900</v>
      </c>
      <c r="H3328" s="3">
        <v>21.233899999999998</v>
      </c>
      <c r="I3328" t="s">
        <v>949</v>
      </c>
      <c r="J3328" t="s">
        <v>11055</v>
      </c>
      <c r="L3328" t="s">
        <v>6901</v>
      </c>
      <c r="M3328" t="str">
        <f>"https://www.artic.edu/iiif/2/"&amp;Table9[[#This Row],[Image ID]]&amp;"/full/843,/0/default.jpg"</f>
        <v>https://www.artic.edu/iiif/2/055dc7e6-b6b8-8ac9-021d-bfb27fa0e525/full/843,/0/default.jpg</v>
      </c>
      <c r="N3328" s="3">
        <v>0.82499999999999996</v>
      </c>
      <c r="O3328" s="3">
        <v>0.3</v>
      </c>
      <c r="P3328" s="3">
        <v>0.52499999999999991</v>
      </c>
      <c r="Q3328" s="3">
        <v>0.70151013135910001</v>
      </c>
    </row>
    <row r="3329" spans="1:17" x14ac:dyDescent="0.45">
      <c r="A3329" s="3">
        <v>59306</v>
      </c>
      <c r="B3329" t="b">
        <v>0</v>
      </c>
      <c r="C3329" t="b">
        <v>0</v>
      </c>
      <c r="D3329" s="3">
        <v>1923</v>
      </c>
      <c r="E3329" s="3">
        <v>1946</v>
      </c>
      <c r="F3329" t="s">
        <v>8552</v>
      </c>
      <c r="G3329" t="s">
        <v>8553</v>
      </c>
      <c r="H3329" s="3">
        <v>31.4374</v>
      </c>
      <c r="I3329" t="s">
        <v>900</v>
      </c>
      <c r="J3329" t="s">
        <v>11098</v>
      </c>
      <c r="L3329" t="s">
        <v>8554</v>
      </c>
      <c r="M3329" t="str">
        <f>"https://www.artic.edu/iiif/2/"&amp;Table9[[#This Row],[Image ID]]&amp;"/full/843,/0/default.jpg"</f>
        <v>https://www.artic.edu/iiif/2/08e83f34-0c59-9e26-a0a6-fa9607ed3b7d/full/843,/0/default.jpg</v>
      </c>
      <c r="N3329" s="3">
        <v>0.57499999999999996</v>
      </c>
      <c r="O3329" s="3">
        <v>0.05</v>
      </c>
      <c r="P3329" s="3">
        <v>0.52499999999999991</v>
      </c>
      <c r="Q3329" s="3">
        <v>0.73789650201797397</v>
      </c>
    </row>
    <row r="3330" spans="1:17" x14ac:dyDescent="0.45">
      <c r="A3330" s="3">
        <v>86285</v>
      </c>
      <c r="B3330" t="b">
        <v>0</v>
      </c>
      <c r="C3330" t="b">
        <v>0</v>
      </c>
      <c r="D3330" s="3">
        <v>1955</v>
      </c>
      <c r="E3330" s="3">
        <v>1955</v>
      </c>
      <c r="F3330" t="s">
        <v>10322</v>
      </c>
      <c r="G3330" t="s">
        <v>75</v>
      </c>
      <c r="H3330" s="3">
        <v>25.526299999999999</v>
      </c>
      <c r="I3330" t="s">
        <v>2687</v>
      </c>
      <c r="J3330" t="s">
        <v>11404</v>
      </c>
      <c r="L3330" t="s">
        <v>10323</v>
      </c>
      <c r="M3330" t="str">
        <f>"https://www.artic.edu/iiif/2/"&amp;Table9[[#This Row],[Image ID]]&amp;"/full/843,/0/default.jpg"</f>
        <v>https://www.artic.edu/iiif/2/1ee07727-c2df-d9c8-f2c4-56e8de36d859/full/843,/0/default.jpg</v>
      </c>
      <c r="N3330" s="3">
        <v>0.57499999999999996</v>
      </c>
      <c r="O3330" s="3">
        <v>0.05</v>
      </c>
      <c r="P3330" s="3">
        <v>0.52499999999999991</v>
      </c>
      <c r="Q3330" s="3">
        <v>0.90720695257186801</v>
      </c>
    </row>
    <row r="3331" spans="1:17" x14ac:dyDescent="0.45">
      <c r="A3331" s="3">
        <v>190069</v>
      </c>
      <c r="B3331" t="b">
        <v>0</v>
      </c>
      <c r="C3331" t="b">
        <v>0</v>
      </c>
      <c r="D3331" s="3">
        <v>1970</v>
      </c>
      <c r="E3331" s="3">
        <v>1970</v>
      </c>
      <c r="F3331" t="s">
        <v>5160</v>
      </c>
      <c r="G3331" t="s">
        <v>7</v>
      </c>
      <c r="H3331" s="3">
        <v>34.281100000000002</v>
      </c>
      <c r="I3331" t="s">
        <v>464</v>
      </c>
      <c r="J3331" t="s">
        <v>11476</v>
      </c>
      <c r="L3331" t="s">
        <v>5161</v>
      </c>
      <c r="M3331" t="str">
        <f>"https://www.artic.edu/iiif/2/"&amp;Table9[[#This Row],[Image ID]]&amp;"/full/843,/0/default.jpg"</f>
        <v>https://www.artic.edu/iiif/2/2344e2ae-2e6c-70c1-b044-7429ec01a874/full/843,/0/default.jpg</v>
      </c>
      <c r="N3331" s="3">
        <v>0.57499999999999996</v>
      </c>
      <c r="O3331" s="3">
        <v>0.05</v>
      </c>
      <c r="P3331" s="3">
        <v>0.52499999999999991</v>
      </c>
      <c r="Q3331" s="3">
        <v>0.81179451942443803</v>
      </c>
    </row>
    <row r="3332" spans="1:17" x14ac:dyDescent="0.45">
      <c r="A3332" s="3">
        <v>14736</v>
      </c>
      <c r="B3332" t="b">
        <v>0</v>
      </c>
      <c r="C3332" t="b">
        <v>0</v>
      </c>
      <c r="D3332" s="3">
        <v>1924</v>
      </c>
      <c r="E3332" s="3">
        <v>1924</v>
      </c>
      <c r="F3332" t="s">
        <v>3606</v>
      </c>
      <c r="G3332" t="s">
        <v>3607</v>
      </c>
      <c r="H3332" s="3">
        <v>19.222100000000001</v>
      </c>
      <c r="I3332" t="s">
        <v>1068</v>
      </c>
      <c r="J3332" t="s">
        <v>11547</v>
      </c>
      <c r="L3332" t="s">
        <v>3608</v>
      </c>
      <c r="M3332" t="str">
        <f>"https://www.artic.edu/iiif/2/"&amp;Table9[[#This Row],[Image ID]]&amp;"/full/843,/0/default.jpg"</f>
        <v>https://www.artic.edu/iiif/2/279020bf-841e-340c-480d-63f1f68771d5/full/843,/0/default.jpg</v>
      </c>
      <c r="N3332" s="3">
        <v>0.7</v>
      </c>
      <c r="O3332" s="3">
        <v>0.17499999999999999</v>
      </c>
      <c r="P3332" s="3">
        <v>0.52499999999999991</v>
      </c>
      <c r="Q3332" s="3">
        <v>0.58547782897949197</v>
      </c>
    </row>
    <row r="3333" spans="1:17" x14ac:dyDescent="0.45">
      <c r="A3333" s="3">
        <v>16662</v>
      </c>
      <c r="B3333" t="b">
        <v>0</v>
      </c>
      <c r="C3333" t="b">
        <v>0</v>
      </c>
      <c r="D3333" s="3">
        <v>1915</v>
      </c>
      <c r="E3333" s="3">
        <v>1915</v>
      </c>
      <c r="F3333" t="s">
        <v>4525</v>
      </c>
      <c r="G3333" t="s">
        <v>7</v>
      </c>
      <c r="H3333" s="3">
        <v>23.869199999999999</v>
      </c>
      <c r="I3333" t="s">
        <v>1277</v>
      </c>
      <c r="J3333" t="s">
        <v>11693</v>
      </c>
      <c r="L3333" t="s">
        <v>4526</v>
      </c>
      <c r="M3333" t="str">
        <f>"https://www.artic.edu/iiif/2/"&amp;Table9[[#This Row],[Image ID]]&amp;"/full/843,/0/default.jpg"</f>
        <v>https://www.artic.edu/iiif/2/3135cfbb-e1d1-8ef5-d2dd-31bc98f62085/full/843,/0/default.jpg</v>
      </c>
      <c r="N3333" s="3">
        <v>0.7</v>
      </c>
      <c r="O3333" s="3">
        <v>0.17499999999999999</v>
      </c>
      <c r="P3333" s="3">
        <v>0.52499999999999991</v>
      </c>
      <c r="Q3333" s="3">
        <v>0.68055146932601895</v>
      </c>
    </row>
    <row r="3334" spans="1:17" x14ac:dyDescent="0.45">
      <c r="A3334" s="3">
        <v>66033</v>
      </c>
      <c r="B3334" t="b">
        <v>0</v>
      </c>
      <c r="C3334" t="b">
        <v>0</v>
      </c>
      <c r="D3334" s="3">
        <v>1910</v>
      </c>
      <c r="E3334" s="3">
        <v>1910</v>
      </c>
      <c r="F3334" t="s">
        <v>9173</v>
      </c>
      <c r="G3334" t="s">
        <v>9174</v>
      </c>
      <c r="H3334" s="3">
        <v>19.165600000000001</v>
      </c>
      <c r="I3334" t="s">
        <v>460</v>
      </c>
      <c r="J3334" t="s">
        <v>11758</v>
      </c>
      <c r="L3334" t="s">
        <v>9175</v>
      </c>
      <c r="M3334" t="str">
        <f>"https://www.artic.edu/iiif/2/"&amp;Table9[[#This Row],[Image ID]]&amp;"/full/843,/0/default.jpg"</f>
        <v>https://www.artic.edu/iiif/2/36402959-b568-d6a9-0b32-ef9443adeb60/full/843,/0/default.jpg</v>
      </c>
      <c r="N3334" s="3">
        <v>0.72499999999999998</v>
      </c>
      <c r="O3334" s="3">
        <v>0.2</v>
      </c>
      <c r="P3334" s="3">
        <v>0.52499999999999991</v>
      </c>
      <c r="Q3334" s="3">
        <v>0.66171121597289995</v>
      </c>
    </row>
    <row r="3335" spans="1:17" x14ac:dyDescent="0.45">
      <c r="A3335" s="3">
        <v>30645</v>
      </c>
      <c r="B3335" t="b">
        <v>0</v>
      </c>
      <c r="C3335" t="b">
        <v>0</v>
      </c>
      <c r="D3335" s="3">
        <v>1901</v>
      </c>
      <c r="E3335" s="3">
        <v>1926</v>
      </c>
      <c r="F3335" t="s">
        <v>6950</v>
      </c>
      <c r="G3335" t="s">
        <v>6951</v>
      </c>
      <c r="H3335" s="3">
        <v>35.802</v>
      </c>
      <c r="I3335" t="s">
        <v>14577</v>
      </c>
      <c r="J3335" t="s">
        <v>11956</v>
      </c>
      <c r="L3335" t="s">
        <v>6952</v>
      </c>
      <c r="M3335" t="str">
        <f>"https://www.artic.edu/iiif/2/"&amp;Table9[[#This Row],[Image ID]]&amp;"/full/843,/0/default.jpg"</f>
        <v>https://www.artic.edu/iiif/2/428bf60e-ade9-72bd-ebbe-bbbcb30eac13/full/843,/0/default.jpg</v>
      </c>
      <c r="N3335" s="3">
        <v>0.7</v>
      </c>
      <c r="O3335" s="3">
        <v>0.17499999999999999</v>
      </c>
      <c r="P3335" s="3">
        <v>0.52499999999999991</v>
      </c>
      <c r="Q3335" s="3">
        <v>0.75014680624008101</v>
      </c>
    </row>
    <row r="3336" spans="1:17" x14ac:dyDescent="0.45">
      <c r="A3336" s="3">
        <v>225729</v>
      </c>
      <c r="B3336" t="b">
        <v>0</v>
      </c>
      <c r="C3336" t="b">
        <v>0</v>
      </c>
      <c r="D3336" s="3">
        <v>1959</v>
      </c>
      <c r="E3336" s="3">
        <v>1959</v>
      </c>
      <c r="F3336" t="s">
        <v>5916</v>
      </c>
      <c r="G3336" t="s">
        <v>5917</v>
      </c>
      <c r="H3336" s="3">
        <v>39.731400000000001</v>
      </c>
      <c r="I3336" t="s">
        <v>5918</v>
      </c>
      <c r="J3336" t="s">
        <v>11203</v>
      </c>
      <c r="L3336" t="s">
        <v>5919</v>
      </c>
      <c r="M3336" t="str">
        <f>"https://www.artic.edu/iiif/2/"&amp;Table9[[#This Row],[Image ID]]&amp;"/full/843,/0/default.jpg"</f>
        <v>https://www.artic.edu/iiif/2/aaaccf49-2a0c-b315-6b01-86081acabc72/full/843,/0/default.jpg</v>
      </c>
      <c r="N3336" s="3">
        <v>0.57499999999999996</v>
      </c>
      <c r="O3336" s="3">
        <v>0.05</v>
      </c>
      <c r="P3336" s="3">
        <v>0.52499999999999991</v>
      </c>
      <c r="Q3336" s="3">
        <v>0.76480138301849299</v>
      </c>
    </row>
    <row r="3337" spans="1:17" x14ac:dyDescent="0.45">
      <c r="A3337" s="3">
        <v>88565</v>
      </c>
      <c r="B3337" t="b">
        <v>0</v>
      </c>
      <c r="C3337" t="b">
        <v>0</v>
      </c>
      <c r="D3337" s="3">
        <v>1925</v>
      </c>
      <c r="E3337" s="3">
        <v>1925</v>
      </c>
      <c r="F3337" t="s">
        <v>10428</v>
      </c>
      <c r="G3337" t="s">
        <v>10429</v>
      </c>
      <c r="H3337" s="3">
        <v>29.9297</v>
      </c>
      <c r="I3337" t="s">
        <v>14611</v>
      </c>
      <c r="J3337" t="s">
        <v>13400</v>
      </c>
      <c r="L3337" t="s">
        <v>10430</v>
      </c>
      <c r="M3337" t="str">
        <f>"https://www.artic.edu/iiif/2/"&amp;Table9[[#This Row],[Image ID]]&amp;"/full/843,/0/default.jpg"</f>
        <v>https://www.artic.edu/iiif/2/aca5a3ff-46b4-f522-c150-fe3854cfe8e3/full/843,/0/default.jpg</v>
      </c>
      <c r="N3337" s="3">
        <v>0.7</v>
      </c>
      <c r="O3337" s="3">
        <v>0.17499999999999999</v>
      </c>
      <c r="P3337" s="3">
        <v>0.52499999999999991</v>
      </c>
      <c r="Q3337" s="3">
        <v>0.60281324386596602</v>
      </c>
    </row>
    <row r="3338" spans="1:17" x14ac:dyDescent="0.45">
      <c r="A3338" s="3">
        <v>87447</v>
      </c>
      <c r="B3338" t="b">
        <v>0</v>
      </c>
      <c r="C3338" t="b">
        <v>0</v>
      </c>
      <c r="D3338" s="3">
        <v>1920</v>
      </c>
      <c r="E3338" s="3">
        <v>1920</v>
      </c>
      <c r="F3338" t="s">
        <v>10383</v>
      </c>
      <c r="G3338" t="s">
        <v>5342</v>
      </c>
      <c r="H3338" s="3">
        <v>29.756</v>
      </c>
      <c r="I3338" t="s">
        <v>870</v>
      </c>
      <c r="J3338" t="s">
        <v>13613</v>
      </c>
      <c r="L3338" t="s">
        <v>10384</v>
      </c>
      <c r="M3338" t="str">
        <f>"https://www.artic.edu/iiif/2/"&amp;Table9[[#This Row],[Image ID]]&amp;"/full/843,/0/default.jpg"</f>
        <v>https://www.artic.edu/iiif/2/bd944158-acd3-3e76-e208-b5dd2636c1ac/full/843,/0/default.jpg</v>
      </c>
      <c r="N3338" s="3">
        <v>0.72499999999999998</v>
      </c>
      <c r="O3338" s="3">
        <v>0.2</v>
      </c>
      <c r="P3338" s="3">
        <v>0.52499999999999991</v>
      </c>
      <c r="Q3338" s="3">
        <v>0.54815208911895696</v>
      </c>
    </row>
    <row r="3339" spans="1:17" x14ac:dyDescent="0.45">
      <c r="A3339" s="3">
        <v>3685</v>
      </c>
      <c r="B3339" t="b">
        <v>0</v>
      </c>
      <c r="C3339" t="b">
        <v>0</v>
      </c>
      <c r="D3339" s="3">
        <v>1919</v>
      </c>
      <c r="E3339" s="3">
        <v>1919</v>
      </c>
      <c r="F3339" t="s">
        <v>1397</v>
      </c>
      <c r="G3339" t="s">
        <v>7</v>
      </c>
      <c r="H3339" s="3">
        <v>19.7818</v>
      </c>
      <c r="I3339" t="s">
        <v>523</v>
      </c>
      <c r="J3339" t="s">
        <v>13936</v>
      </c>
      <c r="L3339" t="s">
        <v>7253</v>
      </c>
      <c r="M3339" t="str">
        <f>"https://www.artic.edu/iiif/2/"&amp;Table9[[#This Row],[Image ID]]&amp;"/full/843,/0/default.jpg"</f>
        <v>https://www.artic.edu/iiif/2/d6efd7d7-b824-5052-00e4-2767faa0ce1d/full/843,/0/default.jpg</v>
      </c>
      <c r="N3339" s="3">
        <v>0.57499999999999996</v>
      </c>
      <c r="O3339" s="3">
        <v>0.05</v>
      </c>
      <c r="P3339" s="3">
        <v>0.52499999999999991</v>
      </c>
      <c r="Q3339" s="3">
        <v>0.69352567195892301</v>
      </c>
    </row>
    <row r="3340" spans="1:17" x14ac:dyDescent="0.45">
      <c r="A3340" s="3">
        <v>114320</v>
      </c>
      <c r="B3340" t="b">
        <v>0</v>
      </c>
      <c r="C3340" t="b">
        <v>1</v>
      </c>
      <c r="D3340" s="3">
        <v>1753</v>
      </c>
      <c r="E3340" s="3">
        <v>1807</v>
      </c>
      <c r="F3340" t="s">
        <v>1586</v>
      </c>
      <c r="G3340" t="s">
        <v>1587</v>
      </c>
      <c r="H3340" s="3">
        <v>19.8443</v>
      </c>
      <c r="I3340" t="s">
        <v>1588</v>
      </c>
      <c r="J3340" t="s">
        <v>11007</v>
      </c>
      <c r="L3340" t="s">
        <v>1589</v>
      </c>
      <c r="M3340" t="str">
        <f>"https://www.artic.edu/iiif/2/"&amp;Table9[[#This Row],[Image ID]]&amp;"/full/843,/0/default.jpg"</f>
        <v>https://www.artic.edu/iiif/2/029e3fb3-8613-fdfa-2419-2e24270bff39/full/843,/0/default.jpg</v>
      </c>
      <c r="N3340" s="3">
        <v>0.76200000000000001</v>
      </c>
      <c r="O3340" s="3">
        <v>0.23799999999999999</v>
      </c>
      <c r="P3340" s="3">
        <v>0.52400000000000002</v>
      </c>
      <c r="Q3340" s="3">
        <v>0.50005871057510298</v>
      </c>
    </row>
    <row r="3341" spans="1:17" x14ac:dyDescent="0.45">
      <c r="A3341" s="3">
        <v>129849</v>
      </c>
      <c r="B3341" t="b">
        <v>0</v>
      </c>
      <c r="C3341" t="b">
        <v>1</v>
      </c>
      <c r="D3341" s="3">
        <v>1909</v>
      </c>
      <c r="E3341" s="3">
        <v>1909</v>
      </c>
      <c r="F3341" t="s">
        <v>2956</v>
      </c>
      <c r="G3341" t="s">
        <v>434</v>
      </c>
      <c r="H3341" s="3">
        <v>86.955399999999997</v>
      </c>
      <c r="I3341" t="s">
        <v>2957</v>
      </c>
      <c r="J3341" t="s">
        <v>11908</v>
      </c>
      <c r="L3341" t="s">
        <v>2958</v>
      </c>
      <c r="M3341" t="str">
        <f>"https://www.artic.edu/iiif/2/"&amp;Table9[[#This Row],[Image ID]]&amp;"/full/843,/0/default.jpg"</f>
        <v>https://www.artic.edu/iiif/2/3f732b69-0ae7-7d1e-ad53-e20b0cc2de72/full/843,/0/default.jpg</v>
      </c>
      <c r="N3341" s="3">
        <v>0.61899999999999999</v>
      </c>
      <c r="O3341" s="3">
        <v>9.5000000000000001E-2</v>
      </c>
      <c r="P3341" s="3">
        <v>0.52400000000000002</v>
      </c>
      <c r="Q3341" s="3">
        <v>0.65303325653076105</v>
      </c>
    </row>
    <row r="3342" spans="1:17" x14ac:dyDescent="0.45">
      <c r="A3342" s="3">
        <v>36088</v>
      </c>
      <c r="B3342" t="b">
        <v>0</v>
      </c>
      <c r="C3342" t="b">
        <v>1</v>
      </c>
      <c r="D3342" s="3">
        <v>1800</v>
      </c>
      <c r="E3342" s="3">
        <v>1899</v>
      </c>
      <c r="F3342" t="s">
        <v>7205</v>
      </c>
      <c r="G3342" t="s">
        <v>7206</v>
      </c>
      <c r="H3342" s="3">
        <v>27.578299999999999</v>
      </c>
      <c r="I3342" t="s">
        <v>7207</v>
      </c>
      <c r="J3342" t="s">
        <v>12020</v>
      </c>
      <c r="L3342" t="s">
        <v>7208</v>
      </c>
      <c r="M3342" t="str">
        <f>"https://www.artic.edu/iiif/2/"&amp;Table9[[#This Row],[Image ID]]&amp;"/full/843,/0/default.jpg"</f>
        <v>https://www.artic.edu/iiif/2/4722bcd3-3bb7-11d0-386c-6e042c30bb58/full/843,/0/default.jpg</v>
      </c>
      <c r="N3342" s="3">
        <v>0.61899999999999999</v>
      </c>
      <c r="O3342" s="3">
        <v>9.5000000000000001E-2</v>
      </c>
      <c r="P3342" s="3">
        <v>0.52400000000000002</v>
      </c>
      <c r="Q3342" s="3">
        <v>0.60081148147582997</v>
      </c>
    </row>
    <row r="3343" spans="1:17" x14ac:dyDescent="0.45">
      <c r="A3343" s="3">
        <v>14309</v>
      </c>
      <c r="B3343" t="b">
        <v>0</v>
      </c>
      <c r="C3343" t="b">
        <v>1</v>
      </c>
      <c r="D3343" s="3">
        <v>1884</v>
      </c>
      <c r="E3343" s="3">
        <v>1885</v>
      </c>
      <c r="F3343" t="s">
        <v>3295</v>
      </c>
      <c r="G3343" t="s">
        <v>75</v>
      </c>
      <c r="H3343" s="3">
        <v>7.0917000000000003</v>
      </c>
      <c r="I3343" t="s">
        <v>527</v>
      </c>
      <c r="J3343" t="s">
        <v>12271</v>
      </c>
      <c r="K3343" s="5" t="s">
        <v>9</v>
      </c>
      <c r="L3343" t="s">
        <v>3296</v>
      </c>
      <c r="M3343" t="str">
        <f>"https://www.artic.edu/iiif/2/"&amp;Table9[[#This Row],[Image ID]]&amp;"/full/843,/0/default.jpg"</f>
        <v>https://www.artic.edu/iiif/2/5888c23a-635f-396a-117b-2223032c0201/full/843,/0/default.jpg</v>
      </c>
      <c r="N3343" s="3">
        <v>0.71399999999999997</v>
      </c>
      <c r="O3343" s="3">
        <v>0.19</v>
      </c>
      <c r="P3343" s="3">
        <v>0.52400000000000002</v>
      </c>
      <c r="Q3343" s="3">
        <v>0.63503164052963201</v>
      </c>
    </row>
    <row r="3344" spans="1:17" x14ac:dyDescent="0.45">
      <c r="A3344" s="3">
        <v>145808</v>
      </c>
      <c r="B3344" t="b">
        <v>0</v>
      </c>
      <c r="C3344" t="b">
        <v>1</v>
      </c>
      <c r="D3344" s="3">
        <v>1905</v>
      </c>
      <c r="E3344" s="3">
        <v>1906</v>
      </c>
      <c r="F3344" t="s">
        <v>3377</v>
      </c>
      <c r="G3344" t="s">
        <v>7</v>
      </c>
      <c r="H3344" s="3">
        <v>31.7485</v>
      </c>
      <c r="I3344" t="s">
        <v>934</v>
      </c>
      <c r="J3344" t="s">
        <v>12973</v>
      </c>
      <c r="K3344" s="5" t="s">
        <v>45</v>
      </c>
      <c r="L3344" t="s">
        <v>3378</v>
      </c>
      <c r="M3344" t="str">
        <f>"https://www.artic.edu/iiif/2/"&amp;Table9[[#This Row],[Image ID]]&amp;"/full/843,/0/default.jpg"</f>
        <v>https://www.artic.edu/iiif/2/8bc3f527-bd34-f951-5618-3500dd2ac665/full/843,/0/default.jpg</v>
      </c>
      <c r="N3344" s="3">
        <v>0.66700000000000004</v>
      </c>
      <c r="O3344" s="3">
        <v>0.14299999999999999</v>
      </c>
      <c r="P3344" s="3">
        <v>0.52400000000000002</v>
      </c>
      <c r="Q3344" s="3">
        <v>0.82330363988876298</v>
      </c>
    </row>
    <row r="3345" spans="1:17" x14ac:dyDescent="0.45">
      <c r="A3345" s="3">
        <v>86706</v>
      </c>
      <c r="B3345" t="b">
        <v>0</v>
      </c>
      <c r="C3345" t="b">
        <v>1</v>
      </c>
      <c r="D3345" s="3">
        <v>1800</v>
      </c>
      <c r="E3345" s="3">
        <v>1800</v>
      </c>
      <c r="F3345" t="s">
        <v>10344</v>
      </c>
      <c r="G3345" t="s">
        <v>1552</v>
      </c>
      <c r="H3345" s="3">
        <v>31.473400000000002</v>
      </c>
      <c r="I3345" t="s">
        <v>1266</v>
      </c>
      <c r="J3345" t="s">
        <v>13885</v>
      </c>
      <c r="L3345" t="s">
        <v>10345</v>
      </c>
      <c r="M3345" t="str">
        <f>"https://www.artic.edu/iiif/2/"&amp;Table9[[#This Row],[Image ID]]&amp;"/full/843,/0/default.jpg"</f>
        <v>https://www.artic.edu/iiif/2/d3ba371b-802d-6db2-561d-f232e02a1f0d/full/843,/0/default.jpg</v>
      </c>
      <c r="N3345" s="3">
        <v>0.76200000000000001</v>
      </c>
      <c r="O3345" s="3">
        <v>0.23799999999999999</v>
      </c>
      <c r="P3345" s="3">
        <v>0.52400000000000002</v>
      </c>
      <c r="Q3345" s="3">
        <v>0.72186458110809304</v>
      </c>
    </row>
    <row r="3346" spans="1:17" x14ac:dyDescent="0.45">
      <c r="A3346" s="3">
        <v>74701</v>
      </c>
      <c r="B3346" t="b">
        <v>0</v>
      </c>
      <c r="C3346" t="b">
        <v>0</v>
      </c>
      <c r="D3346" s="3">
        <v>1948</v>
      </c>
      <c r="E3346" s="3">
        <v>1948</v>
      </c>
      <c r="F3346" t="s">
        <v>9703</v>
      </c>
      <c r="G3346" t="s">
        <v>3286</v>
      </c>
      <c r="H3346" s="3">
        <v>34.890999999999998</v>
      </c>
      <c r="I3346" t="s">
        <v>2404</v>
      </c>
      <c r="J3346" t="s">
        <v>11066</v>
      </c>
      <c r="L3346" t="s">
        <v>9704</v>
      </c>
      <c r="M3346" t="str">
        <f>"https://www.artic.edu/iiif/2/"&amp;Table9[[#This Row],[Image ID]]&amp;"/full/843,/0/default.jpg"</f>
        <v>https://www.artic.edu/iiif/2/06b26f78-3aa1-4671-1223-62bdd370f3d9/full/843,/0/default.jpg</v>
      </c>
      <c r="N3346" s="3">
        <v>0.59499999999999997</v>
      </c>
      <c r="O3346" s="3">
        <v>7.0999999999999994E-2</v>
      </c>
      <c r="P3346" s="3">
        <v>0.52400000000000002</v>
      </c>
      <c r="Q3346" s="3">
        <v>0.53487688302993697</v>
      </c>
    </row>
    <row r="3347" spans="1:17" x14ac:dyDescent="0.45">
      <c r="A3347" s="3">
        <v>79593</v>
      </c>
      <c r="B3347" t="b">
        <v>0</v>
      </c>
      <c r="C3347" t="b">
        <v>0</v>
      </c>
      <c r="D3347" s="3">
        <v>1941</v>
      </c>
      <c r="E3347" s="3">
        <v>1941</v>
      </c>
      <c r="F3347" t="s">
        <v>9905</v>
      </c>
      <c r="G3347" t="s">
        <v>9906</v>
      </c>
      <c r="H3347" s="3">
        <v>50.411099999999998</v>
      </c>
      <c r="I3347" t="s">
        <v>4769</v>
      </c>
      <c r="J3347" t="s">
        <v>11361</v>
      </c>
      <c r="L3347" t="s">
        <v>9907</v>
      </c>
      <c r="M3347" t="str">
        <f>"https://www.artic.edu/iiif/2/"&amp;Table9[[#This Row],[Image ID]]&amp;"/full/843,/0/default.jpg"</f>
        <v>https://www.artic.edu/iiif/2/1c3dbd1c-5134-0b3c-a414-1a6af4078309/full/843,/0/default.jpg</v>
      </c>
      <c r="N3347" s="3">
        <v>0.64300000000000002</v>
      </c>
      <c r="O3347" s="3">
        <v>0.11899999999999999</v>
      </c>
      <c r="P3347" s="3">
        <v>0.52400000000000002</v>
      </c>
      <c r="Q3347" s="3">
        <v>0.85086220502853305</v>
      </c>
    </row>
    <row r="3348" spans="1:17" x14ac:dyDescent="0.45">
      <c r="A3348" s="3">
        <v>209926</v>
      </c>
      <c r="B3348" t="b">
        <v>0</v>
      </c>
      <c r="C3348" t="b">
        <v>0</v>
      </c>
      <c r="D3348" s="3">
        <v>1955</v>
      </c>
      <c r="E3348" s="3">
        <v>1955</v>
      </c>
      <c r="F3348" t="s">
        <v>5548</v>
      </c>
      <c r="G3348" t="s">
        <v>5549</v>
      </c>
      <c r="H3348" s="3">
        <v>30.575600000000001</v>
      </c>
      <c r="I3348" t="s">
        <v>63</v>
      </c>
      <c r="J3348" t="s">
        <v>11961</v>
      </c>
      <c r="L3348" t="s">
        <v>5550</v>
      </c>
      <c r="M3348" t="str">
        <f>"https://www.artic.edu/iiif/2/"&amp;Table9[[#This Row],[Image ID]]&amp;"/full/843,/0/default.jpg"</f>
        <v>https://www.artic.edu/iiif/2/42f73a1b-0653-0cc2-f35f-bc92cf40c5ba/full/843,/0/default.jpg</v>
      </c>
      <c r="N3348" s="3">
        <v>0.59499999999999997</v>
      </c>
      <c r="O3348" s="3">
        <v>7.0999999999999994E-2</v>
      </c>
      <c r="P3348" s="3">
        <v>0.52400000000000002</v>
      </c>
      <c r="Q3348" s="3">
        <v>0.67892628908157304</v>
      </c>
    </row>
    <row r="3349" spans="1:17" x14ac:dyDescent="0.45">
      <c r="A3349" s="3">
        <v>117368</v>
      </c>
      <c r="B3349" t="b">
        <v>0</v>
      </c>
      <c r="C3349" t="b">
        <v>0</v>
      </c>
      <c r="D3349" s="3">
        <v>1948</v>
      </c>
      <c r="E3349" s="3">
        <v>1948</v>
      </c>
      <c r="F3349" t="s">
        <v>2311</v>
      </c>
      <c r="G3349" t="s">
        <v>370</v>
      </c>
      <c r="H3349" s="3">
        <v>81.050899999999999</v>
      </c>
      <c r="I3349" t="s">
        <v>172</v>
      </c>
      <c r="J3349" t="s">
        <v>12605</v>
      </c>
      <c r="L3349" t="s">
        <v>2312</v>
      </c>
      <c r="M3349" t="str">
        <f>"https://www.artic.edu/iiif/2/"&amp;Table9[[#This Row],[Image ID]]&amp;"/full/843,/0/default.jpg"</f>
        <v>https://www.artic.edu/iiif/2/6fe9d903-1a9c-8441-039d-7eaa27817a1e/full/843,/0/default.jpg</v>
      </c>
      <c r="N3349" s="3">
        <v>0.59499999999999997</v>
      </c>
      <c r="O3349" s="3">
        <v>7.0999999999999994E-2</v>
      </c>
      <c r="P3349" s="3">
        <v>0.52400000000000002</v>
      </c>
      <c r="Q3349" s="3">
        <v>0.71798062324523904</v>
      </c>
    </row>
    <row r="3350" spans="1:17" ht="99.75" x14ac:dyDescent="0.45">
      <c r="A3350" s="3">
        <v>97904</v>
      </c>
      <c r="B3350" t="b">
        <v>0</v>
      </c>
      <c r="C3350" t="b">
        <v>0</v>
      </c>
      <c r="D3350" s="3">
        <v>1893</v>
      </c>
      <c r="E3350" s="3">
        <v>1903</v>
      </c>
      <c r="F3350" t="s">
        <v>10890</v>
      </c>
      <c r="G3350" t="s">
        <v>10891</v>
      </c>
      <c r="H3350" s="3">
        <v>23.5228</v>
      </c>
      <c r="I3350" t="s">
        <v>192</v>
      </c>
      <c r="J3350" s="1" t="s">
        <v>12897</v>
      </c>
      <c r="L3350" t="s">
        <v>10892</v>
      </c>
      <c r="M3350" t="str">
        <f>"https://www.artic.edu/iiif/2/"&amp;Table9[[#This Row],[Image ID]]&amp;"/full/843,/0/default.jpg"</f>
        <v>https://www.artic.edu/iiif/2/859b855e-6937-5ba4-6110-fa79804d9094/full/843,/0/default.jpg</v>
      </c>
      <c r="N3350" s="3">
        <v>0.64300000000000002</v>
      </c>
      <c r="O3350" s="3">
        <v>0.11899999999999999</v>
      </c>
      <c r="P3350" s="3">
        <v>0.52400000000000002</v>
      </c>
      <c r="Q3350" s="3">
        <v>0.78377377986907903</v>
      </c>
    </row>
    <row r="3351" spans="1:17" x14ac:dyDescent="0.45">
      <c r="A3351" s="3">
        <v>113590</v>
      </c>
      <c r="B3351" t="b">
        <v>0</v>
      </c>
      <c r="C3351" t="b">
        <v>0</v>
      </c>
      <c r="D3351" s="3">
        <v>1934</v>
      </c>
      <c r="E3351" s="3">
        <v>1946</v>
      </c>
      <c r="F3351" t="s">
        <v>1470</v>
      </c>
      <c r="G3351" t="s">
        <v>1471</v>
      </c>
      <c r="H3351" s="3">
        <v>31.813700000000001</v>
      </c>
      <c r="I3351" t="s">
        <v>1472</v>
      </c>
      <c r="J3351" t="s">
        <v>12911</v>
      </c>
      <c r="L3351" t="s">
        <v>1473</v>
      </c>
      <c r="M3351" t="str">
        <f>"https://www.artic.edu/iiif/2/"&amp;Table9[[#This Row],[Image ID]]&amp;"/full/843,/0/default.jpg"</f>
        <v>https://www.artic.edu/iiif/2/87036290-c900-9f0d-67e5-0177f2ab6842/full/843,/0/default.jpg</v>
      </c>
      <c r="N3351" s="3">
        <v>0.52400000000000002</v>
      </c>
      <c r="O3351" s="3">
        <v>0</v>
      </c>
      <c r="P3351" s="3">
        <v>0.52400000000000002</v>
      </c>
      <c r="Q3351" s="3">
        <v>0.77593559026718095</v>
      </c>
    </row>
    <row r="3352" spans="1:17" x14ac:dyDescent="0.45">
      <c r="A3352" s="3">
        <v>241158</v>
      </c>
      <c r="B3352" t="b">
        <v>0</v>
      </c>
      <c r="C3352" t="b">
        <v>0</v>
      </c>
      <c r="D3352" s="3">
        <v>2012</v>
      </c>
      <c r="E3352" s="3">
        <v>2012</v>
      </c>
      <c r="F3352" t="s">
        <v>14602</v>
      </c>
      <c r="G3352" t="s">
        <v>6368</v>
      </c>
      <c r="H3352" s="3">
        <v>2.0811000000000002</v>
      </c>
      <c r="I3352" t="s">
        <v>5318</v>
      </c>
      <c r="J3352" t="s">
        <v>12921</v>
      </c>
      <c r="K3352" s="5" t="s">
        <v>15</v>
      </c>
      <c r="L3352" t="s">
        <v>6369</v>
      </c>
      <c r="M3352" t="str">
        <f>"https://www.artic.edu/iiif/2/"&amp;Table9[[#This Row],[Image ID]]&amp;"/full/843,/0/default.jpg"</f>
        <v>https://www.artic.edu/iiif/2/87f52901-795b-19dd-8215-c5d94ce61d90/full/843,/0/default.jpg</v>
      </c>
      <c r="N3352" s="3">
        <v>0.61899999999999999</v>
      </c>
      <c r="O3352" s="3">
        <v>9.5000000000000001E-2</v>
      </c>
      <c r="P3352" s="3">
        <v>0.52400000000000002</v>
      </c>
      <c r="Q3352" s="3">
        <v>0.62914878129959095</v>
      </c>
    </row>
    <row r="3353" spans="1:17" x14ac:dyDescent="0.45">
      <c r="A3353" s="3">
        <v>44049</v>
      </c>
      <c r="B3353" t="b">
        <v>0</v>
      </c>
      <c r="C3353" t="b">
        <v>0</v>
      </c>
      <c r="D3353" s="3">
        <v>1942</v>
      </c>
      <c r="E3353" s="3">
        <v>1942</v>
      </c>
      <c r="F3353" t="s">
        <v>7753</v>
      </c>
      <c r="G3353" t="s">
        <v>7754</v>
      </c>
      <c r="H3353" s="3">
        <v>27.7623</v>
      </c>
      <c r="I3353" t="s">
        <v>7755</v>
      </c>
      <c r="J3353" t="s">
        <v>13184</v>
      </c>
      <c r="L3353" t="s">
        <v>7756</v>
      </c>
      <c r="M3353" t="str">
        <f>"https://www.artic.edu/iiif/2/"&amp;Table9[[#This Row],[Image ID]]&amp;"/full/843,/0/default.jpg"</f>
        <v>https://www.artic.edu/iiif/2/9c8995ba-019a-c8f4-8898-f658b2eed1c0/full/843,/0/default.jpg</v>
      </c>
      <c r="N3353" s="3">
        <v>0.66700000000000004</v>
      </c>
      <c r="O3353" s="3">
        <v>0.14299999999999999</v>
      </c>
      <c r="P3353" s="3">
        <v>0.52400000000000002</v>
      </c>
      <c r="Q3353" s="3">
        <v>0.55831760168075495</v>
      </c>
    </row>
    <row r="3354" spans="1:17" x14ac:dyDescent="0.45">
      <c r="A3354" s="3">
        <v>140615</v>
      </c>
      <c r="B3354" t="b">
        <v>0</v>
      </c>
      <c r="C3354" t="b">
        <v>1</v>
      </c>
      <c r="D3354" s="3">
        <v>1802</v>
      </c>
      <c r="E3354" s="3">
        <v>1802</v>
      </c>
      <c r="F3354" t="s">
        <v>3262</v>
      </c>
      <c r="G3354" t="s">
        <v>3263</v>
      </c>
      <c r="H3354" s="3">
        <v>33.673200000000001</v>
      </c>
      <c r="I3354" t="s">
        <v>3158</v>
      </c>
      <c r="J3354" t="s">
        <v>10988</v>
      </c>
      <c r="L3354" t="s">
        <v>3264</v>
      </c>
      <c r="M3354" t="str">
        <f>"https://www.artic.edu/iiif/2/"&amp;Table9[[#This Row],[Image ID]]&amp;"/full/843,/0/default.jpg"</f>
        <v>https://www.artic.edu/iiif/2/01220f42-2fa5-fb7c-9913-772571bc63c7/full/843,/0/default.jpg</v>
      </c>
      <c r="N3354" s="3">
        <v>0.57099999999999995</v>
      </c>
      <c r="O3354" s="3">
        <v>4.8000000000000001E-2</v>
      </c>
      <c r="P3354" s="3">
        <v>0.52299999999999991</v>
      </c>
      <c r="Q3354" s="3">
        <v>0.60058128833770696</v>
      </c>
    </row>
    <row r="3355" spans="1:17" x14ac:dyDescent="0.45">
      <c r="A3355" s="3">
        <v>7129</v>
      </c>
      <c r="B3355" t="b">
        <v>0</v>
      </c>
      <c r="C3355" t="b">
        <v>0</v>
      </c>
      <c r="D3355" s="3">
        <v>1954</v>
      </c>
      <c r="E3355" s="3">
        <v>1954</v>
      </c>
      <c r="F3355" t="s">
        <v>9482</v>
      </c>
      <c r="G3355" t="s">
        <v>9483</v>
      </c>
      <c r="H3355" s="3">
        <v>18.569600000000001</v>
      </c>
      <c r="I3355" t="s">
        <v>9462</v>
      </c>
      <c r="J3355" t="s">
        <v>13826</v>
      </c>
      <c r="L3355" t="s">
        <v>9484</v>
      </c>
      <c r="M3355" t="str">
        <f>"https://www.artic.edu/iiif/2/"&amp;Table9[[#This Row],[Image ID]]&amp;"/full/843,/0/default.jpg"</f>
        <v>https://www.artic.edu/iiif/2/ce72ffc2-bac5-701d-753c-a18e34d247b6/full/843,/0/default.jpg</v>
      </c>
      <c r="N3355" s="3">
        <v>0.57099999999999995</v>
      </c>
      <c r="O3355" s="3">
        <v>4.8000000000000001E-2</v>
      </c>
      <c r="P3355" s="3">
        <v>0.52299999999999991</v>
      </c>
      <c r="Q3355" s="3">
        <v>0.92364567518234197</v>
      </c>
    </row>
    <row r="3356" spans="1:17" x14ac:dyDescent="0.45">
      <c r="A3356" s="3">
        <v>39128</v>
      </c>
      <c r="B3356" t="b">
        <v>0</v>
      </c>
      <c r="C3356" t="b">
        <v>1</v>
      </c>
      <c r="D3356" s="3">
        <v>1855</v>
      </c>
      <c r="E3356" s="3">
        <v>1865</v>
      </c>
      <c r="F3356" t="s">
        <v>7463</v>
      </c>
      <c r="G3356" t="s">
        <v>7464</v>
      </c>
      <c r="H3356" s="3">
        <v>31.2224</v>
      </c>
      <c r="I3356" t="s">
        <v>5317</v>
      </c>
      <c r="J3356" t="s">
        <v>11096</v>
      </c>
      <c r="L3356" t="s">
        <v>7465</v>
      </c>
      <c r="M3356" t="str">
        <f>"https://www.artic.edu/iiif/2/"&amp;Table9[[#This Row],[Image ID]]&amp;"/full/843,/0/default.jpg"</f>
        <v>https://www.artic.edu/iiif/2/08ca4cb7-4f5f-46a5-aba0-965830d3e3be/full/843,/0/default.jpg</v>
      </c>
      <c r="N3356" s="3">
        <v>0.63400000000000001</v>
      </c>
      <c r="O3356" s="3">
        <v>0.11899999999999999</v>
      </c>
      <c r="P3356" s="3">
        <v>0.51500000000000001</v>
      </c>
      <c r="Q3356" s="3">
        <v>0.62621402740478505</v>
      </c>
    </row>
    <row r="3357" spans="1:17" x14ac:dyDescent="0.45">
      <c r="A3357" s="3">
        <v>893</v>
      </c>
      <c r="B3357" t="b">
        <v>0</v>
      </c>
      <c r="C3357" t="b">
        <v>1</v>
      </c>
      <c r="D3357" s="3">
        <v>1845</v>
      </c>
      <c r="E3357" s="3">
        <v>1855</v>
      </c>
      <c r="F3357" t="s">
        <v>2056</v>
      </c>
      <c r="G3357" t="s">
        <v>75</v>
      </c>
      <c r="H3357" s="3">
        <v>40.169499999999999</v>
      </c>
      <c r="I3357" t="s">
        <v>14558</v>
      </c>
      <c r="J3357" t="s">
        <v>11746</v>
      </c>
      <c r="L3357" t="s">
        <v>10454</v>
      </c>
      <c r="M3357" t="str">
        <f>"https://www.artic.edu/iiif/2/"&amp;Table9[[#This Row],[Image ID]]&amp;"/full/843,/0/default.jpg"</f>
        <v>https://www.artic.edu/iiif/2/3527f037-a9b2-9253-1a92-dcd281b54340/full/843,/0/default.jpg</v>
      </c>
      <c r="N3357" s="3">
        <v>0.65900000000000003</v>
      </c>
      <c r="O3357" s="3">
        <v>0.14599999999999999</v>
      </c>
      <c r="P3357" s="3">
        <v>0.51300000000000001</v>
      </c>
      <c r="Q3357" s="3">
        <v>0.488030165433883</v>
      </c>
    </row>
    <row r="3358" spans="1:17" x14ac:dyDescent="0.45">
      <c r="A3358" s="3">
        <v>48846</v>
      </c>
      <c r="B3358" t="b">
        <v>0</v>
      </c>
      <c r="C3358" t="b">
        <v>1</v>
      </c>
      <c r="D3358" s="3">
        <v>1877</v>
      </c>
      <c r="E3358" s="3">
        <v>1887</v>
      </c>
      <c r="F3358" t="s">
        <v>8030</v>
      </c>
      <c r="G3358" t="s">
        <v>8031</v>
      </c>
      <c r="H3358" s="3">
        <v>14.4678</v>
      </c>
      <c r="I3358" t="s">
        <v>14682</v>
      </c>
      <c r="J3358" t="s">
        <v>12639</v>
      </c>
      <c r="L3358" t="s">
        <v>8032</v>
      </c>
      <c r="M3358" t="str">
        <f>"https://www.artic.edu/iiif/2/"&amp;Table9[[#This Row],[Image ID]]&amp;"/full/843,/0/default.jpg"</f>
        <v>https://www.artic.edu/iiif/2/72aa6340-3833-ab28-c85f-b0ed924e6fad/full/843,/0/default.jpg</v>
      </c>
      <c r="N3358" s="3">
        <v>0.53700000000000003</v>
      </c>
      <c r="O3358" s="3">
        <v>2.4E-2</v>
      </c>
      <c r="P3358" s="3">
        <v>0.51300000000000001</v>
      </c>
      <c r="Q3358" s="3">
        <v>0.70067423582077004</v>
      </c>
    </row>
    <row r="3359" spans="1:17" x14ac:dyDescent="0.45">
      <c r="A3359" s="3">
        <v>25838</v>
      </c>
      <c r="B3359" t="b">
        <v>0</v>
      </c>
      <c r="C3359" t="b">
        <v>1</v>
      </c>
      <c r="D3359" s="3">
        <v>1895</v>
      </c>
      <c r="E3359" s="3">
        <v>1905</v>
      </c>
      <c r="F3359" t="s">
        <v>14716</v>
      </c>
      <c r="G3359" t="s">
        <v>6633</v>
      </c>
      <c r="H3359" s="3">
        <v>30.734000000000002</v>
      </c>
      <c r="I3359" t="s">
        <v>14591</v>
      </c>
      <c r="J3359" t="s">
        <v>14531</v>
      </c>
      <c r="L3359" t="s">
        <v>6634</v>
      </c>
      <c r="M3359" t="str">
        <f>"https://www.artic.edu/iiif/2/"&amp;Table9[[#This Row],[Image ID]]&amp;"/full/843,/0/default.jpg"</f>
        <v>https://www.artic.edu/iiif/2/ff4eb409-5b54-0443-8c05-270921a5de20/full/843,/0/default.jpg</v>
      </c>
      <c r="N3359" s="3">
        <v>0.65900000000000003</v>
      </c>
      <c r="O3359" s="3">
        <v>0.14599999999999999</v>
      </c>
      <c r="P3359" s="3">
        <v>0.51300000000000001</v>
      </c>
      <c r="Q3359" s="3">
        <v>0.66924828290939298</v>
      </c>
    </row>
    <row r="3360" spans="1:17" x14ac:dyDescent="0.45">
      <c r="A3360" s="3">
        <v>47634</v>
      </c>
      <c r="B3360" t="b">
        <v>0</v>
      </c>
      <c r="C3360" t="b">
        <v>0</v>
      </c>
      <c r="D3360" s="3">
        <v>1944</v>
      </c>
      <c r="E3360" s="3">
        <v>1944</v>
      </c>
      <c r="F3360" t="s">
        <v>7964</v>
      </c>
      <c r="G3360" t="s">
        <v>7</v>
      </c>
      <c r="H3360" s="3">
        <v>0</v>
      </c>
      <c r="I3360" t="s">
        <v>1094</v>
      </c>
      <c r="J3360" t="s">
        <v>11665</v>
      </c>
      <c r="L3360" t="s">
        <v>7965</v>
      </c>
      <c r="M3360" t="str">
        <f>"https://www.artic.edu/iiif/2/"&amp;Table9[[#This Row],[Image ID]]&amp;"/full/843,/0/default.jpg"</f>
        <v>https://www.artic.edu/iiif/2/2f1de1e4-08f1-c680-0641-a70db3163af3/full/843,/0/default.jpg</v>
      </c>
      <c r="N3360" s="3">
        <v>0.65900000000000003</v>
      </c>
      <c r="O3360" s="3">
        <v>0.14599999999999999</v>
      </c>
      <c r="P3360" s="3">
        <v>0.51300000000000001</v>
      </c>
      <c r="Q3360" s="3">
        <v>0.69622611999511697</v>
      </c>
    </row>
    <row r="3361" spans="1:17" x14ac:dyDescent="0.45">
      <c r="A3361" s="3">
        <v>40304</v>
      </c>
      <c r="B3361" t="b">
        <v>0</v>
      </c>
      <c r="C3361" t="b">
        <v>0</v>
      </c>
      <c r="D3361" s="3">
        <v>1940</v>
      </c>
      <c r="E3361" s="3">
        <v>1940</v>
      </c>
      <c r="F3361" t="s">
        <v>7635</v>
      </c>
      <c r="G3361" t="s">
        <v>7636</v>
      </c>
      <c r="H3361" s="3">
        <v>37.820099999999996</v>
      </c>
      <c r="I3361" t="s">
        <v>2796</v>
      </c>
      <c r="J3361" t="s">
        <v>11822</v>
      </c>
      <c r="L3361" t="s">
        <v>7637</v>
      </c>
      <c r="M3361" t="str">
        <f>"https://www.artic.edu/iiif/2/"&amp;Table9[[#This Row],[Image ID]]&amp;"/full/843,/0/default.jpg"</f>
        <v>https://www.artic.edu/iiif/2/39fe0ea4-bdb0-4ee5-831f-e6e90c2f706e/full/843,/0/default.jpg</v>
      </c>
      <c r="N3361" s="3">
        <v>0.53700000000000003</v>
      </c>
      <c r="O3361" s="3">
        <v>2.4E-2</v>
      </c>
      <c r="P3361" s="3">
        <v>0.51300000000000001</v>
      </c>
      <c r="Q3361" s="3">
        <v>0.73367303609848</v>
      </c>
    </row>
    <row r="3362" spans="1:17" x14ac:dyDescent="0.45">
      <c r="A3362" s="3">
        <v>15154</v>
      </c>
      <c r="B3362" t="b">
        <v>0</v>
      </c>
      <c r="C3362" t="b">
        <v>0</v>
      </c>
      <c r="D3362" s="3">
        <v>1962</v>
      </c>
      <c r="E3362" s="3">
        <v>1962</v>
      </c>
      <c r="F3362" t="s">
        <v>3836</v>
      </c>
      <c r="G3362" t="s">
        <v>7</v>
      </c>
      <c r="H3362" s="3">
        <v>95.411799999999999</v>
      </c>
      <c r="I3362" t="s">
        <v>233</v>
      </c>
      <c r="J3362" t="s">
        <v>12177</v>
      </c>
      <c r="L3362" t="s">
        <v>3837</v>
      </c>
      <c r="M3362" t="str">
        <f>"https://www.artic.edu/iiif/2/"&amp;Table9[[#This Row],[Image ID]]&amp;"/full/843,/0/default.jpg"</f>
        <v>https://www.artic.edu/iiif/2/52831d31-b122-6bf7-3d41-8347ab962d6c/full/843,/0/default.jpg</v>
      </c>
      <c r="N3362" s="3">
        <v>0.65900000000000003</v>
      </c>
      <c r="O3362" s="3">
        <v>0.14599999999999999</v>
      </c>
      <c r="P3362" s="3">
        <v>0.51300000000000001</v>
      </c>
      <c r="Q3362" s="3">
        <v>0.83311975002288796</v>
      </c>
    </row>
    <row r="3363" spans="1:17" x14ac:dyDescent="0.45">
      <c r="A3363" s="3">
        <v>38996</v>
      </c>
      <c r="B3363" t="b">
        <v>0</v>
      </c>
      <c r="C3363" t="b">
        <v>1</v>
      </c>
      <c r="D3363" s="3">
        <v>1800</v>
      </c>
      <c r="E3363" s="3">
        <v>1825</v>
      </c>
      <c r="F3363" t="s">
        <v>7366</v>
      </c>
      <c r="G3363" t="s">
        <v>7367</v>
      </c>
      <c r="H3363" s="3">
        <v>30.9499</v>
      </c>
      <c r="I3363" t="s">
        <v>7307</v>
      </c>
      <c r="J3363" t="s">
        <v>11357</v>
      </c>
      <c r="L3363" t="s">
        <v>7368</v>
      </c>
      <c r="M3363" t="str">
        <f>"https://www.artic.edu/iiif/2/"&amp;Table9[[#This Row],[Image ID]]&amp;"/full/843,/0/default.jpg"</f>
        <v>https://www.artic.edu/iiif/2/1bf89e36-68be-877a-0ac7-33ba269b0253/full/843,/0/default.jpg</v>
      </c>
      <c r="N3363" s="3">
        <v>0.68300000000000005</v>
      </c>
      <c r="O3363" s="3">
        <v>0.17100000000000001</v>
      </c>
      <c r="P3363" s="3">
        <v>0.51200000000000001</v>
      </c>
      <c r="Q3363" s="3">
        <v>0.44026964902877802</v>
      </c>
    </row>
    <row r="3364" spans="1:17" x14ac:dyDescent="0.45">
      <c r="A3364" s="3">
        <v>53067</v>
      </c>
      <c r="B3364" t="b">
        <v>0</v>
      </c>
      <c r="C3364" t="b">
        <v>1</v>
      </c>
      <c r="D3364" s="3">
        <v>1750</v>
      </c>
      <c r="E3364" s="3">
        <v>1755</v>
      </c>
      <c r="F3364" t="s">
        <v>8238</v>
      </c>
      <c r="G3364" t="s">
        <v>7</v>
      </c>
      <c r="H3364" s="3">
        <v>53.2727</v>
      </c>
      <c r="I3364" t="s">
        <v>14652</v>
      </c>
      <c r="J3364" t="s">
        <v>11713</v>
      </c>
      <c r="L3364" t="s">
        <v>8239</v>
      </c>
      <c r="M3364" t="str">
        <f>"https://www.artic.edu/iiif/2/"&amp;Table9[[#This Row],[Image ID]]&amp;"/full/843,/0/default.jpg"</f>
        <v>https://www.artic.edu/iiif/2/3286d3c2-5ccc-7c03-9b44-573222930b86/full/843,/0/default.jpg</v>
      </c>
      <c r="N3364" s="3">
        <v>0.58499999999999996</v>
      </c>
      <c r="O3364" s="3">
        <v>7.2999999999999995E-2</v>
      </c>
      <c r="P3364" s="3">
        <v>0.51200000000000001</v>
      </c>
      <c r="Q3364" s="3">
        <v>0.48950567841529802</v>
      </c>
    </row>
    <row r="3365" spans="1:17" x14ac:dyDescent="0.45">
      <c r="A3365" s="3">
        <v>151896</v>
      </c>
      <c r="B3365" t="b">
        <v>0</v>
      </c>
      <c r="C3365" t="b">
        <v>1</v>
      </c>
      <c r="D3365" s="3">
        <v>1300</v>
      </c>
      <c r="E3365" s="3">
        <v>1500</v>
      </c>
      <c r="F3365" t="s">
        <v>3865</v>
      </c>
      <c r="G3365" t="s">
        <v>3866</v>
      </c>
      <c r="H3365" s="3">
        <v>39.031300000000002</v>
      </c>
      <c r="J3365" t="s">
        <v>11947</v>
      </c>
      <c r="L3365" t="s">
        <v>3867</v>
      </c>
      <c r="M3365" t="str">
        <f>"https://www.artic.edu/iiif/2/"&amp;Table9[[#This Row],[Image ID]]&amp;"/full/843,/0/default.jpg"</f>
        <v>https://www.artic.edu/iiif/2/42085ae5-e0f3-fc8f-8c1b-9669b1043cd2/full/843,/0/default.jpg</v>
      </c>
      <c r="N3365" s="3">
        <v>0.61</v>
      </c>
      <c r="O3365" s="3">
        <v>9.8000000000000004E-2</v>
      </c>
      <c r="P3365" s="3">
        <v>0.51200000000000001</v>
      </c>
      <c r="Q3365" s="3">
        <v>0.71590936183929399</v>
      </c>
    </row>
    <row r="3366" spans="1:17" x14ac:dyDescent="0.45">
      <c r="A3366" s="3">
        <v>8980</v>
      </c>
      <c r="B3366" t="b">
        <v>0</v>
      </c>
      <c r="C3366" t="b">
        <v>1</v>
      </c>
      <c r="D3366" s="3">
        <v>1912</v>
      </c>
      <c r="E3366" s="3">
        <v>1912</v>
      </c>
      <c r="F3366" t="s">
        <v>10477</v>
      </c>
      <c r="G3366" t="s">
        <v>7</v>
      </c>
      <c r="H3366" s="3">
        <v>57.438099999999999</v>
      </c>
      <c r="I3366" t="s">
        <v>2957</v>
      </c>
      <c r="J3366" t="s">
        <v>13103</v>
      </c>
      <c r="L3366" t="s">
        <v>10478</v>
      </c>
      <c r="M3366" t="str">
        <f>"https://www.artic.edu/iiif/2/"&amp;Table9[[#This Row],[Image ID]]&amp;"/full/843,/0/default.jpg"</f>
        <v>https://www.artic.edu/iiif/2/9694ca0c-c4c4-e48d-566f-4d248990cff4/full/843,/0/default.jpg</v>
      </c>
      <c r="N3366" s="3">
        <v>0.56100000000000005</v>
      </c>
      <c r="O3366" s="3">
        <v>4.9000000000000002E-2</v>
      </c>
      <c r="P3366" s="3">
        <v>0.51200000000000001</v>
      </c>
      <c r="Q3366" s="3">
        <v>0.63846796751022294</v>
      </c>
    </row>
    <row r="3367" spans="1:17" x14ac:dyDescent="0.45">
      <c r="A3367" s="3">
        <v>76306</v>
      </c>
      <c r="B3367" t="b">
        <v>0</v>
      </c>
      <c r="C3367" t="b">
        <v>1</v>
      </c>
      <c r="D3367" s="3">
        <v>1842</v>
      </c>
      <c r="E3367" s="3">
        <v>1842</v>
      </c>
      <c r="F3367" t="s">
        <v>9783</v>
      </c>
      <c r="G3367" t="s">
        <v>9784</v>
      </c>
      <c r="H3367" s="3">
        <v>40.742600000000003</v>
      </c>
      <c r="I3367" t="s">
        <v>1546</v>
      </c>
      <c r="J3367" t="s">
        <v>13908</v>
      </c>
      <c r="L3367" t="s">
        <v>9785</v>
      </c>
      <c r="M3367" t="str">
        <f>"https://www.artic.edu/iiif/2/"&amp;Table9[[#This Row],[Image ID]]&amp;"/full/843,/0/default.jpg"</f>
        <v>https://www.artic.edu/iiif/2/d559cc07-62aa-5269-4c28-e46f04108b12/full/843,/0/default.jpg</v>
      </c>
      <c r="N3367" s="3">
        <v>0.75600000000000001</v>
      </c>
      <c r="O3367" s="3">
        <v>0.24399999999999999</v>
      </c>
      <c r="P3367" s="3">
        <v>0.51200000000000001</v>
      </c>
      <c r="Q3367" s="3">
        <v>0.50962048768997104</v>
      </c>
    </row>
    <row r="3368" spans="1:17" x14ac:dyDescent="0.45">
      <c r="A3368" s="3">
        <v>81510</v>
      </c>
      <c r="B3368" t="b">
        <v>0</v>
      </c>
      <c r="C3368" t="b">
        <v>1</v>
      </c>
      <c r="D3368" s="3">
        <v>1855</v>
      </c>
      <c r="E3368" s="3">
        <v>1860</v>
      </c>
      <c r="F3368" t="s">
        <v>1273</v>
      </c>
      <c r="G3368" t="s">
        <v>7</v>
      </c>
      <c r="H3368" s="3">
        <v>23.817699999999999</v>
      </c>
      <c r="I3368" t="s">
        <v>1274</v>
      </c>
      <c r="J3368" t="s">
        <v>13993</v>
      </c>
      <c r="L3368" t="s">
        <v>10107</v>
      </c>
      <c r="M3368" t="str">
        <f>"https://www.artic.edu/iiif/2/"&amp;Table9[[#This Row],[Image ID]]&amp;"/full/843,/0/default.jpg"</f>
        <v>https://www.artic.edu/iiif/2/db1f6435-23d1-b7ac-9c44-ad70cefdb9c3/full/843,/0/default.jpg</v>
      </c>
      <c r="N3368" s="3">
        <v>0.56100000000000005</v>
      </c>
      <c r="O3368" s="3">
        <v>4.9000000000000002E-2</v>
      </c>
      <c r="P3368" s="3">
        <v>0.51200000000000001</v>
      </c>
      <c r="Q3368" s="3">
        <v>0.43358319997787398</v>
      </c>
    </row>
    <row r="3369" spans="1:17" x14ac:dyDescent="0.45">
      <c r="A3369" s="3">
        <v>158892</v>
      </c>
      <c r="B3369" t="b">
        <v>0</v>
      </c>
      <c r="C3369" t="b">
        <v>0</v>
      </c>
      <c r="D3369" s="3">
        <v>1987</v>
      </c>
      <c r="E3369" s="3">
        <v>1987</v>
      </c>
      <c r="F3369" t="s">
        <v>4166</v>
      </c>
      <c r="G3369" t="s">
        <v>4167</v>
      </c>
      <c r="H3369" s="3">
        <v>28.375800000000002</v>
      </c>
      <c r="I3369" t="s">
        <v>2452</v>
      </c>
      <c r="J3369" t="s">
        <v>11122</v>
      </c>
      <c r="L3369" t="s">
        <v>4168</v>
      </c>
      <c r="M3369" t="str">
        <f>"https://www.artic.edu/iiif/2/"&amp;Table9[[#This Row],[Image ID]]&amp;"/full/843,/0/default.jpg"</f>
        <v>https://www.artic.edu/iiif/2/0ad13829-0c87-9900-1c58-29737edad80c/full/843,/0/default.jpg</v>
      </c>
      <c r="N3369" s="3">
        <v>0.58499999999999996</v>
      </c>
      <c r="O3369" s="3">
        <v>7.2999999999999995E-2</v>
      </c>
      <c r="P3369" s="3">
        <v>0.51200000000000001</v>
      </c>
      <c r="Q3369" s="3">
        <v>0.851132571697235</v>
      </c>
    </row>
    <row r="3370" spans="1:17" x14ac:dyDescent="0.45">
      <c r="A3370" s="3">
        <v>229364</v>
      </c>
      <c r="B3370" t="b">
        <v>0</v>
      </c>
      <c r="C3370" t="b">
        <v>0</v>
      </c>
      <c r="D3370" s="3">
        <v>1982</v>
      </c>
      <c r="E3370" s="3">
        <v>1982</v>
      </c>
      <c r="F3370" t="s">
        <v>6088</v>
      </c>
      <c r="G3370" t="s">
        <v>6086</v>
      </c>
      <c r="H3370" s="3">
        <v>66.600200000000001</v>
      </c>
      <c r="I3370" t="s">
        <v>2460</v>
      </c>
      <c r="J3370" t="s">
        <v>11143</v>
      </c>
      <c r="K3370" s="5" t="s">
        <v>149</v>
      </c>
      <c r="L3370" t="s">
        <v>6089</v>
      </c>
      <c r="M3370" t="str">
        <f>"https://www.artic.edu/iiif/2/"&amp;Table9[[#This Row],[Image ID]]&amp;"/full/843,/0/default.jpg"</f>
        <v>https://www.artic.edu/iiif/2/0cb68b62-a531-9b60-4536-c5d35c6ab335/full/843,/0/default.jpg</v>
      </c>
      <c r="N3370" s="3">
        <v>0.63400000000000001</v>
      </c>
      <c r="O3370" s="3">
        <v>0.122</v>
      </c>
      <c r="P3370" s="3">
        <v>0.51200000000000001</v>
      </c>
      <c r="Q3370" s="3">
        <v>0.87813824415206898</v>
      </c>
    </row>
    <row r="3371" spans="1:17" x14ac:dyDescent="0.45">
      <c r="A3371" s="3">
        <v>2898</v>
      </c>
      <c r="B3371" t="b">
        <v>0</v>
      </c>
      <c r="C3371" t="b">
        <v>0</v>
      </c>
      <c r="D3371" s="3">
        <v>1910</v>
      </c>
      <c r="E3371" s="3">
        <v>1910</v>
      </c>
      <c r="F3371" t="s">
        <v>1263</v>
      </c>
      <c r="G3371" t="s">
        <v>6854</v>
      </c>
      <c r="H3371" s="3">
        <v>22.538599999999999</v>
      </c>
      <c r="I3371" t="s">
        <v>949</v>
      </c>
      <c r="J3371" t="s">
        <v>11316</v>
      </c>
      <c r="L3371" t="s">
        <v>6855</v>
      </c>
      <c r="M3371" t="str">
        <f>"https://www.artic.edu/iiif/2/"&amp;Table9[[#This Row],[Image ID]]&amp;"/full/843,/0/default.jpg"</f>
        <v>https://www.artic.edu/iiif/2/190e7ba1-6d23-89d6-a220-8b142a38fa7f/full/843,/0/default.jpg</v>
      </c>
      <c r="N3371" s="3">
        <v>0.56100000000000005</v>
      </c>
      <c r="O3371" s="3">
        <v>4.9000000000000002E-2</v>
      </c>
      <c r="P3371" s="3">
        <v>0.51200000000000001</v>
      </c>
      <c r="Q3371" s="3">
        <v>0.737931728363037</v>
      </c>
    </row>
    <row r="3372" spans="1:17" x14ac:dyDescent="0.45">
      <c r="A3372" s="3">
        <v>14762</v>
      </c>
      <c r="B3372" t="b">
        <v>0</v>
      </c>
      <c r="C3372" t="b">
        <v>0</v>
      </c>
      <c r="D3372" s="3">
        <v>1904</v>
      </c>
      <c r="E3372" s="3">
        <v>1904</v>
      </c>
      <c r="F3372" t="s">
        <v>2701</v>
      </c>
      <c r="G3372" t="s">
        <v>75</v>
      </c>
      <c r="H3372" s="3">
        <v>30.573899999999998</v>
      </c>
      <c r="I3372" t="s">
        <v>3635</v>
      </c>
      <c r="J3372" t="s">
        <v>11483</v>
      </c>
      <c r="L3372" t="s">
        <v>3636</v>
      </c>
      <c r="M3372" t="str">
        <f>"https://www.artic.edu/iiif/2/"&amp;Table9[[#This Row],[Image ID]]&amp;"/full/843,/0/default.jpg"</f>
        <v>https://www.artic.edu/iiif/2/23b51ea1-6e6c-eae6-c2ab-c614ea3b63b1/full/843,/0/default.jpg</v>
      </c>
      <c r="N3372" s="3">
        <v>0.61</v>
      </c>
      <c r="O3372" s="3">
        <v>9.8000000000000004E-2</v>
      </c>
      <c r="P3372" s="3">
        <v>0.51200000000000001</v>
      </c>
      <c r="Q3372" s="3">
        <v>0.59851998090743996</v>
      </c>
    </row>
    <row r="3373" spans="1:17" x14ac:dyDescent="0.45">
      <c r="A3373" s="3">
        <v>71982</v>
      </c>
      <c r="B3373" t="b">
        <v>0</v>
      </c>
      <c r="C3373" t="b">
        <v>0</v>
      </c>
      <c r="D3373" s="3">
        <v>1925</v>
      </c>
      <c r="E3373" s="3">
        <v>1925</v>
      </c>
      <c r="F3373" t="s">
        <v>9531</v>
      </c>
      <c r="G3373" t="s">
        <v>7</v>
      </c>
      <c r="H3373" s="3">
        <v>16.158200000000001</v>
      </c>
      <c r="I3373" t="s">
        <v>180</v>
      </c>
      <c r="J3373" t="s">
        <v>11533</v>
      </c>
      <c r="L3373" t="s">
        <v>9532</v>
      </c>
      <c r="M3373" t="str">
        <f>"https://www.artic.edu/iiif/2/"&amp;Table9[[#This Row],[Image ID]]&amp;"/full/843,/0/default.jpg"</f>
        <v>https://www.artic.edu/iiif/2/26c5ab1b-b494-37d6-c0e3-7bb8ecc78b96/full/843,/0/default.jpg</v>
      </c>
      <c r="N3373" s="3">
        <v>0.51200000000000001</v>
      </c>
      <c r="O3373" s="3">
        <v>0</v>
      </c>
      <c r="P3373" s="3">
        <v>0.51200000000000001</v>
      </c>
      <c r="Q3373" s="3">
        <v>0.82865887880325295</v>
      </c>
    </row>
    <row r="3374" spans="1:17" x14ac:dyDescent="0.45">
      <c r="A3374" s="3">
        <v>133491</v>
      </c>
      <c r="B3374" t="b">
        <v>0</v>
      </c>
      <c r="C3374" t="b">
        <v>0</v>
      </c>
      <c r="D3374" s="3">
        <v>1947</v>
      </c>
      <c r="E3374" s="3">
        <v>1947</v>
      </c>
      <c r="F3374" t="s">
        <v>3044</v>
      </c>
      <c r="G3374" t="s">
        <v>238</v>
      </c>
      <c r="H3374" s="3">
        <v>29.659199999999998</v>
      </c>
      <c r="I3374" t="s">
        <v>3035</v>
      </c>
      <c r="J3374" t="s">
        <v>11596</v>
      </c>
      <c r="L3374" t="s">
        <v>3045</v>
      </c>
      <c r="M3374" t="str">
        <f>"https://www.artic.edu/iiif/2/"&amp;Table9[[#This Row],[Image ID]]&amp;"/full/843,/0/default.jpg"</f>
        <v>https://www.artic.edu/iiif/2/2abab6f4-a7ca-e846-28ed-1c459e355a31/full/843,/0/default.jpg</v>
      </c>
      <c r="N3374" s="3">
        <v>0.70699999999999996</v>
      </c>
      <c r="O3374" s="3">
        <v>0.19500000000000001</v>
      </c>
      <c r="P3374" s="3">
        <v>0.51200000000000001</v>
      </c>
      <c r="Q3374" s="3">
        <v>0.71562135219573897</v>
      </c>
    </row>
    <row r="3375" spans="1:17" x14ac:dyDescent="0.45">
      <c r="A3375" s="3">
        <v>205573</v>
      </c>
      <c r="B3375" t="b">
        <v>0</v>
      </c>
      <c r="C3375" t="b">
        <v>0</v>
      </c>
      <c r="D3375" s="3">
        <v>1911</v>
      </c>
      <c r="E3375" s="3">
        <v>1911</v>
      </c>
      <c r="F3375" t="s">
        <v>5473</v>
      </c>
      <c r="G3375" t="s">
        <v>7</v>
      </c>
      <c r="H3375" s="3">
        <v>88.121799999999993</v>
      </c>
      <c r="I3375" t="s">
        <v>371</v>
      </c>
      <c r="J3375" t="s">
        <v>11904</v>
      </c>
      <c r="L3375" t="s">
        <v>5474</v>
      </c>
      <c r="M3375" t="str">
        <f>"https://www.artic.edu/iiif/2/"&amp;Table9[[#This Row],[Image ID]]&amp;"/full/843,/0/default.jpg"</f>
        <v>https://www.artic.edu/iiif/2/3f34cd5d-6eed-85e9-9665-c9e7ce367952/full/843,/0/default.jpg</v>
      </c>
      <c r="N3375" s="3">
        <v>0.61</v>
      </c>
      <c r="O3375" s="3">
        <v>9.8000000000000004E-2</v>
      </c>
      <c r="P3375" s="3">
        <v>0.51200000000000001</v>
      </c>
      <c r="Q3375" s="3">
        <v>0.64534825086593595</v>
      </c>
    </row>
    <row r="3376" spans="1:17" x14ac:dyDescent="0.45">
      <c r="A3376" s="3">
        <v>35248</v>
      </c>
      <c r="B3376" t="b">
        <v>0</v>
      </c>
      <c r="C3376" t="b">
        <v>0</v>
      </c>
      <c r="D3376" s="3">
        <v>1771</v>
      </c>
      <c r="E3376" s="3">
        <v>1793</v>
      </c>
      <c r="F3376" t="s">
        <v>7170</v>
      </c>
      <c r="G3376" t="s">
        <v>7</v>
      </c>
      <c r="H3376" s="3">
        <v>22.108799999999999</v>
      </c>
      <c r="I3376" t="s">
        <v>1024</v>
      </c>
      <c r="J3376" t="s">
        <v>12318</v>
      </c>
      <c r="L3376" t="s">
        <v>7171</v>
      </c>
      <c r="M3376" t="str">
        <f>"https://www.artic.edu/iiif/2/"&amp;Table9[[#This Row],[Image ID]]&amp;"/full/843,/0/default.jpg"</f>
        <v>https://www.artic.edu/iiif/2/5bd779cb-9115-7548-85dc-acac68187d32/full/843,/0/default.jpg</v>
      </c>
      <c r="N3376" s="3">
        <v>0.58499999999999996</v>
      </c>
      <c r="O3376" s="3">
        <v>7.2999999999999995E-2</v>
      </c>
      <c r="P3376" s="3">
        <v>0.51200000000000001</v>
      </c>
      <c r="Q3376" s="3">
        <v>0.61584609746932895</v>
      </c>
    </row>
    <row r="3377" spans="1:17" x14ac:dyDescent="0.45">
      <c r="A3377" s="3">
        <v>16504</v>
      </c>
      <c r="B3377" t="b">
        <v>0</v>
      </c>
      <c r="C3377" t="b">
        <v>0</v>
      </c>
      <c r="D3377" s="3">
        <v>1896</v>
      </c>
      <c r="E3377" s="3">
        <v>1896</v>
      </c>
      <c r="F3377" t="s">
        <v>4464</v>
      </c>
      <c r="G3377" t="s">
        <v>7</v>
      </c>
      <c r="H3377" s="3">
        <v>19.3674</v>
      </c>
      <c r="I3377" t="s">
        <v>4465</v>
      </c>
      <c r="J3377" t="s">
        <v>12420</v>
      </c>
      <c r="L3377" t="s">
        <v>4466</v>
      </c>
      <c r="M3377" t="str">
        <f>"https://www.artic.edu/iiif/2/"&amp;Table9[[#This Row],[Image ID]]&amp;"/full/843,/0/default.jpg"</f>
        <v>https://www.artic.edu/iiif/2/63508284-9042-2c87-23cc-c4d4650710dc/full/843,/0/default.jpg</v>
      </c>
      <c r="N3377" s="3">
        <v>0.58499999999999996</v>
      </c>
      <c r="O3377" s="3">
        <v>7.2999999999999995E-2</v>
      </c>
      <c r="P3377" s="3">
        <v>0.51200000000000001</v>
      </c>
      <c r="Q3377" s="3">
        <v>0.74510681629180897</v>
      </c>
    </row>
    <row r="3378" spans="1:17" x14ac:dyDescent="0.45">
      <c r="A3378" s="3">
        <v>9018</v>
      </c>
      <c r="B3378" t="b">
        <v>0</v>
      </c>
      <c r="C3378" t="b">
        <v>0</v>
      </c>
      <c r="D3378" s="3">
        <v>1912</v>
      </c>
      <c r="E3378" s="3">
        <v>1912</v>
      </c>
      <c r="F3378" t="s">
        <v>10510</v>
      </c>
      <c r="G3378" t="s">
        <v>7</v>
      </c>
      <c r="H3378" s="3">
        <v>64.232699999999994</v>
      </c>
      <c r="I3378" t="s">
        <v>6983</v>
      </c>
      <c r="J3378" t="s">
        <v>12538</v>
      </c>
      <c r="L3378" t="s">
        <v>10511</v>
      </c>
      <c r="M3378" t="str">
        <f>"https://www.artic.edu/iiif/2/"&amp;Table9[[#This Row],[Image ID]]&amp;"/full/843,/0/default.jpg"</f>
        <v>https://www.artic.edu/iiif/2/6b5916ab-baa7-caa0-fcc2-314f6ec268bc/full/843,/0/default.jpg</v>
      </c>
      <c r="N3378" s="3">
        <v>0.61</v>
      </c>
      <c r="O3378" s="3">
        <v>9.8000000000000004E-2</v>
      </c>
      <c r="P3378" s="3">
        <v>0.51200000000000001</v>
      </c>
      <c r="Q3378" s="3">
        <v>0.63857245445251398</v>
      </c>
    </row>
    <row r="3379" spans="1:17" x14ac:dyDescent="0.45">
      <c r="A3379" s="3">
        <v>60869</v>
      </c>
      <c r="B3379" t="b">
        <v>0</v>
      </c>
      <c r="C3379" t="b">
        <v>0</v>
      </c>
      <c r="D3379" s="3">
        <v>1928</v>
      </c>
      <c r="E3379" s="3">
        <v>1928</v>
      </c>
      <c r="F3379" t="s">
        <v>8752</v>
      </c>
      <c r="G3379" t="s">
        <v>7</v>
      </c>
      <c r="H3379" s="3">
        <v>34.118099999999998</v>
      </c>
      <c r="I3379" t="s">
        <v>8753</v>
      </c>
      <c r="J3379" t="s">
        <v>12798</v>
      </c>
      <c r="L3379" t="s">
        <v>8754</v>
      </c>
      <c r="M3379" t="str">
        <f>"https://www.artic.edu/iiif/2/"&amp;Table9[[#This Row],[Image ID]]&amp;"/full/843,/0/default.jpg"</f>
        <v>https://www.artic.edu/iiif/2/7f17d572-34c3-eef8-0c03-ebde7a19e9dd/full/843,/0/default.jpg</v>
      </c>
      <c r="N3379" s="3">
        <v>0.56100000000000005</v>
      </c>
      <c r="O3379" s="3">
        <v>4.9000000000000002E-2</v>
      </c>
      <c r="P3379" s="3">
        <v>0.51200000000000001</v>
      </c>
      <c r="Q3379" s="3">
        <v>0.54737728834152199</v>
      </c>
    </row>
    <row r="3380" spans="1:17" x14ac:dyDescent="0.45">
      <c r="A3380" s="3">
        <v>109914</v>
      </c>
      <c r="B3380" t="b">
        <v>0</v>
      </c>
      <c r="C3380" t="b">
        <v>0</v>
      </c>
      <c r="D3380" s="3">
        <v>1923</v>
      </c>
      <c r="E3380" s="3">
        <v>1933</v>
      </c>
      <c r="F3380" t="s">
        <v>859</v>
      </c>
      <c r="G3380" t="s">
        <v>7</v>
      </c>
      <c r="H3380" s="3">
        <v>0</v>
      </c>
      <c r="I3380" t="s">
        <v>860</v>
      </c>
      <c r="J3380" t="s">
        <v>12938</v>
      </c>
      <c r="L3380" t="s">
        <v>861</v>
      </c>
      <c r="M3380" t="str">
        <f>"https://www.artic.edu/iiif/2/"&amp;Table9[[#This Row],[Image ID]]&amp;"/full/843,/0/default.jpg"</f>
        <v>https://www.artic.edu/iiif/2/89a21b2f-c010-1752-4273-65f95096f9f0/full/843,/0/default.jpg</v>
      </c>
      <c r="N3380" s="3">
        <v>0.61</v>
      </c>
      <c r="O3380" s="3">
        <v>9.8000000000000004E-2</v>
      </c>
      <c r="P3380" s="3">
        <v>0.51200000000000001</v>
      </c>
      <c r="Q3380" s="3">
        <v>0.62272095680236805</v>
      </c>
    </row>
    <row r="3381" spans="1:17" x14ac:dyDescent="0.45">
      <c r="A3381" s="3">
        <v>233334</v>
      </c>
      <c r="B3381" t="b">
        <v>0</v>
      </c>
      <c r="C3381" t="b">
        <v>0</v>
      </c>
      <c r="D3381" s="3">
        <v>1902</v>
      </c>
      <c r="E3381" s="3">
        <v>1902</v>
      </c>
      <c r="F3381" t="s">
        <v>6167</v>
      </c>
      <c r="G3381" t="s">
        <v>7</v>
      </c>
      <c r="H3381" s="3">
        <v>20.9938</v>
      </c>
      <c r="I3381" t="s">
        <v>3772</v>
      </c>
      <c r="J3381" t="s">
        <v>13038</v>
      </c>
      <c r="L3381" t="s">
        <v>6168</v>
      </c>
      <c r="M3381" t="str">
        <f>"https://www.artic.edu/iiif/2/"&amp;Table9[[#This Row],[Image ID]]&amp;"/full/843,/0/default.jpg"</f>
        <v>https://www.artic.edu/iiif/2/911188c2-8ed7-dae2-80e2-878d7d82f9dd/full/843,/0/default.jpg</v>
      </c>
      <c r="N3381" s="3">
        <v>0.56100000000000005</v>
      </c>
      <c r="O3381" s="3">
        <v>4.9000000000000002E-2</v>
      </c>
      <c r="P3381" s="3">
        <v>0.51200000000000001</v>
      </c>
      <c r="Q3381" s="3">
        <v>0.582150638103485</v>
      </c>
    </row>
    <row r="3382" spans="1:17" x14ac:dyDescent="0.45">
      <c r="A3382" s="3">
        <v>93810</v>
      </c>
      <c r="B3382" t="b">
        <v>0</v>
      </c>
      <c r="C3382" t="b">
        <v>0</v>
      </c>
      <c r="D3382" s="3">
        <v>1961</v>
      </c>
      <c r="E3382" s="3">
        <v>1962</v>
      </c>
      <c r="F3382" t="s">
        <v>10643</v>
      </c>
      <c r="G3382" t="s">
        <v>238</v>
      </c>
      <c r="H3382" s="3">
        <v>26.276</v>
      </c>
      <c r="I3382" t="s">
        <v>378</v>
      </c>
      <c r="J3382" t="s">
        <v>13341</v>
      </c>
      <c r="L3382" t="s">
        <v>10644</v>
      </c>
      <c r="M3382" t="str">
        <f>"https://www.artic.edu/iiif/2/"&amp;Table9[[#This Row],[Image ID]]&amp;"/full/843,/0/default.jpg"</f>
        <v>https://www.artic.edu/iiif/2/a7b14b7c-c478-7c30-1fde-44f91f01a5db/full/843,/0/default.jpg</v>
      </c>
      <c r="N3382" s="3">
        <v>0.58499999999999996</v>
      </c>
      <c r="O3382" s="3">
        <v>7.2999999999999995E-2</v>
      </c>
      <c r="P3382" s="3">
        <v>0.51200000000000001</v>
      </c>
      <c r="Q3382" s="3">
        <v>0.59123158454894997</v>
      </c>
    </row>
    <row r="3383" spans="1:17" x14ac:dyDescent="0.45">
      <c r="A3383" s="3">
        <v>74694</v>
      </c>
      <c r="B3383" t="b">
        <v>0</v>
      </c>
      <c r="C3383" t="b">
        <v>0</v>
      </c>
      <c r="D3383" s="3">
        <v>1931</v>
      </c>
      <c r="E3383" s="3">
        <v>1931</v>
      </c>
      <c r="F3383" t="s">
        <v>8035</v>
      </c>
      <c r="G3383" t="s">
        <v>7</v>
      </c>
      <c r="H3383" s="3">
        <v>19.956499999999998</v>
      </c>
      <c r="I3383" t="s">
        <v>2789</v>
      </c>
      <c r="J3383" t="s">
        <v>13375</v>
      </c>
      <c r="L3383" t="s">
        <v>9700</v>
      </c>
      <c r="M3383" t="str">
        <f>"https://www.artic.edu/iiif/2/"&amp;Table9[[#This Row],[Image ID]]&amp;"/full/843,/0/default.jpg"</f>
        <v>https://www.artic.edu/iiif/2/aa351ec2-b220-ce2d-1d22-4f3cfd670e15/full/843,/0/default.jpg</v>
      </c>
      <c r="N3383" s="3">
        <v>0.61</v>
      </c>
      <c r="O3383" s="3">
        <v>9.8000000000000004E-2</v>
      </c>
      <c r="P3383" s="3">
        <v>0.51200000000000001</v>
      </c>
      <c r="Q3383" s="3">
        <v>0.54305762052536</v>
      </c>
    </row>
    <row r="3384" spans="1:17" x14ac:dyDescent="0.45">
      <c r="A3384" s="3">
        <v>71564</v>
      </c>
      <c r="B3384" t="b">
        <v>0</v>
      </c>
      <c r="C3384" t="b">
        <v>0</v>
      </c>
      <c r="D3384" s="3">
        <v>1914</v>
      </c>
      <c r="E3384" s="3">
        <v>1914</v>
      </c>
      <c r="F3384" t="s">
        <v>2596</v>
      </c>
      <c r="G3384" t="s">
        <v>7</v>
      </c>
      <c r="H3384" s="3">
        <v>45.907400000000003</v>
      </c>
      <c r="I3384" t="s">
        <v>9515</v>
      </c>
      <c r="J3384" t="s">
        <v>12505</v>
      </c>
      <c r="K3384" s="5" t="s">
        <v>9</v>
      </c>
      <c r="L3384" t="s">
        <v>9516</v>
      </c>
      <c r="M3384" t="str">
        <f>"https://www.artic.edu/iiif/2/"&amp;Table9[[#This Row],[Image ID]]&amp;"/full/843,/0/default.jpg"</f>
        <v>https://www.artic.edu/iiif/2/c477bcd1-8fd2-b164-7d63-f9d10cc2993c/full/843,/0/default.jpg</v>
      </c>
      <c r="N3384" s="3">
        <v>0.69799999999999995</v>
      </c>
      <c r="O3384" s="3">
        <v>0.186</v>
      </c>
      <c r="P3384" s="3">
        <v>0.51200000000000001</v>
      </c>
      <c r="Q3384" s="3">
        <v>0.52703827619552601</v>
      </c>
    </row>
    <row r="3385" spans="1:17" x14ac:dyDescent="0.45">
      <c r="A3385" s="3">
        <v>69138</v>
      </c>
      <c r="B3385" t="b">
        <v>0</v>
      </c>
      <c r="C3385" t="b">
        <v>1</v>
      </c>
      <c r="D3385" s="3">
        <v>1801</v>
      </c>
      <c r="E3385" s="3">
        <v>1900</v>
      </c>
      <c r="F3385" t="s">
        <v>14703</v>
      </c>
      <c r="G3385" t="s">
        <v>75</v>
      </c>
      <c r="H3385" s="3">
        <v>36.037799999999997</v>
      </c>
      <c r="I3385" t="s">
        <v>309</v>
      </c>
      <c r="J3385" t="s">
        <v>13232</v>
      </c>
      <c r="L3385" t="s">
        <v>9383</v>
      </c>
      <c r="M3385" t="str">
        <f>"https://www.artic.edu/iiif/2/"&amp;Table9[[#This Row],[Image ID]]&amp;"/full/843,/0/default.jpg"</f>
        <v>https://www.artic.edu/iiif/2/a045260a-e959-1521-b701-dd5a9d46e1a1/full/843,/0/default.jpg</v>
      </c>
      <c r="N3385" s="3">
        <v>0.58099999999999996</v>
      </c>
      <c r="O3385" s="3">
        <v>7.0000000000000007E-2</v>
      </c>
      <c r="P3385" s="3">
        <v>0.5109999999999999</v>
      </c>
      <c r="Q3385" s="3">
        <v>0.53456372022628695</v>
      </c>
    </row>
    <row r="3386" spans="1:17" x14ac:dyDescent="0.45">
      <c r="A3386" s="3">
        <v>16464</v>
      </c>
      <c r="B3386" t="b">
        <v>0</v>
      </c>
      <c r="C3386" t="b">
        <v>0</v>
      </c>
      <c r="D3386" s="3">
        <v>1893</v>
      </c>
      <c r="E3386" s="3">
        <v>1893</v>
      </c>
      <c r="F3386" t="s">
        <v>4438</v>
      </c>
      <c r="G3386" t="s">
        <v>75</v>
      </c>
      <c r="H3386" s="3">
        <v>0</v>
      </c>
      <c r="I3386" t="s">
        <v>14563</v>
      </c>
      <c r="J3386" t="s">
        <v>11419</v>
      </c>
      <c r="L3386" t="s">
        <v>4439</v>
      </c>
      <c r="M3386" t="str">
        <f>"https://www.artic.edu/iiif/2/"&amp;Table9[[#This Row],[Image ID]]&amp;"/full/843,/0/default.jpg"</f>
        <v>https://www.artic.edu/iiif/2/1f9b410b-9881-f3d9-46d6-8beabf4620ab/full/843,/0/default.jpg</v>
      </c>
      <c r="N3386" s="3">
        <v>0.58099999999999996</v>
      </c>
      <c r="O3386" s="3">
        <v>7.0000000000000007E-2</v>
      </c>
      <c r="P3386" s="3">
        <v>0.5109999999999999</v>
      </c>
      <c r="Q3386" s="3">
        <v>0.58699303865432695</v>
      </c>
    </row>
    <row r="3387" spans="1:17" x14ac:dyDescent="0.45">
      <c r="A3387" s="3">
        <v>12032</v>
      </c>
      <c r="B3387" t="b">
        <v>0</v>
      </c>
      <c r="C3387" t="b">
        <v>1</v>
      </c>
      <c r="D3387" s="3">
        <v>1399</v>
      </c>
      <c r="E3387" s="3">
        <v>1499</v>
      </c>
      <c r="F3387" t="s">
        <v>2640</v>
      </c>
      <c r="G3387" t="s">
        <v>2641</v>
      </c>
      <c r="H3387" s="3">
        <v>44.38</v>
      </c>
      <c r="I3387" t="s">
        <v>2642</v>
      </c>
      <c r="J3387" t="s">
        <v>13122</v>
      </c>
      <c r="K3387" s="5" t="s">
        <v>13</v>
      </c>
      <c r="L3387" t="s">
        <v>2643</v>
      </c>
      <c r="M3387" t="str">
        <f>"https://www.artic.edu/iiif/2/"&amp;Table9[[#This Row],[Image ID]]&amp;"/full/843,/0/default.jpg"</f>
        <v>https://www.artic.edu/iiif/2/97d81945-a05e-2a05-a78d-73678bbd2d55/full/843,/0/default.jpg</v>
      </c>
      <c r="N3387" s="3">
        <v>0.65</v>
      </c>
      <c r="O3387" s="3">
        <v>0.14599999999999999</v>
      </c>
      <c r="P3387" s="3">
        <v>0.504</v>
      </c>
      <c r="Q3387" s="3">
        <v>0.73757642507553101</v>
      </c>
    </row>
    <row r="3388" spans="1:17" x14ac:dyDescent="0.45">
      <c r="A3388" s="3">
        <v>16840</v>
      </c>
      <c r="B3388" t="b">
        <v>0</v>
      </c>
      <c r="C3388" t="b">
        <v>1</v>
      </c>
      <c r="D3388" s="3">
        <v>1882</v>
      </c>
      <c r="E3388" s="3">
        <v>1882</v>
      </c>
      <c r="F3388" t="s">
        <v>4616</v>
      </c>
      <c r="G3388" t="s">
        <v>4617</v>
      </c>
      <c r="H3388" s="3">
        <v>28.9846</v>
      </c>
      <c r="I3388" t="s">
        <v>1337</v>
      </c>
      <c r="J3388" t="s">
        <v>13322</v>
      </c>
      <c r="L3388" t="s">
        <v>4618</v>
      </c>
      <c r="M3388" t="str">
        <f>"https://www.artic.edu/iiif/2/"&amp;Table9[[#This Row],[Image ID]]&amp;"/full/843,/0/default.jpg"</f>
        <v>https://www.artic.edu/iiif/2/a6808add-86d2-bd2a-0c0d-adec7ca85025/full/843,/0/default.jpg</v>
      </c>
      <c r="N3388" s="3">
        <v>0.625</v>
      </c>
      <c r="O3388" s="3">
        <v>0.122</v>
      </c>
      <c r="P3388" s="3">
        <v>0.503</v>
      </c>
      <c r="Q3388" s="3">
        <v>0.75553089380264205</v>
      </c>
    </row>
    <row r="3389" spans="1:17" x14ac:dyDescent="0.45">
      <c r="A3389" s="3">
        <v>75957</v>
      </c>
      <c r="B3389" t="b">
        <v>0</v>
      </c>
      <c r="C3389" t="b">
        <v>1</v>
      </c>
      <c r="D3389" s="3">
        <v>1869</v>
      </c>
      <c r="E3389" s="3">
        <v>1869</v>
      </c>
      <c r="F3389" t="s">
        <v>9760</v>
      </c>
      <c r="G3389" t="s">
        <v>7</v>
      </c>
      <c r="H3389" s="3">
        <v>16.952300000000001</v>
      </c>
      <c r="I3389" t="s">
        <v>1337</v>
      </c>
      <c r="J3389" t="s">
        <v>13406</v>
      </c>
      <c r="K3389" s="5" t="s">
        <v>9</v>
      </c>
      <c r="L3389" t="s">
        <v>9761</v>
      </c>
      <c r="M3389" t="str">
        <f>"https://www.artic.edu/iiif/2/"&amp;Table9[[#This Row],[Image ID]]&amp;"/full/843,/0/default.jpg"</f>
        <v>https://www.artic.edu/iiif/2/ad02b33a-4aac-03cc-88e4-7db2cc03b854/full/843,/0/default.jpg</v>
      </c>
      <c r="N3389" s="3">
        <v>0.57499999999999996</v>
      </c>
      <c r="O3389" s="3">
        <v>7.2999999999999995E-2</v>
      </c>
      <c r="P3389" s="3">
        <v>0.502</v>
      </c>
      <c r="Q3389" s="3">
        <v>0.71728414297103804</v>
      </c>
    </row>
    <row r="3390" spans="1:17" x14ac:dyDescent="0.45">
      <c r="A3390" s="3">
        <v>115889</v>
      </c>
      <c r="B3390" t="b">
        <v>0</v>
      </c>
      <c r="C3390" t="b">
        <v>1</v>
      </c>
      <c r="D3390" s="3">
        <v>1700</v>
      </c>
      <c r="E3390" s="3">
        <v>1799</v>
      </c>
      <c r="F3390" t="s">
        <v>937</v>
      </c>
      <c r="G3390" t="s">
        <v>2191</v>
      </c>
      <c r="H3390" s="3">
        <v>22.543900000000001</v>
      </c>
      <c r="I3390" t="s">
        <v>16</v>
      </c>
      <c r="J3390" t="s">
        <v>2193</v>
      </c>
      <c r="L3390" t="s">
        <v>2192</v>
      </c>
      <c r="M3390" t="str">
        <f>"https://www.artic.edu/iiif/2/"&amp;Table9[[#This Row],[Image ID]]&amp;"/full/843,/0/default.jpg"</f>
        <v>https://www.artic.edu/iiif/2/b1279f57-0bad-9f40-f2b6-a7a7925518d7/full/843,/0/default.jpg</v>
      </c>
      <c r="N3390" s="3">
        <v>0.6</v>
      </c>
      <c r="O3390" s="3">
        <v>9.8000000000000004E-2</v>
      </c>
      <c r="P3390" s="3">
        <v>0.502</v>
      </c>
      <c r="Q3390" s="3">
        <v>0.47385534644126798</v>
      </c>
    </row>
    <row r="3391" spans="1:17" x14ac:dyDescent="0.45">
      <c r="A3391" s="3">
        <v>10161</v>
      </c>
      <c r="B3391" t="b">
        <v>0</v>
      </c>
      <c r="C3391" t="b">
        <v>0</v>
      </c>
      <c r="D3391" s="3">
        <v>1958</v>
      </c>
      <c r="E3391" s="3">
        <v>1958</v>
      </c>
      <c r="F3391" t="s">
        <v>189</v>
      </c>
      <c r="G3391" t="s">
        <v>7</v>
      </c>
      <c r="H3391" s="3">
        <v>0</v>
      </c>
      <c r="I3391" t="s">
        <v>190</v>
      </c>
      <c r="J3391" t="s">
        <v>11306</v>
      </c>
      <c r="K3391" s="5" t="s">
        <v>2</v>
      </c>
      <c r="L3391" t="s">
        <v>191</v>
      </c>
      <c r="M3391" t="str">
        <f>"https://www.artic.edu/iiif/2/"&amp;Table9[[#This Row],[Image ID]]&amp;"/full/843,/0/default.jpg"</f>
        <v>https://www.artic.edu/iiif/2/1866ea09-4fc4-4272-ad60-28595393b8e3/full/843,/0/default.jpg</v>
      </c>
      <c r="N3391" s="3">
        <v>0.59499999999999997</v>
      </c>
      <c r="O3391" s="3">
        <v>9.2999999999999999E-2</v>
      </c>
      <c r="P3391" s="3">
        <v>0.502</v>
      </c>
      <c r="Q3391" s="3">
        <v>0.55469065904617298</v>
      </c>
    </row>
    <row r="3392" spans="1:17" x14ac:dyDescent="0.45">
      <c r="A3392" s="3">
        <v>65901</v>
      </c>
      <c r="B3392" t="b">
        <v>0</v>
      </c>
      <c r="C3392" t="b">
        <v>0</v>
      </c>
      <c r="D3392" s="3">
        <v>1938</v>
      </c>
      <c r="E3392" s="3">
        <v>1938</v>
      </c>
      <c r="F3392" t="s">
        <v>9089</v>
      </c>
      <c r="G3392" t="s">
        <v>9090</v>
      </c>
      <c r="H3392" s="3">
        <v>38.963700000000003</v>
      </c>
      <c r="I3392" t="s">
        <v>1430</v>
      </c>
      <c r="J3392" t="s">
        <v>12925</v>
      </c>
      <c r="K3392" s="5" t="s">
        <v>45</v>
      </c>
      <c r="L3392" t="s">
        <v>9091</v>
      </c>
      <c r="M3392" t="str">
        <f>"https://www.artic.edu/iiif/2/"&amp;Table9[[#This Row],[Image ID]]&amp;"/full/843,/0/default.jpg"</f>
        <v>https://www.artic.edu/iiif/2/8851a134-ad75-3cd9-5e03-b5b604b6e48c/full/843,/0/default.jpg</v>
      </c>
      <c r="N3392" s="3">
        <v>0.6</v>
      </c>
      <c r="O3392" s="3">
        <v>9.8000000000000004E-2</v>
      </c>
      <c r="P3392" s="3">
        <v>0.502</v>
      </c>
      <c r="Q3392" s="3">
        <v>0.77068203687667802</v>
      </c>
    </row>
    <row r="3393" spans="1:17" x14ac:dyDescent="0.45">
      <c r="A3393" s="3">
        <v>95676</v>
      </c>
      <c r="B3393" t="b">
        <v>0</v>
      </c>
      <c r="C3393" t="b">
        <v>1</v>
      </c>
      <c r="D3393" s="3">
        <v>1596</v>
      </c>
      <c r="E3393" s="3">
        <v>1599</v>
      </c>
      <c r="F3393" t="s">
        <v>10777</v>
      </c>
      <c r="G3393" t="s">
        <v>10778</v>
      </c>
      <c r="H3393" s="3">
        <v>21.9757</v>
      </c>
      <c r="I3393" t="s">
        <v>10173</v>
      </c>
      <c r="J3393" t="s">
        <v>13971</v>
      </c>
      <c r="L3393" t="s">
        <v>10779</v>
      </c>
      <c r="M3393" t="str">
        <f>"https://www.artic.edu/iiif/2/"&amp;Table9[[#This Row],[Image ID]]&amp;"/full/843,/0/default.jpg"</f>
        <v>https://www.artic.edu/iiif/2/d9a2c241-5256-6557-9fe9-0440f2115ab7/full/843,/0/default.jpg</v>
      </c>
      <c r="N3393" s="3">
        <v>0.52500000000000002</v>
      </c>
      <c r="O3393" s="3">
        <v>2.4E-2</v>
      </c>
      <c r="P3393" s="3">
        <v>0.501</v>
      </c>
      <c r="Q3393" s="3">
        <v>0.76805198192596402</v>
      </c>
    </row>
    <row r="3394" spans="1:17" x14ac:dyDescent="0.45">
      <c r="A3394" s="3">
        <v>105698</v>
      </c>
      <c r="B3394" t="b">
        <v>0</v>
      </c>
      <c r="C3394" t="b">
        <v>1</v>
      </c>
      <c r="D3394" s="3">
        <v>1695</v>
      </c>
      <c r="E3394" s="3">
        <v>1736</v>
      </c>
      <c r="F3394" t="s">
        <v>547</v>
      </c>
      <c r="G3394" t="s">
        <v>75</v>
      </c>
      <c r="H3394" s="3">
        <v>0</v>
      </c>
      <c r="I3394" t="s">
        <v>548</v>
      </c>
      <c r="J3394" t="s">
        <v>11012</v>
      </c>
      <c r="L3394" t="s">
        <v>549</v>
      </c>
      <c r="M3394" t="str">
        <f>"https://www.artic.edu/iiif/2/"&amp;Table9[[#This Row],[Image ID]]&amp;"/full/843,/0/default.jpg"</f>
        <v>https://www.artic.edu/iiif/2/02f89de9-0b05-fb1c-fc15-bc48787debfb/full/843,/0/default.jpg</v>
      </c>
      <c r="N3394" s="3">
        <v>0.77500000000000002</v>
      </c>
      <c r="O3394" s="3">
        <v>0.27500000000000002</v>
      </c>
      <c r="P3394" s="3">
        <v>0.5</v>
      </c>
      <c r="Q3394" s="3">
        <v>0.65045982599258401</v>
      </c>
    </row>
    <row r="3395" spans="1:17" x14ac:dyDescent="0.45">
      <c r="A3395" s="3">
        <v>86998</v>
      </c>
      <c r="B3395" t="b">
        <v>0</v>
      </c>
      <c r="C3395" t="b">
        <v>1</v>
      </c>
      <c r="D3395" s="3">
        <v>1895</v>
      </c>
      <c r="E3395" s="3">
        <v>1895</v>
      </c>
      <c r="F3395" t="s">
        <v>10364</v>
      </c>
      <c r="G3395" t="s">
        <v>7</v>
      </c>
      <c r="H3395" s="3">
        <v>13.486599999999999</v>
      </c>
      <c r="I3395" t="s">
        <v>43</v>
      </c>
      <c r="J3395" t="s">
        <v>11081</v>
      </c>
      <c r="K3395" s="5" t="s">
        <v>9</v>
      </c>
      <c r="L3395" t="s">
        <v>10365</v>
      </c>
      <c r="M3395" t="str">
        <f>"https://www.artic.edu/iiif/2/"&amp;Table9[[#This Row],[Image ID]]&amp;"/full/843,/0/default.jpg"</f>
        <v>https://www.artic.edu/iiif/2/07d8dd31-d44b-85aa-ab09-ca51ee86f631/full/843,/0/default.jpg</v>
      </c>
      <c r="N3395" s="3">
        <v>0.6</v>
      </c>
      <c r="O3395" s="3">
        <v>0.1</v>
      </c>
      <c r="P3395" s="3">
        <v>0.5</v>
      </c>
      <c r="Q3395" s="3">
        <v>0.69055062532424905</v>
      </c>
    </row>
    <row r="3396" spans="1:17" x14ac:dyDescent="0.45">
      <c r="A3396" s="3">
        <v>115025</v>
      </c>
      <c r="B3396" t="b">
        <v>0</v>
      </c>
      <c r="C3396" t="b">
        <v>1</v>
      </c>
      <c r="D3396" s="3">
        <v>1700</v>
      </c>
      <c r="E3396" s="3">
        <v>1799</v>
      </c>
      <c r="F3396" t="s">
        <v>1765</v>
      </c>
      <c r="G3396" t="s">
        <v>1766</v>
      </c>
      <c r="H3396" s="3">
        <v>20.7379</v>
      </c>
      <c r="I3396" t="s">
        <v>12</v>
      </c>
      <c r="J3396" t="s">
        <v>11166</v>
      </c>
      <c r="L3396" t="s">
        <v>1767</v>
      </c>
      <c r="M3396" t="str">
        <f>"https://www.artic.edu/iiif/2/"&amp;Table9[[#This Row],[Image ID]]&amp;"/full/843,/0/default.jpg"</f>
        <v>https://www.artic.edu/iiif/2/0efeac3d-0605-ca9e-ecad-8a8218290245/full/843,/0/default.jpg</v>
      </c>
      <c r="N3396" s="3">
        <v>0.61899999999999999</v>
      </c>
      <c r="O3396" s="3">
        <v>0.11899999999999999</v>
      </c>
      <c r="P3396" s="3">
        <v>0.5</v>
      </c>
      <c r="Q3396" s="3">
        <v>0.70411348342895497</v>
      </c>
    </row>
    <row r="3397" spans="1:17" x14ac:dyDescent="0.45">
      <c r="A3397" s="3">
        <v>115637</v>
      </c>
      <c r="B3397" t="b">
        <v>0</v>
      </c>
      <c r="C3397" t="b">
        <v>1</v>
      </c>
      <c r="D3397" s="3">
        <v>1800</v>
      </c>
      <c r="E3397" s="3">
        <v>1899</v>
      </c>
      <c r="F3397" t="s">
        <v>2038</v>
      </c>
      <c r="G3397" t="s">
        <v>2039</v>
      </c>
      <c r="H3397" s="3">
        <v>35.986600000000003</v>
      </c>
      <c r="I3397" t="s">
        <v>16</v>
      </c>
      <c r="J3397" t="s">
        <v>11311</v>
      </c>
      <c r="L3397" t="s">
        <v>2040</v>
      </c>
      <c r="M3397" t="str">
        <f>"https://www.artic.edu/iiif/2/"&amp;Table9[[#This Row],[Image ID]]&amp;"/full/843,/0/default.jpg"</f>
        <v>https://www.artic.edu/iiif/2/18bde11c-67cd-5a41-602e-a603a87a485d/full/843,/0/default.jpg</v>
      </c>
      <c r="N3397" s="3">
        <v>0.67500000000000004</v>
      </c>
      <c r="O3397" s="3">
        <v>0.17499999999999999</v>
      </c>
      <c r="P3397" s="3">
        <v>0.5</v>
      </c>
      <c r="Q3397" s="3">
        <v>0.72229480743408203</v>
      </c>
    </row>
    <row r="3398" spans="1:17" x14ac:dyDescent="0.45">
      <c r="A3398" s="3">
        <v>16333</v>
      </c>
      <c r="B3398" t="b">
        <v>0</v>
      </c>
      <c r="C3398" t="b">
        <v>1</v>
      </c>
      <c r="D3398" s="3">
        <v>1420</v>
      </c>
      <c r="E3398" s="3">
        <v>1457</v>
      </c>
      <c r="F3398" t="s">
        <v>1059</v>
      </c>
      <c r="G3398" t="s">
        <v>1234</v>
      </c>
      <c r="H3398" s="3">
        <v>57.142299999999999</v>
      </c>
      <c r="I3398" t="s">
        <v>4368</v>
      </c>
      <c r="J3398" t="s">
        <v>11327</v>
      </c>
      <c r="L3398" t="s">
        <v>4369</v>
      </c>
      <c r="M3398" t="str">
        <f>"https://www.artic.edu/iiif/2/"&amp;Table9[[#This Row],[Image ID]]&amp;"/full/843,/0/default.jpg"</f>
        <v>https://www.artic.edu/iiif/2/19b940dd-bb34-8ce7-601a-cb3fa1010f97/full/843,/0/default.jpg</v>
      </c>
      <c r="N3398" s="3">
        <v>0.55000000000000004</v>
      </c>
      <c r="O3398" s="3">
        <v>0.05</v>
      </c>
      <c r="P3398" s="3">
        <v>0.5</v>
      </c>
      <c r="Q3398" s="3">
        <v>0.76874536275863603</v>
      </c>
    </row>
    <row r="3399" spans="1:17" x14ac:dyDescent="0.45">
      <c r="A3399" s="3">
        <v>65828</v>
      </c>
      <c r="B3399" t="b">
        <v>0</v>
      </c>
      <c r="C3399" t="b">
        <v>1</v>
      </c>
      <c r="D3399" s="3">
        <v>1823</v>
      </c>
      <c r="E3399" s="3">
        <v>1869</v>
      </c>
      <c r="F3399" t="s">
        <v>9045</v>
      </c>
      <c r="G3399" t="s">
        <v>9046</v>
      </c>
      <c r="H3399" s="3">
        <v>39.657800000000002</v>
      </c>
      <c r="I3399" t="s">
        <v>3729</v>
      </c>
      <c r="J3399" t="s">
        <v>11386</v>
      </c>
      <c r="L3399" t="s">
        <v>9047</v>
      </c>
      <c r="M3399" t="str">
        <f>"https://www.artic.edu/iiif/2/"&amp;Table9[[#This Row],[Image ID]]&amp;"/full/843,/0/default.jpg"</f>
        <v>https://www.artic.edu/iiif/2/1db6615a-903f-5d01-b61a-3cdf68574ef9/full/843,/0/default.jpg</v>
      </c>
      <c r="N3399" s="3">
        <v>0.6</v>
      </c>
      <c r="O3399" s="3">
        <v>0.1</v>
      </c>
      <c r="P3399" s="3">
        <v>0.5</v>
      </c>
      <c r="Q3399" s="3">
        <v>0.58150845766067505</v>
      </c>
    </row>
    <row r="3400" spans="1:17" x14ac:dyDescent="0.45">
      <c r="A3400" s="3">
        <v>72320</v>
      </c>
      <c r="B3400" t="b">
        <v>0</v>
      </c>
      <c r="C3400" t="b">
        <v>1</v>
      </c>
      <c r="D3400" s="3">
        <v>1874</v>
      </c>
      <c r="E3400" s="3">
        <v>1874</v>
      </c>
      <c r="F3400" t="s">
        <v>3790</v>
      </c>
      <c r="G3400" t="s">
        <v>7</v>
      </c>
      <c r="H3400" s="3">
        <v>14.272</v>
      </c>
      <c r="I3400" t="s">
        <v>9552</v>
      </c>
      <c r="J3400" t="s">
        <v>11552</v>
      </c>
      <c r="L3400" t="s">
        <v>9553</v>
      </c>
      <c r="M3400" t="str">
        <f>"https://www.artic.edu/iiif/2/"&amp;Table9[[#This Row],[Image ID]]&amp;"/full/843,/0/default.jpg"</f>
        <v>https://www.artic.edu/iiif/2/27d70359-d92b-18fb-b31a-f3dd4e3c78ac/full/843,/0/default.jpg</v>
      </c>
      <c r="N3400" s="3">
        <v>0.65</v>
      </c>
      <c r="O3400" s="3">
        <v>0.15</v>
      </c>
      <c r="P3400" s="3">
        <v>0.5</v>
      </c>
      <c r="Q3400" s="3">
        <v>0.56621623039245605</v>
      </c>
    </row>
    <row r="3401" spans="1:17" x14ac:dyDescent="0.45">
      <c r="A3401" s="3">
        <v>235549</v>
      </c>
      <c r="B3401" t="b">
        <v>0</v>
      </c>
      <c r="C3401" t="b">
        <v>1</v>
      </c>
      <c r="D3401" s="3">
        <v>1520</v>
      </c>
      <c r="E3401" s="3">
        <v>1530</v>
      </c>
      <c r="F3401" t="s">
        <v>6246</v>
      </c>
      <c r="G3401" t="s">
        <v>6247</v>
      </c>
      <c r="H3401" s="3">
        <v>34.760800000000003</v>
      </c>
      <c r="J3401" t="s">
        <v>11655</v>
      </c>
      <c r="L3401" t="s">
        <v>6248</v>
      </c>
      <c r="M3401" t="str">
        <f>"https://www.artic.edu/iiif/2/"&amp;Table9[[#This Row],[Image ID]]&amp;"/full/843,/0/default.jpg"</f>
        <v>https://www.artic.edu/iiif/2/2ebe622a-1b2a-741c-993c-66ff63496cef/full/843,/0/default.jpg</v>
      </c>
      <c r="N3401" s="3">
        <v>0.625</v>
      </c>
      <c r="O3401" s="3">
        <v>0.125</v>
      </c>
      <c r="P3401" s="3">
        <v>0.5</v>
      </c>
      <c r="Q3401" s="3">
        <v>0.72924989461898804</v>
      </c>
    </row>
    <row r="3402" spans="1:17" x14ac:dyDescent="0.45">
      <c r="A3402" s="3">
        <v>147451</v>
      </c>
      <c r="B3402" t="b">
        <v>0</v>
      </c>
      <c r="C3402" t="b">
        <v>1</v>
      </c>
      <c r="D3402" s="3">
        <v>1733</v>
      </c>
      <c r="E3402" s="3">
        <v>1735</v>
      </c>
      <c r="F3402" t="s">
        <v>3614</v>
      </c>
      <c r="G3402" t="s">
        <v>3615</v>
      </c>
      <c r="H3402" s="3">
        <v>0</v>
      </c>
      <c r="J3402" t="s">
        <v>11689</v>
      </c>
      <c r="L3402" t="s">
        <v>3616</v>
      </c>
      <c r="M3402" t="str">
        <f>"https://www.artic.edu/iiif/2/"&amp;Table9[[#This Row],[Image ID]]&amp;"/full/843,/0/default.jpg"</f>
        <v>https://www.artic.edu/iiif/2/30d64b53-c01f-7853-2543-33914f265a50/full/843,/0/default.jpg</v>
      </c>
      <c r="N3402" s="3">
        <v>0.65</v>
      </c>
      <c r="O3402" s="3">
        <v>0.15</v>
      </c>
      <c r="P3402" s="3">
        <v>0.5</v>
      </c>
      <c r="Q3402" s="3">
        <v>0.73271614313125599</v>
      </c>
    </row>
    <row r="3403" spans="1:17" x14ac:dyDescent="0.45">
      <c r="A3403" s="3">
        <v>46382</v>
      </c>
      <c r="B3403" t="b">
        <v>0</v>
      </c>
      <c r="C3403" t="b">
        <v>1</v>
      </c>
      <c r="D3403" s="3">
        <v>1730</v>
      </c>
      <c r="E3403" s="3">
        <v>1750</v>
      </c>
      <c r="F3403" t="s">
        <v>7899</v>
      </c>
      <c r="G3403" t="s">
        <v>512</v>
      </c>
      <c r="H3403" s="3">
        <v>0</v>
      </c>
      <c r="I3403" t="s">
        <v>7900</v>
      </c>
      <c r="J3403" t="s">
        <v>11775</v>
      </c>
      <c r="L3403" t="s">
        <v>7901</v>
      </c>
      <c r="M3403" t="str">
        <f>"https://www.artic.edu/iiif/2/"&amp;Table9[[#This Row],[Image ID]]&amp;"/full/843,/0/default.jpg"</f>
        <v>https://www.artic.edu/iiif/2/3762151c-77be-f530-12b7-dfb6b5889ec5/full/843,/0/default.jpg</v>
      </c>
      <c r="N3403" s="3">
        <v>0.78600000000000003</v>
      </c>
      <c r="O3403" s="3">
        <v>0.28599999999999998</v>
      </c>
      <c r="P3403" s="3">
        <v>0.5</v>
      </c>
      <c r="Q3403" s="3">
        <v>0.65206140279769897</v>
      </c>
    </row>
    <row r="3404" spans="1:17" x14ac:dyDescent="0.45">
      <c r="A3404" s="3">
        <v>873</v>
      </c>
      <c r="B3404" t="b">
        <v>0</v>
      </c>
      <c r="C3404" t="b">
        <v>1</v>
      </c>
      <c r="D3404" s="3">
        <v>1878</v>
      </c>
      <c r="E3404" s="3">
        <v>1878</v>
      </c>
      <c r="F3404" t="s">
        <v>64</v>
      </c>
      <c r="G3404" t="s">
        <v>7</v>
      </c>
      <c r="H3404" s="3">
        <v>41.664200000000001</v>
      </c>
      <c r="I3404" t="s">
        <v>197</v>
      </c>
      <c r="J3404" t="s">
        <v>11826</v>
      </c>
      <c r="L3404" t="s">
        <v>10379</v>
      </c>
      <c r="M3404" t="str">
        <f>"https://www.artic.edu/iiif/2/"&amp;Table9[[#This Row],[Image ID]]&amp;"/full/843,/0/default.jpg"</f>
        <v>https://www.artic.edu/iiif/2/3a32bf1b-5094-f06b-1ea1-a54cd847a5d5/full/843,/0/default.jpg</v>
      </c>
      <c r="N3404" s="3">
        <v>0.6</v>
      </c>
      <c r="O3404" s="3">
        <v>0.1</v>
      </c>
      <c r="P3404" s="3">
        <v>0.5</v>
      </c>
      <c r="Q3404" s="3">
        <v>0.47992691397666898</v>
      </c>
    </row>
    <row r="3405" spans="1:17" x14ac:dyDescent="0.45">
      <c r="A3405" s="3">
        <v>151849</v>
      </c>
      <c r="B3405" t="b">
        <v>0</v>
      </c>
      <c r="C3405" t="b">
        <v>1</v>
      </c>
      <c r="D3405" s="3">
        <v>1440</v>
      </c>
      <c r="E3405" s="3">
        <v>1449</v>
      </c>
      <c r="F3405" t="s">
        <v>3848</v>
      </c>
      <c r="G3405" t="s">
        <v>3849</v>
      </c>
      <c r="H3405" s="3">
        <v>33.576799999999999</v>
      </c>
      <c r="J3405" t="s">
        <v>11836</v>
      </c>
      <c r="K3405" s="5" t="s">
        <v>278</v>
      </c>
      <c r="L3405" t="s">
        <v>3850</v>
      </c>
      <c r="M3405" t="str">
        <f>"https://www.artic.edu/iiif/2/"&amp;Table9[[#This Row],[Image ID]]&amp;"/full/843,/0/default.jpg"</f>
        <v>https://www.artic.edu/iiif/2/3ab22d9d-27af-7ccd-fcc0-14b32e989acd/full/843,/0/default.jpg</v>
      </c>
      <c r="N3405" s="3">
        <v>0.65</v>
      </c>
      <c r="O3405" s="3">
        <v>0.15</v>
      </c>
      <c r="P3405" s="3">
        <v>0.5</v>
      </c>
      <c r="Q3405" s="3">
        <v>0.71577978134155196</v>
      </c>
    </row>
    <row r="3406" spans="1:17" x14ac:dyDescent="0.45">
      <c r="A3406" s="3">
        <v>93784</v>
      </c>
      <c r="B3406" t="b">
        <v>0</v>
      </c>
      <c r="C3406" t="b">
        <v>1</v>
      </c>
      <c r="D3406" s="3">
        <v>1705</v>
      </c>
      <c r="E3406" s="3">
        <v>1736</v>
      </c>
      <c r="F3406" t="s">
        <v>14701</v>
      </c>
      <c r="G3406" t="s">
        <v>75</v>
      </c>
      <c r="H3406" s="3">
        <v>0</v>
      </c>
      <c r="I3406" t="s">
        <v>10611</v>
      </c>
      <c r="J3406" t="s">
        <v>11952</v>
      </c>
      <c r="L3406" t="s">
        <v>10612</v>
      </c>
      <c r="M3406" t="str">
        <f>"https://www.artic.edu/iiif/2/"&amp;Table9[[#This Row],[Image ID]]&amp;"/full/843,/0/default.jpg"</f>
        <v>https://www.artic.edu/iiif/2/424365f4-5c5a-e993-f5a9-34b4f732c1d8/full/843,/0/default.jpg</v>
      </c>
      <c r="N3406" s="3">
        <v>0.75</v>
      </c>
      <c r="O3406" s="3">
        <v>0.25</v>
      </c>
      <c r="P3406" s="3">
        <v>0.5</v>
      </c>
      <c r="Q3406" s="3">
        <v>0.61162555217742898</v>
      </c>
    </row>
    <row r="3407" spans="1:17" x14ac:dyDescent="0.45">
      <c r="A3407" s="3">
        <v>5502</v>
      </c>
      <c r="B3407" t="b">
        <v>0</v>
      </c>
      <c r="C3407" t="b">
        <v>1</v>
      </c>
      <c r="D3407" s="3">
        <v>1772</v>
      </c>
      <c r="E3407" s="3">
        <v>1772</v>
      </c>
      <c r="F3407" t="s">
        <v>8313</v>
      </c>
      <c r="G3407" t="s">
        <v>7</v>
      </c>
      <c r="H3407" s="3">
        <v>31.854800000000001</v>
      </c>
      <c r="I3407" t="s">
        <v>8314</v>
      </c>
      <c r="J3407" t="s">
        <v>12047</v>
      </c>
      <c r="L3407" t="s">
        <v>8315</v>
      </c>
      <c r="M3407" t="str">
        <f>"https://www.artic.edu/iiif/2/"&amp;Table9[[#This Row],[Image ID]]&amp;"/full/843,/0/default.jpg"</f>
        <v>https://www.artic.edu/iiif/2/492284f3-4636-8e6b-1cdb-a658d20de3df/full/843,/0/default.jpg</v>
      </c>
      <c r="N3407" s="3">
        <v>0.6</v>
      </c>
      <c r="O3407" s="3">
        <v>0.1</v>
      </c>
      <c r="P3407" s="3">
        <v>0.5</v>
      </c>
      <c r="Q3407" s="3">
        <v>0.63807618618011397</v>
      </c>
    </row>
    <row r="3408" spans="1:17" x14ac:dyDescent="0.45">
      <c r="A3408" s="3">
        <v>109938</v>
      </c>
      <c r="B3408" t="b">
        <v>0</v>
      </c>
      <c r="C3408" t="b">
        <v>1</v>
      </c>
      <c r="D3408" s="3">
        <v>1836</v>
      </c>
      <c r="E3408" s="3">
        <v>1837</v>
      </c>
      <c r="F3408" t="s">
        <v>867</v>
      </c>
      <c r="G3408" t="s">
        <v>7</v>
      </c>
      <c r="H3408" s="3">
        <v>30.628599999999999</v>
      </c>
      <c r="I3408" t="s">
        <v>868</v>
      </c>
      <c r="J3408" t="s">
        <v>12237</v>
      </c>
      <c r="L3408" t="s">
        <v>869</v>
      </c>
      <c r="M3408" t="str">
        <f>"https://www.artic.edu/iiif/2/"&amp;Table9[[#This Row],[Image ID]]&amp;"/full/843,/0/default.jpg"</f>
        <v>https://www.artic.edu/iiif/2/564e2e3f-eb93-88a7-d265-8fea006facff/full/843,/0/default.jpg</v>
      </c>
      <c r="N3408" s="3">
        <v>0.55000000000000004</v>
      </c>
      <c r="O3408" s="3">
        <v>0.05</v>
      </c>
      <c r="P3408" s="3">
        <v>0.5</v>
      </c>
      <c r="Q3408" s="3">
        <v>0.63390409946441595</v>
      </c>
    </row>
    <row r="3409" spans="1:17" x14ac:dyDescent="0.45">
      <c r="A3409" s="3">
        <v>11804</v>
      </c>
      <c r="B3409" t="b">
        <v>0</v>
      </c>
      <c r="C3409" t="b">
        <v>1</v>
      </c>
      <c r="D3409" s="3">
        <v>1300</v>
      </c>
      <c r="E3409" s="3">
        <v>1399</v>
      </c>
      <c r="F3409" t="s">
        <v>2470</v>
      </c>
      <c r="G3409" t="s">
        <v>584</v>
      </c>
      <c r="H3409" s="3">
        <v>43.608400000000003</v>
      </c>
      <c r="J3409" t="s">
        <v>12295</v>
      </c>
      <c r="K3409" s="5" t="s">
        <v>278</v>
      </c>
      <c r="L3409" t="s">
        <v>2471</v>
      </c>
      <c r="M3409" t="str">
        <f>"https://www.artic.edu/iiif/2/"&amp;Table9[[#This Row],[Image ID]]&amp;"/full/843,/0/default.jpg"</f>
        <v>https://www.artic.edu/iiif/2/5a4cf869-751e-4e4b-feda-21cc464cf8ac/full/843,/0/default.jpg</v>
      </c>
      <c r="N3409" s="3">
        <v>0.625</v>
      </c>
      <c r="O3409" s="3">
        <v>0.125</v>
      </c>
      <c r="P3409" s="3">
        <v>0.5</v>
      </c>
      <c r="Q3409" s="3">
        <v>0.851171374320983</v>
      </c>
    </row>
    <row r="3410" spans="1:17" x14ac:dyDescent="0.45">
      <c r="A3410" s="3">
        <v>62432</v>
      </c>
      <c r="B3410" t="b">
        <v>0</v>
      </c>
      <c r="C3410" t="b">
        <v>1</v>
      </c>
      <c r="D3410" s="3">
        <v>1884</v>
      </c>
      <c r="E3410" s="3">
        <v>1887</v>
      </c>
      <c r="F3410" t="s">
        <v>8904</v>
      </c>
      <c r="G3410" t="s">
        <v>8905</v>
      </c>
      <c r="H3410" s="3">
        <v>17.883800000000001</v>
      </c>
      <c r="I3410" t="s">
        <v>8</v>
      </c>
      <c r="J3410" t="s">
        <v>12399</v>
      </c>
      <c r="L3410" t="s">
        <v>8906</v>
      </c>
      <c r="M3410" t="str">
        <f>"https://www.artic.edu/iiif/2/"&amp;Table9[[#This Row],[Image ID]]&amp;"/full/843,/0/default.jpg"</f>
        <v>https://www.artic.edu/iiif/2/613c9cf8-f984-c02b-af44-7e4c4b2a6dbf/full/843,/0/default.jpg</v>
      </c>
      <c r="N3410" s="3">
        <v>0.55000000000000004</v>
      </c>
      <c r="O3410" s="3">
        <v>0.05</v>
      </c>
      <c r="P3410" s="3">
        <v>0.5</v>
      </c>
      <c r="Q3410" s="3">
        <v>0.69352787733078003</v>
      </c>
    </row>
    <row r="3411" spans="1:17" x14ac:dyDescent="0.45">
      <c r="A3411" s="3">
        <v>27954</v>
      </c>
      <c r="B3411" t="b">
        <v>0</v>
      </c>
      <c r="C3411" t="b">
        <v>1</v>
      </c>
      <c r="D3411" s="3">
        <v>1887</v>
      </c>
      <c r="E3411" s="3">
        <v>1887</v>
      </c>
      <c r="F3411" t="s">
        <v>6756</v>
      </c>
      <c r="G3411" t="s">
        <v>6757</v>
      </c>
      <c r="H3411" s="3">
        <v>18.338799999999999</v>
      </c>
      <c r="I3411" t="s">
        <v>768</v>
      </c>
      <c r="J3411" t="s">
        <v>12559</v>
      </c>
      <c r="K3411" s="5" t="s">
        <v>115</v>
      </c>
      <c r="L3411" t="s">
        <v>6758</v>
      </c>
      <c r="M3411" t="str">
        <f>"https://www.artic.edu/iiif/2/"&amp;Table9[[#This Row],[Image ID]]&amp;"/full/843,/0/default.jpg"</f>
        <v>https://www.artic.edu/iiif/2/6cb22407-be79-bf0a-1a63-fdf2b99e035b/full/843,/0/default.jpg</v>
      </c>
      <c r="N3411" s="3">
        <v>0.55000000000000004</v>
      </c>
      <c r="O3411" s="3">
        <v>0.05</v>
      </c>
      <c r="P3411" s="3">
        <v>0.5</v>
      </c>
      <c r="Q3411" s="3">
        <v>0.71987044811248702</v>
      </c>
    </row>
    <row r="3412" spans="1:17" x14ac:dyDescent="0.45">
      <c r="A3412" s="3">
        <v>59004</v>
      </c>
      <c r="B3412" t="b">
        <v>0</v>
      </c>
      <c r="C3412" t="b">
        <v>1</v>
      </c>
      <c r="D3412" s="3">
        <v>1860</v>
      </c>
      <c r="E3412" s="3">
        <v>1870</v>
      </c>
      <c r="F3412" t="s">
        <v>8548</v>
      </c>
      <c r="G3412" t="s">
        <v>75</v>
      </c>
      <c r="H3412" s="3">
        <v>0</v>
      </c>
      <c r="I3412" t="s">
        <v>14669</v>
      </c>
      <c r="J3412" t="s">
        <v>12620</v>
      </c>
      <c r="L3412" t="s">
        <v>8549</v>
      </c>
      <c r="M3412" t="str">
        <f>"https://www.artic.edu/iiif/2/"&amp;Table9[[#This Row],[Image ID]]&amp;"/full/843,/0/default.jpg"</f>
        <v>https://www.artic.edu/iiif/2/70d375a0-25bd-7fe1-c586-0e8919aaf395/full/843,/0/default.jpg</v>
      </c>
      <c r="N3412" s="3">
        <v>0.625</v>
      </c>
      <c r="O3412" s="3">
        <v>0.125</v>
      </c>
      <c r="P3412" s="3">
        <v>0.5</v>
      </c>
      <c r="Q3412" s="3">
        <v>0.50878304243087702</v>
      </c>
    </row>
    <row r="3413" spans="1:17" x14ac:dyDescent="0.45">
      <c r="A3413" s="3">
        <v>13780</v>
      </c>
      <c r="B3413" t="b">
        <v>0</v>
      </c>
      <c r="C3413" t="b">
        <v>1</v>
      </c>
      <c r="D3413" s="3">
        <v>1824</v>
      </c>
      <c r="E3413" s="3">
        <v>1824</v>
      </c>
      <c r="F3413" t="s">
        <v>3208</v>
      </c>
      <c r="G3413" t="s">
        <v>3209</v>
      </c>
      <c r="H3413" s="3">
        <v>17.608000000000001</v>
      </c>
      <c r="I3413" t="s">
        <v>3210</v>
      </c>
      <c r="J3413" t="s">
        <v>12628</v>
      </c>
      <c r="L3413" t="s">
        <v>3211</v>
      </c>
      <c r="M3413" t="str">
        <f>"https://www.artic.edu/iiif/2/"&amp;Table9[[#This Row],[Image ID]]&amp;"/full/843,/0/default.jpg"</f>
        <v>https://www.artic.edu/iiif/2/71836225-71e2-a8c0-da23-d5b9de9fc27d/full/843,/0/default.jpg</v>
      </c>
      <c r="N3413" s="3">
        <v>0.6</v>
      </c>
      <c r="O3413" s="3">
        <v>0.1</v>
      </c>
      <c r="P3413" s="3">
        <v>0.5</v>
      </c>
      <c r="Q3413" s="3">
        <v>0.62853521108627297</v>
      </c>
    </row>
    <row r="3414" spans="1:17" x14ac:dyDescent="0.45">
      <c r="A3414" s="3">
        <v>107336</v>
      </c>
      <c r="B3414" t="b">
        <v>0</v>
      </c>
      <c r="C3414" t="b">
        <v>1</v>
      </c>
      <c r="D3414" s="3">
        <v>1489</v>
      </c>
      <c r="E3414" s="3">
        <v>1499</v>
      </c>
      <c r="F3414" t="s">
        <v>668</v>
      </c>
      <c r="G3414" t="s">
        <v>669</v>
      </c>
      <c r="H3414" s="3">
        <v>39.422499999999999</v>
      </c>
      <c r="I3414" t="s">
        <v>670</v>
      </c>
      <c r="J3414" t="s">
        <v>12759</v>
      </c>
      <c r="K3414" s="5" t="s">
        <v>278</v>
      </c>
      <c r="L3414" t="s">
        <v>671</v>
      </c>
      <c r="M3414" t="str">
        <f>"https://www.artic.edu/iiif/2/"&amp;Table9[[#This Row],[Image ID]]&amp;"/full/843,/0/default.jpg"</f>
        <v>https://www.artic.edu/iiif/2/7bb8c5bd-9697-eba4-3b45-cafc07b23b66/full/843,/0/default.jpg</v>
      </c>
      <c r="N3414" s="3">
        <v>0.625</v>
      </c>
      <c r="O3414" s="3">
        <v>0.125</v>
      </c>
      <c r="P3414" s="3">
        <v>0.5</v>
      </c>
      <c r="Q3414" s="3">
        <v>0.805419862270355</v>
      </c>
    </row>
    <row r="3415" spans="1:17" x14ac:dyDescent="0.45">
      <c r="A3415" s="3">
        <v>97890</v>
      </c>
      <c r="B3415" t="b">
        <v>0</v>
      </c>
      <c r="C3415" t="b">
        <v>1</v>
      </c>
      <c r="D3415" s="3">
        <v>1900</v>
      </c>
      <c r="E3415" s="3">
        <v>1900</v>
      </c>
      <c r="F3415" t="s">
        <v>10866</v>
      </c>
      <c r="G3415" t="s">
        <v>7</v>
      </c>
      <c r="H3415" s="3">
        <v>7.7077</v>
      </c>
      <c r="I3415" t="s">
        <v>192</v>
      </c>
      <c r="J3415" t="s">
        <v>12807</v>
      </c>
      <c r="L3415" t="s">
        <v>10867</v>
      </c>
      <c r="M3415" t="str">
        <f>"https://www.artic.edu/iiif/2/"&amp;Table9[[#This Row],[Image ID]]&amp;"/full/843,/0/default.jpg"</f>
        <v>https://www.artic.edu/iiif/2/7f755a11-26ef-8f17-0178-15029c321e88/full/843,/0/default.jpg</v>
      </c>
      <c r="N3415" s="3">
        <v>0.6</v>
      </c>
      <c r="O3415" s="3">
        <v>0.1</v>
      </c>
      <c r="P3415" s="3">
        <v>0.5</v>
      </c>
      <c r="Q3415" s="3">
        <v>0.67909437417983998</v>
      </c>
    </row>
    <row r="3416" spans="1:17" x14ac:dyDescent="0.45">
      <c r="A3416" s="3">
        <v>889</v>
      </c>
      <c r="B3416" t="b">
        <v>0</v>
      </c>
      <c r="C3416" t="b">
        <v>1</v>
      </c>
      <c r="D3416" s="3">
        <v>1865</v>
      </c>
      <c r="E3416" s="3">
        <v>1875</v>
      </c>
      <c r="F3416" t="s">
        <v>10442</v>
      </c>
      <c r="G3416" t="s">
        <v>7</v>
      </c>
      <c r="H3416" s="3">
        <v>17.732299999999999</v>
      </c>
      <c r="I3416" t="s">
        <v>14595</v>
      </c>
      <c r="J3416" t="s">
        <v>12833</v>
      </c>
      <c r="L3416" t="s">
        <v>10443</v>
      </c>
      <c r="M3416" t="str">
        <f>"https://www.artic.edu/iiif/2/"&amp;Table9[[#This Row],[Image ID]]&amp;"/full/843,/0/default.jpg"</f>
        <v>https://www.artic.edu/iiif/2/80df29cd-493f-23c0-3e51-4ddc38b3f34f/full/843,/0/default.jpg</v>
      </c>
      <c r="N3416" s="3">
        <v>0.65</v>
      </c>
      <c r="O3416" s="3">
        <v>0.15</v>
      </c>
      <c r="P3416" s="3">
        <v>0.5</v>
      </c>
      <c r="Q3416" s="3">
        <v>0.47249850630760099</v>
      </c>
    </row>
    <row r="3417" spans="1:17" x14ac:dyDescent="0.45">
      <c r="A3417" s="3">
        <v>73121</v>
      </c>
      <c r="B3417" t="b">
        <v>0</v>
      </c>
      <c r="C3417" t="b">
        <v>1</v>
      </c>
      <c r="D3417" s="3">
        <v>1777</v>
      </c>
      <c r="E3417" s="3">
        <v>1777</v>
      </c>
      <c r="F3417" t="s">
        <v>9594</v>
      </c>
      <c r="G3417" t="s">
        <v>9595</v>
      </c>
      <c r="H3417" s="3">
        <v>20.293099999999999</v>
      </c>
      <c r="I3417" t="s">
        <v>9596</v>
      </c>
      <c r="J3417" t="s">
        <v>12840</v>
      </c>
      <c r="L3417" t="s">
        <v>9597</v>
      </c>
      <c r="M3417" t="str">
        <f>"https://www.artic.edu/iiif/2/"&amp;Table9[[#This Row],[Image ID]]&amp;"/full/843,/0/default.jpg"</f>
        <v>https://www.artic.edu/iiif/2/813cdfec-a7e4-ed1d-a816-c041fd49293a/full/843,/0/default.jpg</v>
      </c>
      <c r="N3417" s="3">
        <v>0.625</v>
      </c>
      <c r="O3417" s="3">
        <v>0.125</v>
      </c>
      <c r="P3417" s="3">
        <v>0.5</v>
      </c>
      <c r="Q3417" s="3">
        <v>0.50976032018661499</v>
      </c>
    </row>
    <row r="3418" spans="1:17" x14ac:dyDescent="0.45">
      <c r="A3418" s="3">
        <v>49436</v>
      </c>
      <c r="B3418" t="b">
        <v>0</v>
      </c>
      <c r="C3418" t="b">
        <v>1</v>
      </c>
      <c r="D3418" s="3">
        <v>1740</v>
      </c>
      <c r="E3418" s="3">
        <v>1760</v>
      </c>
      <c r="F3418" t="s">
        <v>8049</v>
      </c>
      <c r="G3418" t="s">
        <v>8050</v>
      </c>
      <c r="H3418" s="3">
        <v>37.761400000000002</v>
      </c>
      <c r="I3418" t="s">
        <v>8051</v>
      </c>
      <c r="J3418" t="s">
        <v>12859</v>
      </c>
      <c r="L3418" t="s">
        <v>8052</v>
      </c>
      <c r="M3418" t="str">
        <f>"https://www.artic.edu/iiif/2/"&amp;Table9[[#This Row],[Image ID]]&amp;"/full/843,/0/default.jpg"</f>
        <v>https://www.artic.edu/iiif/2/82ebb537-935c-eb38-1183-71290c889b0b/full/843,/0/default.jpg</v>
      </c>
      <c r="N3418" s="3">
        <v>0.625</v>
      </c>
      <c r="O3418" s="3">
        <v>0.125</v>
      </c>
      <c r="P3418" s="3">
        <v>0.5</v>
      </c>
      <c r="Q3418" s="3">
        <v>0.619229435920715</v>
      </c>
    </row>
    <row r="3419" spans="1:17" x14ac:dyDescent="0.45">
      <c r="A3419" s="3">
        <v>16812</v>
      </c>
      <c r="B3419" t="b">
        <v>0</v>
      </c>
      <c r="C3419" t="b">
        <v>1</v>
      </c>
      <c r="D3419" s="3">
        <v>1894</v>
      </c>
      <c r="E3419" s="3">
        <v>1894</v>
      </c>
      <c r="F3419" t="s">
        <v>4592</v>
      </c>
      <c r="G3419" t="s">
        <v>4593</v>
      </c>
      <c r="H3419" s="3">
        <v>18.372900000000001</v>
      </c>
      <c r="I3419" t="s">
        <v>1337</v>
      </c>
      <c r="J3419" t="s">
        <v>12940</v>
      </c>
      <c r="L3419" t="s">
        <v>4594</v>
      </c>
      <c r="M3419" t="str">
        <f>"https://www.artic.edu/iiif/2/"&amp;Table9[[#This Row],[Image ID]]&amp;"/full/843,/0/default.jpg"</f>
        <v>https://www.artic.edu/iiif/2/89b873dc-2118-7705-ca4b-5d9ac7b2eb3b/full/843,/0/default.jpg</v>
      </c>
      <c r="N3419" s="3">
        <v>0.55000000000000004</v>
      </c>
      <c r="O3419" s="3">
        <v>0.05</v>
      </c>
      <c r="P3419" s="3">
        <v>0.5</v>
      </c>
      <c r="Q3419" s="3">
        <v>0.58494943380355802</v>
      </c>
    </row>
    <row r="3420" spans="1:17" x14ac:dyDescent="0.45">
      <c r="A3420" s="3">
        <v>60294</v>
      </c>
      <c r="B3420" t="b">
        <v>0</v>
      </c>
      <c r="C3420" t="b">
        <v>1</v>
      </c>
      <c r="D3420" s="3">
        <v>1902</v>
      </c>
      <c r="E3420" s="3">
        <v>1902</v>
      </c>
      <c r="F3420" t="s">
        <v>8703</v>
      </c>
      <c r="G3420" t="s">
        <v>7</v>
      </c>
      <c r="H3420" s="3">
        <v>20.291799999999999</v>
      </c>
      <c r="I3420" t="s">
        <v>510</v>
      </c>
      <c r="J3420" t="s">
        <v>13011</v>
      </c>
      <c r="K3420" s="5" t="s">
        <v>9</v>
      </c>
      <c r="L3420" t="s">
        <v>8704</v>
      </c>
      <c r="M3420" t="str">
        <f>"https://www.artic.edu/iiif/2/"&amp;Table9[[#This Row],[Image ID]]&amp;"/full/843,/0/default.jpg"</f>
        <v>https://www.artic.edu/iiif/2/8ed7e389-dbe7-ed35-ade2-fe7743943479/full/843,/0/default.jpg</v>
      </c>
      <c r="N3420" s="3">
        <v>0.625</v>
      </c>
      <c r="O3420" s="3">
        <v>0.125</v>
      </c>
      <c r="P3420" s="3">
        <v>0.5</v>
      </c>
      <c r="Q3420" s="3">
        <v>0.64606183767318703</v>
      </c>
    </row>
    <row r="3421" spans="1:17" x14ac:dyDescent="0.45">
      <c r="A3421" s="3">
        <v>102227</v>
      </c>
      <c r="B3421" t="b">
        <v>0</v>
      </c>
      <c r="C3421" t="b">
        <v>1</v>
      </c>
      <c r="D3421" s="3">
        <v>1791</v>
      </c>
      <c r="E3421" s="3">
        <v>1791</v>
      </c>
      <c r="F3421" t="s">
        <v>245</v>
      </c>
      <c r="G3421" t="s">
        <v>7</v>
      </c>
      <c r="H3421" s="3">
        <v>29.461600000000001</v>
      </c>
      <c r="I3421" t="s">
        <v>156</v>
      </c>
      <c r="J3421" t="s">
        <v>13046</v>
      </c>
      <c r="L3421" t="s">
        <v>246</v>
      </c>
      <c r="M3421" t="str">
        <f>"https://www.artic.edu/iiif/2/"&amp;Table9[[#This Row],[Image ID]]&amp;"/full/843,/0/default.jpg"</f>
        <v>https://www.artic.edu/iiif/2/91a0f717-5508-af8a-4cef-9cbbc790287d/full/843,/0/default.jpg</v>
      </c>
      <c r="N3421" s="3">
        <v>0.65</v>
      </c>
      <c r="O3421" s="3">
        <v>0.15</v>
      </c>
      <c r="P3421" s="3">
        <v>0.5</v>
      </c>
      <c r="Q3421" s="3">
        <v>0.70936518907546997</v>
      </c>
    </row>
    <row r="3422" spans="1:17" x14ac:dyDescent="0.45">
      <c r="A3422" s="3">
        <v>45257</v>
      </c>
      <c r="B3422" t="b">
        <v>0</v>
      </c>
      <c r="C3422" t="b">
        <v>1</v>
      </c>
      <c r="D3422" s="3">
        <v>1912</v>
      </c>
      <c r="E3422" s="3">
        <v>1914</v>
      </c>
      <c r="F3422" t="s">
        <v>7833</v>
      </c>
      <c r="G3422" t="s">
        <v>7834</v>
      </c>
      <c r="H3422" s="3">
        <v>34.427900000000001</v>
      </c>
      <c r="I3422" t="s">
        <v>910</v>
      </c>
      <c r="J3422" t="s">
        <v>13233</v>
      </c>
      <c r="L3422" t="s">
        <v>7835</v>
      </c>
      <c r="M3422" t="str">
        <f>"https://www.artic.edu/iiif/2/"&amp;Table9[[#This Row],[Image ID]]&amp;"/full/843,/0/default.jpg"</f>
        <v>https://www.artic.edu/iiif/2/a054b605-ab6d-4f5b-f787-b10a2df09d93/full/843,/0/default.jpg</v>
      </c>
      <c r="N3422" s="3">
        <v>0.52500000000000002</v>
      </c>
      <c r="O3422" s="3">
        <v>2.5000000000000001E-2</v>
      </c>
      <c r="P3422" s="3">
        <v>0.5</v>
      </c>
      <c r="Q3422" s="3">
        <v>0.76770758628845204</v>
      </c>
    </row>
    <row r="3423" spans="1:17" x14ac:dyDescent="0.45">
      <c r="A3423" s="3">
        <v>111630</v>
      </c>
      <c r="B3423" t="b">
        <v>0</v>
      </c>
      <c r="C3423" t="b">
        <v>1</v>
      </c>
      <c r="D3423" s="3">
        <v>1866</v>
      </c>
      <c r="E3423" s="3">
        <v>1866</v>
      </c>
      <c r="F3423" t="s">
        <v>1167</v>
      </c>
      <c r="G3423" t="s">
        <v>7</v>
      </c>
      <c r="H3423" s="3">
        <v>17.060700000000001</v>
      </c>
      <c r="I3423" t="s">
        <v>1168</v>
      </c>
      <c r="J3423" t="s">
        <v>11957</v>
      </c>
      <c r="K3423" s="5" t="s">
        <v>9</v>
      </c>
      <c r="L3423" t="s">
        <v>1169</v>
      </c>
      <c r="M3423" t="str">
        <f>"https://www.artic.edu/iiif/2/"&amp;Table9[[#This Row],[Image ID]]&amp;"/full/843,/0/default.jpg"</f>
        <v>https://www.artic.edu/iiif/2/a05ed5e5-eb97-451a-9bc0-50108ab9dbe3/full/843,/0/default.jpg</v>
      </c>
      <c r="N3423" s="3">
        <v>0.625</v>
      </c>
      <c r="O3423" s="3">
        <v>0.125</v>
      </c>
      <c r="P3423" s="3">
        <v>0.5</v>
      </c>
      <c r="Q3423" s="3">
        <v>0.60341936349868697</v>
      </c>
    </row>
    <row r="3424" spans="1:17" x14ac:dyDescent="0.45">
      <c r="A3424" s="3">
        <v>49651</v>
      </c>
      <c r="B3424" t="b">
        <v>0</v>
      </c>
      <c r="C3424" t="b">
        <v>1</v>
      </c>
      <c r="D3424" s="3">
        <v>1809</v>
      </c>
      <c r="E3424" s="3">
        <v>1809</v>
      </c>
      <c r="F3424" t="s">
        <v>8064</v>
      </c>
      <c r="G3424" t="s">
        <v>7</v>
      </c>
      <c r="H3424" s="3">
        <v>23.596499999999999</v>
      </c>
      <c r="I3424" t="s">
        <v>739</v>
      </c>
      <c r="J3424" t="s">
        <v>13288</v>
      </c>
      <c r="L3424" t="s">
        <v>8065</v>
      </c>
      <c r="M3424" t="str">
        <f>"https://www.artic.edu/iiif/2/"&amp;Table9[[#This Row],[Image ID]]&amp;"/full/843,/0/default.jpg"</f>
        <v>https://www.artic.edu/iiif/2/a414da01-a3bf-85e0-53a6-9dd1918bf4c2/full/843,/0/default.jpg</v>
      </c>
      <c r="N3424" s="3">
        <v>0.64300000000000002</v>
      </c>
      <c r="O3424" s="3">
        <v>0.14299999999999999</v>
      </c>
      <c r="P3424" s="3">
        <v>0.5</v>
      </c>
      <c r="Q3424" s="3">
        <v>0.57882487773895197</v>
      </c>
    </row>
    <row r="3425" spans="1:17" x14ac:dyDescent="0.45">
      <c r="A3425" s="3">
        <v>13891</v>
      </c>
      <c r="B3425" t="b">
        <v>0</v>
      </c>
      <c r="C3425" t="b">
        <v>1</v>
      </c>
      <c r="D3425" s="3">
        <v>1700</v>
      </c>
      <c r="E3425" s="3">
        <v>1799</v>
      </c>
      <c r="F3425" t="s">
        <v>3230</v>
      </c>
      <c r="G3425" t="s">
        <v>3231</v>
      </c>
      <c r="H3425" s="3">
        <v>16.163</v>
      </c>
      <c r="I3425" t="s">
        <v>3232</v>
      </c>
      <c r="J3425" t="s">
        <v>13345</v>
      </c>
      <c r="L3425" t="s">
        <v>3233</v>
      </c>
      <c r="M3425" t="str">
        <f>"https://www.artic.edu/iiif/2/"&amp;Table9[[#This Row],[Image ID]]&amp;"/full/843,/0/default.jpg"</f>
        <v>https://www.artic.edu/iiif/2/a7e86f7c-e136-dfc7-493e-1318110b78e4/full/843,/0/default.jpg</v>
      </c>
      <c r="N3425" s="3">
        <v>0.8</v>
      </c>
      <c r="O3425" s="3">
        <v>0.3</v>
      </c>
      <c r="P3425" s="3">
        <v>0.5</v>
      </c>
      <c r="Q3425" s="3">
        <v>0.44593301415443398</v>
      </c>
    </row>
    <row r="3426" spans="1:17" x14ac:dyDescent="0.45">
      <c r="A3426" s="3">
        <v>37127</v>
      </c>
      <c r="B3426" t="b">
        <v>0</v>
      </c>
      <c r="C3426" t="b">
        <v>1</v>
      </c>
      <c r="D3426" s="3">
        <v>1817</v>
      </c>
      <c r="E3426" s="3">
        <v>1827</v>
      </c>
      <c r="F3426" t="s">
        <v>7264</v>
      </c>
      <c r="G3426" t="s">
        <v>7265</v>
      </c>
      <c r="H3426" s="3">
        <v>24.429400000000001</v>
      </c>
      <c r="I3426" t="s">
        <v>1266</v>
      </c>
      <c r="J3426" t="s">
        <v>13377</v>
      </c>
      <c r="L3426" t="s">
        <v>7266</v>
      </c>
      <c r="M3426" t="str">
        <f>"https://www.artic.edu/iiif/2/"&amp;Table9[[#This Row],[Image ID]]&amp;"/full/843,/0/default.jpg"</f>
        <v>https://www.artic.edu/iiif/2/aa3a0aa1-1db8-4c6c-fc98-6d31d71a95b0/full/843,/0/default.jpg</v>
      </c>
      <c r="N3426" s="3">
        <v>0.6</v>
      </c>
      <c r="O3426" s="3">
        <v>0.1</v>
      </c>
      <c r="P3426" s="3">
        <v>0.5</v>
      </c>
      <c r="Q3426" s="3">
        <v>0.71469229459762496</v>
      </c>
    </row>
    <row r="3427" spans="1:17" x14ac:dyDescent="0.45">
      <c r="A3427" s="3">
        <v>16343</v>
      </c>
      <c r="B3427" t="b">
        <v>0</v>
      </c>
      <c r="C3427" t="b">
        <v>1</v>
      </c>
      <c r="D3427" s="3">
        <v>1651</v>
      </c>
      <c r="E3427" s="3">
        <v>1651</v>
      </c>
      <c r="F3427" t="s">
        <v>4374</v>
      </c>
      <c r="G3427" t="s">
        <v>7</v>
      </c>
      <c r="H3427" s="3">
        <v>10.066800000000001</v>
      </c>
      <c r="I3427" t="s">
        <v>4375</v>
      </c>
      <c r="J3427" t="s">
        <v>13479</v>
      </c>
      <c r="L3427" t="s">
        <v>4376</v>
      </c>
      <c r="M3427" t="str">
        <f>"https://www.artic.edu/iiif/2/"&amp;Table9[[#This Row],[Image ID]]&amp;"/full/843,/0/default.jpg"</f>
        <v>https://www.artic.edu/iiif/2/b246d3eb-8bfe-a031-4848-e00c053546ea/full/843,/0/default.jpg</v>
      </c>
      <c r="N3427" s="3">
        <v>0.6</v>
      </c>
      <c r="O3427" s="3">
        <v>0.1</v>
      </c>
      <c r="P3427" s="3">
        <v>0.5</v>
      </c>
      <c r="Q3427" s="3">
        <v>0.512079536914825</v>
      </c>
    </row>
    <row r="3428" spans="1:17" x14ac:dyDescent="0.45">
      <c r="A3428" s="3">
        <v>105462</v>
      </c>
      <c r="B3428" t="b">
        <v>0</v>
      </c>
      <c r="C3428" t="b">
        <v>1</v>
      </c>
      <c r="D3428" s="3">
        <v>1885</v>
      </c>
      <c r="E3428" s="3">
        <v>1895</v>
      </c>
      <c r="F3428" t="s">
        <v>509</v>
      </c>
      <c r="G3428" t="s">
        <v>7</v>
      </c>
      <c r="H3428" s="3">
        <v>26.363800000000001</v>
      </c>
      <c r="I3428" t="s">
        <v>510</v>
      </c>
      <c r="J3428" t="s">
        <v>13510</v>
      </c>
      <c r="K3428" s="5" t="s">
        <v>9</v>
      </c>
      <c r="L3428" t="s">
        <v>511</v>
      </c>
      <c r="M3428" t="str">
        <f>"https://www.artic.edu/iiif/2/"&amp;Table9[[#This Row],[Image ID]]&amp;"/full/843,/0/default.jpg"</f>
        <v>https://www.artic.edu/iiif/2/b4ee4891-5d7b-11ad-93df-2b64e34de991/full/843,/0/default.jpg</v>
      </c>
      <c r="N3428" s="3">
        <v>0.625</v>
      </c>
      <c r="O3428" s="3">
        <v>0.125</v>
      </c>
      <c r="P3428" s="3">
        <v>0.5</v>
      </c>
      <c r="Q3428" s="3">
        <v>0.43191215395927401</v>
      </c>
    </row>
    <row r="3429" spans="1:17" x14ac:dyDescent="0.45">
      <c r="A3429" s="3">
        <v>111660</v>
      </c>
      <c r="B3429" t="b">
        <v>0</v>
      </c>
      <c r="C3429" t="b">
        <v>1</v>
      </c>
      <c r="D3429" s="3">
        <v>1490</v>
      </c>
      <c r="E3429" s="3">
        <v>1500</v>
      </c>
      <c r="F3429" t="s">
        <v>1212</v>
      </c>
      <c r="G3429" t="s">
        <v>103</v>
      </c>
      <c r="H3429" s="3">
        <v>32.499699999999997</v>
      </c>
      <c r="I3429" t="s">
        <v>1213</v>
      </c>
      <c r="J3429" t="s">
        <v>13537</v>
      </c>
      <c r="L3429" t="s">
        <v>1214</v>
      </c>
      <c r="M3429" t="str">
        <f>"https://www.artic.edu/iiif/2/"&amp;Table9[[#This Row],[Image ID]]&amp;"/full/843,/0/default.jpg"</f>
        <v>https://www.artic.edu/iiif/2/b6fc48bd-f61d-4b52-9a68-a1903badc20c/full/843,/0/default.jpg</v>
      </c>
      <c r="N3429" s="3">
        <v>0.55000000000000004</v>
      </c>
      <c r="O3429" s="3">
        <v>0.05</v>
      </c>
      <c r="P3429" s="3">
        <v>0.5</v>
      </c>
      <c r="Q3429" s="3">
        <v>0.83600431680679299</v>
      </c>
    </row>
    <row r="3430" spans="1:17" x14ac:dyDescent="0.45">
      <c r="A3430" s="3">
        <v>14817</v>
      </c>
      <c r="B3430" t="b">
        <v>0</v>
      </c>
      <c r="C3430" t="b">
        <v>1</v>
      </c>
      <c r="D3430" s="3">
        <v>1880</v>
      </c>
      <c r="E3430" s="3">
        <v>1880</v>
      </c>
      <c r="F3430" t="s">
        <v>2701</v>
      </c>
      <c r="G3430" t="s">
        <v>3708</v>
      </c>
      <c r="H3430" s="3">
        <v>46.678400000000003</v>
      </c>
      <c r="I3430" t="s">
        <v>558</v>
      </c>
      <c r="J3430" t="s">
        <v>13591</v>
      </c>
      <c r="L3430" t="s">
        <v>3709</v>
      </c>
      <c r="M3430" t="str">
        <f>"https://www.artic.edu/iiif/2/"&amp;Table9[[#This Row],[Image ID]]&amp;"/full/843,/0/default.jpg"</f>
        <v>https://www.artic.edu/iiif/2/bb8a1eb2-5e6f-7b53-d841-472c4abf65e2/full/843,/0/default.jpg</v>
      </c>
      <c r="N3430" s="3">
        <v>0.625</v>
      </c>
      <c r="O3430" s="3">
        <v>0.125</v>
      </c>
      <c r="P3430" s="3">
        <v>0.5</v>
      </c>
      <c r="Q3430" s="3">
        <v>0.62004822492599398</v>
      </c>
    </row>
    <row r="3431" spans="1:17" x14ac:dyDescent="0.45">
      <c r="A3431" s="3">
        <v>115122</v>
      </c>
      <c r="B3431" t="b">
        <v>0</v>
      </c>
      <c r="C3431" t="b">
        <v>1</v>
      </c>
      <c r="D3431" s="3">
        <v>1825</v>
      </c>
      <c r="E3431" s="3">
        <v>1882</v>
      </c>
      <c r="F3431" t="s">
        <v>1781</v>
      </c>
      <c r="G3431" t="s">
        <v>1651</v>
      </c>
      <c r="H3431" s="3">
        <v>32.588900000000002</v>
      </c>
      <c r="I3431" t="s">
        <v>1555</v>
      </c>
      <c r="J3431" t="s">
        <v>12645</v>
      </c>
      <c r="L3431" t="s">
        <v>1782</v>
      </c>
      <c r="M3431" t="str">
        <f>"https://www.artic.edu/iiif/2/"&amp;Table9[[#This Row],[Image ID]]&amp;"/full/843,/0/default.jpg"</f>
        <v>https://www.artic.edu/iiif/2/c0a18cb7-a58d-692b-7d30-773f1f59e18c/full/843,/0/default.jpg</v>
      </c>
      <c r="N3431" s="3">
        <v>0.75</v>
      </c>
      <c r="O3431" s="3">
        <v>0.25</v>
      </c>
      <c r="P3431" s="3">
        <v>0.5</v>
      </c>
      <c r="Q3431" s="3">
        <v>0.41396930813789301</v>
      </c>
    </row>
    <row r="3432" spans="1:17" x14ac:dyDescent="0.45">
      <c r="A3432" s="3">
        <v>111114</v>
      </c>
      <c r="B3432" t="b">
        <v>0</v>
      </c>
      <c r="C3432" t="b">
        <v>1</v>
      </c>
      <c r="D3432" s="3">
        <v>1811</v>
      </c>
      <c r="E3432" s="3">
        <v>1824</v>
      </c>
      <c r="F3432" t="s">
        <v>1038</v>
      </c>
      <c r="G3432" t="s">
        <v>1039</v>
      </c>
      <c r="H3432" s="3">
        <v>44.140999999999998</v>
      </c>
      <c r="I3432" t="s">
        <v>14568</v>
      </c>
      <c r="J3432" t="s">
        <v>13715</v>
      </c>
      <c r="L3432" t="s">
        <v>1040</v>
      </c>
      <c r="M3432" t="str">
        <f>"https://www.artic.edu/iiif/2/"&amp;Table9[[#This Row],[Image ID]]&amp;"/full/843,/0/default.jpg"</f>
        <v>https://www.artic.edu/iiif/2/c5b116dc-8461-73f1-27f6-e6cad4d6f5fa/full/843,/0/default.jpg</v>
      </c>
      <c r="N3432" s="3">
        <v>0.65</v>
      </c>
      <c r="O3432" s="3">
        <v>0.15</v>
      </c>
      <c r="P3432" s="3">
        <v>0.5</v>
      </c>
      <c r="Q3432" s="3">
        <v>0.55269831418991</v>
      </c>
    </row>
    <row r="3433" spans="1:17" x14ac:dyDescent="0.45">
      <c r="A3433" s="3">
        <v>23645</v>
      </c>
      <c r="B3433" t="b">
        <v>0</v>
      </c>
      <c r="C3433" t="b">
        <v>1</v>
      </c>
      <c r="D3433" s="3">
        <v>1829</v>
      </c>
      <c r="E3433" s="3">
        <v>1839</v>
      </c>
      <c r="F3433" t="s">
        <v>6264</v>
      </c>
      <c r="G3433" t="s">
        <v>6265</v>
      </c>
      <c r="H3433" s="3">
        <v>34.623100000000001</v>
      </c>
      <c r="I3433" t="s">
        <v>14686</v>
      </c>
      <c r="J3433" t="s">
        <v>13744</v>
      </c>
      <c r="L3433" t="s">
        <v>6266</v>
      </c>
      <c r="M3433" t="str">
        <f>"https://www.artic.edu/iiif/2/"&amp;Table9[[#This Row],[Image ID]]&amp;"/full/843,/0/default.jpg"</f>
        <v>https://www.artic.edu/iiif/2/c7b5d205-a9dc-d94b-088e-af57f704f6b9/full/843,/0/default.jpg</v>
      </c>
      <c r="N3433" s="3">
        <v>0.6</v>
      </c>
      <c r="O3433" s="3">
        <v>0.1</v>
      </c>
      <c r="P3433" s="3">
        <v>0.5</v>
      </c>
      <c r="Q3433" s="3">
        <v>0.71974909305572499</v>
      </c>
    </row>
    <row r="3434" spans="1:17" x14ac:dyDescent="0.45">
      <c r="A3434" s="3">
        <v>115431</v>
      </c>
      <c r="B3434" t="b">
        <v>0</v>
      </c>
      <c r="C3434" t="b">
        <v>1</v>
      </c>
      <c r="D3434" s="3">
        <v>1800</v>
      </c>
      <c r="E3434" s="3">
        <v>1899</v>
      </c>
      <c r="F3434" t="s">
        <v>1912</v>
      </c>
      <c r="G3434" t="s">
        <v>1913</v>
      </c>
      <c r="H3434" s="3">
        <v>19.727699999999999</v>
      </c>
      <c r="I3434" t="s">
        <v>1868</v>
      </c>
      <c r="J3434" t="s">
        <v>13785</v>
      </c>
      <c r="L3434" t="s">
        <v>1914</v>
      </c>
      <c r="M3434" t="str">
        <f>"https://www.artic.edu/iiif/2/"&amp;Table9[[#This Row],[Image ID]]&amp;"/full/843,/0/default.jpg"</f>
        <v>https://www.artic.edu/iiif/2/cacc0114-75c1-ee89-8afa-c271e6355939/full/843,/0/default.jpg</v>
      </c>
      <c r="N3434" s="3">
        <v>0.55000000000000004</v>
      </c>
      <c r="O3434" s="3">
        <v>0.05</v>
      </c>
      <c r="P3434" s="3">
        <v>0.5</v>
      </c>
      <c r="Q3434" s="3">
        <v>0.72497630119323697</v>
      </c>
    </row>
    <row r="3435" spans="1:17" x14ac:dyDescent="0.45">
      <c r="A3435" s="3">
        <v>16281</v>
      </c>
      <c r="B3435" t="b">
        <v>0</v>
      </c>
      <c r="C3435" t="b">
        <v>1</v>
      </c>
      <c r="D3435" s="3">
        <v>1790</v>
      </c>
      <c r="E3435" s="3">
        <v>1800</v>
      </c>
      <c r="F3435" t="s">
        <v>4340</v>
      </c>
      <c r="G3435" t="s">
        <v>7</v>
      </c>
      <c r="H3435" s="3">
        <v>29.095600000000001</v>
      </c>
      <c r="I3435" t="s">
        <v>4341</v>
      </c>
      <c r="J3435" t="s">
        <v>13961</v>
      </c>
      <c r="L3435" t="s">
        <v>4342</v>
      </c>
      <c r="M3435" t="str">
        <f>"https://www.artic.edu/iiif/2/"&amp;Table9[[#This Row],[Image ID]]&amp;"/full/843,/0/default.jpg"</f>
        <v>https://www.artic.edu/iiif/2/d87fb077-01b8-3238-0a71-3a9c96dd6cec/full/843,/0/default.jpg</v>
      </c>
      <c r="N3435" s="3">
        <v>0.77500000000000002</v>
      </c>
      <c r="O3435" s="3">
        <v>0.27500000000000002</v>
      </c>
      <c r="P3435" s="3">
        <v>0.5</v>
      </c>
      <c r="Q3435" s="3">
        <v>0.77809661626815796</v>
      </c>
    </row>
    <row r="3436" spans="1:17" x14ac:dyDescent="0.45">
      <c r="A3436" s="3">
        <v>250455</v>
      </c>
      <c r="B3436" t="b">
        <v>0</v>
      </c>
      <c r="C3436" t="b">
        <v>1</v>
      </c>
      <c r="D3436" s="3">
        <v>1873</v>
      </c>
      <c r="E3436" s="3">
        <v>1873</v>
      </c>
      <c r="F3436" t="s">
        <v>6478</v>
      </c>
      <c r="G3436" t="s">
        <v>3642</v>
      </c>
      <c r="H3436" s="3">
        <v>16.0992</v>
      </c>
      <c r="I3436" t="s">
        <v>6479</v>
      </c>
      <c r="J3436" t="s">
        <v>6481</v>
      </c>
      <c r="L3436" t="s">
        <v>6480</v>
      </c>
      <c r="M3436" t="str">
        <f>"https://www.artic.edu/iiif/2/"&amp;Table9[[#This Row],[Image ID]]&amp;"/full/843,/0/default.jpg"</f>
        <v>https://www.artic.edu/iiif/2/dc92647e-40e2-8a20-45d1-7ccf569e39da/full/843,/0/default.jpg</v>
      </c>
      <c r="N3436" s="3">
        <v>0.77500000000000002</v>
      </c>
      <c r="O3436" s="3">
        <v>0.27500000000000002</v>
      </c>
      <c r="P3436" s="3">
        <v>0.5</v>
      </c>
      <c r="Q3436" s="3">
        <v>0.49684324860572798</v>
      </c>
    </row>
    <row r="3437" spans="1:17" x14ac:dyDescent="0.45">
      <c r="A3437" s="3">
        <v>890</v>
      </c>
      <c r="B3437" t="b">
        <v>0</v>
      </c>
      <c r="C3437" t="b">
        <v>1</v>
      </c>
      <c r="D3437" s="3">
        <v>1856</v>
      </c>
      <c r="E3437" s="3">
        <v>1856</v>
      </c>
      <c r="F3437" t="s">
        <v>10444</v>
      </c>
      <c r="G3437" t="s">
        <v>7</v>
      </c>
      <c r="H3437" s="3">
        <v>37.360700000000001</v>
      </c>
      <c r="I3437" t="s">
        <v>14595</v>
      </c>
      <c r="J3437" t="s">
        <v>14075</v>
      </c>
      <c r="L3437" t="s">
        <v>10445</v>
      </c>
      <c r="M3437" t="str">
        <f>"https://www.artic.edu/iiif/2/"&amp;Table9[[#This Row],[Image ID]]&amp;"/full/843,/0/default.jpg"</f>
        <v>https://www.artic.edu/iiif/2/e0d8a305-15b0-bdcd-1e83-06d8594a2f7e/full/843,/0/default.jpg</v>
      </c>
      <c r="N3437" s="3">
        <v>0.6</v>
      </c>
      <c r="O3437" s="3">
        <v>0.1</v>
      </c>
      <c r="P3437" s="3">
        <v>0.5</v>
      </c>
      <c r="Q3437" s="3">
        <v>0.54884654283523504</v>
      </c>
    </row>
    <row r="3438" spans="1:17" x14ac:dyDescent="0.45">
      <c r="A3438" s="3">
        <v>138</v>
      </c>
      <c r="B3438" t="b">
        <v>0</v>
      </c>
      <c r="C3438" t="b">
        <v>1</v>
      </c>
      <c r="D3438" s="3">
        <v>1887</v>
      </c>
      <c r="E3438" s="3">
        <v>1887</v>
      </c>
      <c r="F3438" t="s">
        <v>3220</v>
      </c>
      <c r="G3438" t="s">
        <v>7</v>
      </c>
      <c r="H3438" s="3">
        <v>25.2378</v>
      </c>
      <c r="I3438" t="s">
        <v>3221</v>
      </c>
      <c r="J3438" t="s">
        <v>14175</v>
      </c>
      <c r="K3438" s="5" t="s">
        <v>9</v>
      </c>
      <c r="L3438" t="s">
        <v>3222</v>
      </c>
      <c r="M3438" t="str">
        <f>"https://www.artic.edu/iiif/2/"&amp;Table9[[#This Row],[Image ID]]&amp;"/full/843,/0/default.jpg"</f>
        <v>https://www.artic.edu/iiif/2/e72305c9-1a1c-8a36-7450-582619366338/full/843,/0/default.jpg</v>
      </c>
      <c r="N3438" s="3">
        <v>0.6</v>
      </c>
      <c r="O3438" s="3">
        <v>0.1</v>
      </c>
      <c r="P3438" s="3">
        <v>0.5</v>
      </c>
      <c r="Q3438" s="3">
        <v>0.68869674205779996</v>
      </c>
    </row>
    <row r="3439" spans="1:17" x14ac:dyDescent="0.45">
      <c r="A3439" s="3">
        <v>97454</v>
      </c>
      <c r="B3439" t="b">
        <v>0</v>
      </c>
      <c r="C3439" t="b">
        <v>1</v>
      </c>
      <c r="D3439" s="3">
        <v>1827</v>
      </c>
      <c r="E3439" s="3">
        <v>1855</v>
      </c>
      <c r="F3439" t="s">
        <v>6728</v>
      </c>
      <c r="G3439" t="s">
        <v>10845</v>
      </c>
      <c r="H3439" s="3">
        <v>48.408200000000001</v>
      </c>
      <c r="I3439" t="s">
        <v>10846</v>
      </c>
      <c r="J3439" t="s">
        <v>14238</v>
      </c>
      <c r="L3439" t="s">
        <v>10847</v>
      </c>
      <c r="M3439" t="str">
        <f>"https://www.artic.edu/iiif/2/"&amp;Table9[[#This Row],[Image ID]]&amp;"/full/843,/0/default.jpg"</f>
        <v>https://www.artic.edu/iiif/2/eb2122b7-566a-3625-f04b-80b984b647c8/full/843,/0/default.jpg</v>
      </c>
      <c r="N3439" s="3">
        <v>0.67500000000000004</v>
      </c>
      <c r="O3439" s="3">
        <v>0.17499999999999999</v>
      </c>
      <c r="P3439" s="3">
        <v>0.5</v>
      </c>
      <c r="Q3439" s="3">
        <v>0.51596266031265203</v>
      </c>
    </row>
    <row r="3440" spans="1:17" x14ac:dyDescent="0.45">
      <c r="A3440" s="3">
        <v>228137</v>
      </c>
      <c r="B3440" t="b">
        <v>0</v>
      </c>
      <c r="C3440" t="b">
        <v>1</v>
      </c>
      <c r="D3440" s="3">
        <v>1833</v>
      </c>
      <c r="E3440" s="3">
        <v>1833</v>
      </c>
      <c r="F3440" t="s">
        <v>871</v>
      </c>
      <c r="G3440" t="s">
        <v>5989</v>
      </c>
      <c r="H3440" s="3">
        <v>29.048200000000001</v>
      </c>
      <c r="I3440" t="s">
        <v>1757</v>
      </c>
      <c r="J3440" t="s">
        <v>14249</v>
      </c>
      <c r="L3440" t="s">
        <v>5990</v>
      </c>
      <c r="M3440" t="str">
        <f>"https://www.artic.edu/iiif/2/"&amp;Table9[[#This Row],[Image ID]]&amp;"/full/843,/0/default.jpg"</f>
        <v>https://www.artic.edu/iiif/2/ec11d545-d213-f0de-6b1a-91245d437aad/full/843,/0/default.jpg</v>
      </c>
      <c r="N3440" s="3">
        <v>0.625</v>
      </c>
      <c r="O3440" s="3">
        <v>0.125</v>
      </c>
      <c r="P3440" s="3">
        <v>0.5</v>
      </c>
      <c r="Q3440" s="3">
        <v>0.71963572502136197</v>
      </c>
    </row>
    <row r="3441" spans="1:17" x14ac:dyDescent="0.45">
      <c r="A3441" s="3">
        <v>110561</v>
      </c>
      <c r="B3441" t="b">
        <v>0</v>
      </c>
      <c r="C3441" t="b">
        <v>1</v>
      </c>
      <c r="D3441" s="3">
        <v>1884</v>
      </c>
      <c r="E3441" s="3">
        <v>1884</v>
      </c>
      <c r="F3441" t="s">
        <v>907</v>
      </c>
      <c r="G3441" t="s">
        <v>7</v>
      </c>
      <c r="H3441" s="3">
        <v>30.741199999999999</v>
      </c>
      <c r="I3441" t="s">
        <v>908</v>
      </c>
      <c r="J3441" t="s">
        <v>14465</v>
      </c>
      <c r="L3441" t="s">
        <v>909</v>
      </c>
      <c r="M3441" t="str">
        <f>"https://www.artic.edu/iiif/2/"&amp;Table9[[#This Row],[Image ID]]&amp;"/full/843,/0/default.jpg"</f>
        <v>https://www.artic.edu/iiif/2/faeeb5d7-0366-f3c4-5251-63cd5fdc9148/full/843,/0/default.jpg</v>
      </c>
      <c r="N3441" s="3">
        <v>0.55000000000000004</v>
      </c>
      <c r="O3441" s="3">
        <v>0.05</v>
      </c>
      <c r="P3441" s="3">
        <v>0.5</v>
      </c>
      <c r="Q3441" s="3">
        <v>0.51113945245742798</v>
      </c>
    </row>
    <row r="3442" spans="1:17" x14ac:dyDescent="0.45">
      <c r="A3442" s="3">
        <v>152850</v>
      </c>
      <c r="B3442" t="b">
        <v>0</v>
      </c>
      <c r="C3442" t="b">
        <v>1</v>
      </c>
      <c r="D3442" s="3">
        <v>1834</v>
      </c>
      <c r="E3442" s="3">
        <v>1834</v>
      </c>
      <c r="F3442" t="s">
        <v>3931</v>
      </c>
      <c r="G3442" t="s">
        <v>3932</v>
      </c>
      <c r="H3442" s="3">
        <v>43.557600000000001</v>
      </c>
      <c r="I3442" t="s">
        <v>3933</v>
      </c>
      <c r="J3442" t="s">
        <v>14513</v>
      </c>
      <c r="L3442" t="s">
        <v>3934</v>
      </c>
      <c r="M3442" t="str">
        <f>"https://www.artic.edu/iiif/2/"&amp;Table9[[#This Row],[Image ID]]&amp;"/full/843,/0/default.jpg"</f>
        <v>https://www.artic.edu/iiif/2/fe633bf9-a401-490e-49c0-0ba6af6ece8c/full/843,/0/default.jpg</v>
      </c>
      <c r="N3442" s="3">
        <v>0.52500000000000002</v>
      </c>
      <c r="O3442" s="3">
        <v>2.5000000000000001E-2</v>
      </c>
      <c r="P3442" s="3">
        <v>0.5</v>
      </c>
      <c r="Q3442" s="3">
        <v>0.51178121566772405</v>
      </c>
    </row>
    <row r="3443" spans="1:17" x14ac:dyDescent="0.45">
      <c r="A3443" s="3">
        <v>63773</v>
      </c>
      <c r="B3443" t="b">
        <v>0</v>
      </c>
      <c r="C3443" t="b">
        <v>0</v>
      </c>
      <c r="D3443" s="3">
        <v>1950</v>
      </c>
      <c r="E3443" s="3">
        <v>1950</v>
      </c>
      <c r="F3443" t="s">
        <v>8941</v>
      </c>
      <c r="G3443" t="s">
        <v>7</v>
      </c>
      <c r="H3443" s="3">
        <v>0</v>
      </c>
      <c r="I3443" t="s">
        <v>1</v>
      </c>
      <c r="J3443" t="s">
        <v>11008</v>
      </c>
      <c r="K3443" s="5" t="s">
        <v>2</v>
      </c>
      <c r="L3443" t="s">
        <v>8942</v>
      </c>
      <c r="M3443" t="str">
        <f>"https://www.artic.edu/iiif/2/"&amp;Table9[[#This Row],[Image ID]]&amp;"/full/843,/0/default.jpg"</f>
        <v>https://www.artic.edu/iiif/2/02a6954b-18f9-8f7d-0084-c3a04b28b3f6/full/843,/0/default.jpg</v>
      </c>
      <c r="N3443" s="3">
        <v>0.71399999999999997</v>
      </c>
      <c r="O3443" s="3">
        <v>0.214</v>
      </c>
      <c r="P3443" s="3">
        <v>0.5</v>
      </c>
      <c r="Q3443" s="3">
        <v>0.79226791858673096</v>
      </c>
    </row>
    <row r="3444" spans="1:17" x14ac:dyDescent="0.45">
      <c r="A3444" s="3">
        <v>225681</v>
      </c>
      <c r="B3444" t="b">
        <v>0</v>
      </c>
      <c r="C3444" t="b">
        <v>0</v>
      </c>
      <c r="D3444" s="3">
        <v>2003</v>
      </c>
      <c r="E3444" s="3">
        <v>2003</v>
      </c>
      <c r="F3444" t="s">
        <v>5913</v>
      </c>
      <c r="G3444" t="s">
        <v>4220</v>
      </c>
      <c r="H3444" s="3">
        <v>120.0736</v>
      </c>
      <c r="I3444" t="s">
        <v>5914</v>
      </c>
      <c r="J3444" t="s">
        <v>11032</v>
      </c>
      <c r="K3444" s="5" t="s">
        <v>15</v>
      </c>
      <c r="L3444" t="s">
        <v>5915</v>
      </c>
      <c r="M3444" t="str">
        <f>"https://www.artic.edu/iiif/2/"&amp;Table9[[#This Row],[Image ID]]&amp;"/full/843,/0/default.jpg"</f>
        <v>https://www.artic.edu/iiif/2/0441abb0-97e0-ed24-c5b2-cc29085cf09e/full/843,/0/default.jpg</v>
      </c>
      <c r="N3444" s="3">
        <v>0.625</v>
      </c>
      <c r="O3444" s="3">
        <v>0.125</v>
      </c>
      <c r="P3444" s="3">
        <v>0.5</v>
      </c>
      <c r="Q3444" s="3">
        <v>0.68213593959808305</v>
      </c>
    </row>
    <row r="3445" spans="1:17" x14ac:dyDescent="0.45">
      <c r="A3445" s="3">
        <v>66750</v>
      </c>
      <c r="B3445" t="b">
        <v>0</v>
      </c>
      <c r="C3445" t="b">
        <v>0</v>
      </c>
      <c r="D3445" s="3">
        <v>1918</v>
      </c>
      <c r="E3445" s="3">
        <v>1986</v>
      </c>
      <c r="F3445" t="s">
        <v>11</v>
      </c>
      <c r="G3445" t="s">
        <v>9319</v>
      </c>
      <c r="H3445" s="3">
        <v>30.8781</v>
      </c>
      <c r="I3445" t="s">
        <v>5973</v>
      </c>
      <c r="J3445" t="s">
        <v>11040</v>
      </c>
      <c r="L3445" t="s">
        <v>9320</v>
      </c>
      <c r="M3445" t="str">
        <f>"https://www.artic.edu/iiif/2/"&amp;Table9[[#This Row],[Image ID]]&amp;"/full/843,/0/default.jpg"</f>
        <v>https://www.artic.edu/iiif/2/04bc03af-edfe-5a78-16fa-6947a2161cef/full/843,/0/default.jpg</v>
      </c>
      <c r="N3445" s="3">
        <v>0.6</v>
      </c>
      <c r="O3445" s="3">
        <v>0.1</v>
      </c>
      <c r="P3445" s="3">
        <v>0.5</v>
      </c>
      <c r="Q3445" s="3">
        <v>0.78794014453887895</v>
      </c>
    </row>
    <row r="3446" spans="1:17" x14ac:dyDescent="0.45">
      <c r="A3446" s="3">
        <v>101518</v>
      </c>
      <c r="B3446" t="b">
        <v>0</v>
      </c>
      <c r="C3446" t="b">
        <v>0</v>
      </c>
      <c r="D3446" s="3">
        <v>1944</v>
      </c>
      <c r="E3446" s="3">
        <v>1944</v>
      </c>
      <c r="F3446" t="s">
        <v>179</v>
      </c>
      <c r="G3446" t="s">
        <v>7</v>
      </c>
      <c r="H3446" s="3">
        <v>32.029499999999999</v>
      </c>
      <c r="I3446" t="s">
        <v>180</v>
      </c>
      <c r="J3446" t="s">
        <v>11108</v>
      </c>
      <c r="L3446" t="s">
        <v>181</v>
      </c>
      <c r="M3446" t="str">
        <f>"https://www.artic.edu/iiif/2/"&amp;Table9[[#This Row],[Image ID]]&amp;"/full/843,/0/default.jpg"</f>
        <v>https://www.artic.edu/iiif/2/097b24de-79b9-a5a1-57f3-9e7545dc4319/full/843,/0/default.jpg</v>
      </c>
      <c r="N3446" s="3">
        <v>0.625</v>
      </c>
      <c r="O3446" s="3">
        <v>0.125</v>
      </c>
      <c r="P3446" s="3">
        <v>0.5</v>
      </c>
      <c r="Q3446" s="3">
        <v>0.74619477987289395</v>
      </c>
    </row>
    <row r="3447" spans="1:17" x14ac:dyDescent="0.45">
      <c r="A3447" s="3">
        <v>146997</v>
      </c>
      <c r="B3447" t="b">
        <v>0</v>
      </c>
      <c r="C3447" t="b">
        <v>0</v>
      </c>
      <c r="D3447" s="3">
        <v>1989</v>
      </c>
      <c r="E3447" s="3">
        <v>1989</v>
      </c>
      <c r="F3447" t="s">
        <v>3557</v>
      </c>
      <c r="G3447" t="s">
        <v>7</v>
      </c>
      <c r="H3447" s="3">
        <v>26.830500000000001</v>
      </c>
      <c r="I3447" t="s">
        <v>52</v>
      </c>
      <c r="J3447" t="s">
        <v>11074</v>
      </c>
      <c r="L3447" t="s">
        <v>3558</v>
      </c>
      <c r="M3447" t="str">
        <f>"https://www.artic.edu/iiif/2/"&amp;Table9[[#This Row],[Image ID]]&amp;"/full/843,/0/default.jpg"</f>
        <v>https://www.artic.edu/iiif/2/1cd7aea0-f7a7-b566-52c9-0407bf5c442e/full/843,/0/default.jpg</v>
      </c>
      <c r="N3447" s="3">
        <v>0.55000000000000004</v>
      </c>
      <c r="O3447" s="3">
        <v>0.05</v>
      </c>
      <c r="P3447" s="3">
        <v>0.5</v>
      </c>
      <c r="Q3447" s="3">
        <v>0.56861323118209794</v>
      </c>
    </row>
    <row r="3448" spans="1:17" x14ac:dyDescent="0.45">
      <c r="A3448" s="3">
        <v>51729</v>
      </c>
      <c r="B3448" t="b">
        <v>0</v>
      </c>
      <c r="C3448" t="b">
        <v>0</v>
      </c>
      <c r="D3448" s="3">
        <v>1960</v>
      </c>
      <c r="E3448" s="3">
        <v>1960</v>
      </c>
      <c r="F3448" t="s">
        <v>8169</v>
      </c>
      <c r="G3448" t="s">
        <v>8170</v>
      </c>
      <c r="H3448" s="3">
        <v>39.803899999999999</v>
      </c>
      <c r="I3448" t="s">
        <v>378</v>
      </c>
      <c r="J3448" t="s">
        <v>11465</v>
      </c>
      <c r="L3448" t="s">
        <v>8171</v>
      </c>
      <c r="M3448" t="str">
        <f>"https://www.artic.edu/iiif/2/"&amp;Table9[[#This Row],[Image ID]]&amp;"/full/843,/0/default.jpg"</f>
        <v>https://www.artic.edu/iiif/2/2276c90e-c3f6-2a94-1f95-2d19521d4282/full/843,/0/default.jpg</v>
      </c>
      <c r="N3448" s="3">
        <v>0.55000000000000004</v>
      </c>
      <c r="O3448" s="3">
        <v>0.05</v>
      </c>
      <c r="P3448" s="3">
        <v>0.5</v>
      </c>
      <c r="Q3448" s="3">
        <v>0.75743860006332397</v>
      </c>
    </row>
    <row r="3449" spans="1:17" x14ac:dyDescent="0.45">
      <c r="A3449" s="3">
        <v>225746</v>
      </c>
      <c r="B3449" t="b">
        <v>0</v>
      </c>
      <c r="C3449" t="b">
        <v>0</v>
      </c>
      <c r="D3449" s="3">
        <v>1959</v>
      </c>
      <c r="E3449" s="3">
        <v>1959</v>
      </c>
      <c r="F3449" t="s">
        <v>5952</v>
      </c>
      <c r="G3449" t="s">
        <v>5917</v>
      </c>
      <c r="H3449" s="3">
        <v>48.265599999999999</v>
      </c>
      <c r="I3449" t="s">
        <v>5918</v>
      </c>
      <c r="J3449" t="s">
        <v>11203</v>
      </c>
      <c r="L3449" t="s">
        <v>5953</v>
      </c>
      <c r="M3449" t="str">
        <f>"https://www.artic.edu/iiif/2/"&amp;Table9[[#This Row],[Image ID]]&amp;"/full/843,/0/default.jpg"</f>
        <v>https://www.artic.edu/iiif/2/241b2f2c-d324-4eed-cf90-3d52f845a819/full/843,/0/default.jpg</v>
      </c>
      <c r="N3449" s="3">
        <v>0.6</v>
      </c>
      <c r="O3449" s="3">
        <v>0.1</v>
      </c>
      <c r="P3449" s="3">
        <v>0.5</v>
      </c>
      <c r="Q3449" s="3">
        <v>0.81156551837921098</v>
      </c>
    </row>
    <row r="3450" spans="1:17" x14ac:dyDescent="0.45">
      <c r="A3450" s="3">
        <v>105252</v>
      </c>
      <c r="B3450" t="b">
        <v>0</v>
      </c>
      <c r="C3450" t="b">
        <v>0</v>
      </c>
      <c r="D3450" s="3">
        <v>1949</v>
      </c>
      <c r="E3450" s="3">
        <v>1951</v>
      </c>
      <c r="F3450" t="s">
        <v>11</v>
      </c>
      <c r="G3450" t="s">
        <v>501</v>
      </c>
      <c r="H3450" s="3">
        <v>15.9331</v>
      </c>
      <c r="I3450" t="s">
        <v>142</v>
      </c>
      <c r="J3450" t="s">
        <v>11493</v>
      </c>
      <c r="L3450" t="s">
        <v>502</v>
      </c>
      <c r="M3450" t="str">
        <f>"https://www.artic.edu/iiif/2/"&amp;Table9[[#This Row],[Image ID]]&amp;"/full/843,/0/default.jpg"</f>
        <v>https://www.artic.edu/iiif/2/248a28c1-1c2b-964a-9c61-712a8ee95ceb/full/843,/0/default.jpg</v>
      </c>
      <c r="N3450" s="3">
        <v>0.59499999999999997</v>
      </c>
      <c r="O3450" s="3">
        <v>9.5000000000000001E-2</v>
      </c>
      <c r="P3450" s="3">
        <v>0.5</v>
      </c>
      <c r="Q3450" s="3">
        <v>0.72184550762176503</v>
      </c>
    </row>
    <row r="3451" spans="1:17" x14ac:dyDescent="0.45">
      <c r="A3451" s="3">
        <v>2825</v>
      </c>
      <c r="B3451" t="b">
        <v>0</v>
      </c>
      <c r="C3451" t="b">
        <v>0</v>
      </c>
      <c r="D3451" s="3">
        <v>1949</v>
      </c>
      <c r="E3451" s="3">
        <v>1949</v>
      </c>
      <c r="F3451" t="s">
        <v>6796</v>
      </c>
      <c r="G3451" t="s">
        <v>642</v>
      </c>
      <c r="H3451" s="3">
        <v>33.01</v>
      </c>
      <c r="I3451" t="s">
        <v>6797</v>
      </c>
      <c r="J3451" t="s">
        <v>11515</v>
      </c>
      <c r="L3451" t="s">
        <v>6798</v>
      </c>
      <c r="M3451" t="str">
        <f>"https://www.artic.edu/iiif/2/"&amp;Table9[[#This Row],[Image ID]]&amp;"/full/843,/0/default.jpg"</f>
        <v>https://www.artic.edu/iiif/2/261e8e9f-4fca-f21a-bc4d-9a7b25455750/full/843,/0/default.jpg</v>
      </c>
      <c r="N3451" s="3">
        <v>0.6</v>
      </c>
      <c r="O3451" s="3">
        <v>0.1</v>
      </c>
      <c r="P3451" s="3">
        <v>0.5</v>
      </c>
      <c r="Q3451" s="3">
        <v>0.72672164440154996</v>
      </c>
    </row>
    <row r="3452" spans="1:17" x14ac:dyDescent="0.45">
      <c r="A3452" s="3">
        <v>10157</v>
      </c>
      <c r="B3452" t="b">
        <v>0</v>
      </c>
      <c r="C3452" t="b">
        <v>0</v>
      </c>
      <c r="D3452" s="3">
        <v>1914</v>
      </c>
      <c r="E3452" s="3">
        <v>1914</v>
      </c>
      <c r="F3452" t="s">
        <v>186</v>
      </c>
      <c r="G3452" t="s">
        <v>7</v>
      </c>
      <c r="H3452" s="3">
        <v>51.610599999999998</v>
      </c>
      <c r="I3452" t="s">
        <v>187</v>
      </c>
      <c r="J3452" t="s">
        <v>11526</v>
      </c>
      <c r="L3452" t="s">
        <v>188</v>
      </c>
      <c r="M3452" t="str">
        <f>"https://www.artic.edu/iiif/2/"&amp;Table9[[#This Row],[Image ID]]&amp;"/full/843,/0/default.jpg"</f>
        <v>https://www.artic.edu/iiif/2/26793502-8f66-ad1f-2d88-78e8b1014ba9/full/843,/0/default.jpg</v>
      </c>
      <c r="N3452" s="3">
        <v>0.59499999999999997</v>
      </c>
      <c r="O3452" s="3">
        <v>9.5000000000000001E-2</v>
      </c>
      <c r="P3452" s="3">
        <v>0.5</v>
      </c>
      <c r="Q3452" s="3">
        <v>0.76687848567962602</v>
      </c>
    </row>
    <row r="3453" spans="1:17" x14ac:dyDescent="0.45">
      <c r="A3453" s="3">
        <v>83141</v>
      </c>
      <c r="B3453" t="b">
        <v>0</v>
      </c>
      <c r="C3453" t="b">
        <v>0</v>
      </c>
      <c r="D3453" s="3">
        <v>1904</v>
      </c>
      <c r="E3453" s="3">
        <v>1922</v>
      </c>
      <c r="F3453" t="s">
        <v>10202</v>
      </c>
      <c r="G3453" t="s">
        <v>3490</v>
      </c>
      <c r="H3453" s="3">
        <v>37.479700000000001</v>
      </c>
      <c r="I3453" t="s">
        <v>3584</v>
      </c>
      <c r="J3453" t="s">
        <v>11559</v>
      </c>
      <c r="L3453" t="s">
        <v>10203</v>
      </c>
      <c r="M3453" t="str">
        <f>"https://www.artic.edu/iiif/2/"&amp;Table9[[#This Row],[Image ID]]&amp;"/full/843,/0/default.jpg"</f>
        <v>https://www.artic.edu/iiif/2/285966f6-0c9b-3568-2893-45da79ebe80a/full/843,/0/default.jpg</v>
      </c>
      <c r="N3453" s="3">
        <v>0.65</v>
      </c>
      <c r="O3453" s="3">
        <v>0.15</v>
      </c>
      <c r="P3453" s="3">
        <v>0.5</v>
      </c>
      <c r="Q3453" s="3">
        <v>0.58958649635314897</v>
      </c>
    </row>
    <row r="3454" spans="1:17" x14ac:dyDescent="0.45">
      <c r="A3454" s="3">
        <v>146996</v>
      </c>
      <c r="B3454" t="b">
        <v>0</v>
      </c>
      <c r="C3454" t="b">
        <v>0</v>
      </c>
      <c r="D3454" s="3">
        <v>1989</v>
      </c>
      <c r="E3454" s="3">
        <v>1989</v>
      </c>
      <c r="F3454" t="s">
        <v>3555</v>
      </c>
      <c r="G3454" t="s">
        <v>7</v>
      </c>
      <c r="H3454" s="3">
        <v>16.240300000000001</v>
      </c>
      <c r="I3454" t="s">
        <v>52</v>
      </c>
      <c r="J3454" t="s">
        <v>11074</v>
      </c>
      <c r="L3454" t="s">
        <v>3556</v>
      </c>
      <c r="M3454" t="str">
        <f>"https://www.artic.edu/iiif/2/"&amp;Table9[[#This Row],[Image ID]]&amp;"/full/843,/0/default.jpg"</f>
        <v>https://www.artic.edu/iiif/2/28914b5e-2894-f88e-81c3-4a4e7c55b469/full/843,/0/default.jpg</v>
      </c>
      <c r="N3454" s="3">
        <v>0.6</v>
      </c>
      <c r="O3454" s="3">
        <v>0.1</v>
      </c>
      <c r="P3454" s="3">
        <v>0.5</v>
      </c>
      <c r="Q3454" s="3">
        <v>0.74373859167098999</v>
      </c>
    </row>
    <row r="3455" spans="1:17" x14ac:dyDescent="0.45">
      <c r="A3455" s="3">
        <v>14674</v>
      </c>
      <c r="B3455" t="b">
        <v>0</v>
      </c>
      <c r="C3455" t="b">
        <v>0</v>
      </c>
      <c r="D3455" s="3">
        <v>1922</v>
      </c>
      <c r="E3455" s="3">
        <v>1922</v>
      </c>
      <c r="F3455" t="s">
        <v>3473</v>
      </c>
      <c r="G3455" t="s">
        <v>3474</v>
      </c>
      <c r="H3455" s="3">
        <v>32.597799999999999</v>
      </c>
      <c r="I3455" t="s">
        <v>590</v>
      </c>
      <c r="J3455" t="s">
        <v>11569</v>
      </c>
      <c r="L3455" t="s">
        <v>3475</v>
      </c>
      <c r="M3455" t="str">
        <f>"https://www.artic.edu/iiif/2/"&amp;Table9[[#This Row],[Image ID]]&amp;"/full/843,/0/default.jpg"</f>
        <v>https://www.artic.edu/iiif/2/28e6a256-50c2-4457-38f3-d7c256ec7be6/full/843,/0/default.jpg</v>
      </c>
      <c r="N3455" s="3">
        <v>0.54800000000000004</v>
      </c>
      <c r="O3455" s="3">
        <v>4.8000000000000001E-2</v>
      </c>
      <c r="P3455" s="3">
        <v>0.5</v>
      </c>
      <c r="Q3455" s="3">
        <v>0.48818659782409601</v>
      </c>
    </row>
    <row r="3456" spans="1:17" x14ac:dyDescent="0.45">
      <c r="A3456" s="3">
        <v>65996</v>
      </c>
      <c r="B3456" t="b">
        <v>0</v>
      </c>
      <c r="C3456" t="b">
        <v>0</v>
      </c>
      <c r="D3456" s="3">
        <v>1927</v>
      </c>
      <c r="E3456" s="3">
        <v>1927</v>
      </c>
      <c r="F3456" t="s">
        <v>9142</v>
      </c>
      <c r="G3456" t="s">
        <v>9143</v>
      </c>
      <c r="H3456" s="3">
        <v>29.400400000000001</v>
      </c>
      <c r="I3456" t="s">
        <v>949</v>
      </c>
      <c r="J3456" t="s">
        <v>11572</v>
      </c>
      <c r="L3456" t="s">
        <v>9144</v>
      </c>
      <c r="M3456" t="str">
        <f>"https://www.artic.edu/iiif/2/"&amp;Table9[[#This Row],[Image ID]]&amp;"/full/843,/0/default.jpg"</f>
        <v>https://www.artic.edu/iiif/2/290e0d27-95d6-0c07-f2c9-0f0fa519da38/full/843,/0/default.jpg</v>
      </c>
      <c r="N3456" s="3">
        <v>0.65</v>
      </c>
      <c r="O3456" s="3">
        <v>0.15</v>
      </c>
      <c r="P3456" s="3">
        <v>0.5</v>
      </c>
      <c r="Q3456" s="3">
        <v>0.65293675661087003</v>
      </c>
    </row>
    <row r="3457" spans="1:17" x14ac:dyDescent="0.45">
      <c r="A3457" s="3">
        <v>107326</v>
      </c>
      <c r="B3457" t="b">
        <v>0</v>
      </c>
      <c r="C3457" t="b">
        <v>0</v>
      </c>
      <c r="D3457" s="3">
        <v>1964</v>
      </c>
      <c r="E3457" s="3">
        <v>1964</v>
      </c>
      <c r="F3457" t="s">
        <v>655</v>
      </c>
      <c r="G3457" t="s">
        <v>642</v>
      </c>
      <c r="H3457" s="3">
        <v>37.542400000000001</v>
      </c>
      <c r="I3457" t="s">
        <v>651</v>
      </c>
      <c r="J3457" t="s">
        <v>11642</v>
      </c>
      <c r="L3457" t="s">
        <v>656</v>
      </c>
      <c r="M3457" t="str">
        <f>"https://www.artic.edu/iiif/2/"&amp;Table9[[#This Row],[Image ID]]&amp;"/full/843,/0/default.jpg"</f>
        <v>https://www.artic.edu/iiif/2/2e1fe02e-eea7-e150-fc85-26ddb6be320a/full/843,/0/default.jpg</v>
      </c>
      <c r="N3457" s="3">
        <v>0.625</v>
      </c>
      <c r="O3457" s="3">
        <v>0.125</v>
      </c>
      <c r="P3457" s="3">
        <v>0.5</v>
      </c>
      <c r="Q3457" s="3">
        <v>0.69639420509338301</v>
      </c>
    </row>
    <row r="3458" spans="1:17" x14ac:dyDescent="0.45">
      <c r="A3458" s="3">
        <v>82589</v>
      </c>
      <c r="B3458" t="b">
        <v>0</v>
      </c>
      <c r="C3458" t="b">
        <v>0</v>
      </c>
      <c r="D3458" s="3">
        <v>1927</v>
      </c>
      <c r="E3458" s="3">
        <v>1929</v>
      </c>
      <c r="F3458" t="s">
        <v>8140</v>
      </c>
      <c r="G3458" t="s">
        <v>7</v>
      </c>
      <c r="H3458" s="3">
        <v>29.8216</v>
      </c>
      <c r="I3458" t="s">
        <v>915</v>
      </c>
      <c r="J3458" t="s">
        <v>11663</v>
      </c>
      <c r="L3458" t="s">
        <v>10193</v>
      </c>
      <c r="M3458" t="str">
        <f>"https://www.artic.edu/iiif/2/"&amp;Table9[[#This Row],[Image ID]]&amp;"/full/843,/0/default.jpg"</f>
        <v>https://www.artic.edu/iiif/2/2f0197e2-7d1e-0aa7-e0cc-aa8354937762/full/843,/0/default.jpg</v>
      </c>
      <c r="N3458" s="3">
        <v>0.625</v>
      </c>
      <c r="O3458" s="3">
        <v>0.125</v>
      </c>
      <c r="P3458" s="3">
        <v>0.5</v>
      </c>
      <c r="Q3458" s="3">
        <v>0.65884506702423096</v>
      </c>
    </row>
    <row r="3459" spans="1:17" x14ac:dyDescent="0.45">
      <c r="A3459" s="3">
        <v>34902</v>
      </c>
      <c r="B3459" t="b">
        <v>0</v>
      </c>
      <c r="C3459" t="b">
        <v>0</v>
      </c>
      <c r="D3459" s="3">
        <v>1926</v>
      </c>
      <c r="E3459" s="3">
        <v>1926</v>
      </c>
      <c r="F3459" t="s">
        <v>7144</v>
      </c>
      <c r="G3459" t="s">
        <v>6981</v>
      </c>
      <c r="H3459" s="3">
        <v>27.748799999999999</v>
      </c>
      <c r="I3459" t="s">
        <v>7145</v>
      </c>
      <c r="J3459" t="s">
        <v>11711</v>
      </c>
      <c r="L3459" t="s">
        <v>7146</v>
      </c>
      <c r="M3459" t="str">
        <f>"https://www.artic.edu/iiif/2/"&amp;Table9[[#This Row],[Image ID]]&amp;"/full/843,/0/default.jpg"</f>
        <v>https://www.artic.edu/iiif/2/3277ec85-3442-b502-0eae-f23625dde099/full/843,/0/default.jpg</v>
      </c>
      <c r="N3459" s="3">
        <v>0.65900000000000003</v>
      </c>
      <c r="O3459" s="3">
        <v>0.159</v>
      </c>
      <c r="P3459" s="3">
        <v>0.5</v>
      </c>
      <c r="Q3459" s="3">
        <v>0.60154676437377896</v>
      </c>
    </row>
    <row r="3460" spans="1:17" x14ac:dyDescent="0.45">
      <c r="A3460" s="3">
        <v>61686</v>
      </c>
      <c r="B3460" t="b">
        <v>0</v>
      </c>
      <c r="C3460" t="b">
        <v>0</v>
      </c>
      <c r="D3460" s="3">
        <v>1934</v>
      </c>
      <c r="E3460" s="3">
        <v>1934</v>
      </c>
      <c r="F3460" t="s">
        <v>8828</v>
      </c>
      <c r="G3460" t="s">
        <v>8829</v>
      </c>
      <c r="H3460" s="3">
        <v>31.572199999999999</v>
      </c>
      <c r="I3460" t="s">
        <v>2709</v>
      </c>
      <c r="J3460" t="s">
        <v>11825</v>
      </c>
      <c r="L3460" t="s">
        <v>8830</v>
      </c>
      <c r="M3460" t="str">
        <f>"https://www.artic.edu/iiif/2/"&amp;Table9[[#This Row],[Image ID]]&amp;"/full/843,/0/default.jpg"</f>
        <v>https://www.artic.edu/iiif/2/3a1b6752-bb06-82ef-88ec-c30473105d99/full/843,/0/default.jpg</v>
      </c>
      <c r="N3460" s="3">
        <v>0.6</v>
      </c>
      <c r="O3460" s="3">
        <v>0.1</v>
      </c>
      <c r="P3460" s="3">
        <v>0.5</v>
      </c>
      <c r="Q3460" s="3">
        <v>0.74096316099166804</v>
      </c>
    </row>
    <row r="3461" spans="1:17" x14ac:dyDescent="0.45">
      <c r="A3461" s="3">
        <v>140613</v>
      </c>
      <c r="B3461" t="b">
        <v>0</v>
      </c>
      <c r="C3461" t="b">
        <v>0</v>
      </c>
      <c r="D3461" s="3">
        <v>1955</v>
      </c>
      <c r="E3461" s="3">
        <v>1965</v>
      </c>
      <c r="F3461" t="s">
        <v>2754</v>
      </c>
      <c r="G3461" t="s">
        <v>3259</v>
      </c>
      <c r="H3461" s="3">
        <v>26.159700000000001</v>
      </c>
      <c r="I3461" t="s">
        <v>3260</v>
      </c>
      <c r="J3461" t="s">
        <v>11854</v>
      </c>
      <c r="L3461" t="s">
        <v>3261</v>
      </c>
      <c r="M3461" t="str">
        <f>"https://www.artic.edu/iiif/2/"&amp;Table9[[#This Row],[Image ID]]&amp;"/full/843,/0/default.jpg"</f>
        <v>https://www.artic.edu/iiif/2/3bc29ce9-9794-a8c9-1e34-74f4c837632f/full/843,/0/default.jpg</v>
      </c>
      <c r="N3461" s="3">
        <v>0.55000000000000004</v>
      </c>
      <c r="O3461" s="3">
        <v>0.05</v>
      </c>
      <c r="P3461" s="3">
        <v>0.5</v>
      </c>
      <c r="Q3461" s="3">
        <v>0.77492386102676303</v>
      </c>
    </row>
    <row r="3462" spans="1:17" x14ac:dyDescent="0.45">
      <c r="A3462" s="3">
        <v>14683</v>
      </c>
      <c r="B3462" t="b">
        <v>0</v>
      </c>
      <c r="C3462" t="b">
        <v>0</v>
      </c>
      <c r="D3462" s="3">
        <v>1891</v>
      </c>
      <c r="E3462" s="3">
        <v>1933</v>
      </c>
      <c r="F3462" t="s">
        <v>3489</v>
      </c>
      <c r="G3462" t="s">
        <v>3490</v>
      </c>
      <c r="H3462" s="3">
        <v>22.744700000000002</v>
      </c>
      <c r="I3462" t="s">
        <v>3491</v>
      </c>
      <c r="J3462" t="s">
        <v>11870</v>
      </c>
      <c r="L3462" t="s">
        <v>3492</v>
      </c>
      <c r="M3462" t="str">
        <f>"https://www.artic.edu/iiif/2/"&amp;Table9[[#This Row],[Image ID]]&amp;"/full/843,/0/default.jpg"</f>
        <v>https://www.artic.edu/iiif/2/3cf67642-f779-222d-9792-3ef66793c4a9/full/843,/0/default.jpg</v>
      </c>
      <c r="N3462" s="3">
        <v>0.67500000000000004</v>
      </c>
      <c r="O3462" s="3">
        <v>0.17499999999999999</v>
      </c>
      <c r="P3462" s="3">
        <v>0.5</v>
      </c>
      <c r="Q3462" s="3">
        <v>0.67760241031646695</v>
      </c>
    </row>
    <row r="3463" spans="1:17" x14ac:dyDescent="0.45">
      <c r="A3463" s="3">
        <v>12402</v>
      </c>
      <c r="B3463" t="b">
        <v>0</v>
      </c>
      <c r="C3463" t="b">
        <v>0</v>
      </c>
      <c r="D3463" s="3">
        <v>1910</v>
      </c>
      <c r="E3463" s="3">
        <v>1910</v>
      </c>
      <c r="F3463" t="s">
        <v>2725</v>
      </c>
      <c r="G3463" t="s">
        <v>7</v>
      </c>
      <c r="H3463" s="3">
        <v>20.907499999999999</v>
      </c>
      <c r="I3463" t="s">
        <v>14554</v>
      </c>
      <c r="J3463" t="s">
        <v>11958</v>
      </c>
      <c r="L3463" t="s">
        <v>2726</v>
      </c>
      <c r="M3463" t="str">
        <f>"https://www.artic.edu/iiif/2/"&amp;Table9[[#This Row],[Image ID]]&amp;"/full/843,/0/default.jpg"</f>
        <v>https://www.artic.edu/iiif/2/429629b1-0966-8238-30c8-953fe783c6fd/full/843,/0/default.jpg</v>
      </c>
      <c r="N3463" s="3">
        <v>0.6</v>
      </c>
      <c r="O3463" s="3">
        <v>0.1</v>
      </c>
      <c r="P3463" s="3">
        <v>0.5</v>
      </c>
      <c r="Q3463" s="3">
        <v>0.75479120016098</v>
      </c>
    </row>
    <row r="3464" spans="1:17" x14ac:dyDescent="0.45">
      <c r="A3464" s="3">
        <v>45505</v>
      </c>
      <c r="B3464" t="b">
        <v>0</v>
      </c>
      <c r="C3464" t="b">
        <v>0</v>
      </c>
      <c r="D3464" s="3">
        <v>1914</v>
      </c>
      <c r="E3464" s="3">
        <v>1914</v>
      </c>
      <c r="F3464" t="s">
        <v>7867</v>
      </c>
      <c r="G3464" t="s">
        <v>7868</v>
      </c>
      <c r="H3464" s="3">
        <v>25.851800000000001</v>
      </c>
      <c r="I3464" t="s">
        <v>1279</v>
      </c>
      <c r="J3464" t="s">
        <v>12010</v>
      </c>
      <c r="L3464" t="s">
        <v>7869</v>
      </c>
      <c r="M3464" t="str">
        <f>"https://www.artic.edu/iiif/2/"&amp;Table9[[#This Row],[Image ID]]&amp;"/full/843,/0/default.jpg"</f>
        <v>https://www.artic.edu/iiif/2/463b0367-be21-038c-91e0-cac1218f2c1d/full/843,/0/default.jpg</v>
      </c>
      <c r="N3464" s="3">
        <v>0.67500000000000004</v>
      </c>
      <c r="O3464" s="3">
        <v>0.17499999999999999</v>
      </c>
      <c r="P3464" s="3">
        <v>0.5</v>
      </c>
      <c r="Q3464" s="3">
        <v>0.66607642173767001</v>
      </c>
    </row>
    <row r="3465" spans="1:17" x14ac:dyDescent="0.45">
      <c r="A3465" s="3">
        <v>113434</v>
      </c>
      <c r="B3465" t="b">
        <v>0</v>
      </c>
      <c r="C3465" t="b">
        <v>0</v>
      </c>
      <c r="D3465" s="3">
        <v>1923</v>
      </c>
      <c r="E3465" s="3">
        <v>1923</v>
      </c>
      <c r="F3465" t="s">
        <v>1441</v>
      </c>
      <c r="G3465" t="s">
        <v>1442</v>
      </c>
      <c r="H3465" s="3">
        <v>38.780200000000001</v>
      </c>
      <c r="I3465" t="s">
        <v>949</v>
      </c>
      <c r="J3465" t="s">
        <v>12235</v>
      </c>
      <c r="L3465" t="s">
        <v>1443</v>
      </c>
      <c r="M3465" t="str">
        <f>"https://www.artic.edu/iiif/2/"&amp;Table9[[#This Row],[Image ID]]&amp;"/full/843,/0/default.jpg"</f>
        <v>https://www.artic.edu/iiif/2/5628e807-f26b-e402-a6a3-a1b57786b8ec/full/843,/0/default.jpg</v>
      </c>
      <c r="N3465" s="3">
        <v>0.6</v>
      </c>
      <c r="O3465" s="3">
        <v>0.1</v>
      </c>
      <c r="P3465" s="3">
        <v>0.5</v>
      </c>
      <c r="Q3465" s="3">
        <v>0.73247498273849398</v>
      </c>
    </row>
    <row r="3466" spans="1:17" x14ac:dyDescent="0.45">
      <c r="A3466" s="3">
        <v>53045</v>
      </c>
      <c r="B3466" t="b">
        <v>0</v>
      </c>
      <c r="C3466" t="b">
        <v>0</v>
      </c>
      <c r="D3466" s="3">
        <v>1914</v>
      </c>
      <c r="E3466" s="3">
        <v>1914</v>
      </c>
      <c r="F3466" t="s">
        <v>337</v>
      </c>
      <c r="G3466" t="s">
        <v>8230</v>
      </c>
      <c r="H3466" s="3">
        <v>28.826799999999999</v>
      </c>
      <c r="I3466" t="s">
        <v>14589</v>
      </c>
      <c r="J3466" t="s">
        <v>12259</v>
      </c>
      <c r="L3466" t="s">
        <v>8231</v>
      </c>
      <c r="M3466" t="str">
        <f>"https://www.artic.edu/iiif/2/"&amp;Table9[[#This Row],[Image ID]]&amp;"/full/843,/0/default.jpg"</f>
        <v>https://www.artic.edu/iiif/2/577b6054-9ad7-cf9a-1118-41768f4faaec/full/843,/0/default.jpg</v>
      </c>
      <c r="N3466" s="3">
        <v>0.65</v>
      </c>
      <c r="O3466" s="3">
        <v>0.15</v>
      </c>
      <c r="P3466" s="3">
        <v>0.5</v>
      </c>
      <c r="Q3466" s="3">
        <v>0.69991320371627797</v>
      </c>
    </row>
    <row r="3467" spans="1:17" x14ac:dyDescent="0.45">
      <c r="A3467" s="3">
        <v>93808</v>
      </c>
      <c r="B3467" t="b">
        <v>0</v>
      </c>
      <c r="C3467" t="b">
        <v>0</v>
      </c>
      <c r="D3467" s="3">
        <v>1941</v>
      </c>
      <c r="E3467" s="3">
        <v>1941</v>
      </c>
      <c r="F3467" t="s">
        <v>10638</v>
      </c>
      <c r="G3467" t="s">
        <v>7</v>
      </c>
      <c r="H3467" s="3">
        <v>20.176600000000001</v>
      </c>
      <c r="I3467" t="s">
        <v>378</v>
      </c>
      <c r="J3467" t="s">
        <v>12353</v>
      </c>
      <c r="K3467" s="5" t="s">
        <v>45</v>
      </c>
      <c r="L3467" t="s">
        <v>10639</v>
      </c>
      <c r="M3467" t="str">
        <f>"https://www.artic.edu/iiif/2/"&amp;Table9[[#This Row],[Image ID]]&amp;"/full/843,/0/default.jpg"</f>
        <v>https://www.artic.edu/iiif/2/5e6f27b6-811a-c415-a376-fad61a3af987/full/843,/0/default.jpg</v>
      </c>
      <c r="N3467" s="3">
        <v>0.6</v>
      </c>
      <c r="O3467" s="3">
        <v>0.1</v>
      </c>
      <c r="P3467" s="3">
        <v>0.5</v>
      </c>
      <c r="Q3467" s="3">
        <v>0.44687610864639199</v>
      </c>
    </row>
    <row r="3468" spans="1:17" x14ac:dyDescent="0.45">
      <c r="A3468" s="3">
        <v>81036</v>
      </c>
      <c r="B3468" t="b">
        <v>0</v>
      </c>
      <c r="C3468" t="b">
        <v>0</v>
      </c>
      <c r="D3468" s="3">
        <v>1899</v>
      </c>
      <c r="E3468" s="3">
        <v>1921</v>
      </c>
      <c r="F3468" t="s">
        <v>10082</v>
      </c>
      <c r="G3468" t="s">
        <v>10083</v>
      </c>
      <c r="H3468" s="3">
        <v>45.079000000000001</v>
      </c>
      <c r="I3468" t="s">
        <v>9926</v>
      </c>
      <c r="J3468" t="s">
        <v>12502</v>
      </c>
      <c r="L3468" t="s">
        <v>10084</v>
      </c>
      <c r="M3468" t="str">
        <f>"https://www.artic.edu/iiif/2/"&amp;Table9[[#This Row],[Image ID]]&amp;"/full/843,/0/default.jpg"</f>
        <v>https://www.artic.edu/iiif/2/68a6b606-5aa4-6c61-71a9-531c7e08dbbf/full/843,/0/default.jpg</v>
      </c>
      <c r="N3468" s="3">
        <v>0.55000000000000004</v>
      </c>
      <c r="O3468" s="3">
        <v>0.05</v>
      </c>
      <c r="P3468" s="3">
        <v>0.5</v>
      </c>
      <c r="Q3468" s="3">
        <v>0.64596086740493697</v>
      </c>
    </row>
    <row r="3469" spans="1:17" x14ac:dyDescent="0.45">
      <c r="A3469" s="3">
        <v>65958</v>
      </c>
      <c r="B3469" t="b">
        <v>0</v>
      </c>
      <c r="C3469" t="b">
        <v>0</v>
      </c>
      <c r="D3469" s="3">
        <v>1914</v>
      </c>
      <c r="E3469" s="3">
        <v>1914</v>
      </c>
      <c r="F3469" t="s">
        <v>9116</v>
      </c>
      <c r="G3469" t="s">
        <v>9117</v>
      </c>
      <c r="H3469" s="3">
        <v>26.505199999999999</v>
      </c>
      <c r="I3469" t="s">
        <v>949</v>
      </c>
      <c r="J3469" t="s">
        <v>12694</v>
      </c>
      <c r="L3469" t="s">
        <v>9118</v>
      </c>
      <c r="M3469" t="str">
        <f>"https://www.artic.edu/iiif/2/"&amp;Table9[[#This Row],[Image ID]]&amp;"/full/843,/0/default.jpg"</f>
        <v>https://www.artic.edu/iiif/2/76ab2656-8c13-292c-4cac-487e5c91866d/full/843,/0/default.jpg</v>
      </c>
      <c r="N3469" s="3">
        <v>0.55000000000000004</v>
      </c>
      <c r="O3469" s="3">
        <v>0.05</v>
      </c>
      <c r="P3469" s="3">
        <v>0.5</v>
      </c>
      <c r="Q3469" s="3">
        <v>0.67372649908065796</v>
      </c>
    </row>
    <row r="3470" spans="1:17" x14ac:dyDescent="0.45">
      <c r="A3470" s="3">
        <v>257132</v>
      </c>
      <c r="B3470" t="b">
        <v>0</v>
      </c>
      <c r="C3470" t="b">
        <v>0</v>
      </c>
      <c r="D3470" s="3">
        <v>1946</v>
      </c>
      <c r="E3470" s="3">
        <v>1946</v>
      </c>
      <c r="F3470" t="s">
        <v>2778</v>
      </c>
      <c r="G3470" t="s">
        <v>6544</v>
      </c>
      <c r="H3470" s="3">
        <v>16.5626</v>
      </c>
      <c r="I3470" t="s">
        <v>6545</v>
      </c>
      <c r="J3470" t="s">
        <v>6547</v>
      </c>
      <c r="L3470" t="s">
        <v>6546</v>
      </c>
      <c r="M3470" t="str">
        <f>"https://www.artic.edu/iiif/2/"&amp;Table9[[#This Row],[Image ID]]&amp;"/full/843,/0/default.jpg"</f>
        <v>https://www.artic.edu/iiif/2/7f9fe328-f224-cad2-03eb-50d4b3337ebc/full/843,/0/default.jpg</v>
      </c>
      <c r="N3470" s="3">
        <v>0.6</v>
      </c>
      <c r="O3470" s="3">
        <v>0.1</v>
      </c>
      <c r="P3470" s="3">
        <v>0.5</v>
      </c>
      <c r="Q3470" s="3">
        <v>0.64240783452987604</v>
      </c>
    </row>
    <row r="3471" spans="1:17" x14ac:dyDescent="0.45">
      <c r="A3471" s="3">
        <v>257312</v>
      </c>
      <c r="B3471" t="b">
        <v>0</v>
      </c>
      <c r="C3471" t="b">
        <v>0</v>
      </c>
      <c r="D3471" s="3">
        <v>1948</v>
      </c>
      <c r="E3471" s="3">
        <v>1948</v>
      </c>
      <c r="F3471" t="s">
        <v>6553</v>
      </c>
      <c r="G3471" t="s">
        <v>845</v>
      </c>
      <c r="H3471" s="3">
        <v>17.9574</v>
      </c>
      <c r="I3471" t="s">
        <v>6550</v>
      </c>
      <c r="J3471" t="s">
        <v>6555</v>
      </c>
      <c r="K3471" s="5" t="s">
        <v>2</v>
      </c>
      <c r="L3471" t="s">
        <v>6554</v>
      </c>
      <c r="M3471" t="str">
        <f>"https://www.artic.edu/iiif/2/"&amp;Table9[[#This Row],[Image ID]]&amp;"/full/843,/0/default.jpg"</f>
        <v>https://www.artic.edu/iiif/2/823bc25a-b7ad-ab19-6d13-d1aa8eb3a439/full/843,/0/default.jpg</v>
      </c>
      <c r="N3471" s="3">
        <v>0.65</v>
      </c>
      <c r="O3471" s="3">
        <v>0.15</v>
      </c>
      <c r="P3471" s="3">
        <v>0.5</v>
      </c>
      <c r="Q3471" s="3">
        <v>0.78956830501556396</v>
      </c>
    </row>
    <row r="3472" spans="1:17" x14ac:dyDescent="0.45">
      <c r="A3472" s="3">
        <v>228638</v>
      </c>
      <c r="B3472" t="b">
        <v>0</v>
      </c>
      <c r="C3472" t="b">
        <v>0</v>
      </c>
      <c r="D3472" s="3">
        <v>2014</v>
      </c>
      <c r="E3472" s="3">
        <v>2014</v>
      </c>
      <c r="F3472" t="s">
        <v>5999</v>
      </c>
      <c r="G3472" t="s">
        <v>6000</v>
      </c>
      <c r="H3472" s="3">
        <v>12.7797</v>
      </c>
      <c r="I3472" t="s">
        <v>6001</v>
      </c>
      <c r="J3472" t="s">
        <v>12882</v>
      </c>
      <c r="K3472" s="5" t="s">
        <v>15</v>
      </c>
      <c r="L3472" t="s">
        <v>6002</v>
      </c>
      <c r="M3472" t="str">
        <f>"https://www.artic.edu/iiif/2/"&amp;Table9[[#This Row],[Image ID]]&amp;"/full/843,/0/default.jpg"</f>
        <v>https://www.artic.edu/iiif/2/8439d75b-bc3f-fbfc-0f5b-bb4d9d3f0571/full/843,/0/default.jpg</v>
      </c>
      <c r="N3472" s="3">
        <v>0.61899999999999999</v>
      </c>
      <c r="O3472" s="3">
        <v>0.11899999999999999</v>
      </c>
      <c r="P3472" s="3">
        <v>0.5</v>
      </c>
      <c r="Q3472" s="3">
        <v>0.70527178049087502</v>
      </c>
    </row>
    <row r="3473" spans="1:17" x14ac:dyDescent="0.45">
      <c r="A3473" s="3">
        <v>55842</v>
      </c>
      <c r="B3473" t="b">
        <v>0</v>
      </c>
      <c r="C3473" t="b">
        <v>0</v>
      </c>
      <c r="D3473" s="3">
        <v>1963</v>
      </c>
      <c r="E3473" s="3">
        <v>1963</v>
      </c>
      <c r="F3473" t="s">
        <v>8404</v>
      </c>
      <c r="G3473" t="s">
        <v>2215</v>
      </c>
      <c r="H3473" s="3">
        <v>42.074399999999997</v>
      </c>
      <c r="I3473" t="s">
        <v>599</v>
      </c>
      <c r="J3473" t="s">
        <v>12535</v>
      </c>
      <c r="L3473" t="s">
        <v>8405</v>
      </c>
      <c r="M3473" t="str">
        <f>"https://www.artic.edu/iiif/2/"&amp;Table9[[#This Row],[Image ID]]&amp;"/full/843,/0/default.jpg"</f>
        <v>https://www.artic.edu/iiif/2/84b4f9ab-6eab-c894-b070-dd9e51532267/full/843,/0/default.jpg</v>
      </c>
      <c r="N3473" s="3">
        <v>0.65</v>
      </c>
      <c r="O3473" s="3">
        <v>0.15</v>
      </c>
      <c r="P3473" s="3">
        <v>0.5</v>
      </c>
      <c r="Q3473" s="3">
        <v>0.83904403448104803</v>
      </c>
    </row>
    <row r="3474" spans="1:17" x14ac:dyDescent="0.45">
      <c r="A3474" s="3">
        <v>113279</v>
      </c>
      <c r="B3474" t="b">
        <v>0</v>
      </c>
      <c r="C3474" t="b">
        <v>0</v>
      </c>
      <c r="D3474" s="3">
        <v>1942</v>
      </c>
      <c r="E3474" s="3">
        <v>1942</v>
      </c>
      <c r="F3474" t="s">
        <v>1406</v>
      </c>
      <c r="G3474" t="s">
        <v>1407</v>
      </c>
      <c r="H3474" s="3">
        <v>36.264699999999998</v>
      </c>
      <c r="I3474" t="s">
        <v>1408</v>
      </c>
      <c r="J3474" t="s">
        <v>12997</v>
      </c>
      <c r="L3474" t="s">
        <v>1409</v>
      </c>
      <c r="M3474" t="str">
        <f>"https://www.artic.edu/iiif/2/"&amp;Table9[[#This Row],[Image ID]]&amp;"/full/843,/0/default.jpg"</f>
        <v>https://www.artic.edu/iiif/2/8dc353d4-e23a-5bd4-6933-e8a692e699d9/full/843,/0/default.jpg</v>
      </c>
      <c r="N3474" s="3">
        <v>0.52500000000000002</v>
      </c>
      <c r="O3474" s="3">
        <v>2.5000000000000001E-2</v>
      </c>
      <c r="P3474" s="3">
        <v>0.5</v>
      </c>
      <c r="Q3474" s="3">
        <v>0.51052498817443803</v>
      </c>
    </row>
    <row r="3475" spans="1:17" x14ac:dyDescent="0.45">
      <c r="A3475" s="3">
        <v>27927</v>
      </c>
      <c r="B3475" t="b">
        <v>0</v>
      </c>
      <c r="C3475" t="b">
        <v>0</v>
      </c>
      <c r="D3475" s="3">
        <v>1915</v>
      </c>
      <c r="E3475" s="3">
        <v>1930</v>
      </c>
      <c r="F3475" t="s">
        <v>2056</v>
      </c>
      <c r="G3475" t="s">
        <v>75</v>
      </c>
      <c r="H3475" s="3">
        <v>44.233699999999999</v>
      </c>
      <c r="I3475" t="s">
        <v>14554</v>
      </c>
      <c r="J3475" t="s">
        <v>13012</v>
      </c>
      <c r="L3475" t="s">
        <v>6749</v>
      </c>
      <c r="M3475" t="str">
        <f>"https://www.artic.edu/iiif/2/"&amp;Table9[[#This Row],[Image ID]]&amp;"/full/843,/0/default.jpg"</f>
        <v>https://www.artic.edu/iiif/2/8ee88552-aee8-57d8-0cd9-d9eb0c3e442b/full/843,/0/default.jpg</v>
      </c>
      <c r="N3475" s="3">
        <v>0.55000000000000004</v>
      </c>
      <c r="O3475" s="3">
        <v>0.05</v>
      </c>
      <c r="P3475" s="3">
        <v>0.5</v>
      </c>
      <c r="Q3475" s="3">
        <v>0.579512178897857</v>
      </c>
    </row>
    <row r="3476" spans="1:17" x14ac:dyDescent="0.45">
      <c r="A3476" s="3">
        <v>16749</v>
      </c>
      <c r="B3476" t="b">
        <v>0</v>
      </c>
      <c r="C3476" t="b">
        <v>0</v>
      </c>
      <c r="D3476" s="3">
        <v>1924</v>
      </c>
      <c r="E3476" s="3">
        <v>1924</v>
      </c>
      <c r="F3476" t="s">
        <v>4559</v>
      </c>
      <c r="G3476" t="s">
        <v>4560</v>
      </c>
      <c r="H3476" s="3">
        <v>19.6462</v>
      </c>
      <c r="I3476" t="s">
        <v>1277</v>
      </c>
      <c r="J3476" t="s">
        <v>13156</v>
      </c>
      <c r="L3476" t="s">
        <v>4561</v>
      </c>
      <c r="M3476" t="str">
        <f>"https://www.artic.edu/iiif/2/"&amp;Table9[[#This Row],[Image ID]]&amp;"/full/843,/0/default.jpg"</f>
        <v>https://www.artic.edu/iiif/2/9a4b0169-1703-991a-16e7-62eb7bef01d7/full/843,/0/default.jpg</v>
      </c>
      <c r="N3476" s="3">
        <v>0.52500000000000002</v>
      </c>
      <c r="O3476" s="3">
        <v>2.5000000000000001E-2</v>
      </c>
      <c r="P3476" s="3">
        <v>0.5</v>
      </c>
      <c r="Q3476" s="3">
        <v>0.57696497440338101</v>
      </c>
    </row>
    <row r="3477" spans="1:17" x14ac:dyDescent="0.45">
      <c r="A3477" s="3">
        <v>27896</v>
      </c>
      <c r="B3477" t="b">
        <v>0</v>
      </c>
      <c r="C3477" t="b">
        <v>0</v>
      </c>
      <c r="D3477" s="3">
        <v>1937</v>
      </c>
      <c r="E3477" s="3">
        <v>1938</v>
      </c>
      <c r="F3477" t="s">
        <v>6744</v>
      </c>
      <c r="G3477" t="s">
        <v>370</v>
      </c>
      <c r="H3477" s="3">
        <v>33.884700000000002</v>
      </c>
      <c r="I3477" t="s">
        <v>6745</v>
      </c>
      <c r="J3477" t="s">
        <v>13203</v>
      </c>
      <c r="L3477" t="s">
        <v>6746</v>
      </c>
      <c r="M3477" t="str">
        <f>"https://www.artic.edu/iiif/2/"&amp;Table9[[#This Row],[Image ID]]&amp;"/full/843,/0/default.jpg"</f>
        <v>https://www.artic.edu/iiif/2/9ddac125-a1b4-7372-6308-886676b7a5b2/full/843,/0/default.jpg</v>
      </c>
      <c r="N3477" s="3">
        <v>0.65</v>
      </c>
      <c r="O3477" s="3">
        <v>0.15</v>
      </c>
      <c r="P3477" s="3">
        <v>0.5</v>
      </c>
      <c r="Q3477" s="3">
        <v>0.71241730451583796</v>
      </c>
    </row>
    <row r="3478" spans="1:17" x14ac:dyDescent="0.45">
      <c r="A3478" s="3">
        <v>134056</v>
      </c>
      <c r="B3478" t="b">
        <v>0</v>
      </c>
      <c r="C3478" t="b">
        <v>0</v>
      </c>
      <c r="D3478" s="3">
        <v>1932</v>
      </c>
      <c r="E3478" s="3">
        <v>1932</v>
      </c>
      <c r="F3478" t="s">
        <v>11</v>
      </c>
      <c r="G3478" t="s">
        <v>7</v>
      </c>
      <c r="H3478" s="3">
        <v>42.100999999999999</v>
      </c>
      <c r="I3478" t="s">
        <v>14639</v>
      </c>
      <c r="J3478" t="s">
        <v>13294</v>
      </c>
      <c r="L3478" t="s">
        <v>3091</v>
      </c>
      <c r="M3478" t="str">
        <f>"https://www.artic.edu/iiif/2/"&amp;Table9[[#This Row],[Image ID]]&amp;"/full/843,/0/default.jpg"</f>
        <v>https://www.artic.edu/iiif/2/a481e513-cf95-38f9-5fed-c64e151f255b/full/843,/0/default.jpg</v>
      </c>
      <c r="N3478" s="3">
        <v>0.61899999999999999</v>
      </c>
      <c r="O3478" s="3">
        <v>0.11899999999999999</v>
      </c>
      <c r="P3478" s="3">
        <v>0.5</v>
      </c>
      <c r="Q3478" s="3">
        <v>0.68433594703674305</v>
      </c>
    </row>
    <row r="3479" spans="1:17" x14ac:dyDescent="0.45">
      <c r="A3479" s="3">
        <v>237886</v>
      </c>
      <c r="B3479" t="b">
        <v>0</v>
      </c>
      <c r="C3479" t="b">
        <v>0</v>
      </c>
      <c r="D3479" s="3">
        <v>1982</v>
      </c>
      <c r="E3479" s="3">
        <v>1988</v>
      </c>
      <c r="F3479" t="s">
        <v>1733</v>
      </c>
      <c r="G3479" t="s">
        <v>6309</v>
      </c>
      <c r="H3479" s="3">
        <v>48.698500000000003</v>
      </c>
      <c r="I3479" t="s">
        <v>6310</v>
      </c>
      <c r="J3479" t="s">
        <v>13422</v>
      </c>
      <c r="L3479" t="s">
        <v>6311</v>
      </c>
      <c r="M3479" t="str">
        <f>"https://www.artic.edu/iiif/2/"&amp;Table9[[#This Row],[Image ID]]&amp;"/full/843,/0/default.jpg"</f>
        <v>https://www.artic.edu/iiif/2/adfe4eea-c45d-53b4-458b-5686742563c7/full/843,/0/default.jpg</v>
      </c>
      <c r="N3479" s="3">
        <v>0.65</v>
      </c>
      <c r="O3479" s="3">
        <v>0.15</v>
      </c>
      <c r="P3479" s="3">
        <v>0.5</v>
      </c>
      <c r="Q3479" s="3">
        <v>0.88627314567565896</v>
      </c>
    </row>
    <row r="3480" spans="1:17" x14ac:dyDescent="0.45">
      <c r="A3480" s="3">
        <v>36067</v>
      </c>
      <c r="B3480" t="b">
        <v>0</v>
      </c>
      <c r="C3480" t="b">
        <v>0</v>
      </c>
      <c r="D3480" s="3">
        <v>1919</v>
      </c>
      <c r="E3480" s="3">
        <v>1927</v>
      </c>
      <c r="F3480" t="s">
        <v>2750</v>
      </c>
      <c r="G3480" t="s">
        <v>7</v>
      </c>
      <c r="H3480" s="3">
        <v>25.720400000000001</v>
      </c>
      <c r="I3480" t="s">
        <v>2823</v>
      </c>
      <c r="J3480" t="s">
        <v>13439</v>
      </c>
      <c r="K3480" s="5" t="s">
        <v>45</v>
      </c>
      <c r="L3480" t="s">
        <v>7204</v>
      </c>
      <c r="M3480" t="str">
        <f>"https://www.artic.edu/iiif/2/"&amp;Table9[[#This Row],[Image ID]]&amp;"/full/843,/0/default.jpg"</f>
        <v>https://www.artic.edu/iiif/2/af58a797-da9b-fc47-4ee0-1e493b25d18d/full/843,/0/default.jpg</v>
      </c>
      <c r="N3480" s="3">
        <v>0.6</v>
      </c>
      <c r="O3480" s="3">
        <v>0.1</v>
      </c>
      <c r="P3480" s="3">
        <v>0.5</v>
      </c>
      <c r="Q3480" s="3">
        <v>0.65649914741516102</v>
      </c>
    </row>
    <row r="3481" spans="1:17" x14ac:dyDescent="0.45">
      <c r="A3481" s="3">
        <v>110990</v>
      </c>
      <c r="B3481" t="b">
        <v>0</v>
      </c>
      <c r="C3481" t="b">
        <v>0</v>
      </c>
      <c r="D3481" s="3">
        <v>1922</v>
      </c>
      <c r="E3481" s="3">
        <v>1922</v>
      </c>
      <c r="F3481" t="s">
        <v>993</v>
      </c>
      <c r="G3481" t="s">
        <v>994</v>
      </c>
      <c r="H3481" s="3">
        <v>29.303000000000001</v>
      </c>
      <c r="I3481" t="s">
        <v>949</v>
      </c>
      <c r="J3481" t="s">
        <v>13454</v>
      </c>
      <c r="L3481" t="s">
        <v>995</v>
      </c>
      <c r="M3481" t="str">
        <f>"https://www.artic.edu/iiif/2/"&amp;Table9[[#This Row],[Image ID]]&amp;"/full/843,/0/default.jpg"</f>
        <v>https://www.artic.edu/iiif/2/b01bb548-dead-a606-ff90-b0be10e93d3b/full/843,/0/default.jpg</v>
      </c>
      <c r="N3481" s="3">
        <v>0.55000000000000004</v>
      </c>
      <c r="O3481" s="3">
        <v>0.05</v>
      </c>
      <c r="P3481" s="3">
        <v>0.5</v>
      </c>
      <c r="Q3481" s="3">
        <v>0.588728427886962</v>
      </c>
    </row>
    <row r="3482" spans="1:17" x14ac:dyDescent="0.45">
      <c r="A3482" s="3">
        <v>64001</v>
      </c>
      <c r="B3482" t="b">
        <v>0</v>
      </c>
      <c r="C3482" t="b">
        <v>0</v>
      </c>
      <c r="D3482" s="3">
        <v>1916</v>
      </c>
      <c r="E3482" s="3">
        <v>1916</v>
      </c>
      <c r="F3482" t="s">
        <v>8954</v>
      </c>
      <c r="G3482" t="s">
        <v>7</v>
      </c>
      <c r="H3482" s="3">
        <v>77.011799999999994</v>
      </c>
      <c r="I3482" t="s">
        <v>49</v>
      </c>
      <c r="J3482" t="s">
        <v>13488</v>
      </c>
      <c r="L3482" t="s">
        <v>8955</v>
      </c>
      <c r="M3482" t="str">
        <f>"https://www.artic.edu/iiif/2/"&amp;Table9[[#This Row],[Image ID]]&amp;"/full/843,/0/default.jpg"</f>
        <v>https://www.artic.edu/iiif/2/b2bc0fc2-8d17-1fcd-8cae-8626421c11ef/full/843,/0/default.jpg</v>
      </c>
      <c r="N3482" s="3">
        <v>0.54800000000000004</v>
      </c>
      <c r="O3482" s="3">
        <v>4.8000000000000001E-2</v>
      </c>
      <c r="P3482" s="3">
        <v>0.5</v>
      </c>
      <c r="Q3482" s="3">
        <v>0.87542611360549905</v>
      </c>
    </row>
    <row r="3483" spans="1:17" x14ac:dyDescent="0.45">
      <c r="A3483" s="3">
        <v>116039</v>
      </c>
      <c r="B3483" t="b">
        <v>0</v>
      </c>
      <c r="C3483" t="b">
        <v>0</v>
      </c>
      <c r="D3483" s="3">
        <v>1879</v>
      </c>
      <c r="E3483" s="3">
        <v>1924</v>
      </c>
      <c r="F3483" t="s">
        <v>2231</v>
      </c>
      <c r="G3483" t="s">
        <v>2232</v>
      </c>
      <c r="H3483" s="3">
        <v>35.579099999999997</v>
      </c>
      <c r="I3483" t="s">
        <v>2233</v>
      </c>
      <c r="J3483" t="s">
        <v>13515</v>
      </c>
      <c r="L3483" t="s">
        <v>2234</v>
      </c>
      <c r="M3483" t="str">
        <f>"https://www.artic.edu/iiif/2/"&amp;Table9[[#This Row],[Image ID]]&amp;"/full/843,/0/default.jpg"</f>
        <v>https://www.artic.edu/iiif/2/b57a7e5a-10c3-e9b5-8221-d3ff84389fc6/full/843,/0/default.jpg</v>
      </c>
      <c r="N3483" s="3">
        <v>0.66700000000000004</v>
      </c>
      <c r="O3483" s="3">
        <v>0.16700000000000001</v>
      </c>
      <c r="P3483" s="3">
        <v>0.5</v>
      </c>
      <c r="Q3483" s="3">
        <v>0.66158330440521196</v>
      </c>
    </row>
    <row r="3484" spans="1:17" x14ac:dyDescent="0.45">
      <c r="A3484" s="3">
        <v>113432</v>
      </c>
      <c r="B3484" t="b">
        <v>0</v>
      </c>
      <c r="C3484" t="b">
        <v>0</v>
      </c>
      <c r="D3484" s="3">
        <v>1922</v>
      </c>
      <c r="E3484" s="3">
        <v>1922</v>
      </c>
      <c r="F3484" t="s">
        <v>1435</v>
      </c>
      <c r="G3484" t="s">
        <v>1436</v>
      </c>
      <c r="H3484" s="3">
        <v>46.0563</v>
      </c>
      <c r="I3484" t="s">
        <v>949</v>
      </c>
      <c r="J3484" t="s">
        <v>13634</v>
      </c>
      <c r="L3484" t="s">
        <v>1437</v>
      </c>
      <c r="M3484" t="str">
        <f>"https://www.artic.edu/iiif/2/"&amp;Table9[[#This Row],[Image ID]]&amp;"/full/843,/0/default.jpg"</f>
        <v>https://www.artic.edu/iiif/2/bea06a91-c794-fb7a-5228-7704d5a7ea05/full/843,/0/default.jpg</v>
      </c>
      <c r="N3484" s="3">
        <v>0.67500000000000004</v>
      </c>
      <c r="O3484" s="3">
        <v>0.17499999999999999</v>
      </c>
      <c r="P3484" s="3">
        <v>0.5</v>
      </c>
      <c r="Q3484" s="3">
        <v>0.77896219491958596</v>
      </c>
    </row>
    <row r="3485" spans="1:17" x14ac:dyDescent="0.45">
      <c r="A3485" s="3">
        <v>65887</v>
      </c>
      <c r="B3485" t="b">
        <v>0</v>
      </c>
      <c r="C3485" t="b">
        <v>0</v>
      </c>
      <c r="D3485" s="3">
        <v>1929</v>
      </c>
      <c r="E3485" s="3">
        <v>1929</v>
      </c>
      <c r="F3485" t="s">
        <v>9084</v>
      </c>
      <c r="G3485" t="s">
        <v>7</v>
      </c>
      <c r="H3485" s="3">
        <v>31.4514</v>
      </c>
      <c r="I3485" t="s">
        <v>1430</v>
      </c>
      <c r="J3485" t="s">
        <v>13641</v>
      </c>
      <c r="K3485" s="5" t="s">
        <v>45</v>
      </c>
      <c r="L3485" t="s">
        <v>9085</v>
      </c>
      <c r="M3485" t="str">
        <f>"https://www.artic.edu/iiif/2/"&amp;Table9[[#This Row],[Image ID]]&amp;"/full/843,/0/default.jpg"</f>
        <v>https://www.artic.edu/iiif/2/beed3af1-8c97-1c24-7c5a-a058f5cb5eba/full/843,/0/default.jpg</v>
      </c>
      <c r="N3485" s="3">
        <v>0.625</v>
      </c>
      <c r="O3485" s="3">
        <v>0.125</v>
      </c>
      <c r="P3485" s="3">
        <v>0.5</v>
      </c>
      <c r="Q3485" s="3">
        <v>0.66646909713745095</v>
      </c>
    </row>
    <row r="3486" spans="1:17" x14ac:dyDescent="0.45">
      <c r="A3486" s="3">
        <v>225733</v>
      </c>
      <c r="B3486" t="b">
        <v>0</v>
      </c>
      <c r="C3486" t="b">
        <v>0</v>
      </c>
      <c r="D3486" s="3">
        <v>1959</v>
      </c>
      <c r="E3486" s="3">
        <v>1959</v>
      </c>
      <c r="F3486" t="s">
        <v>5926</v>
      </c>
      <c r="G3486" t="s">
        <v>5917</v>
      </c>
      <c r="H3486" s="3">
        <v>43.194800000000001</v>
      </c>
      <c r="I3486" t="s">
        <v>5918</v>
      </c>
      <c r="J3486" t="s">
        <v>11203</v>
      </c>
      <c r="L3486" t="s">
        <v>5927</v>
      </c>
      <c r="M3486" t="str">
        <f>"https://www.artic.edu/iiif/2/"&amp;Table9[[#This Row],[Image ID]]&amp;"/full/843,/0/default.jpg"</f>
        <v>https://www.artic.edu/iiif/2/c302a432-8de1-28b6-84e6-8e50bc66a4e3/full/843,/0/default.jpg</v>
      </c>
      <c r="N3486" s="3">
        <v>0.55000000000000004</v>
      </c>
      <c r="O3486" s="3">
        <v>0.05</v>
      </c>
      <c r="P3486" s="3">
        <v>0.5</v>
      </c>
      <c r="Q3486" s="3">
        <v>0.79138892889022805</v>
      </c>
    </row>
    <row r="3487" spans="1:17" x14ac:dyDescent="0.45">
      <c r="A3487" s="3">
        <v>203645</v>
      </c>
      <c r="B3487" t="b">
        <v>0</v>
      </c>
      <c r="C3487" t="b">
        <v>0</v>
      </c>
      <c r="D3487" s="3">
        <v>1992</v>
      </c>
      <c r="E3487" s="3">
        <v>1992</v>
      </c>
      <c r="F3487" t="s">
        <v>5384</v>
      </c>
      <c r="G3487" t="s">
        <v>5385</v>
      </c>
      <c r="H3487" s="3">
        <v>4.5479000000000003</v>
      </c>
      <c r="I3487" t="s">
        <v>5386</v>
      </c>
      <c r="J3487" t="s">
        <v>12943</v>
      </c>
      <c r="L3487" t="s">
        <v>5387</v>
      </c>
      <c r="M3487" t="str">
        <f>"https://www.artic.edu/iiif/2/"&amp;Table9[[#This Row],[Image ID]]&amp;"/full/843,/0/default.jpg"</f>
        <v>https://www.artic.edu/iiif/2/c5af1efc-0a61-a8b2-7447-14089fcc1660/full/843,/0/default.jpg</v>
      </c>
      <c r="N3487" s="3">
        <v>0.52500000000000002</v>
      </c>
      <c r="O3487" s="3">
        <v>2.5000000000000001E-2</v>
      </c>
      <c r="P3487" s="3">
        <v>0.5</v>
      </c>
      <c r="Q3487" s="3">
        <v>0.79395473003387396</v>
      </c>
    </row>
    <row r="3488" spans="1:17" x14ac:dyDescent="0.45">
      <c r="A3488" s="3">
        <v>117467</v>
      </c>
      <c r="B3488" t="b">
        <v>0</v>
      </c>
      <c r="C3488" t="b">
        <v>0</v>
      </c>
      <c r="D3488" s="3">
        <v>1935</v>
      </c>
      <c r="E3488" s="3">
        <v>1935</v>
      </c>
      <c r="F3488" t="s">
        <v>2327</v>
      </c>
      <c r="G3488" t="s">
        <v>2328</v>
      </c>
      <c r="H3488" s="3">
        <v>14.480499999999999</v>
      </c>
      <c r="I3488" t="s">
        <v>559</v>
      </c>
      <c r="J3488" t="s">
        <v>13873</v>
      </c>
      <c r="L3488" t="s">
        <v>2329</v>
      </c>
      <c r="M3488" t="str">
        <f>"https://www.artic.edu/iiif/2/"&amp;Table9[[#This Row],[Image ID]]&amp;"/full/843,/0/default.jpg"</f>
        <v>https://www.artic.edu/iiif/2/d336320f-cc50-1b78-73f2-615a85ba156b/full/843,/0/default.jpg</v>
      </c>
      <c r="N3488" s="3">
        <v>0.61899999999999999</v>
      </c>
      <c r="O3488" s="3">
        <v>0.11899999999999999</v>
      </c>
      <c r="P3488" s="3">
        <v>0.5</v>
      </c>
      <c r="Q3488" s="3">
        <v>0.72073513269424405</v>
      </c>
    </row>
    <row r="3489" spans="1:17" x14ac:dyDescent="0.45">
      <c r="A3489" s="3">
        <v>14743</v>
      </c>
      <c r="B3489" t="b">
        <v>0</v>
      </c>
      <c r="C3489" t="b">
        <v>0</v>
      </c>
      <c r="D3489" s="3">
        <v>1923</v>
      </c>
      <c r="E3489" s="3">
        <v>1923</v>
      </c>
      <c r="F3489" t="s">
        <v>3611</v>
      </c>
      <c r="G3489" t="s">
        <v>3612</v>
      </c>
      <c r="H3489" s="3">
        <v>51.886299999999999</v>
      </c>
      <c r="I3489" t="s">
        <v>1068</v>
      </c>
      <c r="J3489" t="s">
        <v>13890</v>
      </c>
      <c r="L3489" t="s">
        <v>3613</v>
      </c>
      <c r="M3489" t="str">
        <f>"https://www.artic.edu/iiif/2/"&amp;Table9[[#This Row],[Image ID]]&amp;"/full/843,/0/default.jpg"</f>
        <v>https://www.artic.edu/iiif/2/d4085ccb-f12c-8890-2225-eba69c104653/full/843,/0/default.jpg</v>
      </c>
      <c r="N3489" s="3">
        <v>0.67500000000000004</v>
      </c>
      <c r="O3489" s="3">
        <v>0.17499999999999999</v>
      </c>
      <c r="P3489" s="3">
        <v>0.5</v>
      </c>
      <c r="Q3489" s="3">
        <v>0.625460565090179</v>
      </c>
    </row>
    <row r="3490" spans="1:17" x14ac:dyDescent="0.45">
      <c r="A3490" s="3">
        <v>73326</v>
      </c>
      <c r="B3490" t="b">
        <v>0</v>
      </c>
      <c r="C3490" t="b">
        <v>0</v>
      </c>
      <c r="D3490" s="3">
        <v>1946</v>
      </c>
      <c r="E3490" s="3">
        <v>1946</v>
      </c>
      <c r="F3490" t="s">
        <v>9598</v>
      </c>
      <c r="G3490" t="s">
        <v>642</v>
      </c>
      <c r="H3490" s="3">
        <v>67.036199999999994</v>
      </c>
      <c r="I3490" t="s">
        <v>378</v>
      </c>
      <c r="J3490" t="s">
        <v>13928</v>
      </c>
      <c r="L3490" t="s">
        <v>9599</v>
      </c>
      <c r="M3490" t="str">
        <f>"https://www.artic.edu/iiif/2/"&amp;Table9[[#This Row],[Image ID]]&amp;"/full/843,/0/default.jpg"</f>
        <v>https://www.artic.edu/iiif/2/d69c13b4-c558-5e54-2b86-83976d4510c4/full/843,/0/default.jpg</v>
      </c>
      <c r="N3490" s="3">
        <v>0.65</v>
      </c>
      <c r="O3490" s="3">
        <v>0.15</v>
      </c>
      <c r="P3490" s="3">
        <v>0.5</v>
      </c>
      <c r="Q3490" s="3">
        <v>0.71194612979888905</v>
      </c>
    </row>
    <row r="3491" spans="1:17" x14ac:dyDescent="0.45">
      <c r="A3491" s="3">
        <v>73353</v>
      </c>
      <c r="B3491" t="b">
        <v>0</v>
      </c>
      <c r="C3491" t="b">
        <v>0</v>
      </c>
      <c r="D3491" s="3">
        <v>1966</v>
      </c>
      <c r="E3491" s="3">
        <v>1966</v>
      </c>
      <c r="F3491" t="s">
        <v>9617</v>
      </c>
      <c r="G3491" t="s">
        <v>9618</v>
      </c>
      <c r="H3491" s="3">
        <v>32.349200000000003</v>
      </c>
      <c r="I3491" t="s">
        <v>339</v>
      </c>
      <c r="J3491" t="s">
        <v>13942</v>
      </c>
      <c r="L3491" t="s">
        <v>9619</v>
      </c>
      <c r="M3491" t="str">
        <f>"https://www.artic.edu/iiif/2/"&amp;Table9[[#This Row],[Image ID]]&amp;"/full/843,/0/default.jpg"</f>
        <v>https://www.artic.edu/iiif/2/d72117a4-d4a2-b71b-0f2e-d8408f95a7ff/full/843,/0/default.jpg</v>
      </c>
      <c r="N3491" s="3">
        <v>0.67500000000000004</v>
      </c>
      <c r="O3491" s="3">
        <v>0.17499999999999999</v>
      </c>
      <c r="P3491" s="3">
        <v>0.5</v>
      </c>
      <c r="Q3491" s="3">
        <v>0.79339444637298495</v>
      </c>
    </row>
    <row r="3492" spans="1:17" x14ac:dyDescent="0.45">
      <c r="A3492" s="3">
        <v>51509</v>
      </c>
      <c r="B3492" t="b">
        <v>0</v>
      </c>
      <c r="C3492" t="b">
        <v>0</v>
      </c>
      <c r="D3492" s="3">
        <v>1958</v>
      </c>
      <c r="E3492" s="3">
        <v>1958</v>
      </c>
      <c r="F3492" t="s">
        <v>8141</v>
      </c>
      <c r="G3492" t="s">
        <v>434</v>
      </c>
      <c r="H3492" s="3">
        <v>71.194299999999998</v>
      </c>
      <c r="I3492" t="s">
        <v>3243</v>
      </c>
      <c r="J3492" t="s">
        <v>13948</v>
      </c>
      <c r="L3492" t="s">
        <v>8142</v>
      </c>
      <c r="M3492" t="str">
        <f>"https://www.artic.edu/iiif/2/"&amp;Table9[[#This Row],[Image ID]]&amp;"/full/843,/0/default.jpg"</f>
        <v>https://www.artic.edu/iiif/2/d7a979af-872c-aa59-bd5c-0378da4c86ed/full/843,/0/default.jpg</v>
      </c>
      <c r="N3492" s="3">
        <v>0.625</v>
      </c>
      <c r="O3492" s="3">
        <v>0.125</v>
      </c>
      <c r="P3492" s="3">
        <v>0.5</v>
      </c>
      <c r="Q3492" s="3">
        <v>0.55259197950363104</v>
      </c>
    </row>
    <row r="3493" spans="1:17" x14ac:dyDescent="0.45">
      <c r="A3493" s="3">
        <v>118704</v>
      </c>
      <c r="B3493" t="b">
        <v>0</v>
      </c>
      <c r="C3493" t="b">
        <v>0</v>
      </c>
      <c r="D3493" s="3">
        <v>1942</v>
      </c>
      <c r="E3493" s="3">
        <v>1942</v>
      </c>
      <c r="F3493" t="s">
        <v>2542</v>
      </c>
      <c r="G3493" t="s">
        <v>2543</v>
      </c>
      <c r="H3493" s="3">
        <v>31.540900000000001</v>
      </c>
      <c r="I3493" t="s">
        <v>287</v>
      </c>
      <c r="J3493" t="s">
        <v>14104</v>
      </c>
      <c r="L3493" t="s">
        <v>2544</v>
      </c>
      <c r="M3493" t="str">
        <f>"https://www.artic.edu/iiif/2/"&amp;Table9[[#This Row],[Image ID]]&amp;"/full/843,/0/default.jpg"</f>
        <v>https://www.artic.edu/iiif/2/e2236393-2fbd-ca73-c3f8-406e9ebbfafe/full/843,/0/default.jpg</v>
      </c>
      <c r="N3493" s="3">
        <v>0.55000000000000004</v>
      </c>
      <c r="O3493" s="3">
        <v>0.05</v>
      </c>
      <c r="P3493" s="3">
        <v>0.5</v>
      </c>
      <c r="Q3493" s="3">
        <v>0.720511794090271</v>
      </c>
    </row>
    <row r="3494" spans="1:17" x14ac:dyDescent="0.45">
      <c r="A3494" s="3">
        <v>118963</v>
      </c>
      <c r="B3494" t="b">
        <v>0</v>
      </c>
      <c r="C3494" t="b">
        <v>0</v>
      </c>
      <c r="D3494" s="3">
        <v>1920</v>
      </c>
      <c r="E3494" s="3">
        <v>1920</v>
      </c>
      <c r="F3494" t="s">
        <v>2569</v>
      </c>
      <c r="G3494" t="s">
        <v>75</v>
      </c>
      <c r="H3494" s="3">
        <v>38.085299999999997</v>
      </c>
      <c r="I3494" t="s">
        <v>254</v>
      </c>
      <c r="J3494" t="s">
        <v>14330</v>
      </c>
      <c r="L3494" t="s">
        <v>2570</v>
      </c>
      <c r="M3494" t="str">
        <f>"https://www.artic.edu/iiif/2/"&amp;Table9[[#This Row],[Image ID]]&amp;"/full/843,/0/default.jpg"</f>
        <v>https://www.artic.edu/iiif/2/f0eb5ebc-696a-24fe-be73-142415aa2c10/full/843,/0/default.jpg</v>
      </c>
      <c r="N3494" s="3">
        <v>0.625</v>
      </c>
      <c r="O3494" s="3">
        <v>0.125</v>
      </c>
      <c r="P3494" s="3">
        <v>0.5</v>
      </c>
      <c r="Q3494" s="3">
        <v>0.42827829718589699</v>
      </c>
    </row>
    <row r="3495" spans="1:17" x14ac:dyDescent="0.45">
      <c r="A3495" s="3">
        <v>20442</v>
      </c>
      <c r="B3495" t="b">
        <v>0</v>
      </c>
      <c r="C3495" t="b">
        <v>0</v>
      </c>
      <c r="D3495" s="3">
        <v>1963</v>
      </c>
      <c r="E3495" s="3">
        <v>1963</v>
      </c>
      <c r="F3495" t="s">
        <v>5413</v>
      </c>
      <c r="G3495" t="s">
        <v>5414</v>
      </c>
      <c r="H3495" s="3">
        <v>59.541600000000003</v>
      </c>
      <c r="I3495" t="s">
        <v>4682</v>
      </c>
      <c r="J3495" t="s">
        <v>14368</v>
      </c>
      <c r="L3495" t="s">
        <v>5415</v>
      </c>
      <c r="M3495" t="str">
        <f>"https://www.artic.edu/iiif/2/"&amp;Table9[[#This Row],[Image ID]]&amp;"/full/843,/0/default.jpg"</f>
        <v>https://www.artic.edu/iiif/2/f4478675-8031-ed31-f0c6-e63ede3fc1bc/full/843,/0/default.jpg</v>
      </c>
      <c r="N3495" s="3">
        <v>0.67500000000000004</v>
      </c>
      <c r="O3495" s="3">
        <v>0.17499999999999999</v>
      </c>
      <c r="P3495" s="3">
        <v>0.5</v>
      </c>
      <c r="Q3495" s="3">
        <v>0.81083554029464699</v>
      </c>
    </row>
    <row r="3496" spans="1:17" x14ac:dyDescent="0.45">
      <c r="A3496" s="3">
        <v>22393</v>
      </c>
      <c r="B3496" t="b">
        <v>0</v>
      </c>
      <c r="C3496" t="b">
        <v>0</v>
      </c>
      <c r="D3496" s="3">
        <v>1951</v>
      </c>
      <c r="E3496" s="3">
        <v>1951</v>
      </c>
      <c r="F3496" t="s">
        <v>5877</v>
      </c>
      <c r="G3496" t="s">
        <v>7</v>
      </c>
      <c r="H3496" s="3">
        <v>9.0606000000000009</v>
      </c>
      <c r="I3496" t="s">
        <v>1275</v>
      </c>
      <c r="J3496" t="s">
        <v>14395</v>
      </c>
      <c r="L3496" t="s">
        <v>5878</v>
      </c>
      <c r="M3496" t="str">
        <f>"https://www.artic.edu/iiif/2/"&amp;Table9[[#This Row],[Image ID]]&amp;"/full/843,/0/default.jpg"</f>
        <v>https://www.artic.edu/iiif/2/f631838f-3c9a-86fb-c8fe-6f6d945ad47b/full/843,/0/default.jpg</v>
      </c>
      <c r="N3496" s="3">
        <v>0.67500000000000004</v>
      </c>
      <c r="O3496" s="3">
        <v>0.17499999999999999</v>
      </c>
      <c r="P3496" s="3">
        <v>0.5</v>
      </c>
      <c r="Q3496" s="3">
        <v>0.55347090959548895</v>
      </c>
    </row>
    <row r="3497" spans="1:17" x14ac:dyDescent="0.45">
      <c r="A3497" s="3">
        <v>56046</v>
      </c>
      <c r="B3497" t="b">
        <v>0</v>
      </c>
      <c r="C3497" t="b">
        <v>0</v>
      </c>
      <c r="D3497" s="3">
        <v>1954</v>
      </c>
      <c r="E3497" s="3">
        <v>1964</v>
      </c>
      <c r="F3497" t="s">
        <v>11</v>
      </c>
      <c r="G3497" t="s">
        <v>8442</v>
      </c>
      <c r="H3497" s="3">
        <v>50.957000000000001</v>
      </c>
      <c r="I3497" t="s">
        <v>5848</v>
      </c>
      <c r="J3497" t="s">
        <v>14397</v>
      </c>
      <c r="L3497" t="s">
        <v>8443</v>
      </c>
      <c r="M3497" t="str">
        <f>"https://www.artic.edu/iiif/2/"&amp;Table9[[#This Row],[Image ID]]&amp;"/full/843,/0/default.jpg"</f>
        <v>https://www.artic.edu/iiif/2/f6667ca7-fb03-d65b-cc16-220b6620ab0d/full/843,/0/default.jpg</v>
      </c>
      <c r="N3497" s="3">
        <v>0.5</v>
      </c>
      <c r="O3497" s="3">
        <v>0</v>
      </c>
      <c r="P3497" s="3">
        <v>0.5</v>
      </c>
      <c r="Q3497" s="3">
        <v>0.80194079875946001</v>
      </c>
    </row>
    <row r="3498" spans="1:17" x14ac:dyDescent="0.45">
      <c r="A3498" s="3">
        <v>28096</v>
      </c>
      <c r="B3498" t="b">
        <v>0</v>
      </c>
      <c r="C3498" t="b">
        <v>0</v>
      </c>
      <c r="D3498" s="3">
        <v>1910</v>
      </c>
      <c r="E3498" s="3">
        <v>1910</v>
      </c>
      <c r="F3498" t="s">
        <v>5779</v>
      </c>
      <c r="G3498" t="s">
        <v>7</v>
      </c>
      <c r="H3498" s="3">
        <v>30.3446</v>
      </c>
      <c r="I3498" t="s">
        <v>5058</v>
      </c>
      <c r="J3498" t="s">
        <v>14414</v>
      </c>
      <c r="L3498" t="s">
        <v>6782</v>
      </c>
      <c r="M3498" t="str">
        <f>"https://www.artic.edu/iiif/2/"&amp;Table9[[#This Row],[Image ID]]&amp;"/full/843,/0/default.jpg"</f>
        <v>https://www.artic.edu/iiif/2/f6f8ebf0-b3a4-066d-d4c7-32aeaba44d1f/full/843,/0/default.jpg</v>
      </c>
      <c r="N3498" s="3">
        <v>0.6</v>
      </c>
      <c r="O3498" s="3">
        <v>0.1</v>
      </c>
      <c r="P3498" s="3">
        <v>0.5</v>
      </c>
      <c r="Q3498" s="3">
        <v>0.64568084478378296</v>
      </c>
    </row>
    <row r="3499" spans="1:17" x14ac:dyDescent="0.45">
      <c r="A3499" s="3">
        <v>133365</v>
      </c>
      <c r="B3499" t="b">
        <v>0</v>
      </c>
      <c r="C3499" t="b">
        <v>0</v>
      </c>
      <c r="D3499" s="3">
        <v>1945</v>
      </c>
      <c r="E3499" s="3">
        <v>1955</v>
      </c>
      <c r="F3499" t="s">
        <v>3027</v>
      </c>
      <c r="G3499" t="s">
        <v>3028</v>
      </c>
      <c r="H3499" s="3">
        <v>12.8285</v>
      </c>
      <c r="I3499" t="s">
        <v>3029</v>
      </c>
      <c r="J3499" t="s">
        <v>13555</v>
      </c>
      <c r="K3499" s="5" t="s">
        <v>130</v>
      </c>
      <c r="L3499" t="s">
        <v>3032</v>
      </c>
      <c r="M3499" t="str">
        <f>"https://www.artic.edu/iiif/2/"&amp;Table9[[#This Row],[Image ID]]&amp;"/full/843,/0/default.jpg"</f>
        <v>https://www.artic.edu/iiif/2/f7a19f52-d1e7-aa37-396d-20f9c88f23c4/full/843,/0/default.jpg</v>
      </c>
      <c r="N3499" s="3">
        <v>0.625</v>
      </c>
      <c r="O3499" s="3">
        <v>0.125</v>
      </c>
      <c r="P3499" s="3">
        <v>0.5</v>
      </c>
      <c r="Q3499" s="3">
        <v>0.68928962945938099</v>
      </c>
    </row>
    <row r="3500" spans="1:17" x14ac:dyDescent="0.45">
      <c r="A3500" s="3">
        <v>45502</v>
      </c>
      <c r="B3500" t="b">
        <v>0</v>
      </c>
      <c r="C3500" t="b">
        <v>0</v>
      </c>
      <c r="D3500" s="3">
        <v>1914</v>
      </c>
      <c r="E3500" s="3">
        <v>1914</v>
      </c>
      <c r="F3500" t="s">
        <v>7864</v>
      </c>
      <c r="G3500" t="s">
        <v>7865</v>
      </c>
      <c r="H3500" s="3">
        <v>18.916399999999999</v>
      </c>
      <c r="I3500" t="s">
        <v>1279</v>
      </c>
      <c r="J3500" t="s">
        <v>14522</v>
      </c>
      <c r="L3500" t="s">
        <v>7866</v>
      </c>
      <c r="M3500" t="str">
        <f>"https://www.artic.edu/iiif/2/"&amp;Table9[[#This Row],[Image ID]]&amp;"/full/843,/0/default.jpg"</f>
        <v>https://www.artic.edu/iiif/2/fecf4055-dd87-8680-c1c3-ceb6eafb77f4/full/843,/0/default.jpg</v>
      </c>
      <c r="N3500" s="3">
        <v>0.6</v>
      </c>
      <c r="O3500" s="3">
        <v>0.1</v>
      </c>
      <c r="P3500" s="3">
        <v>0.5</v>
      </c>
      <c r="Q3500" s="3">
        <v>0.60480105876922596</v>
      </c>
    </row>
    <row r="3501" spans="1:17" x14ac:dyDescent="0.45">
      <c r="A3501" s="3">
        <v>43211</v>
      </c>
      <c r="B3501" t="b">
        <v>0</v>
      </c>
      <c r="C3501" t="b">
        <v>1</v>
      </c>
      <c r="D3501" s="3">
        <v>1675</v>
      </c>
      <c r="E3501" s="3">
        <v>1685</v>
      </c>
      <c r="F3501" t="s">
        <v>7724</v>
      </c>
      <c r="G3501" t="s">
        <v>75</v>
      </c>
      <c r="H3501" s="3">
        <v>17.5395</v>
      </c>
      <c r="I3501" t="s">
        <v>7725</v>
      </c>
      <c r="J3501" t="s">
        <v>11103</v>
      </c>
      <c r="L3501" t="s">
        <v>7726</v>
      </c>
      <c r="M3501" t="str">
        <f>"https://www.artic.edu/iiif/2/"&amp;Table9[[#This Row],[Image ID]]&amp;"/full/843,/0/default.jpg"</f>
        <v>https://www.artic.edu/iiif/2/0905c8a0-b2f1-b534-fa37-0f1aa016bec5/full/843,/0/default.jpg</v>
      </c>
      <c r="N3501" s="3">
        <v>0.57499999999999996</v>
      </c>
      <c r="O3501" s="3">
        <v>7.4999999999999997E-2</v>
      </c>
      <c r="P3501" s="3">
        <v>0.49999999999999994</v>
      </c>
      <c r="Q3501" s="3">
        <v>0.54220241308212203</v>
      </c>
    </row>
    <row r="3502" spans="1:17" x14ac:dyDescent="0.45">
      <c r="A3502" s="3">
        <v>867</v>
      </c>
      <c r="B3502" t="b">
        <v>0</v>
      </c>
      <c r="C3502" t="b">
        <v>1</v>
      </c>
      <c r="D3502" s="3">
        <v>1640</v>
      </c>
      <c r="E3502" s="3">
        <v>1650</v>
      </c>
      <c r="F3502" t="s">
        <v>10342</v>
      </c>
      <c r="G3502" t="s">
        <v>7</v>
      </c>
      <c r="H3502" s="3">
        <v>33.367100000000001</v>
      </c>
      <c r="I3502" t="s">
        <v>1192</v>
      </c>
      <c r="J3502" t="s">
        <v>11309</v>
      </c>
      <c r="L3502" t="s">
        <v>10343</v>
      </c>
      <c r="M3502" t="str">
        <f>"https://www.artic.edu/iiif/2/"&amp;Table9[[#This Row],[Image ID]]&amp;"/full/843,/0/default.jpg"</f>
        <v>https://www.artic.edu/iiif/2/18adfd19-6c76-989e-36ae-1343aa15701b/full/843,/0/default.jpg</v>
      </c>
      <c r="N3502" s="3">
        <v>0.57499999999999996</v>
      </c>
      <c r="O3502" s="3">
        <v>7.4999999999999997E-2</v>
      </c>
      <c r="P3502" s="3">
        <v>0.49999999999999994</v>
      </c>
      <c r="Q3502" s="3">
        <v>0.63576877117156905</v>
      </c>
    </row>
    <row r="3503" spans="1:17" x14ac:dyDescent="0.45">
      <c r="A3503" s="3">
        <v>4887</v>
      </c>
      <c r="B3503" t="b">
        <v>0</v>
      </c>
      <c r="C3503" t="b">
        <v>1</v>
      </c>
      <c r="D3503" s="3">
        <v>1914</v>
      </c>
      <c r="E3503" s="3">
        <v>1926</v>
      </c>
      <c r="F3503" t="s">
        <v>8033</v>
      </c>
      <c r="G3503" t="s">
        <v>7</v>
      </c>
      <c r="H3503" s="3">
        <v>26.159199999999998</v>
      </c>
      <c r="I3503" t="s">
        <v>43</v>
      </c>
      <c r="J3503" t="s">
        <v>11417</v>
      </c>
      <c r="K3503" s="5" t="s">
        <v>9</v>
      </c>
      <c r="L3503" t="s">
        <v>8034</v>
      </c>
      <c r="M3503" t="str">
        <f>"https://www.artic.edu/iiif/2/"&amp;Table9[[#This Row],[Image ID]]&amp;"/full/843,/0/default.jpg"</f>
        <v>https://www.artic.edu/iiif/2/1f925e43-ff81-5ad7-da75-b28ea651c09f/full/843,/0/default.jpg</v>
      </c>
      <c r="N3503" s="3">
        <v>0.57499999999999996</v>
      </c>
      <c r="O3503" s="3">
        <v>7.4999999999999997E-2</v>
      </c>
      <c r="P3503" s="3">
        <v>0.49999999999999994</v>
      </c>
      <c r="Q3503" s="3">
        <v>0.66019171476364102</v>
      </c>
    </row>
    <row r="3504" spans="1:17" x14ac:dyDescent="0.45">
      <c r="A3504" s="3">
        <v>93737</v>
      </c>
      <c r="B3504" t="b">
        <v>0</v>
      </c>
      <c r="C3504" t="b">
        <v>1</v>
      </c>
      <c r="D3504" s="3">
        <v>1595</v>
      </c>
      <c r="E3504" s="3">
        <v>1605</v>
      </c>
      <c r="F3504" t="s">
        <v>2793</v>
      </c>
      <c r="G3504" t="s">
        <v>75</v>
      </c>
      <c r="H3504" s="3">
        <v>0</v>
      </c>
      <c r="I3504" t="s">
        <v>938</v>
      </c>
      <c r="J3504" t="s">
        <v>11507</v>
      </c>
      <c r="L3504" t="s">
        <v>10595</v>
      </c>
      <c r="M3504" t="str">
        <f>"https://www.artic.edu/iiif/2/"&amp;Table9[[#This Row],[Image ID]]&amp;"/full/843,/0/default.jpg"</f>
        <v>https://www.artic.edu/iiif/2/25bad661-3b81-9925-0832-1d43a4327288/full/843,/0/default.jpg</v>
      </c>
      <c r="N3504" s="3">
        <v>0.69</v>
      </c>
      <c r="O3504" s="3">
        <v>0.19</v>
      </c>
      <c r="P3504" s="3">
        <v>0.49999999999999994</v>
      </c>
      <c r="Q3504" s="3">
        <v>0.48122006654739302</v>
      </c>
    </row>
    <row r="3505" spans="1:17" x14ac:dyDescent="0.45">
      <c r="A3505" s="3">
        <v>159083</v>
      </c>
      <c r="B3505" t="b">
        <v>0</v>
      </c>
      <c r="C3505" t="b">
        <v>1</v>
      </c>
      <c r="D3505" s="3">
        <v>1894</v>
      </c>
      <c r="E3505" s="3">
        <v>1894</v>
      </c>
      <c r="F3505" t="s">
        <v>4191</v>
      </c>
      <c r="G3505" t="s">
        <v>4192</v>
      </c>
      <c r="H3505" s="3">
        <v>30.451899999999998</v>
      </c>
      <c r="I3505" t="s">
        <v>872</v>
      </c>
      <c r="J3505" t="s">
        <v>11677</v>
      </c>
      <c r="L3505" t="s">
        <v>4193</v>
      </c>
      <c r="M3505" t="str">
        <f>"https://www.artic.edu/iiif/2/"&amp;Table9[[#This Row],[Image ID]]&amp;"/full/843,/0/default.jpg"</f>
        <v>https://www.artic.edu/iiif/2/3025c0dd-5f75-df57-7dff-81f64a8ff688/full/843,/0/default.jpg</v>
      </c>
      <c r="N3505" s="3">
        <v>0.7</v>
      </c>
      <c r="O3505" s="3">
        <v>0.2</v>
      </c>
      <c r="P3505" s="3">
        <v>0.49999999999999994</v>
      </c>
      <c r="Q3505" s="3">
        <v>0.71884751319885198</v>
      </c>
    </row>
    <row r="3506" spans="1:17" x14ac:dyDescent="0.45">
      <c r="A3506" s="3">
        <v>115810</v>
      </c>
      <c r="B3506" t="b">
        <v>0</v>
      </c>
      <c r="C3506" t="b">
        <v>1</v>
      </c>
      <c r="D3506" s="3">
        <v>1815</v>
      </c>
      <c r="E3506" s="3">
        <v>1836</v>
      </c>
      <c r="F3506" t="s">
        <v>2104</v>
      </c>
      <c r="G3506" t="s">
        <v>2105</v>
      </c>
      <c r="H3506" s="3">
        <v>25.144300000000001</v>
      </c>
      <c r="I3506" t="s">
        <v>2106</v>
      </c>
      <c r="J3506" t="s">
        <v>12070</v>
      </c>
      <c r="L3506" t="s">
        <v>2107</v>
      </c>
      <c r="M3506" t="str">
        <f>"https://www.artic.edu/iiif/2/"&amp;Table9[[#This Row],[Image ID]]&amp;"/full/843,/0/default.jpg"</f>
        <v>https://www.artic.edu/iiif/2/4b9170c0-01d8-5e8e-8c07-4a251c3ad782/full/843,/0/default.jpg</v>
      </c>
      <c r="N3506" s="3">
        <v>0.7</v>
      </c>
      <c r="O3506" s="3">
        <v>0.2</v>
      </c>
      <c r="P3506" s="3">
        <v>0.49999999999999994</v>
      </c>
      <c r="Q3506" s="3">
        <v>0.48893699049949602</v>
      </c>
    </row>
    <row r="3507" spans="1:17" x14ac:dyDescent="0.45">
      <c r="A3507" s="3">
        <v>148451</v>
      </c>
      <c r="B3507" t="b">
        <v>0</v>
      </c>
      <c r="C3507" t="b">
        <v>1</v>
      </c>
      <c r="D3507" s="3">
        <v>1822</v>
      </c>
      <c r="E3507" s="3">
        <v>1832</v>
      </c>
      <c r="F3507" t="s">
        <v>14641</v>
      </c>
      <c r="G3507" t="s">
        <v>2054</v>
      </c>
      <c r="H3507" s="3">
        <v>17.354900000000001</v>
      </c>
      <c r="I3507" t="s">
        <v>3729</v>
      </c>
      <c r="J3507" t="s">
        <v>12328</v>
      </c>
      <c r="L3507" t="s">
        <v>3730</v>
      </c>
      <c r="M3507" t="str">
        <f>"https://www.artic.edu/iiif/2/"&amp;Table9[[#This Row],[Image ID]]&amp;"/full/843,/0/default.jpg"</f>
        <v>https://www.artic.edu/iiif/2/5c7a645f-3d94-0e9c-7a8a-7cb98d47048a/full/843,/0/default.jpg</v>
      </c>
      <c r="N3507" s="3">
        <v>0.7</v>
      </c>
      <c r="O3507" s="3">
        <v>0.2</v>
      </c>
      <c r="P3507" s="3">
        <v>0.49999999999999994</v>
      </c>
      <c r="Q3507" s="3">
        <v>0.54315257072448697</v>
      </c>
    </row>
    <row r="3508" spans="1:17" x14ac:dyDescent="0.45">
      <c r="A3508" s="3">
        <v>115118</v>
      </c>
      <c r="B3508" t="b">
        <v>0</v>
      </c>
      <c r="C3508" t="b">
        <v>1</v>
      </c>
      <c r="D3508" s="3">
        <v>1835</v>
      </c>
      <c r="E3508" s="3">
        <v>1882</v>
      </c>
      <c r="F3508" t="s">
        <v>1773</v>
      </c>
      <c r="G3508" t="s">
        <v>1774</v>
      </c>
      <c r="H3508" s="3">
        <v>32.927399999999999</v>
      </c>
      <c r="I3508" t="s">
        <v>1555</v>
      </c>
      <c r="J3508" t="s">
        <v>12427</v>
      </c>
      <c r="L3508" t="s">
        <v>1775</v>
      </c>
      <c r="M3508" t="str">
        <f>"https://www.artic.edu/iiif/2/"&amp;Table9[[#This Row],[Image ID]]&amp;"/full/843,/0/default.jpg"</f>
        <v>https://www.artic.edu/iiif/2/63a75698-41b4-a738-95be-af186813cfef/full/843,/0/default.jpg</v>
      </c>
      <c r="N3508" s="3">
        <v>0.7</v>
      </c>
      <c r="O3508" s="3">
        <v>0.2</v>
      </c>
      <c r="P3508" s="3">
        <v>0.49999999999999994</v>
      </c>
      <c r="Q3508" s="3">
        <v>0.55879485607147195</v>
      </c>
    </row>
    <row r="3509" spans="1:17" x14ac:dyDescent="0.45">
      <c r="A3509" s="3">
        <v>114787</v>
      </c>
      <c r="B3509" t="b">
        <v>0</v>
      </c>
      <c r="C3509" t="b">
        <v>1</v>
      </c>
      <c r="D3509" s="3">
        <v>1783</v>
      </c>
      <c r="E3509" s="3">
        <v>1851</v>
      </c>
      <c r="F3509" t="s">
        <v>1733</v>
      </c>
      <c r="G3509" t="s">
        <v>1734</v>
      </c>
      <c r="H3509" s="3">
        <v>18.5381</v>
      </c>
      <c r="I3509" t="s">
        <v>1735</v>
      </c>
      <c r="J3509" t="s">
        <v>12693</v>
      </c>
      <c r="L3509" t="s">
        <v>1736</v>
      </c>
      <c r="M3509" t="str">
        <f>"https://www.artic.edu/iiif/2/"&amp;Table9[[#This Row],[Image ID]]&amp;"/full/843,/0/default.jpg"</f>
        <v>https://www.artic.edu/iiif/2/76a9ef6f-5dfc-272a-a62f-f5ceabe829e9/full/843,/0/default.jpg</v>
      </c>
      <c r="N3509" s="3">
        <v>0.57499999999999996</v>
      </c>
      <c r="O3509" s="3">
        <v>7.4999999999999997E-2</v>
      </c>
      <c r="P3509" s="3">
        <v>0.49999999999999994</v>
      </c>
      <c r="Q3509" s="3">
        <v>0.66328048706054599</v>
      </c>
    </row>
    <row r="3510" spans="1:17" x14ac:dyDescent="0.45">
      <c r="A3510" s="3">
        <v>114730</v>
      </c>
      <c r="B3510" t="b">
        <v>0</v>
      </c>
      <c r="C3510" t="b">
        <v>1</v>
      </c>
      <c r="D3510" s="3">
        <v>1766</v>
      </c>
      <c r="E3510" s="3">
        <v>1801</v>
      </c>
      <c r="F3510" t="s">
        <v>1713</v>
      </c>
      <c r="G3510" t="s">
        <v>1714</v>
      </c>
      <c r="H3510" s="3">
        <v>23.131599999999999</v>
      </c>
      <c r="I3510" t="s">
        <v>1715</v>
      </c>
      <c r="J3510" t="s">
        <v>12804</v>
      </c>
      <c r="L3510" t="s">
        <v>1716</v>
      </c>
      <c r="M3510" t="str">
        <f>"https://www.artic.edu/iiif/2/"&amp;Table9[[#This Row],[Image ID]]&amp;"/full/843,/0/default.jpg"</f>
        <v>https://www.artic.edu/iiif/2/7f4d9988-a452-81ae-7196-dab826880f76/full/843,/0/default.jpg</v>
      </c>
      <c r="N3510" s="3">
        <v>0.69</v>
      </c>
      <c r="O3510" s="3">
        <v>0.19</v>
      </c>
      <c r="P3510" s="3">
        <v>0.49999999999999994</v>
      </c>
      <c r="Q3510" s="3">
        <v>0.737290740013122</v>
      </c>
    </row>
    <row r="3511" spans="1:17" x14ac:dyDescent="0.45">
      <c r="A3511" s="3">
        <v>64007</v>
      </c>
      <c r="B3511" t="b">
        <v>0</v>
      </c>
      <c r="C3511" t="b">
        <v>1</v>
      </c>
      <c r="D3511" s="3">
        <v>1731</v>
      </c>
      <c r="E3511" s="3">
        <v>1736</v>
      </c>
      <c r="F3511" t="s">
        <v>8956</v>
      </c>
      <c r="G3511" t="s">
        <v>7</v>
      </c>
      <c r="H3511" s="3">
        <v>37.878500000000003</v>
      </c>
      <c r="I3511" t="s">
        <v>1505</v>
      </c>
      <c r="J3511" t="s">
        <v>12984</v>
      </c>
      <c r="L3511" t="s">
        <v>8957</v>
      </c>
      <c r="M3511" t="str">
        <f>"https://www.artic.edu/iiif/2/"&amp;Table9[[#This Row],[Image ID]]&amp;"/full/843,/0/default.jpg"</f>
        <v>https://www.artic.edu/iiif/2/8c83be98-5682-ddd1-b873-09c1ebcfa8dd/full/843,/0/default.jpg</v>
      </c>
      <c r="N3511" s="3">
        <v>0.7</v>
      </c>
      <c r="O3511" s="3">
        <v>0.2</v>
      </c>
      <c r="P3511" s="3">
        <v>0.49999999999999994</v>
      </c>
      <c r="Q3511" s="3">
        <v>0.85295659303665095</v>
      </c>
    </row>
    <row r="3512" spans="1:17" x14ac:dyDescent="0.45">
      <c r="A3512" s="3">
        <v>45829</v>
      </c>
      <c r="B3512" t="b">
        <v>0</v>
      </c>
      <c r="C3512" t="b">
        <v>1</v>
      </c>
      <c r="D3512" s="3">
        <v>1630</v>
      </c>
      <c r="E3512" s="3">
        <v>1640</v>
      </c>
      <c r="F3512" t="s">
        <v>7870</v>
      </c>
      <c r="G3512" t="s">
        <v>7</v>
      </c>
      <c r="H3512" s="3">
        <v>23.845199999999998</v>
      </c>
      <c r="I3512" t="s">
        <v>7871</v>
      </c>
      <c r="J3512" t="s">
        <v>13047</v>
      </c>
      <c r="L3512" t="s">
        <v>7872</v>
      </c>
      <c r="M3512" t="str">
        <f>"https://www.artic.edu/iiif/2/"&amp;Table9[[#This Row],[Image ID]]&amp;"/full/843,/0/default.jpg"</f>
        <v>https://www.artic.edu/iiif/2/91f56173-2f20-70fa-c0ac-f00bed4268d0/full/843,/0/default.jpg</v>
      </c>
      <c r="N3512" s="3">
        <v>0.7</v>
      </c>
      <c r="O3512" s="3">
        <v>0.2</v>
      </c>
      <c r="P3512" s="3">
        <v>0.49999999999999994</v>
      </c>
      <c r="Q3512" s="3">
        <v>0.44553014636039701</v>
      </c>
    </row>
    <row r="3513" spans="1:17" x14ac:dyDescent="0.45">
      <c r="A3513" s="3">
        <v>14721</v>
      </c>
      <c r="B3513" t="b">
        <v>0</v>
      </c>
      <c r="C3513" t="b">
        <v>1</v>
      </c>
      <c r="D3513" s="3">
        <v>1822</v>
      </c>
      <c r="E3513" s="3">
        <v>1892</v>
      </c>
      <c r="F3513" t="s">
        <v>3593</v>
      </c>
      <c r="G3513" t="s">
        <v>3594</v>
      </c>
      <c r="H3513" s="3">
        <v>27.195699999999999</v>
      </c>
      <c r="I3513" t="s">
        <v>516</v>
      </c>
      <c r="J3513" t="s">
        <v>13648</v>
      </c>
      <c r="L3513" t="s">
        <v>3595</v>
      </c>
      <c r="M3513" t="str">
        <f>"https://www.artic.edu/iiif/2/"&amp;Table9[[#This Row],[Image ID]]&amp;"/full/843,/0/default.jpg"</f>
        <v>https://www.artic.edu/iiif/2/bff6bf7d-ebb0-7301-f267-fb8156820454/full/843,/0/default.jpg</v>
      </c>
      <c r="N3513" s="3">
        <v>0.57499999999999996</v>
      </c>
      <c r="O3513" s="3">
        <v>7.4999999999999997E-2</v>
      </c>
      <c r="P3513" s="3">
        <v>0.49999999999999994</v>
      </c>
      <c r="Q3513" s="3">
        <v>0.85008877515792802</v>
      </c>
    </row>
    <row r="3514" spans="1:17" x14ac:dyDescent="0.45">
      <c r="A3514" s="3">
        <v>109220</v>
      </c>
      <c r="B3514" t="b">
        <v>0</v>
      </c>
      <c r="C3514" t="b">
        <v>1</v>
      </c>
      <c r="D3514" s="3">
        <v>1705</v>
      </c>
      <c r="E3514" s="3">
        <v>1715</v>
      </c>
      <c r="F3514" t="s">
        <v>741</v>
      </c>
      <c r="G3514" t="s">
        <v>7</v>
      </c>
      <c r="H3514" s="3">
        <v>31.7804</v>
      </c>
      <c r="I3514" t="s">
        <v>742</v>
      </c>
      <c r="J3514" t="s">
        <v>14253</v>
      </c>
      <c r="L3514" t="s">
        <v>743</v>
      </c>
      <c r="M3514" t="str">
        <f>"https://www.artic.edu/iiif/2/"&amp;Table9[[#This Row],[Image ID]]&amp;"/full/843,/0/default.jpg"</f>
        <v>https://www.artic.edu/iiif/2/ec272cba-5f5c-dcc1-00e3-00dfdb042a52/full/843,/0/default.jpg</v>
      </c>
      <c r="N3514" s="3">
        <v>0.57099999999999995</v>
      </c>
      <c r="O3514" s="3">
        <v>7.0999999999999994E-2</v>
      </c>
      <c r="P3514" s="3">
        <v>0.49999999999999994</v>
      </c>
      <c r="Q3514" s="3">
        <v>0.606927931308746</v>
      </c>
    </row>
    <row r="3515" spans="1:17" x14ac:dyDescent="0.45">
      <c r="A3515" s="3">
        <v>56680</v>
      </c>
      <c r="B3515" t="b">
        <v>0</v>
      </c>
      <c r="C3515" t="b">
        <v>0</v>
      </c>
      <c r="D3515" s="3">
        <v>1955</v>
      </c>
      <c r="E3515" s="3">
        <v>1955</v>
      </c>
      <c r="F3515" t="s">
        <v>8461</v>
      </c>
      <c r="G3515" t="s">
        <v>7</v>
      </c>
      <c r="H3515" s="3">
        <v>20.9041</v>
      </c>
      <c r="I3515" t="s">
        <v>14631</v>
      </c>
      <c r="J3515" t="s">
        <v>11453</v>
      </c>
      <c r="L3515" t="s">
        <v>8462</v>
      </c>
      <c r="M3515" t="str">
        <f>"https://www.artic.edu/iiif/2/"&amp;Table9[[#This Row],[Image ID]]&amp;"/full/843,/0/default.jpg"</f>
        <v>https://www.artic.edu/iiif/2/21d2bcd1-5e34-1a64-2bbd-a4ae8e646188/full/843,/0/default.jpg</v>
      </c>
      <c r="N3515" s="3">
        <v>0.57499999999999996</v>
      </c>
      <c r="O3515" s="3">
        <v>7.4999999999999997E-2</v>
      </c>
      <c r="P3515" s="3">
        <v>0.49999999999999994</v>
      </c>
      <c r="Q3515" s="3">
        <v>0.68383806943893399</v>
      </c>
    </row>
    <row r="3516" spans="1:17" x14ac:dyDescent="0.45">
      <c r="A3516" s="3">
        <v>94043</v>
      </c>
      <c r="B3516" t="b">
        <v>0</v>
      </c>
      <c r="C3516" t="b">
        <v>0</v>
      </c>
      <c r="D3516" s="3">
        <v>1960</v>
      </c>
      <c r="E3516" s="3">
        <v>1969</v>
      </c>
      <c r="F3516" t="s">
        <v>10711</v>
      </c>
      <c r="G3516" t="s">
        <v>10712</v>
      </c>
      <c r="H3516" s="3">
        <v>26.935400000000001</v>
      </c>
      <c r="I3516" t="s">
        <v>378</v>
      </c>
      <c r="J3516" t="s">
        <v>11554</v>
      </c>
      <c r="L3516" t="s">
        <v>10713</v>
      </c>
      <c r="M3516" t="str">
        <f>"https://www.artic.edu/iiif/2/"&amp;Table9[[#This Row],[Image ID]]&amp;"/full/843,/0/default.jpg"</f>
        <v>https://www.artic.edu/iiif/2/282f3cc7-8276-ebc1-b293-74a20a74562e/full/843,/0/default.jpg</v>
      </c>
      <c r="N3516" s="3">
        <v>0.57499999999999996</v>
      </c>
      <c r="O3516" s="3">
        <v>7.4999999999999997E-2</v>
      </c>
      <c r="P3516" s="3">
        <v>0.49999999999999994</v>
      </c>
      <c r="Q3516" s="3">
        <v>0.66680771112442005</v>
      </c>
    </row>
    <row r="3517" spans="1:17" x14ac:dyDescent="0.45">
      <c r="A3517" s="3">
        <v>82306</v>
      </c>
      <c r="B3517" t="b">
        <v>0</v>
      </c>
      <c r="C3517" t="b">
        <v>0</v>
      </c>
      <c r="D3517" s="3">
        <v>1951</v>
      </c>
      <c r="E3517" s="3">
        <v>1951</v>
      </c>
      <c r="F3517" t="s">
        <v>10171</v>
      </c>
      <c r="G3517" t="s">
        <v>7</v>
      </c>
      <c r="H3517" s="3">
        <v>23.6966</v>
      </c>
      <c r="I3517" t="s">
        <v>2080</v>
      </c>
      <c r="J3517" t="s">
        <v>11561</v>
      </c>
      <c r="L3517" t="s">
        <v>10172</v>
      </c>
      <c r="M3517" t="str">
        <f>"https://www.artic.edu/iiif/2/"&amp;Table9[[#This Row],[Image ID]]&amp;"/full/843,/0/default.jpg"</f>
        <v>https://www.artic.edu/iiif/2/28789d64-9012-0b86-782a-cdb6e847ba84/full/843,/0/default.jpg</v>
      </c>
      <c r="N3517" s="3">
        <v>0.57499999999999996</v>
      </c>
      <c r="O3517" s="3">
        <v>7.4999999999999997E-2</v>
      </c>
      <c r="P3517" s="3">
        <v>0.49999999999999994</v>
      </c>
      <c r="Q3517" s="3">
        <v>0.81042498350143399</v>
      </c>
    </row>
    <row r="3518" spans="1:17" x14ac:dyDescent="0.45">
      <c r="A3518" s="3">
        <v>33282</v>
      </c>
      <c r="B3518" t="b">
        <v>0</v>
      </c>
      <c r="C3518" t="b">
        <v>0</v>
      </c>
      <c r="D3518" s="3">
        <v>1934</v>
      </c>
      <c r="E3518" s="3">
        <v>1934</v>
      </c>
      <c r="F3518" t="s">
        <v>7080</v>
      </c>
      <c r="G3518" t="s">
        <v>7081</v>
      </c>
      <c r="H3518" s="3">
        <v>41.9557</v>
      </c>
      <c r="I3518" t="s">
        <v>914</v>
      </c>
      <c r="J3518" t="s">
        <v>11774</v>
      </c>
      <c r="L3518" t="s">
        <v>7082</v>
      </c>
      <c r="M3518" t="str">
        <f>"https://www.artic.edu/iiif/2/"&amp;Table9[[#This Row],[Image ID]]&amp;"/full/843,/0/default.jpg"</f>
        <v>https://www.artic.edu/iiif/2/3760fa6e-fb8c-c72e-6383-a6781ce215c5/full/843,/0/default.jpg</v>
      </c>
      <c r="N3518" s="3">
        <v>0.57499999999999996</v>
      </c>
      <c r="O3518" s="3">
        <v>7.4999999999999997E-2</v>
      </c>
      <c r="P3518" s="3">
        <v>0.49999999999999994</v>
      </c>
      <c r="Q3518" s="3">
        <v>0.712191402912139</v>
      </c>
    </row>
    <row r="3519" spans="1:17" x14ac:dyDescent="0.45">
      <c r="A3519" s="3">
        <v>2919</v>
      </c>
      <c r="B3519" t="b">
        <v>0</v>
      </c>
      <c r="C3519" t="b">
        <v>0</v>
      </c>
      <c r="D3519" s="3">
        <v>1909</v>
      </c>
      <c r="E3519" s="3">
        <v>1909</v>
      </c>
      <c r="F3519" t="s">
        <v>6894</v>
      </c>
      <c r="G3519" t="s">
        <v>6895</v>
      </c>
      <c r="H3519" s="3">
        <v>27.244900000000001</v>
      </c>
      <c r="I3519" t="s">
        <v>949</v>
      </c>
      <c r="J3519" t="s">
        <v>12629</v>
      </c>
      <c r="L3519" t="s">
        <v>6896</v>
      </c>
      <c r="M3519" t="str">
        <f>"https://www.artic.edu/iiif/2/"&amp;Table9[[#This Row],[Image ID]]&amp;"/full/843,/0/default.jpg"</f>
        <v>https://www.artic.edu/iiif/2/719521fe-fc63-0f65-f5dd-4313d8859cbc/full/843,/0/default.jpg</v>
      </c>
      <c r="N3519" s="3">
        <v>0.7</v>
      </c>
      <c r="O3519" s="3">
        <v>0.2</v>
      </c>
      <c r="P3519" s="3">
        <v>0.49999999999999994</v>
      </c>
      <c r="Q3519" s="3">
        <v>0.57899737358093195</v>
      </c>
    </row>
    <row r="3520" spans="1:17" x14ac:dyDescent="0.45">
      <c r="A3520" s="3">
        <v>16676</v>
      </c>
      <c r="B3520" t="b">
        <v>0</v>
      </c>
      <c r="C3520" t="b">
        <v>0</v>
      </c>
      <c r="D3520" s="3">
        <v>1907</v>
      </c>
      <c r="E3520" s="3">
        <v>1907</v>
      </c>
      <c r="F3520" t="s">
        <v>4529</v>
      </c>
      <c r="G3520" t="s">
        <v>7</v>
      </c>
      <c r="H3520" s="3">
        <v>34.627099999999999</v>
      </c>
      <c r="I3520" t="s">
        <v>1277</v>
      </c>
      <c r="J3520" t="s">
        <v>12642</v>
      </c>
      <c r="L3520" t="s">
        <v>4530</v>
      </c>
      <c r="M3520" t="str">
        <f>"https://www.artic.edu/iiif/2/"&amp;Table9[[#This Row],[Image ID]]&amp;"/full/843,/0/default.jpg"</f>
        <v>https://www.artic.edu/iiif/2/72d88fc3-08e5-4068-b81a-d3aaa69449b4/full/843,/0/default.jpg</v>
      </c>
      <c r="N3520" s="3">
        <v>0.57499999999999996</v>
      </c>
      <c r="O3520" s="3">
        <v>7.4999999999999997E-2</v>
      </c>
      <c r="P3520" s="3">
        <v>0.49999999999999994</v>
      </c>
      <c r="Q3520" s="3">
        <v>0.73730683326721103</v>
      </c>
    </row>
    <row r="3521" spans="1:17" x14ac:dyDescent="0.45">
      <c r="A3521" s="3">
        <v>39267</v>
      </c>
      <c r="B3521" t="b">
        <v>0</v>
      </c>
      <c r="C3521" t="b">
        <v>0</v>
      </c>
      <c r="D3521" s="3">
        <v>1899</v>
      </c>
      <c r="E3521" s="3">
        <v>1899</v>
      </c>
      <c r="F3521" t="s">
        <v>7556</v>
      </c>
      <c r="G3521" t="s">
        <v>7557</v>
      </c>
      <c r="H3521" s="3">
        <v>46.275700000000001</v>
      </c>
      <c r="I3521" t="s">
        <v>852</v>
      </c>
      <c r="J3521" t="s">
        <v>12657</v>
      </c>
      <c r="L3521" t="s">
        <v>7558</v>
      </c>
      <c r="M3521" t="str">
        <f>"https://www.artic.edu/iiif/2/"&amp;Table9[[#This Row],[Image ID]]&amp;"/full/843,/0/default.jpg"</f>
        <v>https://www.artic.edu/iiif/2/74032dc0-ae53-5276-b555-7f8e8c3682e2/full/843,/0/default.jpg</v>
      </c>
      <c r="N3521" s="3">
        <v>0.57499999999999996</v>
      </c>
      <c r="O3521" s="3">
        <v>7.4999999999999997E-2</v>
      </c>
      <c r="P3521" s="3">
        <v>0.49999999999999994</v>
      </c>
      <c r="Q3521" s="3">
        <v>0.73173737525939897</v>
      </c>
    </row>
    <row r="3522" spans="1:17" x14ac:dyDescent="0.45">
      <c r="A3522" s="3">
        <v>66007</v>
      </c>
      <c r="B3522" t="b">
        <v>0</v>
      </c>
      <c r="C3522" t="b">
        <v>0</v>
      </c>
      <c r="D3522" s="3">
        <v>1937</v>
      </c>
      <c r="E3522" s="3">
        <v>1937</v>
      </c>
      <c r="F3522" t="s">
        <v>9154</v>
      </c>
      <c r="G3522" t="s">
        <v>9155</v>
      </c>
      <c r="H3522" s="3">
        <v>12.1023</v>
      </c>
      <c r="I3522" t="s">
        <v>949</v>
      </c>
      <c r="J3522" t="s">
        <v>12692</v>
      </c>
      <c r="L3522" t="s">
        <v>9156</v>
      </c>
      <c r="M3522" t="str">
        <f>"https://www.artic.edu/iiif/2/"&amp;Table9[[#This Row],[Image ID]]&amp;"/full/843,/0/default.jpg"</f>
        <v>https://www.artic.edu/iiif/2/769157ae-5f4b-a1a1-0514-95dcc2d73760/full/843,/0/default.jpg</v>
      </c>
      <c r="N3522" s="3">
        <v>0.57499999999999996</v>
      </c>
      <c r="O3522" s="3">
        <v>7.4999999999999997E-2</v>
      </c>
      <c r="P3522" s="3">
        <v>0.49999999999999994</v>
      </c>
      <c r="Q3522" s="3">
        <v>0.59974020719528198</v>
      </c>
    </row>
    <row r="3523" spans="1:17" x14ac:dyDescent="0.45">
      <c r="A3523" s="3">
        <v>77048</v>
      </c>
      <c r="B3523" t="b">
        <v>0</v>
      </c>
      <c r="C3523" t="b">
        <v>0</v>
      </c>
      <c r="D3523" s="3">
        <v>1951</v>
      </c>
      <c r="E3523" s="3">
        <v>1951</v>
      </c>
      <c r="F3523" t="s">
        <v>9825</v>
      </c>
      <c r="G3523" t="s">
        <v>9826</v>
      </c>
      <c r="H3523" s="3">
        <v>26.613900000000001</v>
      </c>
      <c r="I3523" t="s">
        <v>2385</v>
      </c>
      <c r="J3523" t="s">
        <v>12697</v>
      </c>
      <c r="L3523" t="s">
        <v>9827</v>
      </c>
      <c r="M3523" t="str">
        <f>"https://www.artic.edu/iiif/2/"&amp;Table9[[#This Row],[Image ID]]&amp;"/full/843,/0/default.jpg"</f>
        <v>https://www.artic.edu/iiif/2/76c91d55-8966-09b8-a754-2fbef865893f/full/843,/0/default.jpg</v>
      </c>
      <c r="N3523" s="3">
        <v>0.57499999999999996</v>
      </c>
      <c r="O3523" s="3">
        <v>7.4999999999999997E-2</v>
      </c>
      <c r="P3523" s="3">
        <v>0.49999999999999994</v>
      </c>
      <c r="Q3523" s="3">
        <v>0.64082372188568104</v>
      </c>
    </row>
    <row r="3524" spans="1:17" x14ac:dyDescent="0.45">
      <c r="A3524" s="3">
        <v>217465</v>
      </c>
      <c r="B3524" t="b">
        <v>0</v>
      </c>
      <c r="C3524" t="b">
        <v>0</v>
      </c>
      <c r="D3524" s="3">
        <v>1962</v>
      </c>
      <c r="E3524" s="3">
        <v>1972</v>
      </c>
      <c r="F3524" t="s">
        <v>5704</v>
      </c>
      <c r="G3524" t="s">
        <v>5705</v>
      </c>
      <c r="H3524" s="3">
        <v>20.579599999999999</v>
      </c>
      <c r="I3524" t="s">
        <v>2287</v>
      </c>
      <c r="J3524" t="s">
        <v>13342</v>
      </c>
      <c r="L3524" t="s">
        <v>5706</v>
      </c>
      <c r="M3524" t="str">
        <f>"https://www.artic.edu/iiif/2/"&amp;Table9[[#This Row],[Image ID]]&amp;"/full/843,/0/default.jpg"</f>
        <v>https://www.artic.edu/iiif/2/a7d62496-f637-537c-4e8e-ff1bbb476583/full/843,/0/default.jpg</v>
      </c>
      <c r="N3524" s="3">
        <v>0.57499999999999996</v>
      </c>
      <c r="O3524" s="3">
        <v>7.4999999999999997E-2</v>
      </c>
      <c r="P3524" s="3">
        <v>0.49999999999999994</v>
      </c>
      <c r="Q3524" s="3">
        <v>0.82595604658126798</v>
      </c>
    </row>
    <row r="3525" spans="1:17" x14ac:dyDescent="0.45">
      <c r="A3525" s="3">
        <v>2911</v>
      </c>
      <c r="B3525" t="b">
        <v>0</v>
      </c>
      <c r="C3525" t="b">
        <v>0</v>
      </c>
      <c r="D3525" s="3">
        <v>1910</v>
      </c>
      <c r="E3525" s="3">
        <v>1910</v>
      </c>
      <c r="F3525" t="s">
        <v>6872</v>
      </c>
      <c r="G3525" t="s">
        <v>6873</v>
      </c>
      <c r="H3525" s="3">
        <v>28.586099999999998</v>
      </c>
      <c r="I3525" t="s">
        <v>949</v>
      </c>
      <c r="J3525" t="s">
        <v>13430</v>
      </c>
      <c r="L3525" t="s">
        <v>6874</v>
      </c>
      <c r="M3525" t="str">
        <f>"https://www.artic.edu/iiif/2/"&amp;Table9[[#This Row],[Image ID]]&amp;"/full/843,/0/default.jpg"</f>
        <v>https://www.artic.edu/iiif/2/ae94411c-2348-0c03-6116-dd35291b76a2/full/843,/0/default.jpg</v>
      </c>
      <c r="N3525" s="3">
        <v>0.57499999999999996</v>
      </c>
      <c r="O3525" s="3">
        <v>7.4999999999999997E-2</v>
      </c>
      <c r="P3525" s="3">
        <v>0.49999999999999994</v>
      </c>
      <c r="Q3525" s="3">
        <v>0.62444376945495605</v>
      </c>
    </row>
    <row r="3526" spans="1:17" x14ac:dyDescent="0.45">
      <c r="A3526" s="3">
        <v>66147</v>
      </c>
      <c r="B3526" t="b">
        <v>0</v>
      </c>
      <c r="C3526" t="b">
        <v>0</v>
      </c>
      <c r="D3526" s="3">
        <v>1905</v>
      </c>
      <c r="E3526" s="3">
        <v>1905</v>
      </c>
      <c r="F3526" t="s">
        <v>9195</v>
      </c>
      <c r="G3526" t="s">
        <v>75</v>
      </c>
      <c r="H3526" s="3">
        <v>36.976799999999997</v>
      </c>
      <c r="I3526" t="s">
        <v>8663</v>
      </c>
      <c r="J3526" t="s">
        <v>13432</v>
      </c>
      <c r="L3526" t="s">
        <v>9196</v>
      </c>
      <c r="M3526" t="str">
        <f>"https://www.artic.edu/iiif/2/"&amp;Table9[[#This Row],[Image ID]]&amp;"/full/843,/0/default.jpg"</f>
        <v>https://www.artic.edu/iiif/2/ae9fccd6-8749-b82f-1170-25d9870f0ab4/full/843,/0/default.jpg</v>
      </c>
      <c r="N3526" s="3">
        <v>0.57499999999999996</v>
      </c>
      <c r="O3526" s="3">
        <v>7.4999999999999997E-2</v>
      </c>
      <c r="P3526" s="3">
        <v>0.49999999999999994</v>
      </c>
      <c r="Q3526" s="3">
        <v>0.51641970872878995</v>
      </c>
    </row>
    <row r="3527" spans="1:17" x14ac:dyDescent="0.45">
      <c r="A3527" s="3">
        <v>102091</v>
      </c>
      <c r="B3527" t="b">
        <v>0</v>
      </c>
      <c r="C3527" t="b">
        <v>0</v>
      </c>
      <c r="D3527" s="3">
        <v>1395</v>
      </c>
      <c r="E3527" s="3">
        <v>1405</v>
      </c>
      <c r="F3527" t="s">
        <v>215</v>
      </c>
      <c r="G3527" t="s">
        <v>216</v>
      </c>
      <c r="H3527" s="3">
        <v>43.796300000000002</v>
      </c>
      <c r="I3527" t="s">
        <v>217</v>
      </c>
      <c r="J3527" t="s">
        <v>219</v>
      </c>
      <c r="L3527" t="s">
        <v>218</v>
      </c>
      <c r="M3527" t="str">
        <f>"https://www.artic.edu/iiif/2/"&amp;Table9[[#This Row],[Image ID]]&amp;"/full/843,/0/default.jpg"</f>
        <v>https://www.artic.edu/iiif/2/dce925a0-e19a-8d7b-851d-a64a5edbcd88/full/843,/0/default.jpg</v>
      </c>
      <c r="N3527" s="3">
        <v>0.57499999999999996</v>
      </c>
      <c r="O3527" s="3">
        <v>7.4999999999999997E-2</v>
      </c>
      <c r="P3527" s="3">
        <v>0.49999999999999994</v>
      </c>
      <c r="Q3527" s="3">
        <v>0.820606589317321</v>
      </c>
    </row>
    <row r="3528" spans="1:17" x14ac:dyDescent="0.45">
      <c r="A3528" s="3">
        <v>97391</v>
      </c>
      <c r="B3528" t="b">
        <v>0</v>
      </c>
      <c r="C3528" t="b">
        <v>0</v>
      </c>
      <c r="D3528" s="3">
        <v>1981</v>
      </c>
      <c r="E3528" s="3">
        <v>1981</v>
      </c>
      <c r="F3528" t="s">
        <v>10814</v>
      </c>
      <c r="G3528" t="s">
        <v>7</v>
      </c>
      <c r="H3528" s="3">
        <v>66.148399999999995</v>
      </c>
      <c r="I3528" t="s">
        <v>464</v>
      </c>
      <c r="J3528" t="s">
        <v>14070</v>
      </c>
      <c r="L3528" t="s">
        <v>10815</v>
      </c>
      <c r="M3528" t="str">
        <f>"https://www.artic.edu/iiif/2/"&amp;Table9[[#This Row],[Image ID]]&amp;"/full/843,/0/default.jpg"</f>
        <v>https://www.artic.edu/iiif/2/e093eeed-ebab-ecbe-72bf-b14229f18cac/full/843,/0/default.jpg</v>
      </c>
      <c r="N3528" s="3">
        <v>0.57499999999999996</v>
      </c>
      <c r="O3528" s="3">
        <v>7.4999999999999997E-2</v>
      </c>
      <c r="P3528" s="3">
        <v>0.49999999999999994</v>
      </c>
      <c r="Q3528" s="3">
        <v>0.72611922025680498</v>
      </c>
    </row>
    <row r="3529" spans="1:17" x14ac:dyDescent="0.45">
      <c r="A3529" s="3">
        <v>113269</v>
      </c>
      <c r="B3529" t="b">
        <v>0</v>
      </c>
      <c r="C3529" t="b">
        <v>0</v>
      </c>
      <c r="D3529" s="3">
        <v>1919</v>
      </c>
      <c r="E3529" s="3">
        <v>1942</v>
      </c>
      <c r="F3529" t="s">
        <v>1402</v>
      </c>
      <c r="G3529" t="s">
        <v>1403</v>
      </c>
      <c r="H3529" s="3">
        <v>44.524799999999999</v>
      </c>
      <c r="I3529" t="s">
        <v>1404</v>
      </c>
      <c r="J3529" t="s">
        <v>14236</v>
      </c>
      <c r="L3529" t="s">
        <v>1405</v>
      </c>
      <c r="M3529" t="str">
        <f>"https://www.artic.edu/iiif/2/"&amp;Table9[[#This Row],[Image ID]]&amp;"/full/843,/0/default.jpg"</f>
        <v>https://www.artic.edu/iiif/2/eb05771d-e9ea-9a90-e46f-0c1f4a797e8a/full/843,/0/default.jpg</v>
      </c>
      <c r="N3529" s="3">
        <v>0.57099999999999995</v>
      </c>
      <c r="O3529" s="3">
        <v>7.0999999999999994E-2</v>
      </c>
      <c r="P3529" s="3">
        <v>0.49999999999999994</v>
      </c>
      <c r="Q3529" s="3">
        <v>0.74952119588851895</v>
      </c>
    </row>
    <row r="3530" spans="1:17" x14ac:dyDescent="0.45">
      <c r="A3530" s="3">
        <v>80494</v>
      </c>
      <c r="B3530" t="b">
        <v>0</v>
      </c>
      <c r="C3530" t="b">
        <v>0</v>
      </c>
      <c r="D3530" s="3">
        <v>1920</v>
      </c>
      <c r="E3530" s="3">
        <v>1920</v>
      </c>
      <c r="F3530" t="s">
        <v>9981</v>
      </c>
      <c r="G3530" t="s">
        <v>7</v>
      </c>
      <c r="H3530" s="3">
        <v>0</v>
      </c>
      <c r="I3530" t="s">
        <v>4516</v>
      </c>
      <c r="J3530" t="s">
        <v>11588</v>
      </c>
      <c r="L3530" t="s">
        <v>9982</v>
      </c>
      <c r="M3530" t="str">
        <f>"https://www.artic.edu/iiif/2/"&amp;Table9[[#This Row],[Image ID]]&amp;"/full/843,/0/default.jpg"</f>
        <v>https://www.artic.edu/iiif/2/efe1e754-dd9e-cbdb-c517-eec0c1c43c68/full/843,/0/default.jpg</v>
      </c>
      <c r="N3530" s="3">
        <v>0.57499999999999996</v>
      </c>
      <c r="O3530" s="3">
        <v>7.4999999999999997E-2</v>
      </c>
      <c r="P3530" s="3">
        <v>0.49999999999999994</v>
      </c>
      <c r="Q3530" s="3">
        <v>0.74430280923843295</v>
      </c>
    </row>
    <row r="3531" spans="1:17" x14ac:dyDescent="0.45">
      <c r="A3531" s="3">
        <v>53195</v>
      </c>
      <c r="B3531" t="b">
        <v>0</v>
      </c>
      <c r="C3531" t="b">
        <v>0</v>
      </c>
      <c r="D3531" s="3">
        <v>1978</v>
      </c>
      <c r="E3531" s="3">
        <v>1978</v>
      </c>
      <c r="F3531" t="s">
        <v>8246</v>
      </c>
      <c r="G3531" t="s">
        <v>3118</v>
      </c>
      <c r="H3531" s="3">
        <v>36.226799999999997</v>
      </c>
      <c r="I3531" t="s">
        <v>8247</v>
      </c>
      <c r="J3531" t="s">
        <v>14372</v>
      </c>
      <c r="L3531" t="s">
        <v>8248</v>
      </c>
      <c r="M3531" t="str">
        <f>"https://www.artic.edu/iiif/2/"&amp;Table9[[#This Row],[Image ID]]&amp;"/full/843,/0/default.jpg"</f>
        <v>https://www.artic.edu/iiif/2/f4b64ea3-3a09-ef99-a418-05ac815056f1/full/843,/0/default.jpg</v>
      </c>
      <c r="N3531" s="3">
        <v>0.57499999999999996</v>
      </c>
      <c r="O3531" s="3">
        <v>7.4999999999999997E-2</v>
      </c>
      <c r="P3531" s="3">
        <v>0.49999999999999994</v>
      </c>
      <c r="Q3531" s="3">
        <v>0.78481692075729304</v>
      </c>
    </row>
    <row r="3532" spans="1:17" x14ac:dyDescent="0.45">
      <c r="A3532" s="3">
        <v>66004</v>
      </c>
      <c r="B3532" t="b">
        <v>0</v>
      </c>
      <c r="C3532" t="b">
        <v>0</v>
      </c>
      <c r="D3532" s="3">
        <v>1930</v>
      </c>
      <c r="E3532" s="3">
        <v>1930</v>
      </c>
      <c r="F3532" t="s">
        <v>9151</v>
      </c>
      <c r="G3532" t="s">
        <v>9152</v>
      </c>
      <c r="H3532" s="3">
        <v>33.844299999999997</v>
      </c>
      <c r="I3532" t="s">
        <v>949</v>
      </c>
      <c r="J3532" t="s">
        <v>13513</v>
      </c>
      <c r="L3532" t="s">
        <v>9153</v>
      </c>
      <c r="M3532" t="str">
        <f>"https://www.artic.edu/iiif/2/"&amp;Table9[[#This Row],[Image ID]]&amp;"/full/843,/0/default.jpg"</f>
        <v>https://www.artic.edu/iiif/2/b55a51c4-14f2-8373-8dee-83b88474a3c0/full/843,/0/default.jpg</v>
      </c>
      <c r="N3532" s="3">
        <v>0.55600000000000005</v>
      </c>
      <c r="O3532" s="3">
        <v>6.7000000000000004E-2</v>
      </c>
      <c r="P3532" s="3">
        <v>0.48900000000000005</v>
      </c>
      <c r="Q3532" s="3">
        <v>0.68311333656311002</v>
      </c>
    </row>
    <row r="3533" spans="1:17" x14ac:dyDescent="0.45">
      <c r="A3533" s="3">
        <v>83915</v>
      </c>
      <c r="B3533" t="b">
        <v>0</v>
      </c>
      <c r="C3533" t="b">
        <v>0</v>
      </c>
      <c r="D3533" s="3">
        <v>1955</v>
      </c>
      <c r="E3533" s="3">
        <v>1955</v>
      </c>
      <c r="F3533" t="s">
        <v>10242</v>
      </c>
      <c r="G3533" t="s">
        <v>272</v>
      </c>
      <c r="H3533" s="3">
        <v>0</v>
      </c>
      <c r="I3533" t="s">
        <v>3900</v>
      </c>
      <c r="J3533" t="s">
        <v>13584</v>
      </c>
      <c r="L3533" t="s">
        <v>10243</v>
      </c>
      <c r="M3533" t="str">
        <f>"https://www.artic.edu/iiif/2/"&amp;Table9[[#This Row],[Image ID]]&amp;"/full/843,/0/default.jpg"</f>
        <v>https://www.artic.edu/iiif/2/bb09b66b-3fa6-f16d-b136-4420d10b9705/full/843,/0/default.jpg</v>
      </c>
      <c r="N3533" s="3">
        <v>0.68899999999999995</v>
      </c>
      <c r="O3533" s="3">
        <v>0.2</v>
      </c>
      <c r="P3533" s="3">
        <v>0.48899999999999993</v>
      </c>
      <c r="Q3533" s="3">
        <v>0.60524523258209195</v>
      </c>
    </row>
    <row r="3534" spans="1:17" x14ac:dyDescent="0.45">
      <c r="A3534" s="3">
        <v>114691</v>
      </c>
      <c r="B3534" t="b">
        <v>0</v>
      </c>
      <c r="C3534" t="b">
        <v>1</v>
      </c>
      <c r="D3534" s="3">
        <v>1750</v>
      </c>
      <c r="E3534" s="3">
        <v>1850</v>
      </c>
      <c r="F3534" t="s">
        <v>1697</v>
      </c>
      <c r="G3534" t="s">
        <v>1698</v>
      </c>
      <c r="H3534" s="3">
        <v>22.2942</v>
      </c>
      <c r="I3534" t="s">
        <v>16</v>
      </c>
      <c r="J3534" t="s">
        <v>11427</v>
      </c>
      <c r="L3534" t="s">
        <v>1699</v>
      </c>
      <c r="M3534" t="str">
        <f>"https://www.artic.edu/iiif/2/"&amp;Table9[[#This Row],[Image ID]]&amp;"/full/843,/0/default.jpg"</f>
        <v>https://www.artic.edu/iiif/2/1ff0d690-817b-44ed-49b2-eae2f6030545/full/843,/0/default.jpg</v>
      </c>
      <c r="N3534" s="3">
        <v>0.68300000000000005</v>
      </c>
      <c r="O3534" s="3">
        <v>0.19500000000000001</v>
      </c>
      <c r="P3534" s="3">
        <v>0.48800000000000004</v>
      </c>
      <c r="Q3534" s="3">
        <v>0.736810982227325</v>
      </c>
    </row>
    <row r="3535" spans="1:17" x14ac:dyDescent="0.45">
      <c r="A3535" s="3">
        <v>27777</v>
      </c>
      <c r="B3535" t="b">
        <v>0</v>
      </c>
      <c r="C3535" t="b">
        <v>1</v>
      </c>
      <c r="D3535" s="3">
        <v>1882</v>
      </c>
      <c r="E3535" s="3">
        <v>1882</v>
      </c>
      <c r="F3535" t="s">
        <v>2785</v>
      </c>
      <c r="G3535" t="s">
        <v>2629</v>
      </c>
      <c r="H3535" s="3">
        <v>29.789000000000001</v>
      </c>
      <c r="I3535" t="s">
        <v>908</v>
      </c>
      <c r="J3535" t="s">
        <v>11548</v>
      </c>
      <c r="L3535" t="s">
        <v>6740</v>
      </c>
      <c r="M3535" t="str">
        <f>"https://www.artic.edu/iiif/2/"&amp;Table9[[#This Row],[Image ID]]&amp;"/full/843,/0/default.jpg"</f>
        <v>https://www.artic.edu/iiif/2/27a32fa4-9517-3ba2-fe0c-3ffcf44df04f/full/843,/0/default.jpg</v>
      </c>
      <c r="N3535" s="3">
        <v>0.53700000000000003</v>
      </c>
      <c r="O3535" s="3">
        <v>4.9000000000000002E-2</v>
      </c>
      <c r="P3535" s="3">
        <v>0.48800000000000004</v>
      </c>
      <c r="Q3535" s="3">
        <v>0.79303902387618996</v>
      </c>
    </row>
    <row r="3536" spans="1:17" x14ac:dyDescent="0.45">
      <c r="A3536" s="3">
        <v>94077</v>
      </c>
      <c r="B3536" t="b">
        <v>0</v>
      </c>
      <c r="C3536" t="b">
        <v>1</v>
      </c>
      <c r="D3536" s="3">
        <v>1880</v>
      </c>
      <c r="E3536" s="3">
        <v>1889</v>
      </c>
      <c r="F3536" t="s">
        <v>10719</v>
      </c>
      <c r="G3536" t="s">
        <v>2072</v>
      </c>
      <c r="H3536" s="3">
        <v>39.016300000000001</v>
      </c>
      <c r="I3536" t="s">
        <v>2879</v>
      </c>
      <c r="J3536" t="s">
        <v>11686</v>
      </c>
      <c r="L3536" t="s">
        <v>10720</v>
      </c>
      <c r="M3536" t="str">
        <f>"https://www.artic.edu/iiif/2/"&amp;Table9[[#This Row],[Image ID]]&amp;"/full/843,/0/default.jpg"</f>
        <v>https://www.artic.edu/iiif/2/30a318bf-3eda-cb15-674a-8d34c2a159a9/full/843,/0/default.jpg</v>
      </c>
      <c r="N3536" s="3">
        <v>0.68300000000000005</v>
      </c>
      <c r="O3536" s="3">
        <v>0.19500000000000001</v>
      </c>
      <c r="P3536" s="3">
        <v>0.48800000000000004</v>
      </c>
      <c r="Q3536" s="3">
        <v>0.58909320831298795</v>
      </c>
    </row>
    <row r="3537" spans="1:17" x14ac:dyDescent="0.45">
      <c r="A3537" s="3">
        <v>97456</v>
      </c>
      <c r="B3537" t="b">
        <v>0</v>
      </c>
      <c r="C3537" t="b">
        <v>1</v>
      </c>
      <c r="D3537" s="3">
        <v>1858</v>
      </c>
      <c r="E3537" s="3">
        <v>1888</v>
      </c>
      <c r="F3537" t="s">
        <v>10848</v>
      </c>
      <c r="G3537" t="s">
        <v>10849</v>
      </c>
      <c r="H3537" s="3">
        <v>12.594799999999999</v>
      </c>
      <c r="I3537" t="s">
        <v>1314</v>
      </c>
      <c r="J3537" t="s">
        <v>13559</v>
      </c>
      <c r="L3537" t="s">
        <v>10850</v>
      </c>
      <c r="M3537" t="str">
        <f>"https://www.artic.edu/iiif/2/"&amp;Table9[[#This Row],[Image ID]]&amp;"/full/843,/0/default.jpg"</f>
        <v>https://www.artic.edu/iiif/2/b95ec01f-d270-a0f6-c6fc-8ab719726d37/full/843,/0/default.jpg</v>
      </c>
      <c r="N3537" s="3">
        <v>0.53700000000000003</v>
      </c>
      <c r="O3537" s="3">
        <v>4.9000000000000002E-2</v>
      </c>
      <c r="P3537" s="3">
        <v>0.48800000000000004</v>
      </c>
      <c r="Q3537" s="3">
        <v>0.69067519903182895</v>
      </c>
    </row>
    <row r="3538" spans="1:17" ht="99.75" x14ac:dyDescent="0.45">
      <c r="A3538" s="3">
        <v>15496</v>
      </c>
      <c r="B3538" t="b">
        <v>0</v>
      </c>
      <c r="C3538" t="b">
        <v>1</v>
      </c>
      <c r="D3538" s="3">
        <v>1507</v>
      </c>
      <c r="E3538" s="3">
        <v>1510</v>
      </c>
      <c r="F3538" t="s">
        <v>4003</v>
      </c>
      <c r="G3538" t="s">
        <v>75</v>
      </c>
      <c r="H3538" s="3">
        <v>43.414700000000003</v>
      </c>
      <c r="I3538" t="s">
        <v>4004</v>
      </c>
      <c r="J3538" s="1" t="s">
        <v>13726</v>
      </c>
      <c r="L3538" t="s">
        <v>4005</v>
      </c>
      <c r="M3538" t="str">
        <f>"https://www.artic.edu/iiif/2/"&amp;Table9[[#This Row],[Image ID]]&amp;"/full/843,/0/default.jpg"</f>
        <v>https://www.artic.edu/iiif/2/c6962747-4875-eb15-f28c-523ce2d3d174/full/843,/0/default.jpg</v>
      </c>
      <c r="N3538" s="3">
        <v>0.56100000000000005</v>
      </c>
      <c r="O3538" s="3">
        <v>7.2999999999999995E-2</v>
      </c>
      <c r="P3538" s="3">
        <v>0.48800000000000004</v>
      </c>
      <c r="Q3538" s="3">
        <v>0.70460993051528897</v>
      </c>
    </row>
    <row r="3539" spans="1:17" ht="85.5" x14ac:dyDescent="0.45">
      <c r="A3539" s="3">
        <v>111671</v>
      </c>
      <c r="B3539" t="b">
        <v>0</v>
      </c>
      <c r="C3539" t="b">
        <v>1</v>
      </c>
      <c r="D3539" s="3">
        <v>1505</v>
      </c>
      <c r="E3539" s="3">
        <v>1525</v>
      </c>
      <c r="F3539" t="s">
        <v>1237</v>
      </c>
      <c r="G3539" t="s">
        <v>1234</v>
      </c>
      <c r="H3539" s="3">
        <v>25.734999999999999</v>
      </c>
      <c r="I3539" t="s">
        <v>1235</v>
      </c>
      <c r="J3539" s="1" t="s">
        <v>13815</v>
      </c>
      <c r="L3539" t="s">
        <v>1238</v>
      </c>
      <c r="M3539" t="str">
        <f>"https://www.artic.edu/iiif/2/"&amp;Table9[[#This Row],[Image ID]]&amp;"/full/843,/0/default.jpg"</f>
        <v>https://www.artic.edu/iiif/2/cd544f40-0226-b2ce-cf8a-419fde75d643/full/843,/0/default.jpg</v>
      </c>
      <c r="N3539" s="3">
        <v>0.55800000000000005</v>
      </c>
      <c r="O3539" s="3">
        <v>7.0000000000000007E-2</v>
      </c>
      <c r="P3539" s="3">
        <v>0.48800000000000004</v>
      </c>
      <c r="Q3539" s="3">
        <v>0.67334008216857899</v>
      </c>
    </row>
    <row r="3540" spans="1:17" x14ac:dyDescent="0.45">
      <c r="A3540" s="3">
        <v>29181</v>
      </c>
      <c r="B3540" t="b">
        <v>0</v>
      </c>
      <c r="C3540" t="b">
        <v>1</v>
      </c>
      <c r="D3540" s="3">
        <v>1843</v>
      </c>
      <c r="E3540" s="3">
        <v>1888</v>
      </c>
      <c r="F3540" t="s">
        <v>6892</v>
      </c>
      <c r="G3540" t="s">
        <v>1552</v>
      </c>
      <c r="H3540" s="3">
        <v>25.499600000000001</v>
      </c>
      <c r="I3540" t="s">
        <v>1314</v>
      </c>
      <c r="J3540" t="s">
        <v>14362</v>
      </c>
      <c r="L3540" t="s">
        <v>6893</v>
      </c>
      <c r="M3540" t="str">
        <f>"https://www.artic.edu/iiif/2/"&amp;Table9[[#This Row],[Image ID]]&amp;"/full/843,/0/default.jpg"</f>
        <v>https://www.artic.edu/iiif/2/f36d46c0-a885-c81d-c9dd-605b4880f2c2/full/843,/0/default.jpg</v>
      </c>
      <c r="N3540" s="3">
        <v>0.53700000000000003</v>
      </c>
      <c r="O3540" s="3">
        <v>4.9000000000000002E-2</v>
      </c>
      <c r="P3540" s="3">
        <v>0.48800000000000004</v>
      </c>
      <c r="Q3540" s="3">
        <v>0.60203236341476396</v>
      </c>
    </row>
    <row r="3541" spans="1:17" x14ac:dyDescent="0.45">
      <c r="A3541" s="3">
        <v>94012</v>
      </c>
      <c r="B3541" t="b">
        <v>0</v>
      </c>
      <c r="C3541" t="b">
        <v>0</v>
      </c>
      <c r="D3541" s="3">
        <v>1967</v>
      </c>
      <c r="E3541" s="3">
        <v>1967</v>
      </c>
      <c r="F3541" t="s">
        <v>10677</v>
      </c>
      <c r="G3541" t="s">
        <v>10678</v>
      </c>
      <c r="H3541" s="3">
        <v>27.050699999999999</v>
      </c>
      <c r="I3541" t="s">
        <v>378</v>
      </c>
      <c r="J3541" t="s">
        <v>11152</v>
      </c>
      <c r="L3541" t="s">
        <v>10679</v>
      </c>
      <c r="M3541" t="str">
        <f>"https://www.artic.edu/iiif/2/"&amp;Table9[[#This Row],[Image ID]]&amp;"/full/843,/0/default.jpg"</f>
        <v>https://www.artic.edu/iiif/2/0d85f891-1d90-ddbc-0485-da7a0212e07c/full/843,/0/default.jpg</v>
      </c>
      <c r="N3541" s="3">
        <v>0.68300000000000005</v>
      </c>
      <c r="O3541" s="3">
        <v>0.19500000000000001</v>
      </c>
      <c r="P3541" s="3">
        <v>0.48800000000000004</v>
      </c>
      <c r="Q3541" s="3">
        <v>0.68757688999176003</v>
      </c>
    </row>
    <row r="3542" spans="1:17" x14ac:dyDescent="0.45">
      <c r="A3542" s="3">
        <v>27317</v>
      </c>
      <c r="B3542" t="b">
        <v>0</v>
      </c>
      <c r="C3542" t="b">
        <v>0</v>
      </c>
      <c r="D3542" s="3">
        <v>1937</v>
      </c>
      <c r="E3542" s="3">
        <v>1937</v>
      </c>
      <c r="F3542" t="s">
        <v>6725</v>
      </c>
      <c r="G3542" t="s">
        <v>5556</v>
      </c>
      <c r="H3542" s="3">
        <v>15.450699999999999</v>
      </c>
      <c r="I3542" t="s">
        <v>6726</v>
      </c>
      <c r="J3542" t="s">
        <v>12528</v>
      </c>
      <c r="L3542" t="s">
        <v>6727</v>
      </c>
      <c r="M3542" t="str">
        <f>"https://www.artic.edu/iiif/2/"&amp;Table9[[#This Row],[Image ID]]&amp;"/full/843,/0/default.jpg"</f>
        <v>https://www.artic.edu/iiif/2/6ab5951d-068c-ba4e-c451-b16bc7b1b7b7/full/843,/0/default.jpg</v>
      </c>
      <c r="N3542" s="3">
        <v>0.53700000000000003</v>
      </c>
      <c r="O3542" s="3">
        <v>4.9000000000000002E-2</v>
      </c>
      <c r="P3542" s="3">
        <v>0.48800000000000004</v>
      </c>
      <c r="Q3542" s="3">
        <v>0.64378160238265902</v>
      </c>
    </row>
    <row r="3543" spans="1:17" x14ac:dyDescent="0.45">
      <c r="A3543" s="3">
        <v>115823</v>
      </c>
      <c r="B3543" t="b">
        <v>0</v>
      </c>
      <c r="C3543" t="b">
        <v>0</v>
      </c>
      <c r="D3543" s="3">
        <v>1905</v>
      </c>
      <c r="E3543" s="3">
        <v>1905</v>
      </c>
      <c r="F3543" t="s">
        <v>2108</v>
      </c>
      <c r="G3543" t="s">
        <v>164</v>
      </c>
      <c r="H3543" s="3">
        <v>38.936799999999998</v>
      </c>
      <c r="I3543" t="s">
        <v>2109</v>
      </c>
      <c r="J3543" t="s">
        <v>12672</v>
      </c>
      <c r="L3543" t="s">
        <v>2110</v>
      </c>
      <c r="M3543" t="str">
        <f>"https://www.artic.edu/iiif/2/"&amp;Table9[[#This Row],[Image ID]]&amp;"/full/843,/0/default.jpg"</f>
        <v>https://www.artic.edu/iiif/2/75038306-4359-b2f4-8d47-2ec88704269d/full/843,/0/default.jpg</v>
      </c>
      <c r="N3543" s="3">
        <v>0.56100000000000005</v>
      </c>
      <c r="O3543" s="3">
        <v>7.2999999999999995E-2</v>
      </c>
      <c r="P3543" s="3">
        <v>0.48800000000000004</v>
      </c>
      <c r="Q3543" s="3">
        <v>0.489210605621337</v>
      </c>
    </row>
    <row r="3544" spans="1:17" x14ac:dyDescent="0.45">
      <c r="A3544" s="3">
        <v>200684</v>
      </c>
      <c r="B3544" t="b">
        <v>0</v>
      </c>
      <c r="C3544" t="b">
        <v>0</v>
      </c>
      <c r="D3544" s="3">
        <v>1940</v>
      </c>
      <c r="E3544" s="3">
        <v>1940</v>
      </c>
      <c r="F3544" t="s">
        <v>5329</v>
      </c>
      <c r="G3544" t="s">
        <v>2765</v>
      </c>
      <c r="H3544" s="3">
        <v>22.469000000000001</v>
      </c>
      <c r="I3544" t="s">
        <v>914</v>
      </c>
      <c r="J3544" t="s">
        <v>13056</v>
      </c>
      <c r="L3544" t="s">
        <v>5330</v>
      </c>
      <c r="M3544" t="str">
        <f>"https://www.artic.edu/iiif/2/"&amp;Table9[[#This Row],[Image ID]]&amp;"/full/843,/0/default.jpg"</f>
        <v>https://www.artic.edu/iiif/2/92821a3e-fa69-8bfc-fd44-7d1ff46de1a7/full/843,/0/default.jpg</v>
      </c>
      <c r="N3544" s="3">
        <v>0.68300000000000005</v>
      </c>
      <c r="O3544" s="3">
        <v>0.19500000000000001</v>
      </c>
      <c r="P3544" s="3">
        <v>0.48800000000000004</v>
      </c>
      <c r="Q3544" s="3">
        <v>0.51191270351409901</v>
      </c>
    </row>
    <row r="3545" spans="1:17" x14ac:dyDescent="0.45">
      <c r="A3545" s="3">
        <v>79602</v>
      </c>
      <c r="B3545" t="b">
        <v>0</v>
      </c>
      <c r="C3545" t="b">
        <v>0</v>
      </c>
      <c r="D3545" s="3">
        <v>1953</v>
      </c>
      <c r="E3545" s="3">
        <v>1953</v>
      </c>
      <c r="F3545" t="s">
        <v>9910</v>
      </c>
      <c r="G3545" t="s">
        <v>7</v>
      </c>
      <c r="H3545" s="3">
        <v>24.954999999999998</v>
      </c>
      <c r="I3545" t="s">
        <v>8441</v>
      </c>
      <c r="J3545" t="s">
        <v>13347</v>
      </c>
      <c r="L3545" t="s">
        <v>9911</v>
      </c>
      <c r="M3545" t="str">
        <f>"https://www.artic.edu/iiif/2/"&amp;Table9[[#This Row],[Image ID]]&amp;"/full/843,/0/default.jpg"</f>
        <v>https://www.artic.edu/iiif/2/a80da6fd-acb6-9e01-261b-ae80e39bdfb1/full/843,/0/default.jpg</v>
      </c>
      <c r="N3545" s="3">
        <v>0.53700000000000003</v>
      </c>
      <c r="O3545" s="3">
        <v>4.9000000000000002E-2</v>
      </c>
      <c r="P3545" s="3">
        <v>0.48800000000000004</v>
      </c>
      <c r="Q3545" s="3">
        <v>0.79206287860870295</v>
      </c>
    </row>
    <row r="3546" spans="1:17" x14ac:dyDescent="0.45">
      <c r="A3546" s="3">
        <v>117281</v>
      </c>
      <c r="B3546" t="b">
        <v>0</v>
      </c>
      <c r="C3546" t="b">
        <v>0</v>
      </c>
      <c r="D3546" s="3">
        <v>1905</v>
      </c>
      <c r="E3546" s="3">
        <v>1965</v>
      </c>
      <c r="F3546" t="s">
        <v>2276</v>
      </c>
      <c r="G3546" t="s">
        <v>2277</v>
      </c>
      <c r="H3546" s="3">
        <v>17.339700000000001</v>
      </c>
      <c r="I3546" t="s">
        <v>849</v>
      </c>
      <c r="J3546" t="s">
        <v>14458</v>
      </c>
      <c r="L3546" t="s">
        <v>2278</v>
      </c>
      <c r="M3546" t="str">
        <f>"https://www.artic.edu/iiif/2/"&amp;Table9[[#This Row],[Image ID]]&amp;"/full/843,/0/default.jpg"</f>
        <v>https://www.artic.edu/iiif/2/fa6a2345-4b97-9587-32f0-bd8ebdd835dc/full/843,/0/default.jpg</v>
      </c>
      <c r="N3546" s="3">
        <v>0.53500000000000003</v>
      </c>
      <c r="O3546" s="3">
        <v>4.7E-2</v>
      </c>
      <c r="P3546" s="3">
        <v>0.48800000000000004</v>
      </c>
      <c r="Q3546" s="3">
        <v>0.67773407697677601</v>
      </c>
    </row>
    <row r="3547" spans="1:17" x14ac:dyDescent="0.45">
      <c r="A3547" s="3">
        <v>7536</v>
      </c>
      <c r="B3547" t="b">
        <v>0</v>
      </c>
      <c r="C3547" t="b">
        <v>1</v>
      </c>
      <c r="D3547" s="3">
        <v>1660</v>
      </c>
      <c r="E3547" s="3">
        <v>1750</v>
      </c>
      <c r="F3547" t="s">
        <v>9730</v>
      </c>
      <c r="G3547" t="s">
        <v>5348</v>
      </c>
      <c r="H3547" s="3">
        <v>32.188400000000001</v>
      </c>
      <c r="I3547" t="s">
        <v>9731</v>
      </c>
      <c r="J3547" t="s">
        <v>11182</v>
      </c>
      <c r="L3547" t="s">
        <v>9732</v>
      </c>
      <c r="M3547" t="str">
        <f>"https://www.artic.edu/iiif/2/"&amp;Table9[[#This Row],[Image ID]]&amp;"/full/843,/0/default.jpg"</f>
        <v>https://www.artic.edu/iiif/2/0fb01e26-1dcd-bba2-a146-d0adf183a2b1/full/843,/0/default.jpg</v>
      </c>
      <c r="N3547" s="3">
        <v>0.65900000000000003</v>
      </c>
      <c r="O3547" s="3">
        <v>0.17100000000000001</v>
      </c>
      <c r="P3547" s="3">
        <v>0.48799999999999999</v>
      </c>
      <c r="Q3547" s="3">
        <v>0.69188421964645297</v>
      </c>
    </row>
    <row r="3548" spans="1:17" x14ac:dyDescent="0.45">
      <c r="A3548" s="3">
        <v>81509</v>
      </c>
      <c r="B3548" t="b">
        <v>0</v>
      </c>
      <c r="C3548" t="b">
        <v>1</v>
      </c>
      <c r="D3548" s="3">
        <v>1871</v>
      </c>
      <c r="E3548" s="3">
        <v>1872</v>
      </c>
      <c r="F3548" t="s">
        <v>10105</v>
      </c>
      <c r="G3548" t="s">
        <v>7</v>
      </c>
      <c r="H3548" s="3">
        <v>19.351700000000001</v>
      </c>
      <c r="I3548" t="s">
        <v>1274</v>
      </c>
      <c r="J3548" t="s">
        <v>11523</v>
      </c>
      <c r="L3548" t="s">
        <v>10106</v>
      </c>
      <c r="M3548" t="str">
        <f>"https://www.artic.edu/iiif/2/"&amp;Table9[[#This Row],[Image ID]]&amp;"/full/843,/0/default.jpg"</f>
        <v>https://www.artic.edu/iiif/2/2661329a-3c67-6216-82eb-90c755bb42b8/full/843,/0/default.jpg</v>
      </c>
      <c r="N3548" s="3">
        <v>0.61</v>
      </c>
      <c r="O3548" s="3">
        <v>0.122</v>
      </c>
      <c r="P3548" s="3">
        <v>0.48799999999999999</v>
      </c>
      <c r="Q3548" s="3">
        <v>0.58146274089813199</v>
      </c>
    </row>
    <row r="3549" spans="1:17" x14ac:dyDescent="0.45">
      <c r="A3549" s="3">
        <v>21934</v>
      </c>
      <c r="B3549" t="b">
        <v>0</v>
      </c>
      <c r="C3549" t="b">
        <v>1</v>
      </c>
      <c r="D3549" s="3">
        <v>1618</v>
      </c>
      <c r="E3549" s="3">
        <v>1622</v>
      </c>
      <c r="F3549" t="s">
        <v>5640</v>
      </c>
      <c r="G3549" t="s">
        <v>7</v>
      </c>
      <c r="H3549" s="3">
        <v>13.275600000000001</v>
      </c>
      <c r="I3549" t="s">
        <v>14656</v>
      </c>
      <c r="J3549" t="s">
        <v>12499</v>
      </c>
      <c r="L3549" t="s">
        <v>5777</v>
      </c>
      <c r="M3549" t="str">
        <f>"https://www.artic.edu/iiif/2/"&amp;Table9[[#This Row],[Image ID]]&amp;"/full/843,/0/default.jpg"</f>
        <v>https://www.artic.edu/iiif/2/68452725-eba5-06e3-46d2-50c678a5d672/full/843,/0/default.jpg</v>
      </c>
      <c r="N3549" s="3">
        <v>0.65900000000000003</v>
      </c>
      <c r="O3549" s="3">
        <v>0.17100000000000001</v>
      </c>
      <c r="P3549" s="3">
        <v>0.48799999999999999</v>
      </c>
      <c r="Q3549" s="3">
        <v>0.66632956266403198</v>
      </c>
    </row>
    <row r="3550" spans="1:17" x14ac:dyDescent="0.45">
      <c r="A3550" s="3">
        <v>18951</v>
      </c>
      <c r="B3550" t="b">
        <v>0</v>
      </c>
      <c r="C3550" t="b">
        <v>1</v>
      </c>
      <c r="D3550" s="3">
        <v>1874</v>
      </c>
      <c r="E3550" s="3">
        <v>1876</v>
      </c>
      <c r="F3550" t="s">
        <v>5154</v>
      </c>
      <c r="G3550" t="s">
        <v>7</v>
      </c>
      <c r="H3550" s="3">
        <v>26.317699999999999</v>
      </c>
      <c r="I3550" t="s">
        <v>66</v>
      </c>
      <c r="J3550" t="s">
        <v>13023</v>
      </c>
      <c r="K3550" s="5" t="s">
        <v>9</v>
      </c>
      <c r="L3550" t="s">
        <v>5155</v>
      </c>
      <c r="M3550" t="str">
        <f>"https://www.artic.edu/iiif/2/"&amp;Table9[[#This Row],[Image ID]]&amp;"/full/843,/0/default.jpg"</f>
        <v>https://www.artic.edu/iiif/2/8fe022ba-e358-5cda-aa70-d96edd0b4f20/full/843,/0/default.jpg</v>
      </c>
      <c r="N3550" s="3">
        <v>0.51200000000000001</v>
      </c>
      <c r="O3550" s="3">
        <v>2.4E-2</v>
      </c>
      <c r="P3550" s="3">
        <v>0.48799999999999999</v>
      </c>
      <c r="Q3550" s="3">
        <v>0.62136113643646196</v>
      </c>
    </row>
    <row r="3551" spans="1:17" x14ac:dyDescent="0.45">
      <c r="A3551" s="3">
        <v>113436</v>
      </c>
      <c r="B3551" t="b">
        <v>0</v>
      </c>
      <c r="C3551" t="b">
        <v>1</v>
      </c>
      <c r="D3551" s="3">
        <v>1889</v>
      </c>
      <c r="E3551" s="3">
        <v>1889</v>
      </c>
      <c r="F3551" t="s">
        <v>1444</v>
      </c>
      <c r="G3551" t="s">
        <v>1445</v>
      </c>
      <c r="H3551" s="3">
        <v>21.551100000000002</v>
      </c>
      <c r="I3551" t="s">
        <v>68</v>
      </c>
      <c r="J3551" t="s">
        <v>13309</v>
      </c>
      <c r="L3551" t="s">
        <v>1446</v>
      </c>
      <c r="M3551" t="str">
        <f>"https://www.artic.edu/iiif/2/"&amp;Table9[[#This Row],[Image ID]]&amp;"/full/843,/0/default.jpg"</f>
        <v>https://www.artic.edu/iiif/2/a5dd6416-0d4b-4fa5-2edd-24912d4c6093/full/843,/0/default.jpg</v>
      </c>
      <c r="N3551" s="3">
        <v>0.61</v>
      </c>
      <c r="O3551" s="3">
        <v>0.122</v>
      </c>
      <c r="P3551" s="3">
        <v>0.48799999999999999</v>
      </c>
      <c r="Q3551" s="3">
        <v>0.67743581533431996</v>
      </c>
    </row>
    <row r="3552" spans="1:17" x14ac:dyDescent="0.45">
      <c r="A3552" s="3">
        <v>53058</v>
      </c>
      <c r="B3552" t="b">
        <v>0</v>
      </c>
      <c r="C3552" t="b">
        <v>1</v>
      </c>
      <c r="D3552" s="3">
        <v>1885</v>
      </c>
      <c r="E3552" s="3">
        <v>1885</v>
      </c>
      <c r="F3552" t="s">
        <v>14705</v>
      </c>
      <c r="G3552" t="s">
        <v>7</v>
      </c>
      <c r="H3552" s="3">
        <v>33.063699999999997</v>
      </c>
      <c r="I3552" t="s">
        <v>442</v>
      </c>
      <c r="J3552" t="s">
        <v>13645</v>
      </c>
      <c r="K3552" s="5" t="s">
        <v>9</v>
      </c>
      <c r="L3552" t="s">
        <v>8232</v>
      </c>
      <c r="M3552" t="str">
        <f>"https://www.artic.edu/iiif/2/"&amp;Table9[[#This Row],[Image ID]]&amp;"/full/843,/0/default.jpg"</f>
        <v>https://www.artic.edu/iiif/2/bfc9b17a-cc18-7bd3-4d78-e925bb1a8b27/full/843,/0/default.jpg</v>
      </c>
      <c r="N3552" s="3">
        <v>0.65100000000000002</v>
      </c>
      <c r="O3552" s="3">
        <v>0.16300000000000001</v>
      </c>
      <c r="P3552" s="3">
        <v>0.48799999999999999</v>
      </c>
      <c r="Q3552" s="3">
        <v>0.66028988361358598</v>
      </c>
    </row>
    <row r="3553" spans="1:17" x14ac:dyDescent="0.45">
      <c r="A3553" s="3">
        <v>21750</v>
      </c>
      <c r="B3553" t="b">
        <v>0</v>
      </c>
      <c r="C3553" t="b">
        <v>1</v>
      </c>
      <c r="D3553" s="3">
        <v>1800</v>
      </c>
      <c r="E3553" s="3">
        <v>1800</v>
      </c>
      <c r="F3553" t="s">
        <v>5710</v>
      </c>
      <c r="G3553" t="s">
        <v>5711</v>
      </c>
      <c r="H3553" s="3">
        <v>33.248100000000001</v>
      </c>
      <c r="I3553" t="s">
        <v>1266</v>
      </c>
      <c r="J3553" t="s">
        <v>14049</v>
      </c>
      <c r="L3553" t="s">
        <v>5712</v>
      </c>
      <c r="M3553" t="str">
        <f>"https://www.artic.edu/iiif/2/"&amp;Table9[[#This Row],[Image ID]]&amp;"/full/843,/0/default.jpg"</f>
        <v>https://www.artic.edu/iiif/2/ded36a7a-925c-781e-4385-6e9c3d9b98fa/full/843,/0/default.jpg</v>
      </c>
      <c r="N3553" s="3">
        <v>0.73199999999999998</v>
      </c>
      <c r="O3553" s="3">
        <v>0.24399999999999999</v>
      </c>
      <c r="P3553" s="3">
        <v>0.48799999999999999</v>
      </c>
      <c r="Q3553" s="3">
        <v>0.66326522827148404</v>
      </c>
    </row>
    <row r="3554" spans="1:17" x14ac:dyDescent="0.45">
      <c r="A3554" s="3">
        <v>38929</v>
      </c>
      <c r="B3554" t="b">
        <v>0</v>
      </c>
      <c r="C3554" t="b">
        <v>1</v>
      </c>
      <c r="D3554" s="3">
        <v>1776</v>
      </c>
      <c r="E3554" s="3">
        <v>1827</v>
      </c>
      <c r="F3554" t="s">
        <v>7327</v>
      </c>
      <c r="G3554" t="s">
        <v>7328</v>
      </c>
      <c r="H3554" s="3">
        <v>26.074200000000001</v>
      </c>
      <c r="I3554" t="s">
        <v>1266</v>
      </c>
      <c r="J3554" t="s">
        <v>14218</v>
      </c>
      <c r="L3554" t="s">
        <v>7329</v>
      </c>
      <c r="M3554" t="str">
        <f>"https://www.artic.edu/iiif/2/"&amp;Table9[[#This Row],[Image ID]]&amp;"/full/843,/0/default.jpg"</f>
        <v>https://www.artic.edu/iiif/2/e99d689e-d340-9362-a43d-6184d139f751/full/843,/0/default.jpg</v>
      </c>
      <c r="N3554" s="3">
        <v>0.75600000000000001</v>
      </c>
      <c r="O3554" s="3">
        <v>0.26800000000000002</v>
      </c>
      <c r="P3554" s="3">
        <v>0.48799999999999999</v>
      </c>
      <c r="Q3554" s="3">
        <v>0.59062647819518999</v>
      </c>
    </row>
    <row r="3555" spans="1:17" x14ac:dyDescent="0.45">
      <c r="A3555" s="3">
        <v>16705</v>
      </c>
      <c r="B3555" t="b">
        <v>0</v>
      </c>
      <c r="C3555" t="b">
        <v>0</v>
      </c>
      <c r="D3555" s="3">
        <v>1872</v>
      </c>
      <c r="E3555" s="3">
        <v>1872</v>
      </c>
      <c r="F3555" t="s">
        <v>4536</v>
      </c>
      <c r="G3555" t="s">
        <v>7</v>
      </c>
      <c r="H3555" s="3">
        <v>32.314</v>
      </c>
      <c r="I3555" t="s">
        <v>908</v>
      </c>
      <c r="J3555" t="s">
        <v>11653</v>
      </c>
      <c r="L3555" t="s">
        <v>4537</v>
      </c>
      <c r="M3555" t="str">
        <f>"https://www.artic.edu/iiif/2/"&amp;Table9[[#This Row],[Image ID]]&amp;"/full/843,/0/default.jpg"</f>
        <v>https://www.artic.edu/iiif/2/2ebaf88a-7259-b687-aa88-bee9cd8ed1d7/full/843,/0/default.jpg</v>
      </c>
      <c r="N3555" s="3">
        <v>0.65900000000000003</v>
      </c>
      <c r="O3555" s="3">
        <v>0.17100000000000001</v>
      </c>
      <c r="P3555" s="3">
        <v>0.48799999999999999</v>
      </c>
      <c r="Q3555" s="3">
        <v>0.52148932218551602</v>
      </c>
    </row>
    <row r="3556" spans="1:17" x14ac:dyDescent="0.45">
      <c r="A3556" s="3">
        <v>68390</v>
      </c>
      <c r="B3556" t="b">
        <v>0</v>
      </c>
      <c r="C3556" t="b">
        <v>0</v>
      </c>
      <c r="D3556" s="3">
        <v>1918</v>
      </c>
      <c r="E3556" s="3">
        <v>1950</v>
      </c>
      <c r="F3556" t="s">
        <v>9345</v>
      </c>
      <c r="G3556" t="s">
        <v>9346</v>
      </c>
      <c r="H3556" s="3">
        <v>31.156099999999999</v>
      </c>
      <c r="I3556" t="s">
        <v>9347</v>
      </c>
      <c r="J3556" t="s">
        <v>12102</v>
      </c>
      <c r="L3556" t="s">
        <v>9348</v>
      </c>
      <c r="M3556" t="str">
        <f>"https://www.artic.edu/iiif/2/"&amp;Table9[[#This Row],[Image ID]]&amp;"/full/843,/0/default.jpg"</f>
        <v>https://www.artic.edu/iiif/2/4d619351-6e92-672f-7713-3c2ed02cba2e/full/843,/0/default.jpg</v>
      </c>
      <c r="N3556" s="3">
        <v>0.63400000000000001</v>
      </c>
      <c r="O3556" s="3">
        <v>0.14599999999999999</v>
      </c>
      <c r="P3556" s="3">
        <v>0.48799999999999999</v>
      </c>
      <c r="Q3556" s="3">
        <v>0.74656140804290705</v>
      </c>
    </row>
    <row r="3557" spans="1:17" x14ac:dyDescent="0.45">
      <c r="A3557" s="3">
        <v>16575</v>
      </c>
      <c r="B3557" t="b">
        <v>0</v>
      </c>
      <c r="C3557" t="b">
        <v>0</v>
      </c>
      <c r="D3557" s="3">
        <v>1908</v>
      </c>
      <c r="E3557" s="3">
        <v>1908</v>
      </c>
      <c r="F3557" t="s">
        <v>4494</v>
      </c>
      <c r="G3557" t="s">
        <v>7</v>
      </c>
      <c r="H3557" s="3">
        <v>25.2195</v>
      </c>
      <c r="I3557" t="s">
        <v>43</v>
      </c>
      <c r="J3557" t="s">
        <v>4496</v>
      </c>
      <c r="L3557" t="s">
        <v>4495</v>
      </c>
      <c r="M3557" t="str">
        <f>"https://www.artic.edu/iiif/2/"&amp;Table9[[#This Row],[Image ID]]&amp;"/full/843,/0/default.jpg"</f>
        <v>https://www.artic.edu/iiif/2/5fe8ea6b-e772-fc1b-e41d-fc47ca3f5fcd/full/843,/0/default.jpg</v>
      </c>
      <c r="N3557" s="3">
        <v>0.61</v>
      </c>
      <c r="O3557" s="3">
        <v>0.122</v>
      </c>
      <c r="P3557" s="3">
        <v>0.48799999999999999</v>
      </c>
      <c r="Q3557" s="3">
        <v>0.68238836526870705</v>
      </c>
    </row>
    <row r="3558" spans="1:17" x14ac:dyDescent="0.45">
      <c r="A3558" s="3">
        <v>87202</v>
      </c>
      <c r="B3558" t="b">
        <v>0</v>
      </c>
      <c r="C3558" t="b">
        <v>0</v>
      </c>
      <c r="D3558" s="3">
        <v>1905</v>
      </c>
      <c r="E3558" s="3">
        <v>1926</v>
      </c>
      <c r="F3558" t="s">
        <v>10373</v>
      </c>
      <c r="G3558" t="s">
        <v>10374</v>
      </c>
      <c r="H3558" s="3">
        <v>44.1813</v>
      </c>
      <c r="I3558" t="s">
        <v>437</v>
      </c>
      <c r="J3558" t="s">
        <v>12924</v>
      </c>
      <c r="L3558" t="s">
        <v>10375</v>
      </c>
      <c r="M3558" t="str">
        <f>"https://www.artic.edu/iiif/2/"&amp;Table9[[#This Row],[Image ID]]&amp;"/full/843,/0/default.jpg"</f>
        <v>https://www.artic.edu/iiif/2/881c7d6d-d06d-6e27-4af9-697778d59327/full/843,/0/default.jpg</v>
      </c>
      <c r="N3558" s="3">
        <v>0.63400000000000001</v>
      </c>
      <c r="O3558" s="3">
        <v>0.14599999999999999</v>
      </c>
      <c r="P3558" s="3">
        <v>0.48799999999999999</v>
      </c>
      <c r="Q3558" s="3">
        <v>0.82690197229385298</v>
      </c>
    </row>
    <row r="3559" spans="1:17" x14ac:dyDescent="0.45">
      <c r="A3559" s="3">
        <v>16882</v>
      </c>
      <c r="B3559" t="b">
        <v>0</v>
      </c>
      <c r="C3559" t="b">
        <v>0</v>
      </c>
      <c r="D3559" s="3">
        <v>1920</v>
      </c>
      <c r="E3559" s="3">
        <v>1951</v>
      </c>
      <c r="F3559" t="s">
        <v>4623</v>
      </c>
      <c r="G3559" t="s">
        <v>4624</v>
      </c>
      <c r="H3559" s="3">
        <v>20.708300000000001</v>
      </c>
      <c r="I3559" t="s">
        <v>4621</v>
      </c>
      <c r="J3559" t="s">
        <v>12986</v>
      </c>
      <c r="L3559" t="s">
        <v>4625</v>
      </c>
      <c r="M3559" t="str">
        <f>"https://www.artic.edu/iiif/2/"&amp;Table9[[#This Row],[Image ID]]&amp;"/full/843,/0/default.jpg"</f>
        <v>https://www.artic.edu/iiif/2/8c96c271-d19a-53b3-6199-b057160a14f9/full/843,/0/default.jpg</v>
      </c>
      <c r="N3559" s="3">
        <v>0.51200000000000001</v>
      </c>
      <c r="O3559" s="3">
        <v>2.4E-2</v>
      </c>
      <c r="P3559" s="3">
        <v>0.48799999999999999</v>
      </c>
      <c r="Q3559" s="3">
        <v>0.72811371088027899</v>
      </c>
    </row>
    <row r="3560" spans="1:17" x14ac:dyDescent="0.45">
      <c r="A3560" s="3">
        <v>93803</v>
      </c>
      <c r="B3560" t="b">
        <v>0</v>
      </c>
      <c r="C3560" t="b">
        <v>0</v>
      </c>
      <c r="D3560" s="3">
        <v>1973</v>
      </c>
      <c r="E3560" s="3">
        <v>1974</v>
      </c>
      <c r="F3560" t="s">
        <v>10627</v>
      </c>
      <c r="G3560" t="s">
        <v>10628</v>
      </c>
      <c r="H3560" s="3">
        <v>26.690799999999999</v>
      </c>
      <c r="I3560" t="s">
        <v>378</v>
      </c>
      <c r="J3560" t="s">
        <v>13593</v>
      </c>
      <c r="K3560" s="5" t="s">
        <v>45</v>
      </c>
      <c r="L3560" t="s">
        <v>10629</v>
      </c>
      <c r="M3560" t="str">
        <f>"https://www.artic.edu/iiif/2/"&amp;Table9[[#This Row],[Image ID]]&amp;"/full/843,/0/default.jpg"</f>
        <v>https://www.artic.edu/iiif/2/bbbedb77-ff47-4c12-d1c2-e94499bb6ae2/full/843,/0/default.jpg</v>
      </c>
      <c r="N3560" s="3">
        <v>0.65900000000000003</v>
      </c>
      <c r="O3560" s="3">
        <v>0.17100000000000001</v>
      </c>
      <c r="P3560" s="3">
        <v>0.48799999999999999</v>
      </c>
      <c r="Q3560" s="3">
        <v>0.61581766605377197</v>
      </c>
    </row>
    <row r="3561" spans="1:17" x14ac:dyDescent="0.45">
      <c r="A3561" s="3">
        <v>65353</v>
      </c>
      <c r="B3561" t="b">
        <v>0</v>
      </c>
      <c r="C3561" t="b">
        <v>1</v>
      </c>
      <c r="D3561" s="3">
        <v>1876</v>
      </c>
      <c r="E3561" s="3">
        <v>1876</v>
      </c>
      <c r="F3561" t="s">
        <v>286</v>
      </c>
      <c r="G3561" t="s">
        <v>7</v>
      </c>
      <c r="H3561" s="3">
        <v>21.653700000000001</v>
      </c>
      <c r="I3561" t="s">
        <v>908</v>
      </c>
      <c r="J3561" t="s">
        <v>11059</v>
      </c>
      <c r="L3561" t="s">
        <v>9027</v>
      </c>
      <c r="M3561" t="str">
        <f>"https://www.artic.edu/iiif/2/"&amp;Table9[[#This Row],[Image ID]]&amp;"/full/843,/0/default.jpg"</f>
        <v>https://www.artic.edu/iiif/2/05dcffe0-97a9-cd59-df71-73731a5dbd9f/full/843,/0/default.jpg</v>
      </c>
      <c r="N3561" s="3">
        <v>0.58499999999999996</v>
      </c>
      <c r="O3561" s="3">
        <v>9.8000000000000004E-2</v>
      </c>
      <c r="P3561" s="3">
        <v>0.48699999999999999</v>
      </c>
      <c r="Q3561" s="3">
        <v>0.41375654935836698</v>
      </c>
    </row>
    <row r="3562" spans="1:17" x14ac:dyDescent="0.45">
      <c r="A3562" s="3">
        <v>115208</v>
      </c>
      <c r="B3562" t="b">
        <v>0</v>
      </c>
      <c r="C3562" t="b">
        <v>1</v>
      </c>
      <c r="D3562" s="3">
        <v>1848</v>
      </c>
      <c r="E3562" s="3">
        <v>1848</v>
      </c>
      <c r="F3562" t="s">
        <v>1862</v>
      </c>
      <c r="G3562" t="s">
        <v>164</v>
      </c>
      <c r="H3562" s="3">
        <v>36.135199999999998</v>
      </c>
      <c r="I3562" t="s">
        <v>1555</v>
      </c>
      <c r="J3562" t="s">
        <v>13025</v>
      </c>
      <c r="L3562" t="s">
        <v>1863</v>
      </c>
      <c r="M3562" t="str">
        <f>"https://www.artic.edu/iiif/2/"&amp;Table9[[#This Row],[Image ID]]&amp;"/full/843,/0/default.jpg"</f>
        <v>https://www.artic.edu/iiif/2/8ffb0031-3478-603b-51d0-bbc9a942b51c/full/843,/0/default.jpg</v>
      </c>
      <c r="N3562" s="3">
        <v>0.58499999999999996</v>
      </c>
      <c r="O3562" s="3">
        <v>9.8000000000000004E-2</v>
      </c>
      <c r="P3562" s="3">
        <v>0.48699999999999999</v>
      </c>
      <c r="Q3562" s="3">
        <v>0.60435408353805498</v>
      </c>
    </row>
    <row r="3563" spans="1:17" x14ac:dyDescent="0.45">
      <c r="A3563" s="3">
        <v>71532</v>
      </c>
      <c r="B3563" t="b">
        <v>0</v>
      </c>
      <c r="C3563" t="b">
        <v>1</v>
      </c>
      <c r="D3563" s="3">
        <v>1380</v>
      </c>
      <c r="E3563" s="3">
        <v>1400</v>
      </c>
      <c r="F3563" t="s">
        <v>9493</v>
      </c>
      <c r="G3563" t="s">
        <v>9494</v>
      </c>
      <c r="H3563" s="3">
        <v>33.776699999999998</v>
      </c>
      <c r="I3563" t="s">
        <v>9495</v>
      </c>
      <c r="J3563" t="s">
        <v>14406</v>
      </c>
      <c r="K3563" s="5" t="s">
        <v>278</v>
      </c>
      <c r="L3563" t="s">
        <v>9496</v>
      </c>
      <c r="M3563" t="str">
        <f>"https://www.artic.edu/iiif/2/"&amp;Table9[[#This Row],[Image ID]]&amp;"/full/843,/0/default.jpg"</f>
        <v>https://www.artic.edu/iiif/2/f689f9b6-84dd-3849-2aab-3e5677e4efc1/full/843,/0/default.jpg</v>
      </c>
      <c r="N3563" s="3">
        <v>0.70699999999999996</v>
      </c>
      <c r="O3563" s="3">
        <v>0.22</v>
      </c>
      <c r="P3563" s="3">
        <v>0.48699999999999999</v>
      </c>
      <c r="Q3563" s="3">
        <v>0.689505934715271</v>
      </c>
    </row>
    <row r="3564" spans="1:17" x14ac:dyDescent="0.45">
      <c r="A3564" s="3">
        <v>151108</v>
      </c>
      <c r="B3564" t="b">
        <v>0</v>
      </c>
      <c r="C3564" t="b">
        <v>1</v>
      </c>
      <c r="D3564" s="3">
        <v>1889</v>
      </c>
      <c r="E3564" s="3">
        <v>1889</v>
      </c>
      <c r="F3564" t="s">
        <v>3819</v>
      </c>
      <c r="G3564" t="s">
        <v>7</v>
      </c>
      <c r="H3564" s="3">
        <v>43.623699999999999</v>
      </c>
      <c r="I3564" t="s">
        <v>908</v>
      </c>
      <c r="J3564" t="s">
        <v>14427</v>
      </c>
      <c r="K3564" s="5" t="s">
        <v>9</v>
      </c>
      <c r="L3564" t="s">
        <v>3820</v>
      </c>
      <c r="M3564" t="str">
        <f>"https://www.artic.edu/iiif/2/"&amp;Table9[[#This Row],[Image ID]]&amp;"/full/843,/0/default.jpg"</f>
        <v>https://www.artic.edu/iiif/2/f837e639-5a6c-3043-3c2c-a4d5ece3bf1d/full/843,/0/default.jpg</v>
      </c>
      <c r="N3564" s="3">
        <v>0.58499999999999996</v>
      </c>
      <c r="O3564" s="3">
        <v>9.8000000000000004E-2</v>
      </c>
      <c r="P3564" s="3">
        <v>0.48699999999999999</v>
      </c>
      <c r="Q3564" s="3">
        <v>0.53643327951431197</v>
      </c>
    </row>
    <row r="3565" spans="1:17" x14ac:dyDescent="0.45">
      <c r="A3565" s="3">
        <v>159630</v>
      </c>
      <c r="B3565" t="b">
        <v>0</v>
      </c>
      <c r="C3565" t="b">
        <v>0</v>
      </c>
      <c r="D3565" s="3">
        <v>1946</v>
      </c>
      <c r="E3565" s="3">
        <v>1956</v>
      </c>
      <c r="F3565" t="s">
        <v>4200</v>
      </c>
      <c r="G3565" t="s">
        <v>4201</v>
      </c>
      <c r="H3565" s="3">
        <v>31.314299999999999</v>
      </c>
      <c r="I3565" t="s">
        <v>4202</v>
      </c>
      <c r="J3565" t="s">
        <v>11366</v>
      </c>
      <c r="L3565" t="s">
        <v>4203</v>
      </c>
      <c r="M3565" t="str">
        <f>"https://www.artic.edu/iiif/2/"&amp;Table9[[#This Row],[Image ID]]&amp;"/full/843,/0/default.jpg"</f>
        <v>https://www.artic.edu/iiif/2/1cbd670c-497c-ecbb-6502-911cf5debc97/full/843,/0/default.jpg</v>
      </c>
      <c r="N3565" s="3">
        <v>0.58499999999999996</v>
      </c>
      <c r="O3565" s="3">
        <v>9.8000000000000004E-2</v>
      </c>
      <c r="P3565" s="3">
        <v>0.48699999999999999</v>
      </c>
      <c r="Q3565" s="3">
        <v>0.82113599777221602</v>
      </c>
    </row>
    <row r="3566" spans="1:17" x14ac:dyDescent="0.45">
      <c r="A3566" s="3">
        <v>94035</v>
      </c>
      <c r="B3566" t="b">
        <v>0</v>
      </c>
      <c r="C3566" t="b">
        <v>0</v>
      </c>
      <c r="D3566" s="3">
        <v>1964</v>
      </c>
      <c r="E3566" s="3">
        <v>1964</v>
      </c>
      <c r="F3566" t="s">
        <v>10703</v>
      </c>
      <c r="G3566" t="s">
        <v>10704</v>
      </c>
      <c r="H3566" s="3">
        <v>26.601400000000002</v>
      </c>
      <c r="I3566" t="s">
        <v>378</v>
      </c>
      <c r="J3566" t="s">
        <v>11995</v>
      </c>
      <c r="L3566" t="s">
        <v>10705</v>
      </c>
      <c r="M3566" t="str">
        <f>"https://www.artic.edu/iiif/2/"&amp;Table9[[#This Row],[Image ID]]&amp;"/full/843,/0/default.jpg"</f>
        <v>https://www.artic.edu/iiif/2/44e3b68a-918d-58a2-bc90-f84fad0a0804/full/843,/0/default.jpg</v>
      </c>
      <c r="N3566" s="3">
        <v>0.58499999999999996</v>
      </c>
      <c r="O3566" s="3">
        <v>9.8000000000000004E-2</v>
      </c>
      <c r="P3566" s="3">
        <v>0.48699999999999999</v>
      </c>
      <c r="Q3566" s="3">
        <v>0.77867132425308205</v>
      </c>
    </row>
    <row r="3567" spans="1:17" x14ac:dyDescent="0.45">
      <c r="A3567" s="3">
        <v>79067</v>
      </c>
      <c r="B3567" t="b">
        <v>0</v>
      </c>
      <c r="C3567" t="b">
        <v>0</v>
      </c>
      <c r="D3567" s="3">
        <v>1890</v>
      </c>
      <c r="E3567" s="3">
        <v>1890</v>
      </c>
      <c r="F3567" t="s">
        <v>9888</v>
      </c>
      <c r="G3567" t="s">
        <v>7</v>
      </c>
      <c r="H3567" s="3">
        <v>13.5215</v>
      </c>
      <c r="I3567" t="s">
        <v>7224</v>
      </c>
      <c r="J3567" t="s">
        <v>12284</v>
      </c>
      <c r="L3567" t="s">
        <v>9889</v>
      </c>
      <c r="M3567" t="str">
        <f>"https://www.artic.edu/iiif/2/"&amp;Table9[[#This Row],[Image ID]]&amp;"/full/843,/0/default.jpg"</f>
        <v>https://www.artic.edu/iiif/2/5969b0a0-eb19-3caf-7e86-66b6bcbb3f2e/full/843,/0/default.jpg</v>
      </c>
      <c r="N3567" s="3">
        <v>0.58499999999999996</v>
      </c>
      <c r="O3567" s="3">
        <v>9.8000000000000004E-2</v>
      </c>
      <c r="P3567" s="3">
        <v>0.48699999999999999</v>
      </c>
      <c r="Q3567" s="3">
        <v>0.50668561458587602</v>
      </c>
    </row>
    <row r="3568" spans="1:17" x14ac:dyDescent="0.45">
      <c r="A3568" s="3">
        <v>111668</v>
      </c>
      <c r="B3568" t="b">
        <v>0</v>
      </c>
      <c r="C3568" t="b">
        <v>0</v>
      </c>
      <c r="D3568" s="3">
        <v>1924</v>
      </c>
      <c r="E3568" s="3">
        <v>1924</v>
      </c>
      <c r="F3568" t="s">
        <v>1227</v>
      </c>
      <c r="G3568" t="s">
        <v>1228</v>
      </c>
      <c r="H3568" s="3">
        <v>22.675000000000001</v>
      </c>
      <c r="I3568" t="s">
        <v>40</v>
      </c>
      <c r="J3568" t="s">
        <v>13931</v>
      </c>
      <c r="L3568" t="s">
        <v>1229</v>
      </c>
      <c r="M3568" t="str">
        <f>"https://www.artic.edu/iiif/2/"&amp;Table9[[#This Row],[Image ID]]&amp;"/full/843,/0/default.jpg"</f>
        <v>https://www.artic.edu/iiif/2/d6ae4b1c-5668-54e4-fb59-76be7beed7c2/full/843,/0/default.jpg</v>
      </c>
      <c r="N3568" s="3">
        <v>0.58499999999999996</v>
      </c>
      <c r="O3568" s="3">
        <v>9.8000000000000004E-2</v>
      </c>
      <c r="P3568" s="3">
        <v>0.48699999999999999</v>
      </c>
      <c r="Q3568" s="3">
        <v>0.69958829879760698</v>
      </c>
    </row>
    <row r="3569" spans="1:17" x14ac:dyDescent="0.45">
      <c r="A3569" s="3">
        <v>115671</v>
      </c>
      <c r="B3569" t="b">
        <v>0</v>
      </c>
      <c r="C3569" t="b">
        <v>1</v>
      </c>
      <c r="D3569" s="3">
        <v>1734</v>
      </c>
      <c r="E3569" s="3">
        <v>1821</v>
      </c>
      <c r="F3569" t="s">
        <v>2053</v>
      </c>
      <c r="G3569" t="s">
        <v>2054</v>
      </c>
      <c r="H3569" s="3">
        <v>21.118600000000001</v>
      </c>
      <c r="I3569" t="s">
        <v>1633</v>
      </c>
      <c r="J3569" t="s">
        <v>14268</v>
      </c>
      <c r="L3569" t="s">
        <v>2055</v>
      </c>
      <c r="M3569" t="str">
        <f>"https://www.artic.edu/iiif/2/"&amp;Table9[[#This Row],[Image ID]]&amp;"/full/843,/0/default.jpg"</f>
        <v>https://www.artic.edu/iiif/2/ed2f10ef-0a69-0a96-4c92-82b42c74460c/full/843,/0/default.jpg</v>
      </c>
      <c r="N3569" s="3">
        <v>0.8</v>
      </c>
      <c r="O3569" s="3">
        <v>0.317</v>
      </c>
      <c r="P3569" s="3">
        <v>0.48300000000000004</v>
      </c>
      <c r="Q3569" s="3">
        <v>0.56731438636779696</v>
      </c>
    </row>
    <row r="3570" spans="1:17" x14ac:dyDescent="0.45">
      <c r="A3570" s="3">
        <v>115198</v>
      </c>
      <c r="B3570" t="b">
        <v>0</v>
      </c>
      <c r="C3570" t="b">
        <v>1</v>
      </c>
      <c r="D3570" s="3">
        <v>1841</v>
      </c>
      <c r="E3570" s="3">
        <v>1841</v>
      </c>
      <c r="F3570" t="s">
        <v>1841</v>
      </c>
      <c r="G3570" t="s">
        <v>1837</v>
      </c>
      <c r="H3570" s="3">
        <v>20.949400000000001</v>
      </c>
      <c r="I3570" t="s">
        <v>1555</v>
      </c>
      <c r="J3570" t="s">
        <v>11043</v>
      </c>
      <c r="L3570" t="s">
        <v>1842</v>
      </c>
      <c r="M3570" t="str">
        <f>"https://www.artic.edu/iiif/2/"&amp;Table9[[#This Row],[Image ID]]&amp;"/full/843,/0/default.jpg"</f>
        <v>https://www.artic.edu/iiif/2/04df934c-6df7-cdd0-90eb-2a4787478856/full/843,/0/default.jpg</v>
      </c>
      <c r="N3570" s="3">
        <v>0.72499999999999998</v>
      </c>
      <c r="O3570" s="3">
        <v>0.24399999999999999</v>
      </c>
      <c r="P3570" s="3">
        <v>0.48099999999999998</v>
      </c>
      <c r="Q3570" s="3">
        <v>0.66512447595596302</v>
      </c>
    </row>
    <row r="3571" spans="1:17" x14ac:dyDescent="0.45">
      <c r="A3571" s="3">
        <v>99653</v>
      </c>
      <c r="B3571" t="b">
        <v>0</v>
      </c>
      <c r="C3571" t="b">
        <v>1</v>
      </c>
      <c r="D3571" s="3">
        <v>1887</v>
      </c>
      <c r="E3571" s="3">
        <v>1887</v>
      </c>
      <c r="F3571" t="s">
        <v>10942</v>
      </c>
      <c r="G3571" t="s">
        <v>357</v>
      </c>
      <c r="H3571" s="3">
        <v>0</v>
      </c>
      <c r="I3571" t="s">
        <v>10943</v>
      </c>
      <c r="J3571" t="s">
        <v>13396</v>
      </c>
      <c r="L3571" t="s">
        <v>10944</v>
      </c>
      <c r="M3571" t="str">
        <f>"https://www.artic.edu/iiif/2/"&amp;Table9[[#This Row],[Image ID]]&amp;"/full/843,/0/default.jpg"</f>
        <v>https://www.artic.edu/iiif/2/ac624b7a-ed36-9b5a-4257-2fb464b5023f/full/843,/0/default.jpg</v>
      </c>
      <c r="N3571" s="3">
        <v>0.625</v>
      </c>
      <c r="O3571" s="3">
        <v>0.14599999999999999</v>
      </c>
      <c r="P3571" s="3">
        <v>0.47899999999999998</v>
      </c>
      <c r="Q3571" s="3">
        <v>0.69734227657318104</v>
      </c>
    </row>
    <row r="3572" spans="1:17" x14ac:dyDescent="0.45">
      <c r="A3572" s="3">
        <v>114330</v>
      </c>
      <c r="B3572" t="b">
        <v>0</v>
      </c>
      <c r="C3572" t="b">
        <v>1</v>
      </c>
      <c r="D3572" s="3">
        <v>1800</v>
      </c>
      <c r="E3572" s="3">
        <v>1899</v>
      </c>
      <c r="F3572" t="s">
        <v>1621</v>
      </c>
      <c r="G3572" t="s">
        <v>1622</v>
      </c>
      <c r="H3572" s="3">
        <v>26.852699999999999</v>
      </c>
      <c r="I3572" t="s">
        <v>167</v>
      </c>
      <c r="J3572" t="s">
        <v>13862</v>
      </c>
      <c r="L3572" t="s">
        <v>1623</v>
      </c>
      <c r="M3572" t="str">
        <f>"https://www.artic.edu/iiif/2/"&amp;Table9[[#This Row],[Image ID]]&amp;"/full/843,/0/default.jpg"</f>
        <v>https://www.artic.edu/iiif/2/d1a1a3c1-455d-07c0-d41b-6fbb0314aafb/full/843,/0/default.jpg</v>
      </c>
      <c r="N3572" s="3">
        <v>0.71699999999999997</v>
      </c>
      <c r="O3572" s="3">
        <v>0.23899999999999999</v>
      </c>
      <c r="P3572" s="3">
        <v>0.47799999999999998</v>
      </c>
      <c r="Q3572" s="3">
        <v>0.44591641426086398</v>
      </c>
    </row>
    <row r="3573" spans="1:17" x14ac:dyDescent="0.45">
      <c r="A3573" s="3">
        <v>185767</v>
      </c>
      <c r="B3573" t="b">
        <v>0</v>
      </c>
      <c r="C3573" t="b">
        <v>0</v>
      </c>
      <c r="D3573" s="3">
        <v>1950</v>
      </c>
      <c r="E3573" s="3">
        <v>1950</v>
      </c>
      <c r="F3573" t="s">
        <v>5011</v>
      </c>
      <c r="G3573" t="s">
        <v>7</v>
      </c>
      <c r="H3573" s="3">
        <v>81.783799999999999</v>
      </c>
      <c r="I3573" t="s">
        <v>200</v>
      </c>
      <c r="J3573" t="s">
        <v>13604</v>
      </c>
      <c r="L3573" t="s">
        <v>5012</v>
      </c>
      <c r="M3573" t="str">
        <f>"https://www.artic.edu/iiif/2/"&amp;Table9[[#This Row],[Image ID]]&amp;"/full/843,/0/default.jpg"</f>
        <v>https://www.artic.edu/iiif/2/bd0640ef-b132-9789-0776-75f50c75166b/full/843,/0/default.jpg</v>
      </c>
      <c r="N3573" s="3">
        <v>0.61399999999999999</v>
      </c>
      <c r="O3573" s="3">
        <v>0.13600000000000001</v>
      </c>
      <c r="P3573" s="3">
        <v>0.47799999999999998</v>
      </c>
      <c r="Q3573" s="3">
        <v>0.74510824680328303</v>
      </c>
    </row>
    <row r="3574" spans="1:17" x14ac:dyDescent="0.45">
      <c r="A3574" s="3">
        <v>115185</v>
      </c>
      <c r="B3574" t="b">
        <v>0</v>
      </c>
      <c r="C3574" t="b">
        <v>1</v>
      </c>
      <c r="D3574" s="3">
        <v>1835</v>
      </c>
      <c r="E3574" s="3">
        <v>1882</v>
      </c>
      <c r="F3574" t="s">
        <v>1822</v>
      </c>
      <c r="G3574" t="s">
        <v>1774</v>
      </c>
      <c r="H3574" s="3">
        <v>32.077599999999997</v>
      </c>
      <c r="I3574" t="s">
        <v>1555</v>
      </c>
      <c r="J3574" t="s">
        <v>12192</v>
      </c>
      <c r="L3574" t="s">
        <v>1823</v>
      </c>
      <c r="M3574" t="str">
        <f>"https://www.artic.edu/iiif/2/"&amp;Table9[[#This Row],[Image ID]]&amp;"/full/843,/0/default.jpg"</f>
        <v>https://www.artic.edu/iiif/2/539cca95-c270-fb85-c157-928895e50851/full/843,/0/default.jpg</v>
      </c>
      <c r="N3574" s="3">
        <v>0.66700000000000004</v>
      </c>
      <c r="O3574" s="3">
        <v>0.19</v>
      </c>
      <c r="P3574" s="3">
        <v>0.47700000000000004</v>
      </c>
      <c r="Q3574" s="3">
        <v>0.64438289403915405</v>
      </c>
    </row>
    <row r="3575" spans="1:17" x14ac:dyDescent="0.45">
      <c r="A3575" s="3">
        <v>93450</v>
      </c>
      <c r="B3575" t="b">
        <v>0</v>
      </c>
      <c r="C3575" t="b">
        <v>1</v>
      </c>
      <c r="D3575" s="3">
        <v>1780</v>
      </c>
      <c r="E3575" s="3">
        <v>1790</v>
      </c>
      <c r="F3575" t="s">
        <v>4740</v>
      </c>
      <c r="G3575" t="s">
        <v>7</v>
      </c>
      <c r="H3575" s="3">
        <v>19.967099999999999</v>
      </c>
      <c r="I3575" t="s">
        <v>14559</v>
      </c>
      <c r="J3575" t="s">
        <v>12402</v>
      </c>
      <c r="L3575" t="s">
        <v>10592</v>
      </c>
      <c r="M3575" t="str">
        <f>"https://www.artic.edu/iiif/2/"&amp;Table9[[#This Row],[Image ID]]&amp;"/full/843,/0/default.jpg"</f>
        <v>https://www.artic.edu/iiif/2/61c3e72f-b453-1ada-62a5-9539afbe0641/full/843,/0/default.jpg</v>
      </c>
      <c r="N3575" s="3">
        <v>0.54800000000000004</v>
      </c>
      <c r="O3575" s="3">
        <v>7.0999999999999994E-2</v>
      </c>
      <c r="P3575" s="3">
        <v>0.47700000000000004</v>
      </c>
      <c r="Q3575" s="3">
        <v>0.61953663825988703</v>
      </c>
    </row>
    <row r="3576" spans="1:17" x14ac:dyDescent="0.45">
      <c r="A3576" s="3">
        <v>59823</v>
      </c>
      <c r="B3576" t="b">
        <v>0</v>
      </c>
      <c r="C3576" t="b">
        <v>1</v>
      </c>
      <c r="D3576" s="3">
        <v>1883</v>
      </c>
      <c r="E3576" s="3">
        <v>1883</v>
      </c>
      <c r="F3576" t="s">
        <v>8590</v>
      </c>
      <c r="G3576" t="s">
        <v>7</v>
      </c>
      <c r="H3576" s="3">
        <v>21.7119</v>
      </c>
      <c r="I3576" t="s">
        <v>14680</v>
      </c>
      <c r="J3576" t="s">
        <v>12949</v>
      </c>
      <c r="L3576" t="s">
        <v>8591</v>
      </c>
      <c r="M3576" t="str">
        <f>"https://www.artic.edu/iiif/2/"&amp;Table9[[#This Row],[Image ID]]&amp;"/full/843,/0/default.jpg"</f>
        <v>https://www.artic.edu/iiif/2/8a55bdea-0087-deb5-01b2-def2d7ba27a8/full/843,/0/default.jpg</v>
      </c>
      <c r="N3576" s="3">
        <v>0.54800000000000004</v>
      </c>
      <c r="O3576" s="3">
        <v>7.0999999999999994E-2</v>
      </c>
      <c r="P3576" s="3">
        <v>0.47700000000000004</v>
      </c>
      <c r="Q3576" s="3">
        <v>0.46007761359214699</v>
      </c>
    </row>
    <row r="3577" spans="1:17" x14ac:dyDescent="0.45">
      <c r="A3577" s="3">
        <v>110962</v>
      </c>
      <c r="B3577" t="b">
        <v>0</v>
      </c>
      <c r="C3577" t="b">
        <v>0</v>
      </c>
      <c r="D3577" s="3">
        <v>1981</v>
      </c>
      <c r="E3577" s="3">
        <v>1981</v>
      </c>
      <c r="F3577" t="s">
        <v>969</v>
      </c>
      <c r="G3577" t="s">
        <v>7</v>
      </c>
      <c r="H3577" s="3">
        <v>35.159100000000002</v>
      </c>
      <c r="I3577" t="s">
        <v>970</v>
      </c>
      <c r="J3577" t="s">
        <v>11308</v>
      </c>
      <c r="L3577" t="s">
        <v>971</v>
      </c>
      <c r="M3577" t="str">
        <f>"https://www.artic.edu/iiif/2/"&amp;Table9[[#This Row],[Image ID]]&amp;"/full/843,/0/default.jpg"</f>
        <v>https://www.artic.edu/iiif/2/189f5632-275e-1cf1-697d-0599573a37dc/full/843,/0/default.jpg</v>
      </c>
      <c r="N3577" s="3">
        <v>0.55000000000000004</v>
      </c>
      <c r="O3577" s="3">
        <v>7.2999999999999995E-2</v>
      </c>
      <c r="P3577" s="3">
        <v>0.47700000000000004</v>
      </c>
      <c r="Q3577" s="3">
        <v>0.68112075328826904</v>
      </c>
    </row>
    <row r="3578" spans="1:17" x14ac:dyDescent="0.45">
      <c r="A3578" s="3">
        <v>257352</v>
      </c>
      <c r="B3578" t="b">
        <v>0</v>
      </c>
      <c r="C3578" t="b">
        <v>0</v>
      </c>
      <c r="D3578" s="3">
        <v>2017</v>
      </c>
      <c r="E3578" s="3">
        <v>2017</v>
      </c>
      <c r="F3578" t="s">
        <v>6560</v>
      </c>
      <c r="G3578" t="s">
        <v>6561</v>
      </c>
      <c r="H3578" s="3">
        <v>21.324400000000001</v>
      </c>
      <c r="I3578" t="s">
        <v>6562</v>
      </c>
      <c r="J3578" t="s">
        <v>6564</v>
      </c>
      <c r="L3578" t="s">
        <v>6563</v>
      </c>
      <c r="M3578" t="str">
        <f>"https://www.artic.edu/iiif/2/"&amp;Table9[[#This Row],[Image ID]]&amp;"/full/843,/0/default.jpg"</f>
        <v>https://www.artic.edu/iiif/2/a28c18ed-ef98-b94a-c711-44f3e122031c/full/843,/0/default.jpg</v>
      </c>
      <c r="N3578" s="3">
        <v>0.54800000000000004</v>
      </c>
      <c r="O3578" s="3">
        <v>7.0999999999999994E-2</v>
      </c>
      <c r="P3578" s="3">
        <v>0.47700000000000004</v>
      </c>
      <c r="Q3578" s="3">
        <v>0.66068267822265603</v>
      </c>
    </row>
    <row r="3579" spans="1:17" x14ac:dyDescent="0.45">
      <c r="A3579" s="3">
        <v>94124</v>
      </c>
      <c r="B3579" t="b">
        <v>0</v>
      </c>
      <c r="C3579" t="b">
        <v>1</v>
      </c>
      <c r="D3579" s="3">
        <v>1845</v>
      </c>
      <c r="E3579" s="3">
        <v>1855</v>
      </c>
      <c r="F3579" t="s">
        <v>10726</v>
      </c>
      <c r="G3579" t="s">
        <v>75</v>
      </c>
      <c r="H3579" s="3">
        <v>0</v>
      </c>
      <c r="I3579" t="s">
        <v>728</v>
      </c>
      <c r="J3579" t="s">
        <v>11505</v>
      </c>
      <c r="L3579" t="s">
        <v>10727</v>
      </c>
      <c r="M3579" t="str">
        <f>"https://www.artic.edu/iiif/2/"&amp;Table9[[#This Row],[Image ID]]&amp;"/full/843,/0/default.jpg"</f>
        <v>https://www.artic.edu/iiif/2/25a7ba57-c5a0-7d73-1cf3-bbb531457d9b/full/843,/0/default.jpg</v>
      </c>
      <c r="N3579" s="3">
        <v>0.57499999999999996</v>
      </c>
      <c r="O3579" s="3">
        <v>9.8000000000000004E-2</v>
      </c>
      <c r="P3579" s="3">
        <v>0.47699999999999998</v>
      </c>
      <c r="Q3579" s="3">
        <v>0.76572251319885198</v>
      </c>
    </row>
    <row r="3580" spans="1:17" x14ac:dyDescent="0.45">
      <c r="A3580" s="3">
        <v>100930</v>
      </c>
      <c r="B3580" t="b">
        <v>0</v>
      </c>
      <c r="C3580" t="b">
        <v>0</v>
      </c>
      <c r="D3580" s="3">
        <v>1929</v>
      </c>
      <c r="E3580" s="3">
        <v>1929</v>
      </c>
      <c r="F3580" t="s">
        <v>162</v>
      </c>
      <c r="G3580" t="s">
        <v>132</v>
      </c>
      <c r="H3580" s="3">
        <v>15.0806</v>
      </c>
      <c r="I3580" t="s">
        <v>161</v>
      </c>
      <c r="J3580" t="s">
        <v>13533</v>
      </c>
      <c r="K3580" s="5" t="s">
        <v>17</v>
      </c>
      <c r="L3580" t="s">
        <v>163</v>
      </c>
      <c r="M3580" t="str">
        <f>"https://www.artic.edu/iiif/2/"&amp;Table9[[#This Row],[Image ID]]&amp;"/full/843,/0/default.jpg"</f>
        <v>https://www.artic.edu/iiif/2/b6b7aff9-5fff-ace3-8ec0-a57d1baf756b/full/843,/0/default.jpg</v>
      </c>
      <c r="N3580" s="3">
        <v>0.57499999999999996</v>
      </c>
      <c r="O3580" s="3">
        <v>9.8000000000000004E-2</v>
      </c>
      <c r="P3580" s="3">
        <v>0.47699999999999998</v>
      </c>
      <c r="Q3580" s="3">
        <v>0.77308136224746704</v>
      </c>
    </row>
    <row r="3581" spans="1:17" x14ac:dyDescent="0.45">
      <c r="A3581" s="3">
        <v>86904</v>
      </c>
      <c r="B3581" t="b">
        <v>0</v>
      </c>
      <c r="C3581" t="b">
        <v>1</v>
      </c>
      <c r="D3581" s="3">
        <v>1733</v>
      </c>
      <c r="E3581" s="3">
        <v>1735</v>
      </c>
      <c r="F3581" t="s">
        <v>10354</v>
      </c>
      <c r="G3581" t="s">
        <v>3615</v>
      </c>
      <c r="H3581" s="3">
        <v>0</v>
      </c>
      <c r="J3581" t="s">
        <v>12200</v>
      </c>
      <c r="L3581" t="s">
        <v>10355</v>
      </c>
      <c r="M3581" t="str">
        <f>"https://www.artic.edu/iiif/2/"&amp;Table9[[#This Row],[Image ID]]&amp;"/full/843,/0/default.jpg"</f>
        <v>https://www.artic.edu/iiif/2/54158bba-a588-ead7-adec-fb177c29203b/full/843,/0/default.jpg</v>
      </c>
      <c r="N3581" s="3">
        <v>0.52500000000000002</v>
      </c>
      <c r="O3581" s="3">
        <v>4.9000000000000002E-2</v>
      </c>
      <c r="P3581" s="3">
        <v>0.47600000000000003</v>
      </c>
      <c r="Q3581" s="3">
        <v>0.76033824682235696</v>
      </c>
    </row>
    <row r="3582" spans="1:17" x14ac:dyDescent="0.45">
      <c r="A3582" s="3">
        <v>80493</v>
      </c>
      <c r="B3582" t="b">
        <v>0</v>
      </c>
      <c r="C3582" t="b">
        <v>0</v>
      </c>
      <c r="D3582" s="3">
        <v>1920</v>
      </c>
      <c r="E3582" s="3">
        <v>1920</v>
      </c>
      <c r="F3582" t="s">
        <v>9979</v>
      </c>
      <c r="G3582" t="s">
        <v>7</v>
      </c>
      <c r="H3582" s="3">
        <v>0</v>
      </c>
      <c r="I3582" t="s">
        <v>4516</v>
      </c>
      <c r="J3582" t="s">
        <v>11588</v>
      </c>
      <c r="L3582" t="s">
        <v>9980</v>
      </c>
      <c r="M3582" t="str">
        <f>"https://www.artic.edu/iiif/2/"&amp;Table9[[#This Row],[Image ID]]&amp;"/full/843,/0/default.jpg"</f>
        <v>https://www.artic.edu/iiif/2/2a24324d-ffea-560f-6a89-8a0391db098b/full/843,/0/default.jpg</v>
      </c>
      <c r="N3582" s="3">
        <v>0.52500000000000002</v>
      </c>
      <c r="O3582" s="3">
        <v>4.9000000000000002E-2</v>
      </c>
      <c r="P3582" s="3">
        <v>0.47600000000000003</v>
      </c>
      <c r="Q3582" s="3">
        <v>0.67263239622116</v>
      </c>
    </row>
    <row r="3583" spans="1:17" x14ac:dyDescent="0.45">
      <c r="A3583" s="3">
        <v>70551</v>
      </c>
      <c r="B3583" t="b">
        <v>0</v>
      </c>
      <c r="C3583" t="b">
        <v>0</v>
      </c>
      <c r="D3583" s="3">
        <v>1914</v>
      </c>
      <c r="E3583" s="3">
        <v>1914</v>
      </c>
      <c r="F3583" t="s">
        <v>9467</v>
      </c>
      <c r="G3583" t="s">
        <v>7</v>
      </c>
      <c r="H3583" s="3">
        <v>18.228300000000001</v>
      </c>
      <c r="I3583" t="s">
        <v>3201</v>
      </c>
      <c r="J3583" t="s">
        <v>10974</v>
      </c>
      <c r="K3583" s="5" t="s">
        <v>9</v>
      </c>
      <c r="L3583" t="s">
        <v>9468</v>
      </c>
      <c r="M3583" t="str">
        <f>"https://www.artic.edu/iiif/2/"&amp;Table9[[#This Row],[Image ID]]&amp;"/full/843,/0/default.jpg"</f>
        <v>https://www.artic.edu/iiif/2/7e19b6ab-c7ea-2c3e-f17b-9fae6dbad584/full/843,/0/default.jpg</v>
      </c>
      <c r="N3583" s="3">
        <v>0.52500000000000002</v>
      </c>
      <c r="O3583" s="3">
        <v>4.9000000000000002E-2</v>
      </c>
      <c r="P3583" s="3">
        <v>0.47600000000000003</v>
      </c>
      <c r="Q3583" s="3">
        <v>0.59358704090118397</v>
      </c>
    </row>
    <row r="3584" spans="1:17" x14ac:dyDescent="0.45">
      <c r="A3584" s="3">
        <v>136395</v>
      </c>
      <c r="B3584" t="b">
        <v>0</v>
      </c>
      <c r="C3584" t="b">
        <v>0</v>
      </c>
      <c r="D3584" s="3">
        <v>1870</v>
      </c>
      <c r="E3584" s="3">
        <v>1880</v>
      </c>
      <c r="F3584" t="s">
        <v>3171</v>
      </c>
      <c r="G3584" t="s">
        <v>7</v>
      </c>
      <c r="H3584" s="3">
        <v>22.1647</v>
      </c>
      <c r="I3584" t="s">
        <v>908</v>
      </c>
      <c r="J3584" t="s">
        <v>14124</v>
      </c>
      <c r="L3584" t="s">
        <v>3172</v>
      </c>
      <c r="M3584" t="str">
        <f>"https://www.artic.edu/iiif/2/"&amp;Table9[[#This Row],[Image ID]]&amp;"/full/843,/0/default.jpg"</f>
        <v>https://www.artic.edu/iiif/2/e376496c-6f77-80ba-eee2-c7c2fa322e15/full/843,/0/default.jpg</v>
      </c>
      <c r="N3584" s="3">
        <v>0.52400000000000002</v>
      </c>
      <c r="O3584" s="3">
        <v>4.8000000000000001E-2</v>
      </c>
      <c r="P3584" s="3">
        <v>0.47600000000000003</v>
      </c>
      <c r="Q3584" s="3">
        <v>0.61589586734771695</v>
      </c>
    </row>
    <row r="3585" spans="1:17" x14ac:dyDescent="0.45">
      <c r="A3585" s="3">
        <v>81503</v>
      </c>
      <c r="B3585" t="b">
        <v>0</v>
      </c>
      <c r="C3585" t="b">
        <v>1</v>
      </c>
      <c r="D3585" s="3">
        <v>1849</v>
      </c>
      <c r="E3585" s="3">
        <v>1850</v>
      </c>
      <c r="F3585" t="s">
        <v>10100</v>
      </c>
      <c r="G3585" t="s">
        <v>75</v>
      </c>
      <c r="H3585" s="3">
        <v>21.767099999999999</v>
      </c>
      <c r="I3585" t="s">
        <v>14686</v>
      </c>
      <c r="J3585" t="s">
        <v>12104</v>
      </c>
      <c r="L3585" t="s">
        <v>10101</v>
      </c>
      <c r="M3585" t="str">
        <f>"https://www.artic.edu/iiif/2/"&amp;Table9[[#This Row],[Image ID]]&amp;"/full/843,/0/default.jpg"</f>
        <v>https://www.artic.edu/iiif/2/4d6a1e9e-c011-b916-4f02-ca37fa2f3063/full/843,/0/default.jpg</v>
      </c>
      <c r="N3585" s="3">
        <v>0.57099999999999995</v>
      </c>
      <c r="O3585" s="3">
        <v>9.5000000000000001E-2</v>
      </c>
      <c r="P3585" s="3">
        <v>0.47599999999999998</v>
      </c>
      <c r="Q3585" s="3">
        <v>0.57643705606460505</v>
      </c>
    </row>
    <row r="3586" spans="1:17" x14ac:dyDescent="0.45">
      <c r="A3586" s="3">
        <v>31946</v>
      </c>
      <c r="B3586" t="b">
        <v>0</v>
      </c>
      <c r="C3586" t="b">
        <v>1</v>
      </c>
      <c r="D3586" s="3">
        <v>1813</v>
      </c>
      <c r="E3586" s="3">
        <v>1899</v>
      </c>
      <c r="F3586" t="s">
        <v>7035</v>
      </c>
      <c r="G3586" t="s">
        <v>7036</v>
      </c>
      <c r="H3586" s="3">
        <v>24.137699999999999</v>
      </c>
      <c r="I3586" t="s">
        <v>1546</v>
      </c>
      <c r="J3586" t="s">
        <v>12426</v>
      </c>
      <c r="L3586" t="s">
        <v>7037</v>
      </c>
      <c r="M3586" t="str">
        <f>"https://www.artic.edu/iiif/2/"&amp;Table9[[#This Row],[Image ID]]&amp;"/full/843,/0/default.jpg"</f>
        <v>https://www.artic.edu/iiif/2/63751ec8-a6c9-9a24-8cba-5cbaf0b4db27/full/843,/0/default.jpg</v>
      </c>
      <c r="N3586" s="3">
        <v>0.69</v>
      </c>
      <c r="O3586" s="3">
        <v>0.214</v>
      </c>
      <c r="P3586" s="3">
        <v>0.47599999999999998</v>
      </c>
      <c r="Q3586" s="3">
        <v>0.60143929719924905</v>
      </c>
    </row>
    <row r="3587" spans="1:17" x14ac:dyDescent="0.45">
      <c r="A3587" s="3">
        <v>50358</v>
      </c>
      <c r="B3587" t="b">
        <v>0</v>
      </c>
      <c r="C3587" t="b">
        <v>1</v>
      </c>
      <c r="D3587" s="3">
        <v>1866</v>
      </c>
      <c r="E3587" s="3">
        <v>1876</v>
      </c>
      <c r="F3587" t="s">
        <v>8100</v>
      </c>
      <c r="G3587" t="s">
        <v>8101</v>
      </c>
      <c r="H3587" s="3">
        <v>20.063700000000001</v>
      </c>
      <c r="I3587" t="s">
        <v>8099</v>
      </c>
      <c r="J3587" t="s">
        <v>13185</v>
      </c>
      <c r="L3587" t="s">
        <v>8102</v>
      </c>
      <c r="M3587" t="str">
        <f>"https://www.artic.edu/iiif/2/"&amp;Table9[[#This Row],[Image ID]]&amp;"/full/843,/0/default.jpg"</f>
        <v>https://www.artic.edu/iiif/2/9c8ff5c3-5078-1fdd-6daa-1b3802c6d714/full/843,/0/default.jpg</v>
      </c>
      <c r="N3587" s="3">
        <v>0.69</v>
      </c>
      <c r="O3587" s="3">
        <v>0.214</v>
      </c>
      <c r="P3587" s="3">
        <v>0.47599999999999998</v>
      </c>
      <c r="Q3587" s="3">
        <v>0.60057830810546797</v>
      </c>
    </row>
    <row r="3588" spans="1:17" x14ac:dyDescent="0.45">
      <c r="A3588" s="3">
        <v>25872</v>
      </c>
      <c r="B3588" t="b">
        <v>0</v>
      </c>
      <c r="C3588" t="b">
        <v>1</v>
      </c>
      <c r="D3588" s="3">
        <v>1895</v>
      </c>
      <c r="E3588" s="3">
        <v>1902</v>
      </c>
      <c r="F3588" t="s">
        <v>6654</v>
      </c>
      <c r="G3588" t="s">
        <v>7</v>
      </c>
      <c r="H3588" s="3">
        <v>35.872300000000003</v>
      </c>
      <c r="I3588" t="s">
        <v>2886</v>
      </c>
      <c r="J3588" t="s">
        <v>13487</v>
      </c>
      <c r="K3588" s="5" t="s">
        <v>9</v>
      </c>
      <c r="L3588" t="s">
        <v>6655</v>
      </c>
      <c r="M3588" t="str">
        <f>"https://www.artic.edu/iiif/2/"&amp;Table9[[#This Row],[Image ID]]&amp;"/full/843,/0/default.jpg"</f>
        <v>https://www.artic.edu/iiif/2/b2b488b9-99f2-d091-ead4-538f20a94592/full/843,/0/default.jpg</v>
      </c>
      <c r="N3588" s="3">
        <v>0.64300000000000002</v>
      </c>
      <c r="O3588" s="3">
        <v>0.16700000000000001</v>
      </c>
      <c r="P3588" s="3">
        <v>0.47599999999999998</v>
      </c>
      <c r="Q3588" s="3">
        <v>0.49264705181121798</v>
      </c>
    </row>
    <row r="3589" spans="1:17" x14ac:dyDescent="0.45">
      <c r="A3589" s="3">
        <v>115003</v>
      </c>
      <c r="B3589" t="b">
        <v>0</v>
      </c>
      <c r="C3589" t="b">
        <v>1</v>
      </c>
      <c r="D3589" s="3">
        <v>1800</v>
      </c>
      <c r="E3589" s="3">
        <v>1899</v>
      </c>
      <c r="F3589" t="s">
        <v>1762</v>
      </c>
      <c r="G3589" t="s">
        <v>1651</v>
      </c>
      <c r="H3589" s="3">
        <v>21.249300000000002</v>
      </c>
      <c r="I3589" t="s">
        <v>1763</v>
      </c>
      <c r="J3589" t="s">
        <v>13774</v>
      </c>
      <c r="L3589" t="s">
        <v>1764</v>
      </c>
      <c r="M3589" t="str">
        <f>"https://www.artic.edu/iiif/2/"&amp;Table9[[#This Row],[Image ID]]&amp;"/full/843,/0/default.jpg"</f>
        <v>https://www.artic.edu/iiif/2/c9b439e9-2f56-8bb8-0a34-d0d42109319e/full/843,/0/default.jpg</v>
      </c>
      <c r="N3589" s="3">
        <v>0.59499999999999997</v>
      </c>
      <c r="O3589" s="3">
        <v>0.11899999999999999</v>
      </c>
      <c r="P3589" s="3">
        <v>0.47599999999999998</v>
      </c>
      <c r="Q3589" s="3">
        <v>0.67873299121856601</v>
      </c>
    </row>
    <row r="3590" spans="1:17" x14ac:dyDescent="0.45">
      <c r="A3590" s="3">
        <v>55665</v>
      </c>
      <c r="B3590" t="b">
        <v>0</v>
      </c>
      <c r="C3590" t="b">
        <v>0</v>
      </c>
      <c r="D3590" s="3">
        <v>1963</v>
      </c>
      <c r="E3590" s="3">
        <v>1965</v>
      </c>
      <c r="F3590" t="s">
        <v>8363</v>
      </c>
      <c r="G3590" t="s">
        <v>8364</v>
      </c>
      <c r="H3590" s="3">
        <v>34.633099999999999</v>
      </c>
      <c r="I3590" t="s">
        <v>599</v>
      </c>
      <c r="J3590" t="s">
        <v>12535</v>
      </c>
      <c r="L3590" t="s">
        <v>8365</v>
      </c>
      <c r="M3590" t="str">
        <f>"https://www.artic.edu/iiif/2/"&amp;Table9[[#This Row],[Image ID]]&amp;"/full/843,/0/default.jpg"</f>
        <v>https://www.artic.edu/iiif/2/6b33b315-419b-cfd5-b4f4-bb76176b6e93/full/843,/0/default.jpg</v>
      </c>
      <c r="N3590" s="3">
        <v>0.64300000000000002</v>
      </c>
      <c r="O3590" s="3">
        <v>0.16700000000000001</v>
      </c>
      <c r="P3590" s="3">
        <v>0.47599999999999998</v>
      </c>
      <c r="Q3590" s="3">
        <v>0.741502165794372</v>
      </c>
    </row>
    <row r="3591" spans="1:17" x14ac:dyDescent="0.45">
      <c r="A3591" s="3">
        <v>94021</v>
      </c>
      <c r="B3591" t="b">
        <v>0</v>
      </c>
      <c r="C3591" t="b">
        <v>0</v>
      </c>
      <c r="D3591" s="3">
        <v>1973</v>
      </c>
      <c r="E3591" s="3">
        <v>1973</v>
      </c>
      <c r="F3591" t="s">
        <v>10690</v>
      </c>
      <c r="G3591" t="s">
        <v>4220</v>
      </c>
      <c r="H3591" s="3">
        <v>52.029600000000002</v>
      </c>
      <c r="I3591" t="s">
        <v>378</v>
      </c>
      <c r="J3591" t="s">
        <v>12690</v>
      </c>
      <c r="L3591" t="s">
        <v>10691</v>
      </c>
      <c r="M3591" t="str">
        <f>"https://www.artic.edu/iiif/2/"&amp;Table9[[#This Row],[Image ID]]&amp;"/full/843,/0/default.jpg"</f>
        <v>https://www.artic.edu/iiif/2/7679ff21-5ba9-7953-70a7-213a656f8a2b/full/843,/0/default.jpg</v>
      </c>
      <c r="N3591" s="3">
        <v>0.57099999999999995</v>
      </c>
      <c r="O3591" s="3">
        <v>9.5000000000000001E-2</v>
      </c>
      <c r="P3591" s="3">
        <v>0.47599999999999998</v>
      </c>
      <c r="Q3591" s="3">
        <v>0.57378268241882302</v>
      </c>
    </row>
    <row r="3592" spans="1:17" x14ac:dyDescent="0.45">
      <c r="A3592" s="3">
        <v>15896</v>
      </c>
      <c r="B3592" t="b">
        <v>0</v>
      </c>
      <c r="C3592" t="b">
        <v>0</v>
      </c>
      <c r="D3592" s="3">
        <v>1885</v>
      </c>
      <c r="E3592" s="3">
        <v>1933</v>
      </c>
      <c r="F3592" t="s">
        <v>4174</v>
      </c>
      <c r="G3592" t="s">
        <v>1064</v>
      </c>
      <c r="H3592" s="3">
        <v>14.3636</v>
      </c>
      <c r="I3592" t="s">
        <v>291</v>
      </c>
      <c r="J3592" t="s">
        <v>12823</v>
      </c>
      <c r="L3592" t="s">
        <v>4175</v>
      </c>
      <c r="M3592" t="str">
        <f>"https://www.artic.edu/iiif/2/"&amp;Table9[[#This Row],[Image ID]]&amp;"/full/843,/0/default.jpg"</f>
        <v>https://www.artic.edu/iiif/2/804e41f6-c325-fe18-9c21-fbee8d317c5b/full/843,/0/default.jpg</v>
      </c>
      <c r="N3592" s="3">
        <v>0.71399999999999997</v>
      </c>
      <c r="O3592" s="3">
        <v>0.23799999999999999</v>
      </c>
      <c r="P3592" s="3">
        <v>0.47599999999999998</v>
      </c>
      <c r="Q3592" s="3">
        <v>0.56697314977645796</v>
      </c>
    </row>
    <row r="3593" spans="1:17" x14ac:dyDescent="0.45">
      <c r="A3593" s="3">
        <v>59966</v>
      </c>
      <c r="B3593" t="b">
        <v>0</v>
      </c>
      <c r="C3593" t="b">
        <v>0</v>
      </c>
      <c r="D3593" s="3">
        <v>1894</v>
      </c>
      <c r="E3593" s="3">
        <v>1904</v>
      </c>
      <c r="F3593" t="s">
        <v>8662</v>
      </c>
      <c r="G3593" t="s">
        <v>7967</v>
      </c>
      <c r="H3593" s="3">
        <v>24.991399999999999</v>
      </c>
      <c r="I3593" t="s">
        <v>8663</v>
      </c>
      <c r="J3593" t="s">
        <v>13105</v>
      </c>
      <c r="L3593" t="s">
        <v>8664</v>
      </c>
      <c r="M3593" t="str">
        <f>"https://www.artic.edu/iiif/2/"&amp;Table9[[#This Row],[Image ID]]&amp;"/full/843,/0/default.jpg"</f>
        <v>https://www.artic.edu/iiif/2/96c09fd1-9b7f-13d6-17bc-083effa801c8/full/843,/0/default.jpg</v>
      </c>
      <c r="N3593" s="3">
        <v>0.59499999999999997</v>
      </c>
      <c r="O3593" s="3">
        <v>0.11899999999999999</v>
      </c>
      <c r="P3593" s="3">
        <v>0.47599999999999998</v>
      </c>
      <c r="Q3593" s="3">
        <v>0.58323442935943604</v>
      </c>
    </row>
    <row r="3594" spans="1:17" x14ac:dyDescent="0.45">
      <c r="A3594" s="3">
        <v>94144</v>
      </c>
      <c r="B3594" t="b">
        <v>0</v>
      </c>
      <c r="C3594" t="b">
        <v>0</v>
      </c>
      <c r="D3594" s="3">
        <v>1912</v>
      </c>
      <c r="E3594" s="3">
        <v>1912</v>
      </c>
      <c r="F3594" t="s">
        <v>2056</v>
      </c>
      <c r="G3594" t="s">
        <v>7</v>
      </c>
      <c r="H3594" s="3">
        <v>41.822400000000002</v>
      </c>
      <c r="I3594" t="s">
        <v>4865</v>
      </c>
      <c r="J3594" t="s">
        <v>13246</v>
      </c>
      <c r="L3594" t="s">
        <v>10735</v>
      </c>
      <c r="M3594" t="str">
        <f>"https://www.artic.edu/iiif/2/"&amp;Table9[[#This Row],[Image ID]]&amp;"/full/843,/0/default.jpg"</f>
        <v>https://www.artic.edu/iiif/2/a13d1a5f-0adb-3f74-e472-e7768c09e240/full/843,/0/default.jpg</v>
      </c>
      <c r="N3594" s="3">
        <v>0.59499999999999997</v>
      </c>
      <c r="O3594" s="3">
        <v>0.11899999999999999</v>
      </c>
      <c r="P3594" s="3">
        <v>0.47599999999999998</v>
      </c>
      <c r="Q3594" s="3">
        <v>0.73839336633682195</v>
      </c>
    </row>
    <row r="3595" spans="1:17" x14ac:dyDescent="0.45">
      <c r="A3595" s="3">
        <v>117406</v>
      </c>
      <c r="B3595" t="b">
        <v>0</v>
      </c>
      <c r="C3595" t="b">
        <v>0</v>
      </c>
      <c r="D3595" s="3">
        <v>1920</v>
      </c>
      <c r="E3595" s="3">
        <v>1920</v>
      </c>
      <c r="F3595" t="s">
        <v>72</v>
      </c>
      <c r="G3595" t="s">
        <v>312</v>
      </c>
      <c r="H3595" s="3">
        <v>37.551000000000002</v>
      </c>
      <c r="I3595" t="s">
        <v>2315</v>
      </c>
      <c r="J3595" t="s">
        <v>14087</v>
      </c>
      <c r="L3595" t="s">
        <v>2316</v>
      </c>
      <c r="M3595" t="str">
        <f>"https://www.artic.edu/iiif/2/"&amp;Table9[[#This Row],[Image ID]]&amp;"/full/843,/0/default.jpg"</f>
        <v>https://www.artic.edu/iiif/2/e13fab8d-1f02-2a50-523e-e8f94f767777/full/843,/0/default.jpg</v>
      </c>
      <c r="N3595" s="3">
        <v>0.61899999999999999</v>
      </c>
      <c r="O3595" s="3">
        <v>0.14299999999999999</v>
      </c>
      <c r="P3595" s="3">
        <v>0.47599999999999998</v>
      </c>
      <c r="Q3595" s="3">
        <v>0.81028443574905396</v>
      </c>
    </row>
    <row r="3596" spans="1:17" x14ac:dyDescent="0.45">
      <c r="A3596" s="3">
        <v>27764</v>
      </c>
      <c r="B3596" t="b">
        <v>0</v>
      </c>
      <c r="C3596" t="b">
        <v>1</v>
      </c>
      <c r="D3596" s="3">
        <v>1864</v>
      </c>
      <c r="E3596" s="3">
        <v>1864</v>
      </c>
      <c r="F3596" t="s">
        <v>5772</v>
      </c>
      <c r="G3596" t="s">
        <v>93</v>
      </c>
      <c r="H3596" s="3">
        <v>18.491900000000001</v>
      </c>
      <c r="I3596" t="s">
        <v>14680</v>
      </c>
      <c r="J3596" t="s">
        <v>11041</v>
      </c>
      <c r="K3596" s="5" t="s">
        <v>9</v>
      </c>
      <c r="L3596" t="s">
        <v>6739</v>
      </c>
      <c r="M3596" t="str">
        <f>"https://www.artic.edu/iiif/2/"&amp;Table9[[#This Row],[Image ID]]&amp;"/full/843,/0/default.jpg"</f>
        <v>https://www.artic.edu/iiif/2/04cb7292-b20b-b313-2c08-19e685b70e7e/full/843,/0/default.jpg</v>
      </c>
      <c r="N3596" s="3">
        <v>0.55000000000000004</v>
      </c>
      <c r="O3596" s="3">
        <v>7.4999999999999997E-2</v>
      </c>
      <c r="P3596" s="3">
        <v>0.47500000000000003</v>
      </c>
      <c r="Q3596" s="3">
        <v>0.55445581674575795</v>
      </c>
    </row>
    <row r="3597" spans="1:17" x14ac:dyDescent="0.45">
      <c r="A3597" s="3">
        <v>36508</v>
      </c>
      <c r="B3597" t="b">
        <v>0</v>
      </c>
      <c r="C3597" t="b">
        <v>1</v>
      </c>
      <c r="D3597" s="3">
        <v>1670</v>
      </c>
      <c r="E3597" s="3">
        <v>1710</v>
      </c>
      <c r="F3597" t="s">
        <v>7231</v>
      </c>
      <c r="G3597" t="s">
        <v>7</v>
      </c>
      <c r="H3597" s="3">
        <v>0</v>
      </c>
      <c r="J3597" t="s">
        <v>11089</v>
      </c>
      <c r="L3597" t="s">
        <v>7232</v>
      </c>
      <c r="M3597" t="str">
        <f>"https://www.artic.edu/iiif/2/"&amp;Table9[[#This Row],[Image ID]]&amp;"/full/843,/0/default.jpg"</f>
        <v>https://www.artic.edu/iiif/2/084d1143-6073-96e5-433c-6a3bb83a1bbd/full/843,/0/default.jpg</v>
      </c>
      <c r="N3597" s="3">
        <v>0.65</v>
      </c>
      <c r="O3597" s="3">
        <v>0.17499999999999999</v>
      </c>
      <c r="P3597" s="3">
        <v>0.47500000000000003</v>
      </c>
      <c r="Q3597" s="3">
        <v>0.41399011015892001</v>
      </c>
    </row>
    <row r="3598" spans="1:17" x14ac:dyDescent="0.45">
      <c r="A3598" s="3">
        <v>13783</v>
      </c>
      <c r="B3598" t="b">
        <v>0</v>
      </c>
      <c r="C3598" t="b">
        <v>1</v>
      </c>
      <c r="D3598" s="3">
        <v>1834</v>
      </c>
      <c r="E3598" s="3">
        <v>1885</v>
      </c>
      <c r="F3598" t="s">
        <v>3212</v>
      </c>
      <c r="G3598" t="s">
        <v>3213</v>
      </c>
      <c r="H3598" s="3">
        <v>20.708300000000001</v>
      </c>
      <c r="I3598" t="s">
        <v>3214</v>
      </c>
      <c r="J3598" t="s">
        <v>11174</v>
      </c>
      <c r="L3598" t="s">
        <v>3215</v>
      </c>
      <c r="M3598" t="str">
        <f>"https://www.artic.edu/iiif/2/"&amp;Table9[[#This Row],[Image ID]]&amp;"/full/843,/0/default.jpg"</f>
        <v>https://www.artic.edu/iiif/2/0f31e386-f7da-338c-896f-234d2fb2832b/full/843,/0/default.jpg</v>
      </c>
      <c r="N3598" s="3">
        <v>0.8</v>
      </c>
      <c r="O3598" s="3">
        <v>0.32500000000000001</v>
      </c>
      <c r="P3598" s="3">
        <v>0.47500000000000003</v>
      </c>
      <c r="Q3598" s="3">
        <v>0.46529209613799999</v>
      </c>
    </row>
    <row r="3599" spans="1:17" x14ac:dyDescent="0.45">
      <c r="A3599" s="3">
        <v>16800</v>
      </c>
      <c r="B3599" t="b">
        <v>0</v>
      </c>
      <c r="C3599" t="b">
        <v>1</v>
      </c>
      <c r="D3599" s="3">
        <v>1880</v>
      </c>
      <c r="E3599" s="3">
        <v>1881</v>
      </c>
      <c r="F3599" t="s">
        <v>4586</v>
      </c>
      <c r="G3599" t="s">
        <v>4587</v>
      </c>
      <c r="H3599" s="3">
        <v>24.0243</v>
      </c>
      <c r="I3599" t="s">
        <v>1337</v>
      </c>
      <c r="J3599" t="s">
        <v>11615</v>
      </c>
      <c r="L3599" t="s">
        <v>4588</v>
      </c>
      <c r="M3599" t="str">
        <f>"https://www.artic.edu/iiif/2/"&amp;Table9[[#This Row],[Image ID]]&amp;"/full/843,/0/default.jpg"</f>
        <v>https://www.artic.edu/iiif/2/2ba29e23-e11f-1346-971f-a8c63f94bc54/full/843,/0/default.jpg</v>
      </c>
      <c r="N3599" s="3">
        <v>0.65</v>
      </c>
      <c r="O3599" s="3">
        <v>0.17499999999999999</v>
      </c>
      <c r="P3599" s="3">
        <v>0.47500000000000003</v>
      </c>
      <c r="Q3599" s="3">
        <v>0.72236025333404497</v>
      </c>
    </row>
    <row r="3600" spans="1:17" x14ac:dyDescent="0.45">
      <c r="A3600" s="3">
        <v>111655</v>
      </c>
      <c r="B3600" t="b">
        <v>0</v>
      </c>
      <c r="C3600" t="b">
        <v>1</v>
      </c>
      <c r="D3600" s="3">
        <v>1875</v>
      </c>
      <c r="E3600" s="3">
        <v>1885</v>
      </c>
      <c r="F3600" t="s">
        <v>1205</v>
      </c>
      <c r="G3600" t="s">
        <v>7</v>
      </c>
      <c r="H3600" s="3">
        <v>0</v>
      </c>
      <c r="I3600" t="s">
        <v>14575</v>
      </c>
      <c r="J3600" t="s">
        <v>12112</v>
      </c>
      <c r="L3600" t="s">
        <v>1206</v>
      </c>
      <c r="M3600" t="str">
        <f>"https://www.artic.edu/iiif/2/"&amp;Table9[[#This Row],[Image ID]]&amp;"/full/843,/0/default.jpg"</f>
        <v>https://www.artic.edu/iiif/2/4e5f3557-7332-7c00-1d3a-a81b95b26dac/full/843,/0/default.jpg</v>
      </c>
      <c r="N3600" s="3">
        <v>0.67500000000000004</v>
      </c>
      <c r="O3600" s="3">
        <v>0.2</v>
      </c>
      <c r="P3600" s="3">
        <v>0.47500000000000003</v>
      </c>
      <c r="Q3600" s="3">
        <v>0.54967623949050903</v>
      </c>
    </row>
    <row r="3601" spans="1:17" x14ac:dyDescent="0.45">
      <c r="A3601" s="3">
        <v>213758</v>
      </c>
      <c r="B3601" t="b">
        <v>0</v>
      </c>
      <c r="C3601" t="b">
        <v>1</v>
      </c>
      <c r="D3601" s="3">
        <v>1597</v>
      </c>
      <c r="E3601" s="3">
        <v>1608</v>
      </c>
      <c r="F3601" t="s">
        <v>3877</v>
      </c>
      <c r="G3601" t="s">
        <v>512</v>
      </c>
      <c r="H3601" s="3">
        <v>24.319400000000002</v>
      </c>
      <c r="I3601" t="s">
        <v>5606</v>
      </c>
      <c r="J3601" t="s">
        <v>12150</v>
      </c>
      <c r="L3601" t="s">
        <v>5607</v>
      </c>
      <c r="M3601" t="str">
        <f>"https://www.artic.edu/iiif/2/"&amp;Table9[[#This Row],[Image ID]]&amp;"/full/843,/0/default.jpg"</f>
        <v>https://www.artic.edu/iiif/2/50fdb185-fb4f-dad3-ed35-0add5467c780/full/843,/0/default.jpg</v>
      </c>
      <c r="N3601" s="3">
        <v>0.52500000000000002</v>
      </c>
      <c r="O3601" s="3">
        <v>0.05</v>
      </c>
      <c r="P3601" s="3">
        <v>0.47500000000000003</v>
      </c>
      <c r="Q3601" s="3">
        <v>0.90055406093597401</v>
      </c>
    </row>
    <row r="3602" spans="1:17" x14ac:dyDescent="0.45">
      <c r="A3602" s="3">
        <v>20600</v>
      </c>
      <c r="B3602" t="b">
        <v>0</v>
      </c>
      <c r="C3602" t="b">
        <v>1</v>
      </c>
      <c r="D3602" s="3">
        <v>1788</v>
      </c>
      <c r="E3602" s="3">
        <v>1806</v>
      </c>
      <c r="F3602" t="s">
        <v>1733</v>
      </c>
      <c r="G3602" t="s">
        <v>5483</v>
      </c>
      <c r="H3602" s="3">
        <v>34.759799999999998</v>
      </c>
      <c r="I3602" t="s">
        <v>2880</v>
      </c>
      <c r="J3602" t="s">
        <v>12448</v>
      </c>
      <c r="L3602" t="s">
        <v>5484</v>
      </c>
      <c r="M3602" t="str">
        <f>"https://www.artic.edu/iiif/2/"&amp;Table9[[#This Row],[Image ID]]&amp;"/full/843,/0/default.jpg"</f>
        <v>https://www.artic.edu/iiif/2/65287f67-e386-964f-b454-3b65aaff9f2d/full/843,/0/default.jpg</v>
      </c>
      <c r="N3602" s="3">
        <v>0.52500000000000002</v>
      </c>
      <c r="O3602" s="3">
        <v>0.05</v>
      </c>
      <c r="P3602" s="3">
        <v>0.47500000000000003</v>
      </c>
      <c r="Q3602" s="3">
        <v>0.43662369251251198</v>
      </c>
    </row>
    <row r="3603" spans="1:17" x14ac:dyDescent="0.45">
      <c r="A3603" s="3">
        <v>41208</v>
      </c>
      <c r="B3603" t="b">
        <v>0</v>
      </c>
      <c r="C3603" t="b">
        <v>1</v>
      </c>
      <c r="D3603" s="3">
        <v>1707</v>
      </c>
      <c r="E3603" s="3">
        <v>1768</v>
      </c>
      <c r="F3603" t="s">
        <v>5517</v>
      </c>
      <c r="G3603" t="s">
        <v>7</v>
      </c>
      <c r="H3603" s="3">
        <v>0</v>
      </c>
      <c r="I3603" t="s">
        <v>7686</v>
      </c>
      <c r="J3603" t="s">
        <v>12667</v>
      </c>
      <c r="L3603" t="s">
        <v>7687</v>
      </c>
      <c r="M3603" t="str">
        <f>"https://www.artic.edu/iiif/2/"&amp;Table9[[#This Row],[Image ID]]&amp;"/full/843,/0/default.jpg"</f>
        <v>https://www.artic.edu/iiif/2/749250e6-883e-d22b-4cf4-621e22b5178d/full/843,/0/default.jpg</v>
      </c>
      <c r="N3603" s="3">
        <v>0.55000000000000004</v>
      </c>
      <c r="O3603" s="3">
        <v>7.4999999999999997E-2</v>
      </c>
      <c r="P3603" s="3">
        <v>0.47500000000000003</v>
      </c>
      <c r="Q3603" s="3">
        <v>0.637734234333038</v>
      </c>
    </row>
    <row r="3604" spans="1:17" x14ac:dyDescent="0.45">
      <c r="A3604" s="3">
        <v>57987</v>
      </c>
      <c r="B3604" t="b">
        <v>0</v>
      </c>
      <c r="C3604" t="b">
        <v>1</v>
      </c>
      <c r="D3604" s="3">
        <v>1830</v>
      </c>
      <c r="E3604" s="3">
        <v>1835</v>
      </c>
      <c r="F3604" t="s">
        <v>8494</v>
      </c>
      <c r="G3604" t="s">
        <v>8495</v>
      </c>
      <c r="H3604" s="3">
        <v>34.995100000000001</v>
      </c>
      <c r="I3604" t="s">
        <v>936</v>
      </c>
      <c r="J3604" t="s">
        <v>12704</v>
      </c>
      <c r="L3604" t="s">
        <v>8496</v>
      </c>
      <c r="M3604" t="str">
        <f>"https://www.artic.edu/iiif/2/"&amp;Table9[[#This Row],[Image ID]]&amp;"/full/843,/0/default.jpg"</f>
        <v>https://www.artic.edu/iiif/2/774dde27-8eaf-e910-14cc-43d67b3d7062/full/843,/0/default.jpg</v>
      </c>
      <c r="N3604" s="3">
        <v>0.65</v>
      </c>
      <c r="O3604" s="3">
        <v>0.17499999999999999</v>
      </c>
      <c r="P3604" s="3">
        <v>0.47500000000000003</v>
      </c>
      <c r="Q3604" s="3">
        <v>0.59023553133010798</v>
      </c>
    </row>
    <row r="3605" spans="1:17" x14ac:dyDescent="0.45">
      <c r="A3605" s="3">
        <v>62393</v>
      </c>
      <c r="B3605" t="b">
        <v>0</v>
      </c>
      <c r="C3605" t="b">
        <v>1</v>
      </c>
      <c r="D3605" s="3">
        <v>1864</v>
      </c>
      <c r="E3605" s="3">
        <v>1864</v>
      </c>
      <c r="F3605" t="s">
        <v>8901</v>
      </c>
      <c r="G3605" t="s">
        <v>8902</v>
      </c>
      <c r="H3605" s="3">
        <v>17.999199999999998</v>
      </c>
      <c r="I3605" t="s">
        <v>3173</v>
      </c>
      <c r="J3605" t="s">
        <v>13006</v>
      </c>
      <c r="L3605" t="s">
        <v>8903</v>
      </c>
      <c r="M3605" t="str">
        <f>"https://www.artic.edu/iiif/2/"&amp;Table9[[#This Row],[Image ID]]&amp;"/full/843,/0/default.jpg"</f>
        <v>https://www.artic.edu/iiif/2/8e5f3773-9396-0fde-8547-490cca07b68b/full/843,/0/default.jpg</v>
      </c>
      <c r="N3605" s="3">
        <v>0.55000000000000004</v>
      </c>
      <c r="O3605" s="3">
        <v>7.4999999999999997E-2</v>
      </c>
      <c r="P3605" s="3">
        <v>0.47500000000000003</v>
      </c>
      <c r="Q3605" s="3">
        <v>0.58981460332870395</v>
      </c>
    </row>
    <row r="3606" spans="1:17" x14ac:dyDescent="0.45">
      <c r="A3606" s="3">
        <v>16545</v>
      </c>
      <c r="B3606" t="b">
        <v>0</v>
      </c>
      <c r="C3606" t="b">
        <v>1</v>
      </c>
      <c r="D3606" s="3">
        <v>1899</v>
      </c>
      <c r="E3606" s="3">
        <v>1899</v>
      </c>
      <c r="F3606" t="s">
        <v>541</v>
      </c>
      <c r="G3606" t="s">
        <v>7</v>
      </c>
      <c r="H3606" s="3">
        <v>32.0762</v>
      </c>
      <c r="I3606" t="s">
        <v>4479</v>
      </c>
      <c r="J3606" t="s">
        <v>13292</v>
      </c>
      <c r="K3606" s="5" t="s">
        <v>9</v>
      </c>
      <c r="L3606" t="s">
        <v>4480</v>
      </c>
      <c r="M3606" t="str">
        <f>"https://www.artic.edu/iiif/2/"&amp;Table9[[#This Row],[Image ID]]&amp;"/full/843,/0/default.jpg"</f>
        <v>https://www.artic.edu/iiif/2/a4717de1-d95c-fd87-a9c7-688da84abcf9/full/843,/0/default.jpg</v>
      </c>
      <c r="N3606" s="3">
        <v>0.67500000000000004</v>
      </c>
      <c r="O3606" s="3">
        <v>0.2</v>
      </c>
      <c r="P3606" s="3">
        <v>0.47500000000000003</v>
      </c>
      <c r="Q3606" s="3">
        <v>0.45502835512161199</v>
      </c>
    </row>
    <row r="3607" spans="1:17" ht="71.25" x14ac:dyDescent="0.45">
      <c r="A3607" s="3">
        <v>80073</v>
      </c>
      <c r="B3607" t="b">
        <v>0</v>
      </c>
      <c r="C3607" t="b">
        <v>1</v>
      </c>
      <c r="D3607" s="3">
        <v>1299</v>
      </c>
      <c r="E3607" s="3">
        <v>1399</v>
      </c>
      <c r="F3607" t="s">
        <v>9928</v>
      </c>
      <c r="G3607" t="s">
        <v>2243</v>
      </c>
      <c r="H3607" s="3">
        <v>49.240299999999998</v>
      </c>
      <c r="J3607" s="1" t="s">
        <v>13943</v>
      </c>
      <c r="K3607" s="5" t="s">
        <v>13</v>
      </c>
      <c r="L3607" t="s">
        <v>9929</v>
      </c>
      <c r="M3607" t="str">
        <f>"https://www.artic.edu/iiif/2/"&amp;Table9[[#This Row],[Image ID]]&amp;"/full/843,/0/default.jpg"</f>
        <v>https://www.artic.edu/iiif/2/d739e4da-1d03-feff-c375-a9f32be67825/full/843,/0/default.jpg</v>
      </c>
      <c r="N3607" s="3">
        <v>0.55000000000000004</v>
      </c>
      <c r="O3607" s="3">
        <v>7.4999999999999997E-2</v>
      </c>
      <c r="P3607" s="3">
        <v>0.47500000000000003</v>
      </c>
      <c r="Q3607" s="3">
        <v>0.76356381177902199</v>
      </c>
    </row>
    <row r="3608" spans="1:17" x14ac:dyDescent="0.45">
      <c r="A3608" s="3">
        <v>80450</v>
      </c>
      <c r="B3608" t="b">
        <v>0</v>
      </c>
      <c r="C3608" t="b">
        <v>1</v>
      </c>
      <c r="D3608" s="3">
        <v>1895</v>
      </c>
      <c r="E3608" s="3">
        <v>1905</v>
      </c>
      <c r="F3608" t="s">
        <v>904</v>
      </c>
      <c r="G3608" t="s">
        <v>7</v>
      </c>
      <c r="H3608" s="3">
        <v>39.0854</v>
      </c>
      <c r="I3608" t="s">
        <v>9969</v>
      </c>
      <c r="J3608" t="s">
        <v>14117</v>
      </c>
      <c r="L3608" t="s">
        <v>9970</v>
      </c>
      <c r="M3608" t="str">
        <f>"https://www.artic.edu/iiif/2/"&amp;Table9[[#This Row],[Image ID]]&amp;"/full/843,/0/default.jpg"</f>
        <v>https://www.artic.edu/iiif/2/e30b27db-b263-abb6-0005-ff238f8fd530/full/843,/0/default.jpg</v>
      </c>
      <c r="N3608" s="3">
        <v>0.55000000000000004</v>
      </c>
      <c r="O3608" s="3">
        <v>7.4999999999999997E-2</v>
      </c>
      <c r="P3608" s="3">
        <v>0.47500000000000003</v>
      </c>
      <c r="Q3608" s="3">
        <v>0.77984178066253595</v>
      </c>
    </row>
    <row r="3609" spans="1:17" x14ac:dyDescent="0.45">
      <c r="A3609" s="3">
        <v>19200</v>
      </c>
      <c r="B3609" t="b">
        <v>0</v>
      </c>
      <c r="C3609" t="b">
        <v>1</v>
      </c>
      <c r="D3609" s="3">
        <v>1782</v>
      </c>
      <c r="E3609" s="3">
        <v>1792</v>
      </c>
      <c r="F3609" t="s">
        <v>5206</v>
      </c>
      <c r="G3609" t="s">
        <v>7</v>
      </c>
      <c r="H3609" s="3">
        <v>49.289499999999997</v>
      </c>
      <c r="I3609" t="s">
        <v>5207</v>
      </c>
      <c r="J3609" t="s">
        <v>14192</v>
      </c>
      <c r="L3609" t="s">
        <v>5208</v>
      </c>
      <c r="M3609" t="str">
        <f>"https://www.artic.edu/iiif/2/"&amp;Table9[[#This Row],[Image ID]]&amp;"/full/843,/0/default.jpg"</f>
        <v>https://www.artic.edu/iiif/2/e82101c9-9058-cb50-b4bd-ef2ea443bfaf/full/843,/0/default.jpg</v>
      </c>
      <c r="N3609" s="3">
        <v>0.55000000000000004</v>
      </c>
      <c r="O3609" s="3">
        <v>7.4999999999999997E-2</v>
      </c>
      <c r="P3609" s="3">
        <v>0.47500000000000003</v>
      </c>
      <c r="Q3609" s="3">
        <v>0.69139903783798196</v>
      </c>
    </row>
    <row r="3610" spans="1:17" x14ac:dyDescent="0.45">
      <c r="A3610" s="3">
        <v>111647</v>
      </c>
      <c r="B3610" t="b">
        <v>0</v>
      </c>
      <c r="C3610" t="b">
        <v>1</v>
      </c>
      <c r="D3610" s="3">
        <v>1654</v>
      </c>
      <c r="E3610" s="3">
        <v>1656</v>
      </c>
      <c r="F3610" t="s">
        <v>1191</v>
      </c>
      <c r="G3610" t="s">
        <v>75</v>
      </c>
      <c r="H3610" s="3">
        <v>35.093899999999998</v>
      </c>
      <c r="I3610" t="s">
        <v>1192</v>
      </c>
      <c r="J3610" t="s">
        <v>14262</v>
      </c>
      <c r="L3610" t="s">
        <v>1196</v>
      </c>
      <c r="M3610" t="str">
        <f>"https://www.artic.edu/iiif/2/"&amp;Table9[[#This Row],[Image ID]]&amp;"/full/843,/0/default.jpg"</f>
        <v>https://www.artic.edu/iiif/2/ecc57db2-c119-fa97-9c40-f865607d0e9e/full/843,/0/default.jpg</v>
      </c>
      <c r="N3610" s="3">
        <v>0.67500000000000004</v>
      </c>
      <c r="O3610" s="3">
        <v>0.2</v>
      </c>
      <c r="P3610" s="3">
        <v>0.47500000000000003</v>
      </c>
      <c r="Q3610" s="3">
        <v>0.51971405744552601</v>
      </c>
    </row>
    <row r="3611" spans="1:17" x14ac:dyDescent="0.45">
      <c r="A3611" s="3">
        <v>86987</v>
      </c>
      <c r="B3611" t="b">
        <v>0</v>
      </c>
      <c r="C3611" t="b">
        <v>1</v>
      </c>
      <c r="D3611" s="3">
        <v>1701</v>
      </c>
      <c r="E3611" s="3">
        <v>1800</v>
      </c>
      <c r="F3611" t="s">
        <v>260</v>
      </c>
      <c r="G3611" t="s">
        <v>7</v>
      </c>
      <c r="H3611" s="3">
        <v>34.468800000000002</v>
      </c>
      <c r="I3611" t="s">
        <v>684</v>
      </c>
      <c r="J3611" t="s">
        <v>14455</v>
      </c>
      <c r="L3611" t="s">
        <v>10359</v>
      </c>
      <c r="M3611" t="str">
        <f>"https://www.artic.edu/iiif/2/"&amp;Table9[[#This Row],[Image ID]]&amp;"/full/843,/0/default.jpg"</f>
        <v>https://www.artic.edu/iiif/2/fa3a5bb5-1ab9-6007-41c6-543c3face31c/full/843,/0/default.jpg</v>
      </c>
      <c r="N3611" s="3">
        <v>0.67500000000000004</v>
      </c>
      <c r="O3611" s="3">
        <v>0.2</v>
      </c>
      <c r="P3611" s="3">
        <v>0.47500000000000003</v>
      </c>
      <c r="Q3611" s="3">
        <v>0.46166077256202698</v>
      </c>
    </row>
    <row r="3612" spans="1:17" x14ac:dyDescent="0.45">
      <c r="A3612" s="3">
        <v>41792</v>
      </c>
      <c r="B3612" t="b">
        <v>0</v>
      </c>
      <c r="C3612" t="b">
        <v>0</v>
      </c>
      <c r="D3612" s="3">
        <v>1913</v>
      </c>
      <c r="E3612" s="3">
        <v>1913</v>
      </c>
      <c r="F3612" t="s">
        <v>7699</v>
      </c>
      <c r="G3612" t="s">
        <v>7700</v>
      </c>
      <c r="H3612" s="3">
        <v>24.094999999999999</v>
      </c>
      <c r="I3612" t="s">
        <v>254</v>
      </c>
      <c r="J3612" t="s">
        <v>11076</v>
      </c>
      <c r="L3612" t="s">
        <v>7701</v>
      </c>
      <c r="M3612" t="str">
        <f>"https://www.artic.edu/iiif/2/"&amp;Table9[[#This Row],[Image ID]]&amp;"/full/843,/0/default.jpg"</f>
        <v>https://www.artic.edu/iiif/2/07a49736-f021-8da5-324c-7cf0141567af/full/843,/0/default.jpg</v>
      </c>
      <c r="N3612" s="3">
        <v>0.65</v>
      </c>
      <c r="O3612" s="3">
        <v>0.17499999999999999</v>
      </c>
      <c r="P3612" s="3">
        <v>0.47500000000000003</v>
      </c>
      <c r="Q3612" s="3">
        <v>0.67207580804824796</v>
      </c>
    </row>
    <row r="3613" spans="1:17" x14ac:dyDescent="0.45">
      <c r="A3613" s="3">
        <v>87207</v>
      </c>
      <c r="B3613" t="b">
        <v>0</v>
      </c>
      <c r="C3613" t="b">
        <v>0</v>
      </c>
      <c r="D3613" s="3">
        <v>1906</v>
      </c>
      <c r="E3613" s="3">
        <v>1926</v>
      </c>
      <c r="F3613" t="s">
        <v>10376</v>
      </c>
      <c r="G3613" t="s">
        <v>10377</v>
      </c>
      <c r="H3613" s="3">
        <v>20.229500000000002</v>
      </c>
      <c r="I3613" t="s">
        <v>5821</v>
      </c>
      <c r="J3613" t="s">
        <v>11247</v>
      </c>
      <c r="L3613" t="s">
        <v>10378</v>
      </c>
      <c r="M3613" t="str">
        <f>"https://www.artic.edu/iiif/2/"&amp;Table9[[#This Row],[Image ID]]&amp;"/full/843,/0/default.jpg"</f>
        <v>https://www.artic.edu/iiif/2/14139757-a59e-6b43-57b2-e0a6ac732dc7/full/843,/0/default.jpg</v>
      </c>
      <c r="N3613" s="3">
        <v>0.65</v>
      </c>
      <c r="O3613" s="3">
        <v>0.17499999999999999</v>
      </c>
      <c r="P3613" s="3">
        <v>0.47500000000000003</v>
      </c>
      <c r="Q3613" s="3">
        <v>0.65506243705749501</v>
      </c>
    </row>
    <row r="3614" spans="1:17" x14ac:dyDescent="0.45">
      <c r="A3614" s="3">
        <v>217445</v>
      </c>
      <c r="B3614" t="b">
        <v>0</v>
      </c>
      <c r="C3614" t="b">
        <v>0</v>
      </c>
      <c r="D3614" s="3">
        <v>1902</v>
      </c>
      <c r="E3614" s="3">
        <v>1966</v>
      </c>
      <c r="F3614" t="s">
        <v>11</v>
      </c>
      <c r="G3614" t="s">
        <v>5697</v>
      </c>
      <c r="H3614" s="3">
        <v>36.569600000000001</v>
      </c>
      <c r="I3614" t="s">
        <v>2403</v>
      </c>
      <c r="J3614" t="s">
        <v>12120</v>
      </c>
      <c r="L3614" t="s">
        <v>5698</v>
      </c>
      <c r="M3614" t="str">
        <f>"https://www.artic.edu/iiif/2/"&amp;Table9[[#This Row],[Image ID]]&amp;"/full/843,/0/default.jpg"</f>
        <v>https://www.artic.edu/iiif/2/4ee1d0a1-010c-3df3-00da-41d7fa9882b9/full/843,/0/default.jpg</v>
      </c>
      <c r="N3614" s="3">
        <v>0.67500000000000004</v>
      </c>
      <c r="O3614" s="3">
        <v>0.2</v>
      </c>
      <c r="P3614" s="3">
        <v>0.47500000000000003</v>
      </c>
      <c r="Q3614" s="3">
        <v>0.73559421300887995</v>
      </c>
    </row>
    <row r="3615" spans="1:17" x14ac:dyDescent="0.45">
      <c r="A3615" s="3">
        <v>8977</v>
      </c>
      <c r="B3615" t="b">
        <v>0</v>
      </c>
      <c r="C3615" t="b">
        <v>0</v>
      </c>
      <c r="D3615" s="3">
        <v>1907</v>
      </c>
      <c r="E3615" s="3">
        <v>1907</v>
      </c>
      <c r="F3615" t="s">
        <v>10473</v>
      </c>
      <c r="G3615" t="s">
        <v>7</v>
      </c>
      <c r="H3615" s="3">
        <v>24.068000000000001</v>
      </c>
      <c r="I3615" t="s">
        <v>313</v>
      </c>
      <c r="J3615" t="s">
        <v>12388</v>
      </c>
      <c r="L3615" t="s">
        <v>10474</v>
      </c>
      <c r="M3615" t="str">
        <f>"https://www.artic.edu/iiif/2/"&amp;Table9[[#This Row],[Image ID]]&amp;"/full/843,/0/default.jpg"</f>
        <v>https://www.artic.edu/iiif/2/6084cc74-d0ca-51b0-4f29-603b8249d362/full/843,/0/default.jpg</v>
      </c>
      <c r="N3615" s="3">
        <v>0.55000000000000004</v>
      </c>
      <c r="O3615" s="3">
        <v>7.4999999999999997E-2</v>
      </c>
      <c r="P3615" s="3">
        <v>0.47500000000000003</v>
      </c>
      <c r="Q3615" s="3">
        <v>0.495296210050582</v>
      </c>
    </row>
    <row r="3616" spans="1:17" x14ac:dyDescent="0.45">
      <c r="A3616" s="3">
        <v>113502</v>
      </c>
      <c r="B3616" t="b">
        <v>0</v>
      </c>
      <c r="C3616" t="b">
        <v>0</v>
      </c>
      <c r="D3616" s="3">
        <v>1909</v>
      </c>
      <c r="E3616" s="3">
        <v>1909</v>
      </c>
      <c r="F3616" t="s">
        <v>1457</v>
      </c>
      <c r="G3616" t="s">
        <v>1458</v>
      </c>
      <c r="H3616" s="3">
        <v>22.985499999999998</v>
      </c>
      <c r="I3616" t="s">
        <v>949</v>
      </c>
      <c r="J3616" t="s">
        <v>11666</v>
      </c>
      <c r="L3616" t="s">
        <v>1459</v>
      </c>
      <c r="M3616" t="str">
        <f>"https://www.artic.edu/iiif/2/"&amp;Table9[[#This Row],[Image ID]]&amp;"/full/843,/0/default.jpg"</f>
        <v>https://www.artic.edu/iiif/2/7d326ab7-6fb3-379f-0e92-f02a1f850bd4/full/843,/0/default.jpg</v>
      </c>
      <c r="N3616" s="3">
        <v>0.55000000000000004</v>
      </c>
      <c r="O3616" s="3">
        <v>7.4999999999999997E-2</v>
      </c>
      <c r="P3616" s="3">
        <v>0.47500000000000003</v>
      </c>
      <c r="Q3616" s="3">
        <v>0.62298333644866899</v>
      </c>
    </row>
    <row r="3617" spans="1:17" x14ac:dyDescent="0.45">
      <c r="A3617" s="3">
        <v>11018</v>
      </c>
      <c r="B3617" t="b">
        <v>0</v>
      </c>
      <c r="C3617" t="b">
        <v>0</v>
      </c>
      <c r="D3617" s="3">
        <v>1897</v>
      </c>
      <c r="E3617" s="3">
        <v>1907</v>
      </c>
      <c r="F3617" t="s">
        <v>883</v>
      </c>
      <c r="G3617" t="s">
        <v>884</v>
      </c>
      <c r="H3617" s="3">
        <v>32.7821</v>
      </c>
      <c r="I3617" t="s">
        <v>882</v>
      </c>
      <c r="J3617" t="s">
        <v>12947</v>
      </c>
      <c r="L3617" t="s">
        <v>885</v>
      </c>
      <c r="M3617" t="str">
        <f>"https://www.artic.edu/iiif/2/"&amp;Table9[[#This Row],[Image ID]]&amp;"/full/843,/0/default.jpg"</f>
        <v>https://www.artic.edu/iiif/2/8a40c91a-a3e7-c205-6092-d046e66ad371/full/843,/0/default.jpg</v>
      </c>
      <c r="N3617" s="3">
        <v>0.55000000000000004</v>
      </c>
      <c r="O3617" s="3">
        <v>7.4999999999999997E-2</v>
      </c>
      <c r="P3617" s="3">
        <v>0.47500000000000003</v>
      </c>
      <c r="Q3617" s="3">
        <v>0.71471422910690297</v>
      </c>
    </row>
    <row r="3618" spans="1:17" x14ac:dyDescent="0.45">
      <c r="A3618" s="3">
        <v>135854</v>
      </c>
      <c r="B3618" t="b">
        <v>0</v>
      </c>
      <c r="C3618" t="b">
        <v>0</v>
      </c>
      <c r="D3618" s="3">
        <v>1885</v>
      </c>
      <c r="E3618" s="3">
        <v>1895</v>
      </c>
      <c r="F3618" t="s">
        <v>3149</v>
      </c>
      <c r="G3618" t="s">
        <v>7</v>
      </c>
      <c r="H3618" s="3">
        <v>35.026499999999999</v>
      </c>
      <c r="I3618" t="s">
        <v>14612</v>
      </c>
      <c r="J3618" t="s">
        <v>13434</v>
      </c>
      <c r="L3618" t="s">
        <v>3150</v>
      </c>
      <c r="M3618" t="str">
        <f>"https://www.artic.edu/iiif/2/"&amp;Table9[[#This Row],[Image ID]]&amp;"/full/843,/0/default.jpg"</f>
        <v>https://www.artic.edu/iiif/2/aee6e53a-5938-6507-dcb2-cbdb44a7b3c7/full/843,/0/default.jpg</v>
      </c>
      <c r="N3618" s="3">
        <v>0.52500000000000002</v>
      </c>
      <c r="O3618" s="3">
        <v>0.05</v>
      </c>
      <c r="P3618" s="3">
        <v>0.47500000000000003</v>
      </c>
      <c r="Q3618" s="3">
        <v>0.78370994329452504</v>
      </c>
    </row>
    <row r="3619" spans="1:17" x14ac:dyDescent="0.45">
      <c r="A3619" s="3">
        <v>29172</v>
      </c>
      <c r="B3619" t="b">
        <v>0</v>
      </c>
      <c r="C3619" t="b">
        <v>0</v>
      </c>
      <c r="D3619" s="3">
        <v>1962</v>
      </c>
      <c r="E3619" s="3">
        <v>1968</v>
      </c>
      <c r="F3619" t="s">
        <v>6890</v>
      </c>
      <c r="G3619" t="s">
        <v>174</v>
      </c>
      <c r="H3619" s="3">
        <v>51.115600000000001</v>
      </c>
      <c r="I3619" t="s">
        <v>3966</v>
      </c>
      <c r="J3619" t="s">
        <v>13623</v>
      </c>
      <c r="L3619" t="s">
        <v>6891</v>
      </c>
      <c r="M3619" t="str">
        <f>"https://www.artic.edu/iiif/2/"&amp;Table9[[#This Row],[Image ID]]&amp;"/full/843,/0/default.jpg"</f>
        <v>https://www.artic.edu/iiif/2/be1661ba-7171-2d8a-e915-3d9a563c7170/full/843,/0/default.jpg</v>
      </c>
      <c r="N3619" s="3">
        <v>0.52500000000000002</v>
      </c>
      <c r="O3619" s="3">
        <v>0.05</v>
      </c>
      <c r="P3619" s="3">
        <v>0.47500000000000003</v>
      </c>
      <c r="Q3619" s="3">
        <v>0.74693584442138605</v>
      </c>
    </row>
    <row r="3620" spans="1:17" x14ac:dyDescent="0.45">
      <c r="A3620" s="3">
        <v>66207</v>
      </c>
      <c r="B3620" t="b">
        <v>0</v>
      </c>
      <c r="C3620" t="b">
        <v>0</v>
      </c>
      <c r="D3620" s="3">
        <v>1945</v>
      </c>
      <c r="E3620" s="3">
        <v>1945</v>
      </c>
      <c r="F3620" t="s">
        <v>9227</v>
      </c>
      <c r="G3620" t="s">
        <v>7</v>
      </c>
      <c r="H3620" s="3">
        <v>32.298400000000001</v>
      </c>
      <c r="I3620" t="s">
        <v>8222</v>
      </c>
      <c r="J3620" t="s">
        <v>13629</v>
      </c>
      <c r="L3620" t="s">
        <v>9228</v>
      </c>
      <c r="M3620" t="str">
        <f>"https://www.artic.edu/iiif/2/"&amp;Table9[[#This Row],[Image ID]]&amp;"/full/843,/0/default.jpg"</f>
        <v>https://www.artic.edu/iiif/2/be60b5d5-60e9-9a24-3593-e9382833e540/full/843,/0/default.jpg</v>
      </c>
      <c r="N3620" s="3">
        <v>0.55000000000000004</v>
      </c>
      <c r="O3620" s="3">
        <v>7.4999999999999997E-2</v>
      </c>
      <c r="P3620" s="3">
        <v>0.47500000000000003</v>
      </c>
      <c r="Q3620" s="3">
        <v>0.65544420480728105</v>
      </c>
    </row>
    <row r="3621" spans="1:17" x14ac:dyDescent="0.45">
      <c r="A3621" s="3">
        <v>127513</v>
      </c>
      <c r="B3621" t="b">
        <v>0</v>
      </c>
      <c r="C3621" t="b">
        <v>0</v>
      </c>
      <c r="D3621" s="3">
        <v>1906</v>
      </c>
      <c r="E3621" s="3">
        <v>1906</v>
      </c>
      <c r="F3621" t="s">
        <v>2819</v>
      </c>
      <c r="G3621" t="s">
        <v>2820</v>
      </c>
      <c r="H3621" s="3">
        <v>10.2455</v>
      </c>
      <c r="I3621" t="s">
        <v>2821</v>
      </c>
      <c r="J3621" t="s">
        <v>13633</v>
      </c>
      <c r="L3621" t="s">
        <v>2822</v>
      </c>
      <c r="M3621" t="str">
        <f>"https://www.artic.edu/iiif/2/"&amp;Table9[[#This Row],[Image ID]]&amp;"/full/843,/0/default.jpg"</f>
        <v>https://www.artic.edu/iiif/2/d27e921c-089c-b2e7-b4da-914a6950777b/full/843,/0/default.jpg</v>
      </c>
      <c r="N3621" s="3">
        <v>0.52500000000000002</v>
      </c>
      <c r="O3621" s="3">
        <v>0.05</v>
      </c>
      <c r="P3621" s="3">
        <v>0.47500000000000003</v>
      </c>
      <c r="Q3621" s="3">
        <v>0.72659558057785001</v>
      </c>
    </row>
    <row r="3622" spans="1:17" x14ac:dyDescent="0.45">
      <c r="A3622" s="3">
        <v>155549</v>
      </c>
      <c r="B3622" t="b">
        <v>0</v>
      </c>
      <c r="C3622" t="b">
        <v>0</v>
      </c>
      <c r="D3622" s="3">
        <v>1934</v>
      </c>
      <c r="E3622" s="3">
        <v>1934</v>
      </c>
      <c r="F3622" t="s">
        <v>4017</v>
      </c>
      <c r="G3622" t="s">
        <v>4018</v>
      </c>
      <c r="H3622" s="3">
        <v>19.049299999999999</v>
      </c>
      <c r="I3622" t="s">
        <v>4016</v>
      </c>
      <c r="J3622" t="s">
        <v>13987</v>
      </c>
      <c r="L3622" t="s">
        <v>4019</v>
      </c>
      <c r="M3622" t="str">
        <f>"https://www.artic.edu/iiif/2/"&amp;Table9[[#This Row],[Image ID]]&amp;"/full/843,/0/default.jpg"</f>
        <v>https://www.artic.edu/iiif/2/da84d00d-7014-cd32-5344-bf9b35cb42b4/full/843,/0/default.jpg</v>
      </c>
      <c r="N3622" s="3">
        <v>0.55000000000000004</v>
      </c>
      <c r="O3622" s="3">
        <v>7.4999999999999997E-2</v>
      </c>
      <c r="P3622" s="3">
        <v>0.47500000000000003</v>
      </c>
      <c r="Q3622" s="3">
        <v>0.63292729854583696</v>
      </c>
    </row>
    <row r="3623" spans="1:17" x14ac:dyDescent="0.45">
      <c r="A3623" s="3">
        <v>14709</v>
      </c>
      <c r="B3623" t="b">
        <v>0</v>
      </c>
      <c r="C3623" t="b">
        <v>0</v>
      </c>
      <c r="D3623" s="3">
        <v>1904</v>
      </c>
      <c r="E3623" s="3">
        <v>1933</v>
      </c>
      <c r="F3623" t="s">
        <v>3582</v>
      </c>
      <c r="G3623" t="s">
        <v>3583</v>
      </c>
      <c r="H3623" s="3">
        <v>19.657800000000002</v>
      </c>
      <c r="I3623" t="s">
        <v>3584</v>
      </c>
      <c r="J3623" t="s">
        <v>14263</v>
      </c>
      <c r="L3623" t="s">
        <v>3585</v>
      </c>
      <c r="M3623" t="str">
        <f>"https://www.artic.edu/iiif/2/"&amp;Table9[[#This Row],[Image ID]]&amp;"/full/843,/0/default.jpg"</f>
        <v>https://www.artic.edu/iiif/2/ececf41a-f970-9887-d566-e9112200936d/full/843,/0/default.jpg</v>
      </c>
      <c r="N3623" s="3">
        <v>0.65</v>
      </c>
      <c r="O3623" s="3">
        <v>0.17499999999999999</v>
      </c>
      <c r="P3623" s="3">
        <v>0.47500000000000003</v>
      </c>
      <c r="Q3623" s="3">
        <v>0.49902677536010698</v>
      </c>
    </row>
    <row r="3624" spans="1:17" x14ac:dyDescent="0.45">
      <c r="A3624" s="3">
        <v>117440</v>
      </c>
      <c r="B3624" t="b">
        <v>0</v>
      </c>
      <c r="C3624" t="b">
        <v>0</v>
      </c>
      <c r="D3624" s="3">
        <v>1932</v>
      </c>
      <c r="E3624" s="3">
        <v>1942</v>
      </c>
      <c r="F3624" t="s">
        <v>2322</v>
      </c>
      <c r="G3624" t="s">
        <v>2323</v>
      </c>
      <c r="H3624" s="3">
        <v>33.6096</v>
      </c>
      <c r="I3624" t="s">
        <v>184</v>
      </c>
      <c r="J3624" t="s">
        <v>14462</v>
      </c>
      <c r="L3624" t="s">
        <v>2324</v>
      </c>
      <c r="M3624" t="str">
        <f>"https://www.artic.edu/iiif/2/"&amp;Table9[[#This Row],[Image ID]]&amp;"/full/843,/0/default.jpg"</f>
        <v>https://www.artic.edu/iiif/2/faaec01f-dacc-b7d1-6e19-663c10c2609b/full/843,/0/default.jpg</v>
      </c>
      <c r="N3624" s="3">
        <v>0.55000000000000004</v>
      </c>
      <c r="O3624" s="3">
        <v>7.4999999999999997E-2</v>
      </c>
      <c r="P3624" s="3">
        <v>0.47500000000000003</v>
      </c>
      <c r="Q3624" s="3">
        <v>0.77969002723693803</v>
      </c>
    </row>
    <row r="3625" spans="1:17" x14ac:dyDescent="0.45">
      <c r="A3625" s="3">
        <v>9550</v>
      </c>
      <c r="B3625" t="b">
        <v>0</v>
      </c>
      <c r="C3625" t="b">
        <v>0</v>
      </c>
      <c r="D3625" s="3">
        <v>1957</v>
      </c>
      <c r="E3625" s="3">
        <v>1957</v>
      </c>
      <c r="F3625" t="s">
        <v>10770</v>
      </c>
      <c r="G3625" t="s">
        <v>7</v>
      </c>
      <c r="H3625" s="3">
        <v>47.222200000000001</v>
      </c>
      <c r="I3625" t="s">
        <v>14679</v>
      </c>
      <c r="J3625" t="s">
        <v>14499</v>
      </c>
      <c r="L3625" t="s">
        <v>10771</v>
      </c>
      <c r="M3625" t="str">
        <f>"https://www.artic.edu/iiif/2/"&amp;Table9[[#This Row],[Image ID]]&amp;"/full/843,/0/default.jpg"</f>
        <v>https://www.artic.edu/iiif/2/fd80f85b-229f-e043-aead-5d959e4f51a4/full/843,/0/default.jpg</v>
      </c>
      <c r="N3625" s="3">
        <v>0.52500000000000002</v>
      </c>
      <c r="O3625" s="3">
        <v>0.05</v>
      </c>
      <c r="P3625" s="3">
        <v>0.47500000000000003</v>
      </c>
      <c r="Q3625" s="3">
        <v>0.75526160001754705</v>
      </c>
    </row>
    <row r="3626" spans="1:17" x14ac:dyDescent="0.45">
      <c r="A3626" s="3">
        <v>90437</v>
      </c>
      <c r="B3626" t="b">
        <v>0</v>
      </c>
      <c r="C3626" t="b">
        <v>1</v>
      </c>
      <c r="D3626" s="3">
        <v>1410</v>
      </c>
      <c r="E3626" s="3">
        <v>1420</v>
      </c>
      <c r="F3626" t="s">
        <v>10524</v>
      </c>
      <c r="G3626" t="s">
        <v>747</v>
      </c>
      <c r="H3626" s="3">
        <v>38.124899999999997</v>
      </c>
      <c r="J3626" t="s">
        <v>11150</v>
      </c>
      <c r="K3626" s="5" t="s">
        <v>13</v>
      </c>
      <c r="L3626" t="s">
        <v>10525</v>
      </c>
      <c r="M3626" t="str">
        <f>"https://www.artic.edu/iiif/2/"&amp;Table9[[#This Row],[Image ID]]&amp;"/full/843,/0/default.jpg"</f>
        <v>https://www.artic.edu/iiif/2/0d52ff9e-13e6-06b2-2f37-7f1e661a7581/full/843,/0/default.jpg</v>
      </c>
      <c r="N3626" s="3">
        <v>0.6</v>
      </c>
      <c r="O3626" s="3">
        <v>0.125</v>
      </c>
      <c r="P3626" s="3">
        <v>0.47499999999999998</v>
      </c>
      <c r="Q3626" s="3">
        <v>0.77822971343994096</v>
      </c>
    </row>
    <row r="3627" spans="1:17" x14ac:dyDescent="0.45">
      <c r="A3627" s="3">
        <v>238272</v>
      </c>
      <c r="B3627" t="b">
        <v>0</v>
      </c>
      <c r="C3627" t="b">
        <v>1</v>
      </c>
      <c r="D3627" s="3">
        <v>1642</v>
      </c>
      <c r="E3627" s="3">
        <v>1642</v>
      </c>
      <c r="F3627" t="s">
        <v>6320</v>
      </c>
      <c r="G3627" t="s">
        <v>75</v>
      </c>
      <c r="H3627" s="3">
        <v>19.729199999999999</v>
      </c>
      <c r="I3627" t="s">
        <v>6321</v>
      </c>
      <c r="J3627" t="s">
        <v>11186</v>
      </c>
      <c r="L3627" t="s">
        <v>6322</v>
      </c>
      <c r="M3627" t="str">
        <f>"https://www.artic.edu/iiif/2/"&amp;Table9[[#This Row],[Image ID]]&amp;"/full/843,/0/default.jpg"</f>
        <v>https://www.artic.edu/iiif/2/10429355-e9c3-c48d-1d2a-6fef025d140e/full/843,/0/default.jpg</v>
      </c>
      <c r="N3627" s="3">
        <v>0.7</v>
      </c>
      <c r="O3627" s="3">
        <v>0.22500000000000001</v>
      </c>
      <c r="P3627" s="3">
        <v>0.47499999999999998</v>
      </c>
      <c r="Q3627" s="3">
        <v>0.43479862809181202</v>
      </c>
    </row>
    <row r="3628" spans="1:17" x14ac:dyDescent="0.45">
      <c r="A3628" s="3">
        <v>55380</v>
      </c>
      <c r="B3628" t="b">
        <v>0</v>
      </c>
      <c r="C3628" t="b">
        <v>1</v>
      </c>
      <c r="D3628" s="3">
        <v>1864</v>
      </c>
      <c r="E3628" s="3">
        <v>1864</v>
      </c>
      <c r="F3628" t="s">
        <v>8334</v>
      </c>
      <c r="G3628" t="s">
        <v>7</v>
      </c>
      <c r="H3628" s="3">
        <v>38.5762</v>
      </c>
      <c r="I3628" t="s">
        <v>8335</v>
      </c>
      <c r="J3628" t="s">
        <v>11262</v>
      </c>
      <c r="L3628" t="s">
        <v>8336</v>
      </c>
      <c r="M3628" t="str">
        <f>"https://www.artic.edu/iiif/2/"&amp;Table9[[#This Row],[Image ID]]&amp;"/full/843,/0/default.jpg"</f>
        <v>https://www.artic.edu/iiif/2/15528954-446e-cb43-cbb4-c22dc82c1bd0/full/843,/0/default.jpg</v>
      </c>
      <c r="N3628" s="3">
        <v>0.57499999999999996</v>
      </c>
      <c r="O3628" s="3">
        <v>0.1</v>
      </c>
      <c r="P3628" s="3">
        <v>0.47499999999999998</v>
      </c>
      <c r="Q3628" s="3">
        <v>0.72719794511795</v>
      </c>
    </row>
    <row r="3629" spans="1:17" x14ac:dyDescent="0.45">
      <c r="A3629" s="3">
        <v>16485</v>
      </c>
      <c r="B3629" t="b">
        <v>0</v>
      </c>
      <c r="C3629" t="b">
        <v>1</v>
      </c>
      <c r="D3629" s="3">
        <v>1742</v>
      </c>
      <c r="E3629" s="3">
        <v>1745</v>
      </c>
      <c r="F3629" t="s">
        <v>4445</v>
      </c>
      <c r="G3629" t="s">
        <v>7</v>
      </c>
      <c r="H3629" s="3">
        <v>35.1691</v>
      </c>
      <c r="I3629" t="s">
        <v>1042</v>
      </c>
      <c r="J3629" t="s">
        <v>11275</v>
      </c>
      <c r="L3629" t="s">
        <v>4446</v>
      </c>
      <c r="M3629" t="str">
        <f>"https://www.artic.edu/iiif/2/"&amp;Table9[[#This Row],[Image ID]]&amp;"/full/843,/0/default.jpg"</f>
        <v>https://www.artic.edu/iiif/2/1623c4af-9ac2-fd80-9e73-05f7d402c6bd/full/843,/0/default.jpg</v>
      </c>
      <c r="N3629" s="3">
        <v>0.625</v>
      </c>
      <c r="O3629" s="3">
        <v>0.15</v>
      </c>
      <c r="P3629" s="3">
        <v>0.47499999999999998</v>
      </c>
      <c r="Q3629" s="3">
        <v>0.514396011829376</v>
      </c>
    </row>
    <row r="3630" spans="1:17" x14ac:dyDescent="0.45">
      <c r="A3630" s="3">
        <v>76888</v>
      </c>
      <c r="B3630" t="b">
        <v>0</v>
      </c>
      <c r="C3630" t="b">
        <v>1</v>
      </c>
      <c r="D3630" s="3">
        <v>1625</v>
      </c>
      <c r="E3630" s="3">
        <v>1800</v>
      </c>
      <c r="F3630" t="s">
        <v>9804</v>
      </c>
      <c r="G3630" t="s">
        <v>9805</v>
      </c>
      <c r="H3630" s="3">
        <v>39.153399999999998</v>
      </c>
      <c r="J3630" t="s">
        <v>11824</v>
      </c>
      <c r="L3630" t="s">
        <v>9806</v>
      </c>
      <c r="M3630" t="str">
        <f>"https://www.artic.edu/iiif/2/"&amp;Table9[[#This Row],[Image ID]]&amp;"/full/843,/0/default.jpg"</f>
        <v>https://www.artic.edu/iiif/2/3a193912-941b-bea3-4969-74bf9171f533/full/843,/0/default.jpg</v>
      </c>
      <c r="N3630" s="3">
        <v>0.57499999999999996</v>
      </c>
      <c r="O3630" s="3">
        <v>0.1</v>
      </c>
      <c r="P3630" s="3">
        <v>0.47499999999999998</v>
      </c>
      <c r="Q3630" s="3">
        <v>0.70687365531921298</v>
      </c>
    </row>
    <row r="3631" spans="1:17" x14ac:dyDescent="0.45">
      <c r="A3631" s="3">
        <v>40381</v>
      </c>
      <c r="B3631" t="b">
        <v>0</v>
      </c>
      <c r="C3631" t="b">
        <v>1</v>
      </c>
      <c r="D3631" s="3">
        <v>1855</v>
      </c>
      <c r="E3631" s="3">
        <v>1865</v>
      </c>
      <c r="F3631" t="s">
        <v>5113</v>
      </c>
      <c r="G3631" t="s">
        <v>7</v>
      </c>
      <c r="H3631" s="3">
        <v>0</v>
      </c>
      <c r="I3631" t="s">
        <v>7638</v>
      </c>
      <c r="J3631" t="s">
        <v>11851</v>
      </c>
      <c r="L3631" t="s">
        <v>7639</v>
      </c>
      <c r="M3631" t="str">
        <f>"https://www.artic.edu/iiif/2/"&amp;Table9[[#This Row],[Image ID]]&amp;"/full/843,/0/default.jpg"</f>
        <v>https://www.artic.edu/iiif/2/3bae5e81-c63d-6118-2322-02fd447fbf5b/full/843,/0/default.jpg</v>
      </c>
      <c r="N3631" s="3">
        <v>0.625</v>
      </c>
      <c r="O3631" s="3">
        <v>0.15</v>
      </c>
      <c r="P3631" s="3">
        <v>0.47499999999999998</v>
      </c>
      <c r="Q3631" s="3">
        <v>0.67210662364959695</v>
      </c>
    </row>
    <row r="3632" spans="1:17" x14ac:dyDescent="0.45">
      <c r="A3632" s="3">
        <v>4719</v>
      </c>
      <c r="B3632" t="b">
        <v>0</v>
      </c>
      <c r="C3632" t="b">
        <v>1</v>
      </c>
      <c r="D3632" s="3">
        <v>1330</v>
      </c>
      <c r="E3632" s="3">
        <v>1340</v>
      </c>
      <c r="F3632" t="s">
        <v>7930</v>
      </c>
      <c r="G3632" t="s">
        <v>7931</v>
      </c>
      <c r="H3632" s="3">
        <v>41.542200000000001</v>
      </c>
      <c r="I3632" t="s">
        <v>2718</v>
      </c>
      <c r="J3632" t="s">
        <v>11912</v>
      </c>
      <c r="K3632" s="5" t="s">
        <v>278</v>
      </c>
      <c r="L3632" t="s">
        <v>7932</v>
      </c>
      <c r="M3632" t="str">
        <f>"https://www.artic.edu/iiif/2/"&amp;Table9[[#This Row],[Image ID]]&amp;"/full/843,/0/default.jpg"</f>
        <v>https://www.artic.edu/iiif/2/3fa2ef5b-ba12-b8ad-860f-aefbf0af906e/full/843,/0/default.jpg</v>
      </c>
      <c r="N3632" s="3">
        <v>0.6</v>
      </c>
      <c r="O3632" s="3">
        <v>0.125</v>
      </c>
      <c r="P3632" s="3">
        <v>0.47499999999999998</v>
      </c>
      <c r="Q3632" s="3">
        <v>0.71576118469238204</v>
      </c>
    </row>
    <row r="3633" spans="1:17" x14ac:dyDescent="0.45">
      <c r="A3633" s="3">
        <v>131858</v>
      </c>
      <c r="B3633" t="b">
        <v>0</v>
      </c>
      <c r="C3633" t="b">
        <v>1</v>
      </c>
      <c r="D3633" s="3">
        <v>1725</v>
      </c>
      <c r="E3633" s="3">
        <v>1775</v>
      </c>
      <c r="F3633" t="s">
        <v>2989</v>
      </c>
      <c r="G3633" t="s">
        <v>2990</v>
      </c>
      <c r="H3633" s="3">
        <v>58.688800000000001</v>
      </c>
      <c r="J3633" t="s">
        <v>12088</v>
      </c>
      <c r="K3633" s="5" t="s">
        <v>4</v>
      </c>
      <c r="L3633" t="s">
        <v>2991</v>
      </c>
      <c r="M3633" t="str">
        <f>"https://www.artic.edu/iiif/2/"&amp;Table9[[#This Row],[Image ID]]&amp;"/full/843,/0/default.jpg"</f>
        <v>https://www.artic.edu/iiif/2/4cb3e735-e0b4-7c8d-5cef-78230983d1be/full/843,/0/default.jpg</v>
      </c>
      <c r="N3633" s="3">
        <v>0.5</v>
      </c>
      <c r="O3633" s="3">
        <v>2.5000000000000001E-2</v>
      </c>
      <c r="P3633" s="3">
        <v>0.47499999999999998</v>
      </c>
      <c r="Q3633" s="3">
        <v>0.76210057735443104</v>
      </c>
    </row>
    <row r="3634" spans="1:17" ht="99.75" x14ac:dyDescent="0.45">
      <c r="A3634" s="3">
        <v>58702</v>
      </c>
      <c r="B3634" t="b">
        <v>0</v>
      </c>
      <c r="C3634" t="b">
        <v>1</v>
      </c>
      <c r="D3634" s="3">
        <v>1495</v>
      </c>
      <c r="E3634" s="3">
        <v>1550</v>
      </c>
      <c r="F3634" t="s">
        <v>6734</v>
      </c>
      <c r="G3634" t="s">
        <v>75</v>
      </c>
      <c r="H3634" s="3">
        <v>28.529699999999998</v>
      </c>
      <c r="I3634" t="s">
        <v>8533</v>
      </c>
      <c r="J3634" s="1" t="s">
        <v>12220</v>
      </c>
      <c r="L3634" t="s">
        <v>8534</v>
      </c>
      <c r="M3634" t="str">
        <f>"https://www.artic.edu/iiif/2/"&amp;Table9[[#This Row],[Image ID]]&amp;"/full/843,/0/default.jpg"</f>
        <v>https://www.artic.edu/iiif/2/550d7d97-e4ae-e023-21ad-066559632a12/full/843,/0/default.jpg</v>
      </c>
      <c r="N3634" s="3">
        <v>0.625</v>
      </c>
      <c r="O3634" s="3">
        <v>0.15</v>
      </c>
      <c r="P3634" s="3">
        <v>0.47499999999999998</v>
      </c>
      <c r="Q3634" s="3">
        <v>0.72378695011138905</v>
      </c>
    </row>
    <row r="3635" spans="1:17" x14ac:dyDescent="0.45">
      <c r="A3635" s="3">
        <v>897</v>
      </c>
      <c r="B3635" t="b">
        <v>0</v>
      </c>
      <c r="C3635" t="b">
        <v>1</v>
      </c>
      <c r="D3635" s="3">
        <v>1852</v>
      </c>
      <c r="E3635" s="3">
        <v>1852</v>
      </c>
      <c r="F3635" t="s">
        <v>9582</v>
      </c>
      <c r="G3635" t="s">
        <v>75</v>
      </c>
      <c r="H3635" s="3">
        <v>34.757199999999997</v>
      </c>
      <c r="I3635" t="s">
        <v>1157</v>
      </c>
      <c r="J3635" t="s">
        <v>12305</v>
      </c>
      <c r="L3635" t="s">
        <v>10466</v>
      </c>
      <c r="M3635" t="str">
        <f>"https://www.artic.edu/iiif/2/"&amp;Table9[[#This Row],[Image ID]]&amp;"/full/843,/0/default.jpg"</f>
        <v>https://www.artic.edu/iiif/2/5ae91cbf-66c5-cf9b-f355-629e458cb063/full/843,/0/default.jpg</v>
      </c>
      <c r="N3635" s="3">
        <v>0.6</v>
      </c>
      <c r="O3635" s="3">
        <v>0.125</v>
      </c>
      <c r="P3635" s="3">
        <v>0.47499999999999998</v>
      </c>
      <c r="Q3635" s="3">
        <v>0.60221403837203902</v>
      </c>
    </row>
    <row r="3636" spans="1:17" x14ac:dyDescent="0.45">
      <c r="A3636" s="3">
        <v>53488</v>
      </c>
      <c r="B3636" t="b">
        <v>0</v>
      </c>
      <c r="C3636" t="b">
        <v>1</v>
      </c>
      <c r="D3636" s="3">
        <v>1755</v>
      </c>
      <c r="E3636" s="3">
        <v>1765</v>
      </c>
      <c r="F3636" t="s">
        <v>7090</v>
      </c>
      <c r="G3636" t="s">
        <v>7</v>
      </c>
      <c r="H3636" s="3">
        <v>0</v>
      </c>
      <c r="I3636" t="s">
        <v>8261</v>
      </c>
      <c r="J3636" t="s">
        <v>12617</v>
      </c>
      <c r="L3636" t="s">
        <v>8262</v>
      </c>
      <c r="M3636" t="str">
        <f>"https://www.artic.edu/iiif/2/"&amp;Table9[[#This Row],[Image ID]]&amp;"/full/843,/0/default.jpg"</f>
        <v>https://www.artic.edu/iiif/2/709f4ad8-d170-c3ca-0b43-51fa6fdeffaa/full/843,/0/default.jpg</v>
      </c>
      <c r="N3636" s="3">
        <v>0.72499999999999998</v>
      </c>
      <c r="O3636" s="3">
        <v>0.25</v>
      </c>
      <c r="P3636" s="3">
        <v>0.47499999999999998</v>
      </c>
      <c r="Q3636" s="3">
        <v>0.66756206750869695</v>
      </c>
    </row>
    <row r="3637" spans="1:17" x14ac:dyDescent="0.45">
      <c r="A3637" s="3">
        <v>142517</v>
      </c>
      <c r="B3637" t="b">
        <v>0</v>
      </c>
      <c r="C3637" t="b">
        <v>1</v>
      </c>
      <c r="D3637" s="3">
        <v>1501</v>
      </c>
      <c r="E3637" s="3">
        <v>1700</v>
      </c>
      <c r="F3637" t="s">
        <v>3275</v>
      </c>
      <c r="G3637" t="s">
        <v>3276</v>
      </c>
      <c r="H3637" s="3">
        <v>48.002000000000002</v>
      </c>
      <c r="J3637" t="s">
        <v>12717</v>
      </c>
      <c r="K3637" s="5" t="s">
        <v>5</v>
      </c>
      <c r="L3637" t="s">
        <v>3277</v>
      </c>
      <c r="M3637" t="str">
        <f>"https://www.artic.edu/iiif/2/"&amp;Table9[[#This Row],[Image ID]]&amp;"/full/843,/0/default.jpg"</f>
        <v>https://www.artic.edu/iiif/2/7889dbde-6528-68e5-db40-9a5ae819ceb8/full/843,/0/default.jpg</v>
      </c>
      <c r="N3637" s="3">
        <v>0.625</v>
      </c>
      <c r="O3637" s="3">
        <v>0.15</v>
      </c>
      <c r="P3637" s="3">
        <v>0.47499999999999998</v>
      </c>
      <c r="Q3637" s="3">
        <v>0.70211654901504505</v>
      </c>
    </row>
    <row r="3638" spans="1:17" x14ac:dyDescent="0.45">
      <c r="A3638" s="3">
        <v>196282</v>
      </c>
      <c r="B3638" t="b">
        <v>0</v>
      </c>
      <c r="C3638" t="b">
        <v>1</v>
      </c>
      <c r="D3638" s="3">
        <v>1827</v>
      </c>
      <c r="E3638" s="3">
        <v>1827</v>
      </c>
      <c r="F3638" t="s">
        <v>5279</v>
      </c>
      <c r="G3638" t="s">
        <v>7</v>
      </c>
      <c r="H3638" s="3">
        <v>34.921399999999998</v>
      </c>
      <c r="I3638" t="s">
        <v>5280</v>
      </c>
      <c r="J3638" t="s">
        <v>12728</v>
      </c>
      <c r="L3638" t="s">
        <v>5281</v>
      </c>
      <c r="M3638" t="str">
        <f>"https://www.artic.edu/iiif/2/"&amp;Table9[[#This Row],[Image ID]]&amp;"/full/843,/0/default.jpg"</f>
        <v>https://www.artic.edu/iiif/2/7951054b-f49a-6824-10ab-a3a301f39115/full/843,/0/default.jpg</v>
      </c>
      <c r="N3638" s="3">
        <v>0.6</v>
      </c>
      <c r="O3638" s="3">
        <v>0.125</v>
      </c>
      <c r="P3638" s="3">
        <v>0.47499999999999998</v>
      </c>
      <c r="Q3638" s="3">
        <v>0.56559771299362105</v>
      </c>
    </row>
    <row r="3639" spans="1:17" x14ac:dyDescent="0.45">
      <c r="A3639" s="3">
        <v>131900</v>
      </c>
      <c r="B3639" t="b">
        <v>0</v>
      </c>
      <c r="C3639" t="b">
        <v>1</v>
      </c>
      <c r="D3639" s="3">
        <v>1550</v>
      </c>
      <c r="E3639" s="3">
        <v>1550</v>
      </c>
      <c r="F3639" t="s">
        <v>3000</v>
      </c>
      <c r="G3639" t="s">
        <v>2654</v>
      </c>
      <c r="H3639" s="3">
        <v>41.522399999999998</v>
      </c>
      <c r="J3639" t="s">
        <v>6526</v>
      </c>
      <c r="L3639" t="s">
        <v>3001</v>
      </c>
      <c r="M3639" t="str">
        <f>"https://www.artic.edu/iiif/2/"&amp;Table9[[#This Row],[Image ID]]&amp;"/full/843,/0/default.jpg"</f>
        <v>https://www.artic.edu/iiif/2/8013d2b1-a3e3-bf7f-b28e-510b0a3efee5/full/843,/0/default.jpg</v>
      </c>
      <c r="N3639" s="3">
        <v>0.625</v>
      </c>
      <c r="O3639" s="3">
        <v>0.15</v>
      </c>
      <c r="P3639" s="3">
        <v>0.47499999999999998</v>
      </c>
      <c r="Q3639" s="3">
        <v>0.74968391656875599</v>
      </c>
    </row>
    <row r="3640" spans="1:17" x14ac:dyDescent="0.45">
      <c r="A3640" s="3">
        <v>113210</v>
      </c>
      <c r="B3640" t="b">
        <v>0</v>
      </c>
      <c r="C3640" t="b">
        <v>1</v>
      </c>
      <c r="D3640" s="3">
        <v>1782</v>
      </c>
      <c r="E3640" s="3">
        <v>1832</v>
      </c>
      <c r="F3640" t="s">
        <v>1366</v>
      </c>
      <c r="G3640" t="s">
        <v>1367</v>
      </c>
      <c r="H3640" s="3">
        <v>32.808999999999997</v>
      </c>
      <c r="I3640" t="s">
        <v>1359</v>
      </c>
      <c r="J3640" t="s">
        <v>13154</v>
      </c>
      <c r="L3640" t="s">
        <v>1368</v>
      </c>
      <c r="M3640" t="str">
        <f>"https://www.artic.edu/iiif/2/"&amp;Table9[[#This Row],[Image ID]]&amp;"/full/843,/0/default.jpg"</f>
        <v>https://www.artic.edu/iiif/2/9a3d4cac-7cdc-bb97-90e3-adf005b6ec15/full/843,/0/default.jpg</v>
      </c>
      <c r="N3640" s="3">
        <v>0.625</v>
      </c>
      <c r="O3640" s="3">
        <v>0.15</v>
      </c>
      <c r="P3640" s="3">
        <v>0.47499999999999998</v>
      </c>
      <c r="Q3640" s="3">
        <v>0.41313385963439903</v>
      </c>
    </row>
    <row r="3641" spans="1:17" x14ac:dyDescent="0.45">
      <c r="A3641" s="3">
        <v>16159</v>
      </c>
      <c r="B3641" t="b">
        <v>0</v>
      </c>
      <c r="C3641" t="b">
        <v>1</v>
      </c>
      <c r="D3641" s="3">
        <v>1455</v>
      </c>
      <c r="E3641" s="3">
        <v>1460</v>
      </c>
      <c r="F3641" t="s">
        <v>4272</v>
      </c>
      <c r="G3641" t="s">
        <v>103</v>
      </c>
      <c r="H3641" s="3">
        <v>40.427199999999999</v>
      </c>
      <c r="I3641" t="s">
        <v>4270</v>
      </c>
      <c r="J3641" t="s">
        <v>13164</v>
      </c>
      <c r="L3641" t="s">
        <v>4273</v>
      </c>
      <c r="M3641" t="str">
        <f>"https://www.artic.edu/iiif/2/"&amp;Table9[[#This Row],[Image ID]]&amp;"/full/843,/0/default.jpg"</f>
        <v>https://www.artic.edu/iiif/2/9ae944b3-dea5-2db5-f090-c266a7d20ea7/full/843,/0/default.jpg</v>
      </c>
      <c r="N3641" s="3">
        <v>0.6</v>
      </c>
      <c r="O3641" s="3">
        <v>0.125</v>
      </c>
      <c r="P3641" s="3">
        <v>0.47499999999999998</v>
      </c>
      <c r="Q3641" s="3">
        <v>0.79599541425704901</v>
      </c>
    </row>
    <row r="3642" spans="1:17" x14ac:dyDescent="0.45">
      <c r="A3642" s="3">
        <v>39246</v>
      </c>
      <c r="B3642" t="b">
        <v>0</v>
      </c>
      <c r="C3642" t="b">
        <v>1</v>
      </c>
      <c r="D3642" s="3">
        <v>1869</v>
      </c>
      <c r="E3642" s="3">
        <v>1869</v>
      </c>
      <c r="F3642" t="s">
        <v>7548</v>
      </c>
      <c r="G3642" t="s">
        <v>7549</v>
      </c>
      <c r="H3642" s="3">
        <v>49.941800000000001</v>
      </c>
      <c r="I3642" t="s">
        <v>2119</v>
      </c>
      <c r="J3642" t="s">
        <v>13178</v>
      </c>
      <c r="L3642" t="s">
        <v>7550</v>
      </c>
      <c r="M3642" t="str">
        <f>"https://www.artic.edu/iiif/2/"&amp;Table9[[#This Row],[Image ID]]&amp;"/full/843,/0/default.jpg"</f>
        <v>https://www.artic.edu/iiif/2/9c15b0f6-c5d3-ffa3-a853-0a62a4520400/full/843,/0/default.jpg</v>
      </c>
      <c r="N3642" s="3">
        <v>0.57499999999999996</v>
      </c>
      <c r="O3642" s="3">
        <v>0.1</v>
      </c>
      <c r="P3642" s="3">
        <v>0.47499999999999998</v>
      </c>
      <c r="Q3642" s="3">
        <v>0.55682915449142401</v>
      </c>
    </row>
    <row r="3643" spans="1:17" x14ac:dyDescent="0.45">
      <c r="A3643" s="3">
        <v>84088</v>
      </c>
      <c r="B3643" t="b">
        <v>0</v>
      </c>
      <c r="C3643" t="b">
        <v>1</v>
      </c>
      <c r="D3643" s="3">
        <v>1893</v>
      </c>
      <c r="E3643" s="3">
        <v>1893</v>
      </c>
      <c r="F3643" t="s">
        <v>10248</v>
      </c>
      <c r="G3643" t="s">
        <v>7</v>
      </c>
      <c r="H3643" s="3">
        <v>13.8772</v>
      </c>
      <c r="I3643" t="s">
        <v>527</v>
      </c>
      <c r="J3643" t="s">
        <v>13216</v>
      </c>
      <c r="K3643" s="5" t="s">
        <v>9</v>
      </c>
      <c r="L3643" t="s">
        <v>10249</v>
      </c>
      <c r="M3643" t="str">
        <f>"https://www.artic.edu/iiif/2/"&amp;Table9[[#This Row],[Image ID]]&amp;"/full/843,/0/default.jpg"</f>
        <v>https://www.artic.edu/iiif/2/9e72fb46-920e-86a7-bc49-9a525eac4e1c/full/843,/0/default.jpg</v>
      </c>
      <c r="N3643" s="3">
        <v>0.57499999999999996</v>
      </c>
      <c r="O3643" s="3">
        <v>0.1</v>
      </c>
      <c r="P3643" s="3">
        <v>0.47499999999999998</v>
      </c>
      <c r="Q3643" s="3">
        <v>0.55306398868560702</v>
      </c>
    </row>
    <row r="3644" spans="1:17" x14ac:dyDescent="0.45">
      <c r="A3644" s="3">
        <v>115888</v>
      </c>
      <c r="B3644" t="b">
        <v>0</v>
      </c>
      <c r="C3644" t="b">
        <v>1</v>
      </c>
      <c r="D3644" s="3">
        <v>1700</v>
      </c>
      <c r="E3644" s="3">
        <v>1799</v>
      </c>
      <c r="F3644" t="s">
        <v>2187</v>
      </c>
      <c r="G3644" t="s">
        <v>2188</v>
      </c>
      <c r="H3644" s="3">
        <v>27.544599999999999</v>
      </c>
      <c r="I3644" t="s">
        <v>16</v>
      </c>
      <c r="J3644" t="s">
        <v>2190</v>
      </c>
      <c r="L3644" t="s">
        <v>2189</v>
      </c>
      <c r="M3644" t="str">
        <f>"https://www.artic.edu/iiif/2/"&amp;Table9[[#This Row],[Image ID]]&amp;"/full/843,/0/default.jpg"</f>
        <v>https://www.artic.edu/iiif/2/9e9f68c8-8bf0-57c6-62ba-4c83367c50dc/full/843,/0/default.jpg</v>
      </c>
      <c r="N3644" s="3">
        <v>0.6</v>
      </c>
      <c r="O3644" s="3">
        <v>0.125</v>
      </c>
      <c r="P3644" s="3">
        <v>0.47499999999999998</v>
      </c>
      <c r="Q3644" s="3">
        <v>0.41319707036018299</v>
      </c>
    </row>
    <row r="3645" spans="1:17" x14ac:dyDescent="0.45">
      <c r="A3645" s="3">
        <v>30925</v>
      </c>
      <c r="B3645" t="b">
        <v>0</v>
      </c>
      <c r="C3645" t="b">
        <v>1</v>
      </c>
      <c r="D3645" s="3">
        <v>1821</v>
      </c>
      <c r="E3645" s="3">
        <v>1828</v>
      </c>
      <c r="F3645" t="s">
        <v>6965</v>
      </c>
      <c r="G3645" t="s">
        <v>642</v>
      </c>
      <c r="H3645" s="3">
        <v>35.205599999999997</v>
      </c>
      <c r="I3645" t="s">
        <v>1280</v>
      </c>
      <c r="J3645" t="s">
        <v>13311</v>
      </c>
      <c r="L3645" t="s">
        <v>6966</v>
      </c>
      <c r="M3645" t="str">
        <f>"https://www.artic.edu/iiif/2/"&amp;Table9[[#This Row],[Image ID]]&amp;"/full/843,/0/default.jpg"</f>
        <v>https://www.artic.edu/iiif/2/a5e8fa44-1cdc-d5b7-2768-b3b71c029c54/full/843,/0/default.jpg</v>
      </c>
      <c r="N3645" s="3">
        <v>0.625</v>
      </c>
      <c r="O3645" s="3">
        <v>0.15</v>
      </c>
      <c r="P3645" s="3">
        <v>0.47499999999999998</v>
      </c>
      <c r="Q3645" s="3">
        <v>0.62028902769088701</v>
      </c>
    </row>
    <row r="3646" spans="1:17" x14ac:dyDescent="0.45">
      <c r="A3646" s="3">
        <v>9485</v>
      </c>
      <c r="B3646" t="b">
        <v>0</v>
      </c>
      <c r="C3646" t="b">
        <v>1</v>
      </c>
      <c r="D3646" s="3">
        <v>1864</v>
      </c>
      <c r="E3646" s="3">
        <v>1868</v>
      </c>
      <c r="F3646" t="s">
        <v>10749</v>
      </c>
      <c r="G3646" t="s">
        <v>10750</v>
      </c>
      <c r="H3646" s="3">
        <v>24.314399999999999</v>
      </c>
      <c r="I3646" t="s">
        <v>14636</v>
      </c>
      <c r="J3646" t="s">
        <v>12106</v>
      </c>
      <c r="L3646" t="s">
        <v>10751</v>
      </c>
      <c r="M3646" t="str">
        <f>"https://www.artic.edu/iiif/2/"&amp;Table9[[#This Row],[Image ID]]&amp;"/full/843,/0/default.jpg"</f>
        <v>https://www.artic.edu/iiif/2/a80f8ca3-3d35-fef0-bd1a-a774519b09da/full/843,/0/default.jpg</v>
      </c>
      <c r="N3646" s="3">
        <v>0.625</v>
      </c>
      <c r="O3646" s="3">
        <v>0.15</v>
      </c>
      <c r="P3646" s="3">
        <v>0.47499999999999998</v>
      </c>
      <c r="Q3646" s="3">
        <v>0.74843090772628695</v>
      </c>
    </row>
    <row r="3647" spans="1:17" x14ac:dyDescent="0.45">
      <c r="A3647" s="3">
        <v>39468</v>
      </c>
      <c r="B3647" t="b">
        <v>0</v>
      </c>
      <c r="C3647" t="b">
        <v>1</v>
      </c>
      <c r="D3647" s="3">
        <v>1860</v>
      </c>
      <c r="E3647" s="3">
        <v>1901</v>
      </c>
      <c r="F3647" t="s">
        <v>7564</v>
      </c>
      <c r="G3647" t="s">
        <v>7565</v>
      </c>
      <c r="H3647" s="3">
        <v>20.400200000000002</v>
      </c>
      <c r="I3647" t="s">
        <v>6923</v>
      </c>
      <c r="J3647" t="s">
        <v>13605</v>
      </c>
      <c r="L3647" t="s">
        <v>7566</v>
      </c>
      <c r="M3647" t="str">
        <f>"https://www.artic.edu/iiif/2/"&amp;Table9[[#This Row],[Image ID]]&amp;"/full/843,/0/default.jpg"</f>
        <v>https://www.artic.edu/iiif/2/bd17ef2d-5d68-de42-22b2-e42e95d152a3/full/843,/0/default.jpg</v>
      </c>
      <c r="N3647" s="3">
        <v>0.57499999999999996</v>
      </c>
      <c r="O3647" s="3">
        <v>0.1</v>
      </c>
      <c r="P3647" s="3">
        <v>0.47499999999999998</v>
      </c>
      <c r="Q3647" s="3">
        <v>0.59482944011688199</v>
      </c>
    </row>
    <row r="3648" spans="1:17" x14ac:dyDescent="0.45">
      <c r="A3648" s="3">
        <v>66588</v>
      </c>
      <c r="B3648" t="b">
        <v>0</v>
      </c>
      <c r="C3648" t="b">
        <v>1</v>
      </c>
      <c r="D3648" s="3">
        <v>1866</v>
      </c>
      <c r="E3648" s="3">
        <v>1901</v>
      </c>
      <c r="F3648" t="s">
        <v>9312</v>
      </c>
      <c r="G3648" t="s">
        <v>9313</v>
      </c>
      <c r="H3648" s="3">
        <v>37.868600000000001</v>
      </c>
      <c r="I3648" t="s">
        <v>1527</v>
      </c>
      <c r="J3648" t="s">
        <v>13638</v>
      </c>
      <c r="L3648" t="s">
        <v>9314</v>
      </c>
      <c r="M3648" t="str">
        <f>"https://www.artic.edu/iiif/2/"&amp;Table9[[#This Row],[Image ID]]&amp;"/full/843,/0/default.jpg"</f>
        <v>https://www.artic.edu/iiif/2/beb9c7d6-8544-a6ee-9c51-f2732d8e9f76/full/843,/0/default.jpg</v>
      </c>
      <c r="N3648" s="3">
        <v>0.57499999999999996</v>
      </c>
      <c r="O3648" s="3">
        <v>0.1</v>
      </c>
      <c r="P3648" s="3">
        <v>0.47499999999999998</v>
      </c>
      <c r="Q3648" s="3">
        <v>0.67329996824264504</v>
      </c>
    </row>
    <row r="3649" spans="1:17" x14ac:dyDescent="0.45">
      <c r="A3649" s="3">
        <v>97873</v>
      </c>
      <c r="B3649" t="b">
        <v>0</v>
      </c>
      <c r="C3649" t="b">
        <v>1</v>
      </c>
      <c r="D3649" s="3">
        <v>1829</v>
      </c>
      <c r="E3649" s="3">
        <v>1829</v>
      </c>
      <c r="F3649" t="s">
        <v>10856</v>
      </c>
      <c r="G3649" t="s">
        <v>7</v>
      </c>
      <c r="H3649" s="3">
        <v>35.627699999999997</v>
      </c>
      <c r="I3649" t="s">
        <v>9672</v>
      </c>
      <c r="J3649" t="s">
        <v>13674</v>
      </c>
      <c r="L3649" t="s">
        <v>10857</v>
      </c>
      <c r="M3649" t="str">
        <f>"https://www.artic.edu/iiif/2/"&amp;Table9[[#This Row],[Image ID]]&amp;"/full/843,/0/default.jpg"</f>
        <v>https://www.artic.edu/iiif/2/c1f5d7ea-65f6-0ac6-d22f-549d27cfdd38/full/843,/0/default.jpg</v>
      </c>
      <c r="N3649" s="3">
        <v>0.7</v>
      </c>
      <c r="O3649" s="3">
        <v>0.22500000000000001</v>
      </c>
      <c r="P3649" s="3">
        <v>0.47499999999999998</v>
      </c>
      <c r="Q3649" s="3">
        <v>0.62876558303832997</v>
      </c>
    </row>
    <row r="3650" spans="1:17" x14ac:dyDescent="0.45">
      <c r="A3650" s="3">
        <v>139907</v>
      </c>
      <c r="B3650" t="b">
        <v>0</v>
      </c>
      <c r="C3650" t="b">
        <v>1</v>
      </c>
      <c r="D3650" s="3">
        <v>1830</v>
      </c>
      <c r="E3650" s="3">
        <v>1830</v>
      </c>
      <c r="F3650" t="s">
        <v>3244</v>
      </c>
      <c r="G3650" t="s">
        <v>7</v>
      </c>
      <c r="H3650" s="3">
        <v>19.322299999999998</v>
      </c>
      <c r="I3650" t="s">
        <v>14595</v>
      </c>
      <c r="J3650" t="s">
        <v>13723</v>
      </c>
      <c r="L3650" t="s">
        <v>3245</v>
      </c>
      <c r="M3650" t="str">
        <f>"https://www.artic.edu/iiif/2/"&amp;Table9[[#This Row],[Image ID]]&amp;"/full/843,/0/default.jpg"</f>
        <v>https://www.artic.edu/iiif/2/c676a0e8-d084-f1be-eaef-3be77a754568/full/843,/0/default.jpg</v>
      </c>
      <c r="N3650" s="3">
        <v>0.57499999999999996</v>
      </c>
      <c r="O3650" s="3">
        <v>0.1</v>
      </c>
      <c r="P3650" s="3">
        <v>0.47499999999999998</v>
      </c>
      <c r="Q3650" s="3">
        <v>0.48611107468605003</v>
      </c>
    </row>
    <row r="3651" spans="1:17" x14ac:dyDescent="0.45">
      <c r="A3651" s="3">
        <v>21741</v>
      </c>
      <c r="B3651" t="b">
        <v>0</v>
      </c>
      <c r="C3651" t="b">
        <v>1</v>
      </c>
      <c r="D3651" s="3">
        <v>1788</v>
      </c>
      <c r="E3651" s="3">
        <v>1791</v>
      </c>
      <c r="F3651" t="s">
        <v>5689</v>
      </c>
      <c r="G3651" t="s">
        <v>5690</v>
      </c>
      <c r="H3651" s="3">
        <v>32.026600000000002</v>
      </c>
      <c r="I3651" t="s">
        <v>1266</v>
      </c>
      <c r="J3651" t="s">
        <v>13843</v>
      </c>
      <c r="L3651" t="s">
        <v>5691</v>
      </c>
      <c r="M3651" t="str">
        <f>"https://www.artic.edu/iiif/2/"&amp;Table9[[#This Row],[Image ID]]&amp;"/full/843,/0/default.jpg"</f>
        <v>https://www.artic.edu/iiif/2/cfe002be-b3fb-623b-ed62-edfe054c1984/full/843,/0/default.jpg</v>
      </c>
      <c r="N3651" s="3">
        <v>0.72499999999999998</v>
      </c>
      <c r="O3651" s="3">
        <v>0.25</v>
      </c>
      <c r="P3651" s="3">
        <v>0.47499999999999998</v>
      </c>
      <c r="Q3651" s="3">
        <v>0.56963324546813898</v>
      </c>
    </row>
    <row r="3652" spans="1:17" x14ac:dyDescent="0.45">
      <c r="A3652" s="3">
        <v>8971</v>
      </c>
      <c r="B3652" t="b">
        <v>0</v>
      </c>
      <c r="C3652" t="b">
        <v>1</v>
      </c>
      <c r="D3652" s="3">
        <v>1893</v>
      </c>
      <c r="E3652" s="3">
        <v>1893</v>
      </c>
      <c r="F3652" t="s">
        <v>10467</v>
      </c>
      <c r="G3652" t="s">
        <v>7</v>
      </c>
      <c r="H3652" s="3">
        <v>13.0337</v>
      </c>
      <c r="I3652" t="s">
        <v>1337</v>
      </c>
      <c r="J3652" t="s">
        <v>11373</v>
      </c>
      <c r="K3652" s="5" t="s">
        <v>9</v>
      </c>
      <c r="L3652" t="s">
        <v>10468</v>
      </c>
      <c r="M3652" t="str">
        <f>"https://www.artic.edu/iiif/2/"&amp;Table9[[#This Row],[Image ID]]&amp;"/full/843,/0/default.jpg"</f>
        <v>https://www.artic.edu/iiif/2/de060306-b5a3-5139-cad9-57e9c274d7c3/full/843,/0/default.jpg</v>
      </c>
      <c r="N3652" s="3">
        <v>0.57499999999999996</v>
      </c>
      <c r="O3652" s="3">
        <v>0.1</v>
      </c>
      <c r="P3652" s="3">
        <v>0.47499999999999998</v>
      </c>
      <c r="Q3652" s="3">
        <v>0.45040443539619401</v>
      </c>
    </row>
    <row r="3653" spans="1:17" x14ac:dyDescent="0.45">
      <c r="A3653" s="3">
        <v>14677</v>
      </c>
      <c r="B3653" t="b">
        <v>0</v>
      </c>
      <c r="C3653" t="b">
        <v>1</v>
      </c>
      <c r="D3653" s="3">
        <v>1821</v>
      </c>
      <c r="E3653" s="3">
        <v>1906</v>
      </c>
      <c r="F3653" t="s">
        <v>3479</v>
      </c>
      <c r="G3653" t="s">
        <v>642</v>
      </c>
      <c r="H3653" s="3">
        <v>20.296199999999999</v>
      </c>
      <c r="I3653" t="s">
        <v>3480</v>
      </c>
      <c r="J3653" t="s">
        <v>14313</v>
      </c>
      <c r="L3653" t="s">
        <v>3481</v>
      </c>
      <c r="M3653" t="str">
        <f>"https://www.artic.edu/iiif/2/"&amp;Table9[[#This Row],[Image ID]]&amp;"/full/843,/0/default.jpg"</f>
        <v>https://www.artic.edu/iiif/2/f00a449e-327c-f56a-a61e-154ce4242ca5/full/843,/0/default.jpg</v>
      </c>
      <c r="N3653" s="3">
        <v>0.7</v>
      </c>
      <c r="O3653" s="3">
        <v>0.22500000000000001</v>
      </c>
      <c r="P3653" s="3">
        <v>0.47499999999999998</v>
      </c>
      <c r="Q3653" s="3">
        <v>0.66960418224334695</v>
      </c>
    </row>
    <row r="3654" spans="1:17" x14ac:dyDescent="0.45">
      <c r="A3654" s="3">
        <v>112746</v>
      </c>
      <c r="B3654" t="b">
        <v>0</v>
      </c>
      <c r="C3654" t="b">
        <v>1</v>
      </c>
      <c r="D3654" s="3">
        <v>1844</v>
      </c>
      <c r="E3654" s="3">
        <v>1854</v>
      </c>
      <c r="F3654" t="s">
        <v>1308</v>
      </c>
      <c r="G3654" t="s">
        <v>1309</v>
      </c>
      <c r="H3654" s="3">
        <v>27.144600000000001</v>
      </c>
      <c r="I3654" t="s">
        <v>1168</v>
      </c>
      <c r="J3654" t="s">
        <v>14359</v>
      </c>
      <c r="L3654" t="s">
        <v>1310</v>
      </c>
      <c r="M3654" t="str">
        <f>"https://www.artic.edu/iiif/2/"&amp;Table9[[#This Row],[Image ID]]&amp;"/full/843,/0/default.jpg"</f>
        <v>https://www.artic.edu/iiif/2/f2fc1126-2472-2cfc-cad2-7ebc5d169712/full/843,/0/default.jpg</v>
      </c>
      <c r="N3654" s="3">
        <v>0.6</v>
      </c>
      <c r="O3654" s="3">
        <v>0.125</v>
      </c>
      <c r="P3654" s="3">
        <v>0.47499999999999998</v>
      </c>
      <c r="Q3654" s="3">
        <v>0.49581584334373402</v>
      </c>
    </row>
    <row r="3655" spans="1:17" x14ac:dyDescent="0.45">
      <c r="A3655" s="3">
        <v>205402</v>
      </c>
      <c r="B3655" t="b">
        <v>0</v>
      </c>
      <c r="C3655" t="b">
        <v>0</v>
      </c>
      <c r="D3655" s="3">
        <v>1975</v>
      </c>
      <c r="E3655" s="3">
        <v>1975</v>
      </c>
      <c r="F3655" t="s">
        <v>5457</v>
      </c>
      <c r="G3655" t="s">
        <v>5458</v>
      </c>
      <c r="H3655" s="3">
        <v>15.667999999999999</v>
      </c>
      <c r="I3655" t="s">
        <v>5186</v>
      </c>
      <c r="J3655" t="s">
        <v>11116</v>
      </c>
      <c r="L3655" t="s">
        <v>5459</v>
      </c>
      <c r="M3655" t="str">
        <f>"https://www.artic.edu/iiif/2/"&amp;Table9[[#This Row],[Image ID]]&amp;"/full/843,/0/default.jpg"</f>
        <v>https://www.artic.edu/iiif/2/0a734e33-295f-2bac-d382-b932ed022cbd/full/843,/0/default.jpg</v>
      </c>
      <c r="N3655" s="3">
        <v>0.5</v>
      </c>
      <c r="O3655" s="3">
        <v>2.5000000000000001E-2</v>
      </c>
      <c r="P3655" s="3">
        <v>0.47499999999999998</v>
      </c>
      <c r="Q3655" s="3">
        <v>0.83789640665054299</v>
      </c>
    </row>
    <row r="3656" spans="1:17" x14ac:dyDescent="0.45">
      <c r="A3656" s="3">
        <v>117194</v>
      </c>
      <c r="B3656" t="b">
        <v>0</v>
      </c>
      <c r="C3656" t="b">
        <v>0</v>
      </c>
      <c r="D3656" s="3">
        <v>1948</v>
      </c>
      <c r="E3656" s="3">
        <v>1948</v>
      </c>
      <c r="F3656" t="s">
        <v>2257</v>
      </c>
      <c r="G3656" t="s">
        <v>7</v>
      </c>
      <c r="H3656" s="3">
        <v>28.5898</v>
      </c>
      <c r="I3656" t="s">
        <v>180</v>
      </c>
      <c r="J3656" t="s">
        <v>11231</v>
      </c>
      <c r="L3656" t="s">
        <v>2258</v>
      </c>
      <c r="M3656" t="str">
        <f>"https://www.artic.edu/iiif/2/"&amp;Table9[[#This Row],[Image ID]]&amp;"/full/843,/0/default.jpg"</f>
        <v>https://www.artic.edu/iiif/2/12d51cb8-7299-9a5c-12d0-437be56e6669/full/843,/0/default.jpg</v>
      </c>
      <c r="N3656" s="3">
        <v>0.6</v>
      </c>
      <c r="O3656" s="3">
        <v>0.125</v>
      </c>
      <c r="P3656" s="3">
        <v>0.47499999999999998</v>
      </c>
      <c r="Q3656" s="3">
        <v>0.76687246561050404</v>
      </c>
    </row>
    <row r="3657" spans="1:17" x14ac:dyDescent="0.45">
      <c r="A3657" s="3">
        <v>150823</v>
      </c>
      <c r="B3657" t="b">
        <v>0</v>
      </c>
      <c r="C3657" t="b">
        <v>0</v>
      </c>
      <c r="D3657" s="3">
        <v>1938</v>
      </c>
      <c r="E3657" s="3">
        <v>1938</v>
      </c>
      <c r="F3657" t="s">
        <v>3811</v>
      </c>
      <c r="G3657" t="s">
        <v>3812</v>
      </c>
      <c r="H3657" s="3">
        <v>30.813300000000002</v>
      </c>
      <c r="I3657" t="s">
        <v>2575</v>
      </c>
      <c r="J3657" t="s">
        <v>11314</v>
      </c>
      <c r="L3657" t="s">
        <v>3813</v>
      </c>
      <c r="M3657" t="str">
        <f>"https://www.artic.edu/iiif/2/"&amp;Table9[[#This Row],[Image ID]]&amp;"/full/843,/0/default.jpg"</f>
        <v>https://www.artic.edu/iiif/2/18edff10-5127-ecf2-f397-98eb242226b7/full/843,/0/default.jpg</v>
      </c>
      <c r="N3657" s="3">
        <v>0.625</v>
      </c>
      <c r="O3657" s="3">
        <v>0.15</v>
      </c>
      <c r="P3657" s="3">
        <v>0.47499999999999998</v>
      </c>
      <c r="Q3657" s="3">
        <v>0.70437312126159601</v>
      </c>
    </row>
    <row r="3658" spans="1:17" x14ac:dyDescent="0.45">
      <c r="A3658" s="3">
        <v>62364</v>
      </c>
      <c r="B3658" t="b">
        <v>0</v>
      </c>
      <c r="C3658" t="b">
        <v>0</v>
      </c>
      <c r="D3658" s="3">
        <v>1947</v>
      </c>
      <c r="E3658" s="3">
        <v>1947</v>
      </c>
      <c r="F3658" t="s">
        <v>8892</v>
      </c>
      <c r="G3658" t="s">
        <v>8893</v>
      </c>
      <c r="H3658" s="3">
        <v>25.825299999999999</v>
      </c>
      <c r="I3658" t="s">
        <v>8894</v>
      </c>
      <c r="J3658" t="s">
        <v>11368</v>
      </c>
      <c r="L3658" t="s">
        <v>8895</v>
      </c>
      <c r="M3658" t="str">
        <f>"https://www.artic.edu/iiif/2/"&amp;Table9[[#This Row],[Image ID]]&amp;"/full/843,/0/default.jpg"</f>
        <v>https://www.artic.edu/iiif/2/1cca0372-86c6-360c-7e21-35753e9f0fca/full/843,/0/default.jpg</v>
      </c>
      <c r="N3658" s="3">
        <v>0.57499999999999996</v>
      </c>
      <c r="O3658" s="3">
        <v>0.1</v>
      </c>
      <c r="P3658" s="3">
        <v>0.47499999999999998</v>
      </c>
      <c r="Q3658" s="3">
        <v>0.67566120624542203</v>
      </c>
    </row>
    <row r="3659" spans="1:17" x14ac:dyDescent="0.45">
      <c r="A3659" s="3">
        <v>14772</v>
      </c>
      <c r="B3659" t="b">
        <v>0</v>
      </c>
      <c r="C3659" t="b">
        <v>0</v>
      </c>
      <c r="D3659" s="3">
        <v>1880</v>
      </c>
      <c r="E3659" s="3">
        <v>1933</v>
      </c>
      <c r="F3659" t="s">
        <v>3653</v>
      </c>
      <c r="G3659" t="s">
        <v>3654</v>
      </c>
      <c r="H3659" s="3">
        <v>43.491900000000001</v>
      </c>
      <c r="I3659" t="s">
        <v>3655</v>
      </c>
      <c r="J3659" t="s">
        <v>11468</v>
      </c>
      <c r="L3659" t="s">
        <v>3656</v>
      </c>
      <c r="M3659" t="str">
        <f>"https://www.artic.edu/iiif/2/"&amp;Table9[[#This Row],[Image ID]]&amp;"/full/843,/0/default.jpg"</f>
        <v>https://www.artic.edu/iiif/2/22d7545f-8504-9ac7-8d64-6c5b6e3f79c9/full/843,/0/default.jpg</v>
      </c>
      <c r="N3659" s="3">
        <v>0.6</v>
      </c>
      <c r="O3659" s="3">
        <v>0.125</v>
      </c>
      <c r="P3659" s="3">
        <v>0.47499999999999998</v>
      </c>
      <c r="Q3659" s="3">
        <v>0.70065772533416704</v>
      </c>
    </row>
    <row r="3660" spans="1:17" x14ac:dyDescent="0.45">
      <c r="A3660" s="3">
        <v>13832</v>
      </c>
      <c r="B3660" t="b">
        <v>0</v>
      </c>
      <c r="C3660" t="b">
        <v>0</v>
      </c>
      <c r="D3660" s="3">
        <v>1924</v>
      </c>
      <c r="E3660" s="3">
        <v>1924</v>
      </c>
      <c r="F3660" t="s">
        <v>3227</v>
      </c>
      <c r="G3660" t="s">
        <v>7</v>
      </c>
      <c r="H3660" s="3">
        <v>38.94</v>
      </c>
      <c r="I3660" t="s">
        <v>1322</v>
      </c>
      <c r="J3660" t="s">
        <v>11626</v>
      </c>
      <c r="L3660" t="s">
        <v>3228</v>
      </c>
      <c r="M3660" t="str">
        <f>"https://www.artic.edu/iiif/2/"&amp;Table9[[#This Row],[Image ID]]&amp;"/full/843,/0/default.jpg"</f>
        <v>https://www.artic.edu/iiif/2/2ca9b97b-de1a-575b-507a-95d526661792/full/843,/0/default.jpg</v>
      </c>
      <c r="N3660" s="3">
        <v>0.5</v>
      </c>
      <c r="O3660" s="3">
        <v>2.5000000000000001E-2</v>
      </c>
      <c r="P3660" s="3">
        <v>0.47499999999999998</v>
      </c>
      <c r="Q3660" s="3">
        <v>0.619920253753662</v>
      </c>
    </row>
    <row r="3661" spans="1:17" x14ac:dyDescent="0.45">
      <c r="A3661" s="3">
        <v>99655</v>
      </c>
      <c r="B3661" t="b">
        <v>0</v>
      </c>
      <c r="C3661" t="b">
        <v>0</v>
      </c>
      <c r="D3661" s="3">
        <v>1931</v>
      </c>
      <c r="E3661" s="3">
        <v>1931</v>
      </c>
      <c r="F3661" t="s">
        <v>10947</v>
      </c>
      <c r="G3661" t="s">
        <v>7</v>
      </c>
      <c r="H3661" s="3">
        <v>37.991100000000003</v>
      </c>
      <c r="I3661" t="s">
        <v>1539</v>
      </c>
      <c r="J3661" t="s">
        <v>11890</v>
      </c>
      <c r="L3661" t="s">
        <v>10948</v>
      </c>
      <c r="M3661" t="str">
        <f>"https://www.artic.edu/iiif/2/"&amp;Table9[[#This Row],[Image ID]]&amp;"/full/843,/0/default.jpg"</f>
        <v>https://www.artic.edu/iiif/2/3e04f8b6-ad21-f6bf-1ff1-926cf33a5b15/full/843,/0/default.jpg</v>
      </c>
      <c r="N3661" s="3">
        <v>0.6</v>
      </c>
      <c r="O3661" s="3">
        <v>0.125</v>
      </c>
      <c r="P3661" s="3">
        <v>0.47499999999999998</v>
      </c>
      <c r="Q3661" s="3">
        <v>0.50362867116928101</v>
      </c>
    </row>
    <row r="3662" spans="1:17" x14ac:dyDescent="0.45">
      <c r="A3662" s="3">
        <v>83145</v>
      </c>
      <c r="B3662" t="b">
        <v>0</v>
      </c>
      <c r="C3662" t="b">
        <v>0</v>
      </c>
      <c r="D3662" s="3">
        <v>1895</v>
      </c>
      <c r="E3662" s="3">
        <v>1905</v>
      </c>
      <c r="F3662" t="s">
        <v>10208</v>
      </c>
      <c r="G3662" t="s">
        <v>1769</v>
      </c>
      <c r="H3662" s="3">
        <v>22.758299999999998</v>
      </c>
      <c r="I3662" t="s">
        <v>3229</v>
      </c>
      <c r="J3662" t="s">
        <v>11919</v>
      </c>
      <c r="L3662" t="s">
        <v>10209</v>
      </c>
      <c r="M3662" t="str">
        <f>"https://www.artic.edu/iiif/2/"&amp;Table9[[#This Row],[Image ID]]&amp;"/full/843,/0/default.jpg"</f>
        <v>https://www.artic.edu/iiif/2/401b4049-ac97-3227-4e44-5aaa5d5e6619/full/843,/0/default.jpg</v>
      </c>
      <c r="N3662" s="3">
        <v>0.625</v>
      </c>
      <c r="O3662" s="3">
        <v>0.15</v>
      </c>
      <c r="P3662" s="3">
        <v>0.47499999999999998</v>
      </c>
      <c r="Q3662" s="3">
        <v>0.68650484085082997</v>
      </c>
    </row>
    <row r="3663" spans="1:17" x14ac:dyDescent="0.45">
      <c r="A3663" s="3">
        <v>111261</v>
      </c>
      <c r="B3663" t="b">
        <v>0</v>
      </c>
      <c r="C3663" t="b">
        <v>0</v>
      </c>
      <c r="D3663" s="3">
        <v>1940</v>
      </c>
      <c r="E3663" s="3">
        <v>1940</v>
      </c>
      <c r="F3663" t="s">
        <v>1049</v>
      </c>
      <c r="G3663" t="s">
        <v>7</v>
      </c>
      <c r="H3663" s="3">
        <v>72.453199999999995</v>
      </c>
      <c r="I3663" t="s">
        <v>266</v>
      </c>
      <c r="J3663" t="s">
        <v>12108</v>
      </c>
      <c r="L3663" t="s">
        <v>1050</v>
      </c>
      <c r="M3663" t="str">
        <f>"https://www.artic.edu/iiif/2/"&amp;Table9[[#This Row],[Image ID]]&amp;"/full/843,/0/default.jpg"</f>
        <v>https://www.artic.edu/iiif/2/4dfea69e-e445-269a-3eba-0b37dd1e694f/full/843,/0/default.jpg</v>
      </c>
      <c r="N3663" s="3">
        <v>0.625</v>
      </c>
      <c r="O3663" s="3">
        <v>0.15</v>
      </c>
      <c r="P3663" s="3">
        <v>0.47499999999999998</v>
      </c>
      <c r="Q3663" s="3">
        <v>0.64466339349746704</v>
      </c>
    </row>
    <row r="3664" spans="1:17" x14ac:dyDescent="0.45">
      <c r="A3664" s="3">
        <v>113112</v>
      </c>
      <c r="B3664" t="b">
        <v>0</v>
      </c>
      <c r="C3664" t="b">
        <v>0</v>
      </c>
      <c r="D3664" s="3">
        <v>1909</v>
      </c>
      <c r="E3664" s="3">
        <v>1909</v>
      </c>
      <c r="F3664" t="s">
        <v>1356</v>
      </c>
      <c r="G3664" t="s">
        <v>1357</v>
      </c>
      <c r="H3664" s="3">
        <v>24.601600000000001</v>
      </c>
      <c r="I3664" t="s">
        <v>133</v>
      </c>
      <c r="J3664" t="s">
        <v>12155</v>
      </c>
      <c r="K3664" s="5" t="s">
        <v>134</v>
      </c>
      <c r="L3664" t="s">
        <v>1358</v>
      </c>
      <c r="M3664" t="str">
        <f>"https://www.artic.edu/iiif/2/"&amp;Table9[[#This Row],[Image ID]]&amp;"/full/843,/0/default.jpg"</f>
        <v>https://www.artic.edu/iiif/2/5151138a-abb7-216d-c11d-d02eb8801c2c/full/843,/0/default.jpg</v>
      </c>
      <c r="N3664" s="3">
        <v>0.57499999999999996</v>
      </c>
      <c r="O3664" s="3">
        <v>0.1</v>
      </c>
      <c r="P3664" s="3">
        <v>0.47499999999999998</v>
      </c>
      <c r="Q3664" s="3">
        <v>0.82410699129104603</v>
      </c>
    </row>
    <row r="3665" spans="1:17" x14ac:dyDescent="0.45">
      <c r="A3665" s="3">
        <v>102208</v>
      </c>
      <c r="B3665" t="b">
        <v>0</v>
      </c>
      <c r="C3665" t="b">
        <v>0</v>
      </c>
      <c r="D3665" s="3">
        <v>1969</v>
      </c>
      <c r="E3665" s="3">
        <v>1969</v>
      </c>
      <c r="F3665" t="s">
        <v>241</v>
      </c>
      <c r="G3665" t="s">
        <v>242</v>
      </c>
      <c r="H3665" s="3">
        <v>39.211100000000002</v>
      </c>
      <c r="I3665" t="s">
        <v>239</v>
      </c>
      <c r="J3665" t="s">
        <v>12172</v>
      </c>
      <c r="L3665" t="s">
        <v>243</v>
      </c>
      <c r="M3665" t="str">
        <f>"https://www.artic.edu/iiif/2/"&amp;Table9[[#This Row],[Image ID]]&amp;"/full/843,/0/default.jpg"</f>
        <v>https://www.artic.edu/iiif/2/5216d71b-76bc-0163-4baf-6a07ff550a8b/full/843,/0/default.jpg</v>
      </c>
      <c r="N3665" s="3">
        <v>0.6</v>
      </c>
      <c r="O3665" s="3">
        <v>0.125</v>
      </c>
      <c r="P3665" s="3">
        <v>0.47499999999999998</v>
      </c>
      <c r="Q3665" s="3">
        <v>0.76597118377685502</v>
      </c>
    </row>
    <row r="3666" spans="1:17" x14ac:dyDescent="0.45">
      <c r="A3666" s="3">
        <v>45391</v>
      </c>
      <c r="B3666" t="b">
        <v>0</v>
      </c>
      <c r="C3666" t="b">
        <v>0</v>
      </c>
      <c r="D3666" s="3">
        <v>1965</v>
      </c>
      <c r="E3666" s="3">
        <v>1965</v>
      </c>
      <c r="F3666" t="s">
        <v>7855</v>
      </c>
      <c r="G3666" t="s">
        <v>7856</v>
      </c>
      <c r="H3666" s="3">
        <v>65.905299999999997</v>
      </c>
      <c r="I3666" t="s">
        <v>165</v>
      </c>
      <c r="J3666" t="s">
        <v>12400</v>
      </c>
      <c r="L3666" t="s">
        <v>7857</v>
      </c>
      <c r="M3666" t="str">
        <f>"https://www.artic.edu/iiif/2/"&amp;Table9[[#This Row],[Image ID]]&amp;"/full/843,/0/default.jpg"</f>
        <v>https://www.artic.edu/iiif/2/61984ede-4b4e-129b-df0d-069fa4677842/full/843,/0/default.jpg</v>
      </c>
      <c r="N3666" s="3">
        <v>0.625</v>
      </c>
      <c r="O3666" s="3">
        <v>0.15</v>
      </c>
      <c r="P3666" s="3">
        <v>0.47499999999999998</v>
      </c>
      <c r="Q3666" s="3">
        <v>0.52917140722274703</v>
      </c>
    </row>
    <row r="3667" spans="1:17" x14ac:dyDescent="0.45">
      <c r="A3667" s="3">
        <v>78777</v>
      </c>
      <c r="B3667" t="b">
        <v>0</v>
      </c>
      <c r="C3667" t="b">
        <v>0</v>
      </c>
      <c r="D3667" s="3">
        <v>1946</v>
      </c>
      <c r="E3667" s="3">
        <v>1946</v>
      </c>
      <c r="F3667" t="s">
        <v>1286</v>
      </c>
      <c r="G3667" t="s">
        <v>9854</v>
      </c>
      <c r="H3667" s="3">
        <v>43.213900000000002</v>
      </c>
      <c r="I3667" t="s">
        <v>1</v>
      </c>
      <c r="J3667" t="s">
        <v>12650</v>
      </c>
      <c r="L3667" t="s">
        <v>9855</v>
      </c>
      <c r="M3667" t="str">
        <f>"https://www.artic.edu/iiif/2/"&amp;Table9[[#This Row],[Image ID]]&amp;"/full/843,/0/default.jpg"</f>
        <v>https://www.artic.edu/iiif/2/73a12a0f-89fb-bb85-83ae-796573847f67/full/843,/0/default.jpg</v>
      </c>
      <c r="N3667" s="3">
        <v>0.6</v>
      </c>
      <c r="O3667" s="3">
        <v>0.125</v>
      </c>
      <c r="P3667" s="3">
        <v>0.47499999999999998</v>
      </c>
      <c r="Q3667" s="3">
        <v>0.85336959362029996</v>
      </c>
    </row>
    <row r="3668" spans="1:17" x14ac:dyDescent="0.45">
      <c r="A3668" s="3">
        <v>2924</v>
      </c>
      <c r="B3668" t="b">
        <v>0</v>
      </c>
      <c r="C3668" t="b">
        <v>0</v>
      </c>
      <c r="D3668" s="3">
        <v>1911</v>
      </c>
      <c r="E3668" s="3">
        <v>1911</v>
      </c>
      <c r="F3668" t="s">
        <v>6902</v>
      </c>
      <c r="G3668" t="s">
        <v>6903</v>
      </c>
      <c r="H3668" s="3">
        <v>26.1431</v>
      </c>
      <c r="I3668" t="s">
        <v>949</v>
      </c>
      <c r="J3668" t="s">
        <v>12727</v>
      </c>
      <c r="L3668" t="s">
        <v>6904</v>
      </c>
      <c r="M3668" t="str">
        <f>"https://www.artic.edu/iiif/2/"&amp;Table9[[#This Row],[Image ID]]&amp;"/full/843,/0/default.jpg"</f>
        <v>https://www.artic.edu/iiif/2/794a2068-3ce8-d651-369c-82b132eb87c0/full/843,/0/default.jpg</v>
      </c>
      <c r="N3668" s="3">
        <v>0.72499999999999998</v>
      </c>
      <c r="O3668" s="3">
        <v>0.25</v>
      </c>
      <c r="P3668" s="3">
        <v>0.47499999999999998</v>
      </c>
      <c r="Q3668" s="3">
        <v>0.70422947406768799</v>
      </c>
    </row>
    <row r="3669" spans="1:17" x14ac:dyDescent="0.45">
      <c r="A3669" s="3">
        <v>118731</v>
      </c>
      <c r="B3669" t="b">
        <v>0</v>
      </c>
      <c r="C3669" t="b">
        <v>0</v>
      </c>
      <c r="D3669" s="3">
        <v>1943</v>
      </c>
      <c r="E3669" s="3">
        <v>1943</v>
      </c>
      <c r="F3669" t="s">
        <v>2551</v>
      </c>
      <c r="G3669" t="s">
        <v>7</v>
      </c>
      <c r="H3669" s="3">
        <v>20.389299999999999</v>
      </c>
      <c r="I3669" t="s">
        <v>190</v>
      </c>
      <c r="J3669" t="s">
        <v>12757</v>
      </c>
      <c r="K3669" s="5" t="s">
        <v>2</v>
      </c>
      <c r="L3669" t="s">
        <v>2552</v>
      </c>
      <c r="M3669" t="str">
        <f>"https://www.artic.edu/iiif/2/"&amp;Table9[[#This Row],[Image ID]]&amp;"/full/843,/0/default.jpg"</f>
        <v>https://www.artic.edu/iiif/2/7ba54d10-aa5f-cec2-f7c1-1a5f130c6546/full/843,/0/default.jpg</v>
      </c>
      <c r="N3669" s="3">
        <v>0.57499999999999996</v>
      </c>
      <c r="O3669" s="3">
        <v>0.1</v>
      </c>
      <c r="P3669" s="3">
        <v>0.47499999999999998</v>
      </c>
      <c r="Q3669" s="3">
        <v>0.64840829372405995</v>
      </c>
    </row>
    <row r="3670" spans="1:17" x14ac:dyDescent="0.45">
      <c r="A3670" s="3">
        <v>16969</v>
      </c>
      <c r="B3670" t="b">
        <v>0</v>
      </c>
      <c r="C3670" t="b">
        <v>0</v>
      </c>
      <c r="D3670" s="3">
        <v>1946</v>
      </c>
      <c r="E3670" s="3">
        <v>1946</v>
      </c>
      <c r="F3670" t="s">
        <v>72</v>
      </c>
      <c r="G3670" t="s">
        <v>7</v>
      </c>
      <c r="H3670" s="3">
        <v>14.8597</v>
      </c>
      <c r="I3670" t="s">
        <v>2440</v>
      </c>
      <c r="J3670" t="s">
        <v>12782</v>
      </c>
      <c r="L3670" t="s">
        <v>4631</v>
      </c>
      <c r="M3670" t="str">
        <f>"https://www.artic.edu/iiif/2/"&amp;Table9[[#This Row],[Image ID]]&amp;"/full/843,/0/default.jpg"</f>
        <v>https://www.artic.edu/iiif/2/7db102b9-0d0f-969d-d331-cbe18830fdd5/full/843,/0/default.jpg</v>
      </c>
      <c r="N3670" s="3">
        <v>0.57499999999999996</v>
      </c>
      <c r="O3670" s="3">
        <v>0.1</v>
      </c>
      <c r="P3670" s="3">
        <v>0.47499999999999998</v>
      </c>
      <c r="Q3670" s="3">
        <v>0.67868548631668002</v>
      </c>
    </row>
    <row r="3671" spans="1:17" x14ac:dyDescent="0.45">
      <c r="A3671" s="3">
        <v>14821</v>
      </c>
      <c r="B3671" t="b">
        <v>0</v>
      </c>
      <c r="C3671" t="b">
        <v>0</v>
      </c>
      <c r="D3671" s="3">
        <v>1918</v>
      </c>
      <c r="E3671" s="3">
        <v>1918</v>
      </c>
      <c r="F3671" t="s">
        <v>3713</v>
      </c>
      <c r="G3671" t="s">
        <v>1769</v>
      </c>
      <c r="H3671" s="3">
        <v>35.532200000000003</v>
      </c>
      <c r="I3671" t="s">
        <v>809</v>
      </c>
      <c r="J3671" t="s">
        <v>12985</v>
      </c>
      <c r="L3671" t="s">
        <v>3714</v>
      </c>
      <c r="M3671" t="str">
        <f>"https://www.artic.edu/iiif/2/"&amp;Table9[[#This Row],[Image ID]]&amp;"/full/843,/0/default.jpg"</f>
        <v>https://www.artic.edu/iiif/2/8c8b9255-819e-af4b-b037-7271ab007b0c/full/843,/0/default.jpg</v>
      </c>
      <c r="N3671" s="3">
        <v>0.7</v>
      </c>
      <c r="O3671" s="3">
        <v>0.22500000000000001</v>
      </c>
      <c r="P3671" s="3">
        <v>0.47499999999999998</v>
      </c>
      <c r="Q3671" s="3">
        <v>0.653683841228485</v>
      </c>
    </row>
    <row r="3672" spans="1:17" x14ac:dyDescent="0.45">
      <c r="A3672" s="3">
        <v>117561</v>
      </c>
      <c r="B3672" t="b">
        <v>0</v>
      </c>
      <c r="C3672" t="b">
        <v>0</v>
      </c>
      <c r="D3672" s="3">
        <v>1982</v>
      </c>
      <c r="E3672" s="3">
        <v>1982</v>
      </c>
      <c r="F3672" t="s">
        <v>2372</v>
      </c>
      <c r="G3672" t="s">
        <v>2373</v>
      </c>
      <c r="H3672" s="3">
        <v>22.668800000000001</v>
      </c>
      <c r="I3672" t="s">
        <v>2374</v>
      </c>
      <c r="J3672" t="s">
        <v>13282</v>
      </c>
      <c r="L3672" t="s">
        <v>2375</v>
      </c>
      <c r="M3672" t="str">
        <f>"https://www.artic.edu/iiif/2/"&amp;Table9[[#This Row],[Image ID]]&amp;"/full/843,/0/default.jpg"</f>
        <v>https://www.artic.edu/iiif/2/a39a59dd-54cb-47be-ea63-2bdd59cf8295/full/843,/0/default.jpg</v>
      </c>
      <c r="N3672" s="3">
        <v>0.625</v>
      </c>
      <c r="O3672" s="3">
        <v>0.15</v>
      </c>
      <c r="P3672" s="3">
        <v>0.47499999999999998</v>
      </c>
      <c r="Q3672" s="3">
        <v>0.69864654541015603</v>
      </c>
    </row>
    <row r="3673" spans="1:17" x14ac:dyDescent="0.45">
      <c r="A3673" s="3">
        <v>22182</v>
      </c>
      <c r="B3673" t="b">
        <v>0</v>
      </c>
      <c r="C3673" t="b">
        <v>0</v>
      </c>
      <c r="D3673" s="3">
        <v>1964</v>
      </c>
      <c r="E3673" s="3">
        <v>1964</v>
      </c>
      <c r="F3673" t="s">
        <v>5816</v>
      </c>
      <c r="G3673" t="s">
        <v>5817</v>
      </c>
      <c r="H3673" s="3">
        <v>54.368899999999996</v>
      </c>
      <c r="I3673" t="s">
        <v>351</v>
      </c>
      <c r="J3673" t="s">
        <v>13326</v>
      </c>
      <c r="L3673" t="s">
        <v>5818</v>
      </c>
      <c r="M3673" t="str">
        <f>"https://www.artic.edu/iiif/2/"&amp;Table9[[#This Row],[Image ID]]&amp;"/full/843,/0/default.jpg"</f>
        <v>https://www.artic.edu/iiif/2/a6d689d2-7cab-97ab-8a11-60eabe9870cc/full/843,/0/default.jpg</v>
      </c>
      <c r="N3673" s="3">
        <v>0.625</v>
      </c>
      <c r="O3673" s="3">
        <v>0.15</v>
      </c>
      <c r="P3673" s="3">
        <v>0.47499999999999998</v>
      </c>
      <c r="Q3673" s="3">
        <v>0.61147856712341297</v>
      </c>
    </row>
    <row r="3674" spans="1:17" x14ac:dyDescent="0.45">
      <c r="A3674" s="3">
        <v>60254</v>
      </c>
      <c r="B3674" t="b">
        <v>0</v>
      </c>
      <c r="C3674" t="b">
        <v>0</v>
      </c>
      <c r="D3674" s="3">
        <v>1916</v>
      </c>
      <c r="E3674" s="3">
        <v>1916</v>
      </c>
      <c r="F3674" t="s">
        <v>8690</v>
      </c>
      <c r="G3674" t="s">
        <v>2611</v>
      </c>
      <c r="H3674" s="3">
        <v>38.887599999999999</v>
      </c>
      <c r="I3674" t="s">
        <v>459</v>
      </c>
      <c r="J3674" t="s">
        <v>13402</v>
      </c>
      <c r="K3674" s="5" t="s">
        <v>166</v>
      </c>
      <c r="L3674" t="s">
        <v>8691</v>
      </c>
      <c r="M3674" t="str">
        <f>"https://www.artic.edu/iiif/2/"&amp;Table9[[#This Row],[Image ID]]&amp;"/full/843,/0/default.jpg"</f>
        <v>https://www.artic.edu/iiif/2/acb12d59-97a4-2348-6038-370dbe4c2a68/full/843,/0/default.jpg</v>
      </c>
      <c r="N3674" s="3">
        <v>0.57499999999999996</v>
      </c>
      <c r="O3674" s="3">
        <v>0.1</v>
      </c>
      <c r="P3674" s="3">
        <v>0.47499999999999998</v>
      </c>
      <c r="Q3674" s="3">
        <v>0.770474553108215</v>
      </c>
    </row>
    <row r="3675" spans="1:17" x14ac:dyDescent="0.45">
      <c r="A3675" s="3">
        <v>43965</v>
      </c>
      <c r="B3675" t="b">
        <v>0</v>
      </c>
      <c r="C3675" t="b">
        <v>0</v>
      </c>
      <c r="D3675" s="3">
        <v>1909</v>
      </c>
      <c r="E3675" s="3">
        <v>1919</v>
      </c>
      <c r="F3675" t="s">
        <v>7734</v>
      </c>
      <c r="G3675" t="s">
        <v>75</v>
      </c>
      <c r="H3675" s="3">
        <v>0</v>
      </c>
      <c r="I3675" t="s">
        <v>582</v>
      </c>
      <c r="J3675" t="s">
        <v>13425</v>
      </c>
      <c r="L3675" t="s">
        <v>7735</v>
      </c>
      <c r="M3675" t="str">
        <f>"https://www.artic.edu/iiif/2/"&amp;Table9[[#This Row],[Image ID]]&amp;"/full/843,/0/default.jpg"</f>
        <v>https://www.artic.edu/iiif/2/ae33d87b-673e-fed6-dd55-a98e8e5fcf9d/full/843,/0/default.jpg</v>
      </c>
      <c r="N3675" s="3">
        <v>0.6</v>
      </c>
      <c r="O3675" s="3">
        <v>0.125</v>
      </c>
      <c r="P3675" s="3">
        <v>0.47499999999999998</v>
      </c>
      <c r="Q3675" s="3">
        <v>0.78404700756072998</v>
      </c>
    </row>
    <row r="3676" spans="1:17" x14ac:dyDescent="0.45">
      <c r="A3676" s="3">
        <v>2917</v>
      </c>
      <c r="B3676" t="b">
        <v>0</v>
      </c>
      <c r="C3676" t="b">
        <v>0</v>
      </c>
      <c r="D3676" s="3">
        <v>1910</v>
      </c>
      <c r="E3676" s="3">
        <v>1910</v>
      </c>
      <c r="F3676" t="s">
        <v>6887</v>
      </c>
      <c r="G3676" t="s">
        <v>6888</v>
      </c>
      <c r="H3676" s="3">
        <v>19.0989</v>
      </c>
      <c r="I3676" t="s">
        <v>949</v>
      </c>
      <c r="J3676" t="s">
        <v>13470</v>
      </c>
      <c r="L3676" t="s">
        <v>6889</v>
      </c>
      <c r="M3676" t="str">
        <f>"https://www.artic.edu/iiif/2/"&amp;Table9[[#This Row],[Image ID]]&amp;"/full/843,/0/default.jpg"</f>
        <v>https://www.artic.edu/iiif/2/b14a9202-9f19-8794-e15e-968b96c0f5b7/full/843,/0/default.jpg</v>
      </c>
      <c r="N3676" s="3">
        <v>0.625</v>
      </c>
      <c r="O3676" s="3">
        <v>0.15</v>
      </c>
      <c r="P3676" s="3">
        <v>0.47499999999999998</v>
      </c>
      <c r="Q3676" s="3">
        <v>0.69079625606536799</v>
      </c>
    </row>
    <row r="3677" spans="1:17" x14ac:dyDescent="0.45">
      <c r="A3677" s="3">
        <v>65999</v>
      </c>
      <c r="B3677" t="b">
        <v>0</v>
      </c>
      <c r="C3677" t="b">
        <v>0</v>
      </c>
      <c r="D3677" s="3">
        <v>1929</v>
      </c>
      <c r="E3677" s="3">
        <v>1929</v>
      </c>
      <c r="F3677" t="s">
        <v>9145</v>
      </c>
      <c r="G3677" t="s">
        <v>9146</v>
      </c>
      <c r="H3677" s="3">
        <v>17.217600000000001</v>
      </c>
      <c r="I3677" t="s">
        <v>949</v>
      </c>
      <c r="J3677" t="s">
        <v>13763</v>
      </c>
      <c r="L3677" t="s">
        <v>9147</v>
      </c>
      <c r="M3677" t="str">
        <f>"https://www.artic.edu/iiif/2/"&amp;Table9[[#This Row],[Image ID]]&amp;"/full/843,/0/default.jpg"</f>
        <v>https://www.artic.edu/iiif/2/c8e39a7a-4ed6-ecff-183c-400a6e41f94d/full/843,/0/default.jpg</v>
      </c>
      <c r="N3677" s="3">
        <v>0.57499999999999996</v>
      </c>
      <c r="O3677" s="3">
        <v>0.1</v>
      </c>
      <c r="P3677" s="3">
        <v>0.47499999999999998</v>
      </c>
      <c r="Q3677" s="3">
        <v>0.69722378253936701</v>
      </c>
    </row>
    <row r="3678" spans="1:17" x14ac:dyDescent="0.45">
      <c r="A3678" s="3">
        <v>50864</v>
      </c>
      <c r="B3678" t="b">
        <v>0</v>
      </c>
      <c r="C3678" t="b">
        <v>0</v>
      </c>
      <c r="D3678" s="3">
        <v>1943</v>
      </c>
      <c r="E3678" s="3">
        <v>1943</v>
      </c>
      <c r="F3678" t="s">
        <v>8126</v>
      </c>
      <c r="G3678" t="s">
        <v>8127</v>
      </c>
      <c r="H3678" s="3">
        <v>47.873899999999999</v>
      </c>
      <c r="I3678" t="s">
        <v>6931</v>
      </c>
      <c r="J3678" t="s">
        <v>14251</v>
      </c>
      <c r="L3678" t="s">
        <v>8128</v>
      </c>
      <c r="M3678" t="str">
        <f>"https://www.artic.edu/iiif/2/"&amp;Table9[[#This Row],[Image ID]]&amp;"/full/843,/0/default.jpg"</f>
        <v>https://www.artic.edu/iiif/2/ec155006-7758-ba1e-714a-5230fbf043af/full/843,/0/default.jpg</v>
      </c>
      <c r="N3678" s="3">
        <v>0.47499999999999998</v>
      </c>
      <c r="O3678" s="3">
        <v>0</v>
      </c>
      <c r="P3678" s="3">
        <v>0.47499999999999998</v>
      </c>
      <c r="Q3678" s="3">
        <v>0.80892544984817505</v>
      </c>
    </row>
    <row r="3679" spans="1:17" x14ac:dyDescent="0.45">
      <c r="A3679" s="3">
        <v>61652</v>
      </c>
      <c r="B3679" t="b">
        <v>0</v>
      </c>
      <c r="C3679" t="b">
        <v>0</v>
      </c>
      <c r="D3679" s="3">
        <v>1980</v>
      </c>
      <c r="E3679" s="3">
        <v>1980</v>
      </c>
      <c r="F3679" t="s">
        <v>3969</v>
      </c>
      <c r="G3679" t="s">
        <v>4774</v>
      </c>
      <c r="H3679" s="3">
        <v>19.133800000000001</v>
      </c>
      <c r="I3679" t="s">
        <v>8818</v>
      </c>
      <c r="J3679" t="s">
        <v>14265</v>
      </c>
      <c r="L3679" t="s">
        <v>8819</v>
      </c>
      <c r="M3679" t="str">
        <f>"https://www.artic.edu/iiif/2/"&amp;Table9[[#This Row],[Image ID]]&amp;"/full/843,/0/default.jpg"</f>
        <v>https://www.artic.edu/iiif/2/ed17bc92-fbe0-cf12-7e01-dee7bc0ba13f/full/843,/0/default.jpg</v>
      </c>
      <c r="N3679" s="3">
        <v>0.6</v>
      </c>
      <c r="O3679" s="3">
        <v>0.125</v>
      </c>
      <c r="P3679" s="3">
        <v>0.47499999999999998</v>
      </c>
      <c r="Q3679" s="3">
        <v>0.56054651737213101</v>
      </c>
    </row>
    <row r="3680" spans="1:17" x14ac:dyDescent="0.45">
      <c r="A3680" s="3">
        <v>94048</v>
      </c>
      <c r="B3680" t="b">
        <v>0</v>
      </c>
      <c r="C3680" t="b">
        <v>0</v>
      </c>
      <c r="D3680" s="3">
        <v>1967</v>
      </c>
      <c r="E3680" s="3">
        <v>1967</v>
      </c>
      <c r="F3680" t="s">
        <v>10714</v>
      </c>
      <c r="G3680" t="s">
        <v>10701</v>
      </c>
      <c r="H3680" s="3">
        <v>37.515999999999998</v>
      </c>
      <c r="I3680" t="s">
        <v>378</v>
      </c>
      <c r="J3680" t="s">
        <v>11554</v>
      </c>
      <c r="L3680" t="s">
        <v>10715</v>
      </c>
      <c r="M3680" t="str">
        <f>"https://www.artic.edu/iiif/2/"&amp;Table9[[#This Row],[Image ID]]&amp;"/full/843,/0/default.jpg"</f>
        <v>https://www.artic.edu/iiif/2/f3d2804d-6497-62fb-82bb-c14d69f3f133/full/843,/0/default.jpg</v>
      </c>
      <c r="N3680" s="3">
        <v>0.625</v>
      </c>
      <c r="O3680" s="3">
        <v>0.15</v>
      </c>
      <c r="P3680" s="3">
        <v>0.47499999999999998</v>
      </c>
      <c r="Q3680" s="3">
        <v>0.75778228044509799</v>
      </c>
    </row>
    <row r="3681" spans="1:17" x14ac:dyDescent="0.45">
      <c r="A3681" s="3">
        <v>158750</v>
      </c>
      <c r="B3681" t="b">
        <v>0</v>
      </c>
      <c r="C3681" t="b">
        <v>0</v>
      </c>
      <c r="D3681" s="3">
        <v>1961</v>
      </c>
      <c r="E3681" s="3">
        <v>1961</v>
      </c>
      <c r="F3681" t="s">
        <v>4159</v>
      </c>
      <c r="G3681" t="s">
        <v>7</v>
      </c>
      <c r="H3681" s="3">
        <v>8.7080000000000002</v>
      </c>
      <c r="I3681" t="s">
        <v>144</v>
      </c>
      <c r="J3681" t="s">
        <v>11548</v>
      </c>
      <c r="K3681" s="5" t="s">
        <v>45</v>
      </c>
      <c r="L3681" t="s">
        <v>4160</v>
      </c>
      <c r="M3681" t="str">
        <f>"https://www.artic.edu/iiif/2/"&amp;Table9[[#This Row],[Image ID]]&amp;"/full/843,/0/default.jpg"</f>
        <v>https://www.artic.edu/iiif/2/f6517995-3f7b-4499-1214-33496c4b471c/full/843,/0/default.jpg</v>
      </c>
      <c r="N3681" s="3">
        <v>0.57499999999999996</v>
      </c>
      <c r="O3681" s="3">
        <v>0.1</v>
      </c>
      <c r="P3681" s="3">
        <v>0.47499999999999998</v>
      </c>
      <c r="Q3681" s="3">
        <v>0.77572047710418701</v>
      </c>
    </row>
    <row r="3682" spans="1:17" x14ac:dyDescent="0.45">
      <c r="A3682" s="3">
        <v>17584</v>
      </c>
      <c r="B3682" t="b">
        <v>0</v>
      </c>
      <c r="C3682" t="b">
        <v>0</v>
      </c>
      <c r="D3682" s="3">
        <v>1907</v>
      </c>
      <c r="E3682" s="3">
        <v>1963</v>
      </c>
      <c r="F3682" t="s">
        <v>14715</v>
      </c>
      <c r="G3682" t="s">
        <v>4664</v>
      </c>
      <c r="H3682" s="3">
        <v>20.769400000000001</v>
      </c>
      <c r="I3682" t="s">
        <v>14639</v>
      </c>
      <c r="J3682" t="s">
        <v>14401</v>
      </c>
      <c r="L3682" t="s">
        <v>4665</v>
      </c>
      <c r="M3682" t="str">
        <f>"https://www.artic.edu/iiif/2/"&amp;Table9[[#This Row],[Image ID]]&amp;"/full/843,/0/default.jpg"</f>
        <v>https://www.artic.edu/iiif/2/f67794aa-e720-45fa-0cd2-d3e9893675a5/full/843,/0/default.jpg</v>
      </c>
      <c r="N3682" s="3">
        <v>0.57499999999999996</v>
      </c>
      <c r="O3682" s="3">
        <v>0.1</v>
      </c>
      <c r="P3682" s="3">
        <v>0.47499999999999998</v>
      </c>
      <c r="Q3682" s="3">
        <v>0.519747734069824</v>
      </c>
    </row>
    <row r="3683" spans="1:17" x14ac:dyDescent="0.45">
      <c r="A3683" s="3">
        <v>214282</v>
      </c>
      <c r="B3683" t="b">
        <v>0</v>
      </c>
      <c r="C3683" t="b">
        <v>0</v>
      </c>
      <c r="D3683" s="3">
        <v>1983</v>
      </c>
      <c r="E3683" s="3">
        <v>1983</v>
      </c>
      <c r="F3683" t="s">
        <v>5616</v>
      </c>
      <c r="G3683" t="s">
        <v>59</v>
      </c>
      <c r="H3683" s="3">
        <v>39.301699999999997</v>
      </c>
      <c r="I3683" t="s">
        <v>5617</v>
      </c>
      <c r="J3683" t="s">
        <v>13552</v>
      </c>
      <c r="L3683" t="s">
        <v>5618</v>
      </c>
      <c r="M3683" t="str">
        <f>"https://www.artic.edu/iiif/2/"&amp;Table9[[#This Row],[Image ID]]&amp;"/full/843,/0/default.jpg"</f>
        <v>https://www.artic.edu/iiif/2/f8a920db-43ec-b0ab-db90-84f2b17085f5/full/843,/0/default.jpg</v>
      </c>
      <c r="N3683" s="3">
        <v>0.47499999999999998</v>
      </c>
      <c r="O3683" s="3">
        <v>0</v>
      </c>
      <c r="P3683" s="3">
        <v>0.47499999999999998</v>
      </c>
      <c r="Q3683" s="3">
        <v>0.663954257965087</v>
      </c>
    </row>
    <row r="3684" spans="1:17" x14ac:dyDescent="0.45">
      <c r="A3684" s="3">
        <v>145247</v>
      </c>
      <c r="B3684" t="b">
        <v>0</v>
      </c>
      <c r="C3684" t="b">
        <v>0</v>
      </c>
      <c r="D3684" s="3">
        <v>1955</v>
      </c>
      <c r="E3684" s="3">
        <v>1965</v>
      </c>
      <c r="F3684" t="s">
        <v>3354</v>
      </c>
      <c r="G3684" t="s">
        <v>7</v>
      </c>
      <c r="H3684" s="3">
        <v>64.141499999999994</v>
      </c>
      <c r="I3684" t="s">
        <v>14588</v>
      </c>
      <c r="J3684" t="s">
        <v>14481</v>
      </c>
      <c r="L3684" t="s">
        <v>3355</v>
      </c>
      <c r="M3684" t="str">
        <f>"https://www.artic.edu/iiif/2/"&amp;Table9[[#This Row],[Image ID]]&amp;"/full/843,/0/default.jpg"</f>
        <v>https://www.artic.edu/iiif/2/fc156601-260e-0908-628c-0398ea317b3f/full/843,/0/default.jpg</v>
      </c>
      <c r="N3684" s="3">
        <v>0.6</v>
      </c>
      <c r="O3684" s="3">
        <v>0.125</v>
      </c>
      <c r="P3684" s="3">
        <v>0.47499999999999998</v>
      </c>
      <c r="Q3684" s="3">
        <v>0.74123531579971302</v>
      </c>
    </row>
    <row r="3685" spans="1:17" x14ac:dyDescent="0.45">
      <c r="A3685" s="3">
        <v>110767</v>
      </c>
      <c r="B3685" t="b">
        <v>0</v>
      </c>
      <c r="C3685" t="b">
        <v>1</v>
      </c>
      <c r="D3685" s="3">
        <v>1600</v>
      </c>
      <c r="E3685" s="3">
        <v>1625</v>
      </c>
      <c r="F3685" t="s">
        <v>937</v>
      </c>
      <c r="G3685" t="s">
        <v>75</v>
      </c>
      <c r="H3685" s="3">
        <v>0</v>
      </c>
      <c r="I3685" t="s">
        <v>938</v>
      </c>
      <c r="J3685" t="s">
        <v>14187</v>
      </c>
      <c r="L3685" t="s">
        <v>939</v>
      </c>
      <c r="M3685" t="str">
        <f>"https://www.artic.edu/iiif/2/"&amp;Table9[[#This Row],[Image ID]]&amp;"/full/843,/0/default.jpg"</f>
        <v>https://www.artic.edu/iiif/2/e7d7ca13-6630-b5ba-69cc-48c126f14d5d/full/843,/0/default.jpg</v>
      </c>
      <c r="N3685" s="3">
        <v>0.73199999999999998</v>
      </c>
      <c r="O3685" s="3">
        <v>0.26200000000000001</v>
      </c>
      <c r="P3685" s="3">
        <v>0.47</v>
      </c>
      <c r="Q3685" s="3">
        <v>0.48172727227210999</v>
      </c>
    </row>
    <row r="3686" spans="1:17" x14ac:dyDescent="0.45">
      <c r="A3686" s="3">
        <v>87054</v>
      </c>
      <c r="B3686" t="b">
        <v>0</v>
      </c>
      <c r="C3686" t="b">
        <v>1</v>
      </c>
      <c r="D3686" s="3">
        <v>1838</v>
      </c>
      <c r="E3686" s="3">
        <v>1848</v>
      </c>
      <c r="F3686" t="s">
        <v>10367</v>
      </c>
      <c r="G3686" t="s">
        <v>7</v>
      </c>
      <c r="H3686" s="3">
        <v>36.194000000000003</v>
      </c>
      <c r="I3686" t="s">
        <v>1757</v>
      </c>
      <c r="J3686" t="s">
        <v>12310</v>
      </c>
      <c r="L3686" t="s">
        <v>10368</v>
      </c>
      <c r="M3686" t="str">
        <f>"https://www.artic.edu/iiif/2/"&amp;Table9[[#This Row],[Image ID]]&amp;"/full/843,/0/default.jpg"</f>
        <v>https://www.artic.edu/iiif/2/5b32e8a4-c214-bd41-1d29-9ba3bfb13f1f/full/843,/0/default.jpg</v>
      </c>
      <c r="N3686" s="3">
        <v>0.65900000000000003</v>
      </c>
      <c r="O3686" s="3">
        <v>0.19</v>
      </c>
      <c r="P3686" s="3">
        <v>0.46900000000000003</v>
      </c>
      <c r="Q3686" s="3">
        <v>0.480731010437011</v>
      </c>
    </row>
    <row r="3687" spans="1:17" x14ac:dyDescent="0.45">
      <c r="A3687" s="3">
        <v>190439</v>
      </c>
      <c r="B3687" t="b">
        <v>0</v>
      </c>
      <c r="C3687" t="b">
        <v>0</v>
      </c>
      <c r="D3687" s="3">
        <v>1960</v>
      </c>
      <c r="E3687" s="3">
        <v>1977</v>
      </c>
      <c r="F3687" t="s">
        <v>11</v>
      </c>
      <c r="G3687" t="s">
        <v>5165</v>
      </c>
      <c r="H3687" s="3">
        <v>31.935700000000001</v>
      </c>
      <c r="I3687" t="s">
        <v>5166</v>
      </c>
      <c r="J3687" t="s">
        <v>12781</v>
      </c>
      <c r="K3687" s="5" t="s">
        <v>130</v>
      </c>
      <c r="L3687" t="s">
        <v>5168</v>
      </c>
      <c r="M3687" t="str">
        <f>"https://www.artic.edu/iiif/2/"&amp;Table9[[#This Row],[Image ID]]&amp;"/full/843,/0/default.jpg"</f>
        <v>https://www.artic.edu/iiif/2/7db07df2-44d8-a535-522b-c02861f18c94/full/843,/0/default.jpg</v>
      </c>
      <c r="N3687" s="3">
        <v>0.68899999999999995</v>
      </c>
      <c r="O3687" s="3">
        <v>0.222</v>
      </c>
      <c r="P3687" s="3">
        <v>0.46699999999999997</v>
      </c>
      <c r="Q3687" s="3">
        <v>0.87888926267623901</v>
      </c>
    </row>
    <row r="3688" spans="1:17" x14ac:dyDescent="0.45">
      <c r="A3688" s="3">
        <v>84239</v>
      </c>
      <c r="B3688" t="b">
        <v>0</v>
      </c>
      <c r="C3688" t="b">
        <v>0</v>
      </c>
      <c r="D3688" s="3">
        <v>1954</v>
      </c>
      <c r="E3688" s="3">
        <v>1954</v>
      </c>
      <c r="F3688" t="s">
        <v>10269</v>
      </c>
      <c r="G3688" t="s">
        <v>7</v>
      </c>
      <c r="H3688" s="3">
        <v>38.106200000000001</v>
      </c>
      <c r="I3688" t="s">
        <v>133</v>
      </c>
      <c r="J3688" t="s">
        <v>12913</v>
      </c>
      <c r="K3688" s="5" t="s">
        <v>134</v>
      </c>
      <c r="L3688" t="s">
        <v>10270</v>
      </c>
      <c r="M3688" t="str">
        <f>"https://www.artic.edu/iiif/2/"&amp;Table9[[#This Row],[Image ID]]&amp;"/full/843,/0/default.jpg"</f>
        <v>https://www.artic.edu/iiif/2/872371ff-d773-f209-8062-7f88c95f2691/full/843,/0/default.jpg</v>
      </c>
      <c r="N3688" s="3">
        <v>0.61</v>
      </c>
      <c r="O3688" s="3">
        <v>0.14299999999999999</v>
      </c>
      <c r="P3688" s="3">
        <v>0.46699999999999997</v>
      </c>
      <c r="Q3688" s="3">
        <v>0.797052502632141</v>
      </c>
    </row>
    <row r="3689" spans="1:17" x14ac:dyDescent="0.45">
      <c r="A3689" s="3">
        <v>133455</v>
      </c>
      <c r="B3689" t="b">
        <v>0</v>
      </c>
      <c r="C3689" t="b">
        <v>0</v>
      </c>
      <c r="D3689" s="3">
        <v>1908</v>
      </c>
      <c r="E3689" s="3">
        <v>1964</v>
      </c>
      <c r="F3689" t="s">
        <v>3034</v>
      </c>
      <c r="G3689" t="s">
        <v>238</v>
      </c>
      <c r="H3689" s="3">
        <v>38.2117</v>
      </c>
      <c r="I3689" t="s">
        <v>3035</v>
      </c>
      <c r="J3689" t="s">
        <v>12578</v>
      </c>
      <c r="L3689" t="s">
        <v>3036</v>
      </c>
      <c r="M3689" t="str">
        <f>"https://www.artic.edu/iiif/2/"&amp;Table9[[#This Row],[Image ID]]&amp;"/full/843,/0/default.jpg"</f>
        <v>https://www.artic.edu/iiif/2/6e991d18-f0b5-5396-5201-f5a6dc6cbea8/full/843,/0/default.jpg</v>
      </c>
      <c r="N3689" s="3">
        <v>0.56100000000000005</v>
      </c>
      <c r="O3689" s="3">
        <v>9.5000000000000001E-2</v>
      </c>
      <c r="P3689" s="3">
        <v>0.46600000000000008</v>
      </c>
      <c r="Q3689" s="3">
        <v>0.77315205335616999</v>
      </c>
    </row>
    <row r="3690" spans="1:17" x14ac:dyDescent="0.45">
      <c r="A3690" s="3">
        <v>20473</v>
      </c>
      <c r="B3690" t="b">
        <v>0</v>
      </c>
      <c r="C3690" t="b">
        <v>0</v>
      </c>
      <c r="D3690" s="3">
        <v>1915</v>
      </c>
      <c r="E3690" s="3">
        <v>1925</v>
      </c>
      <c r="F3690" t="s">
        <v>5439</v>
      </c>
      <c r="G3690" t="s">
        <v>5440</v>
      </c>
      <c r="H3690" s="3">
        <v>47.189399999999999</v>
      </c>
      <c r="I3690" t="s">
        <v>2575</v>
      </c>
      <c r="J3690" t="s">
        <v>13447</v>
      </c>
      <c r="L3690" t="s">
        <v>5441</v>
      </c>
      <c r="M3690" t="str">
        <f>"https://www.artic.edu/iiif/2/"&amp;Table9[[#This Row],[Image ID]]&amp;"/full/843,/0/default.jpg"</f>
        <v>https://www.artic.edu/iiif/2/afd4d22a-bd85-350e-1264-fffea81f110e/full/843,/0/default.jpg</v>
      </c>
      <c r="N3690" s="3">
        <v>0.56100000000000005</v>
      </c>
      <c r="O3690" s="3">
        <v>9.5000000000000001E-2</v>
      </c>
      <c r="P3690" s="3">
        <v>0.46600000000000008</v>
      </c>
      <c r="Q3690" s="3">
        <v>0.73289889097213701</v>
      </c>
    </row>
    <row r="3691" spans="1:17" x14ac:dyDescent="0.45">
      <c r="A3691" s="3">
        <v>113404</v>
      </c>
      <c r="B3691" t="b">
        <v>0</v>
      </c>
      <c r="C3691" t="b">
        <v>1</v>
      </c>
      <c r="D3691" s="3">
        <v>1882</v>
      </c>
      <c r="E3691" s="3">
        <v>1892</v>
      </c>
      <c r="F3691" t="s">
        <v>1415</v>
      </c>
      <c r="G3691" t="s">
        <v>1416</v>
      </c>
      <c r="H3691" s="3">
        <v>18.020700000000001</v>
      </c>
      <c r="I3691" t="s">
        <v>592</v>
      </c>
      <c r="J3691" t="s">
        <v>11597</v>
      </c>
      <c r="L3691" t="s">
        <v>1417</v>
      </c>
      <c r="M3691" t="str">
        <f>"https://www.artic.edu/iiif/2/"&amp;Table9[[#This Row],[Image ID]]&amp;"/full/843,/0/default.jpg"</f>
        <v>https://www.artic.edu/iiif/2/2ac6540c-0057-c3fd-66c1-8837190e2b7e/full/843,/0/default.jpg</v>
      </c>
      <c r="N3691" s="3">
        <v>0.55800000000000005</v>
      </c>
      <c r="O3691" s="3">
        <v>9.2999999999999999E-2</v>
      </c>
      <c r="P3691" s="3">
        <v>0.46500000000000008</v>
      </c>
      <c r="Q3691" s="3">
        <v>0.79072302579879705</v>
      </c>
    </row>
    <row r="3692" spans="1:17" x14ac:dyDescent="0.45">
      <c r="A3692" s="3">
        <v>114737</v>
      </c>
      <c r="B3692" t="b">
        <v>0</v>
      </c>
      <c r="C3692" t="b">
        <v>1</v>
      </c>
      <c r="D3692" s="3">
        <v>1793</v>
      </c>
      <c r="E3692" s="3">
        <v>1835</v>
      </c>
      <c r="F3692" t="s">
        <v>1717</v>
      </c>
      <c r="G3692" t="s">
        <v>1718</v>
      </c>
      <c r="H3692" s="3">
        <v>24.764800000000001</v>
      </c>
      <c r="I3692" t="s">
        <v>1719</v>
      </c>
      <c r="J3692" t="s">
        <v>11940</v>
      </c>
      <c r="L3692" t="s">
        <v>1720</v>
      </c>
      <c r="M3692" t="str">
        <f>"https://www.artic.edu/iiif/2/"&amp;Table9[[#This Row],[Image ID]]&amp;"/full/843,/0/default.jpg"</f>
        <v>https://www.artic.edu/iiif/2/4176f3ef-8c28-065f-fb39-399a42e10cc2/full/843,/0/default.jpg</v>
      </c>
      <c r="N3692" s="3">
        <v>0.65900000000000003</v>
      </c>
      <c r="O3692" s="3">
        <v>0.19500000000000001</v>
      </c>
      <c r="P3692" s="3">
        <v>0.46400000000000002</v>
      </c>
      <c r="Q3692" s="3">
        <v>0.47689598798751798</v>
      </c>
    </row>
    <row r="3693" spans="1:17" x14ac:dyDescent="0.45">
      <c r="A3693" s="3">
        <v>12603</v>
      </c>
      <c r="B3693" t="b">
        <v>0</v>
      </c>
      <c r="C3693" t="b">
        <v>0</v>
      </c>
      <c r="D3693" s="3">
        <v>1940</v>
      </c>
      <c r="E3693" s="3">
        <v>1941</v>
      </c>
      <c r="F3693" t="s">
        <v>2773</v>
      </c>
      <c r="G3693" t="s">
        <v>2774</v>
      </c>
      <c r="H3693" s="3">
        <v>44.493200000000002</v>
      </c>
      <c r="I3693" t="s">
        <v>14639</v>
      </c>
      <c r="J3693" t="s">
        <v>12288</v>
      </c>
      <c r="L3693" t="s">
        <v>2775</v>
      </c>
      <c r="M3693" t="str">
        <f>"https://www.artic.edu/iiif/2/"&amp;Table9[[#This Row],[Image ID]]&amp;"/full/843,/0/default.jpg"</f>
        <v>https://www.artic.edu/iiif/2/59b2b4cb-5223-e842-da43-90ea793fbd26/full/843,/0/default.jpg</v>
      </c>
      <c r="N3693" s="3">
        <v>0.53700000000000003</v>
      </c>
      <c r="O3693" s="3">
        <v>7.2999999999999995E-2</v>
      </c>
      <c r="P3693" s="3">
        <v>0.46400000000000002</v>
      </c>
      <c r="Q3693" s="3">
        <v>0.80401366949081399</v>
      </c>
    </row>
    <row r="3694" spans="1:17" x14ac:dyDescent="0.45">
      <c r="A3694" s="3">
        <v>110242</v>
      </c>
      <c r="B3694" t="b">
        <v>0</v>
      </c>
      <c r="C3694" t="b">
        <v>1</v>
      </c>
      <c r="D3694" s="3">
        <v>1541</v>
      </c>
      <c r="E3694" s="3">
        <v>1548</v>
      </c>
      <c r="F3694" t="s">
        <v>889</v>
      </c>
      <c r="G3694" t="s">
        <v>75</v>
      </c>
      <c r="H3694" s="3">
        <v>43.252899999999997</v>
      </c>
      <c r="I3694" t="s">
        <v>740</v>
      </c>
      <c r="J3694" t="s">
        <v>12963</v>
      </c>
      <c r="L3694" t="s">
        <v>890</v>
      </c>
      <c r="M3694" t="str">
        <f>"https://www.artic.edu/iiif/2/"&amp;Table9[[#This Row],[Image ID]]&amp;"/full/843,/0/default.jpg"</f>
        <v>https://www.artic.edu/iiif/2/8b529ec9-7a47-28bf-8d09-3c993fa5d4aa/full/843,/0/default.jpg</v>
      </c>
      <c r="N3694" s="3">
        <v>0.61</v>
      </c>
      <c r="O3694" s="3">
        <v>0.14599999999999999</v>
      </c>
      <c r="P3694" s="3">
        <v>0.46399999999999997</v>
      </c>
      <c r="Q3694" s="3">
        <v>0.70672422647476196</v>
      </c>
    </row>
    <row r="3695" spans="1:17" x14ac:dyDescent="0.45">
      <c r="A3695" s="3">
        <v>235545</v>
      </c>
      <c r="B3695" t="b">
        <v>0</v>
      </c>
      <c r="C3695" t="b">
        <v>1</v>
      </c>
      <c r="D3695" s="3">
        <v>1420</v>
      </c>
      <c r="E3695" s="3">
        <v>1430</v>
      </c>
      <c r="F3695" t="s">
        <v>6233</v>
      </c>
      <c r="G3695" t="s">
        <v>6234</v>
      </c>
      <c r="H3695" s="3">
        <v>50.649299999999997</v>
      </c>
      <c r="J3695" t="s">
        <v>12993</v>
      </c>
      <c r="K3695" s="5" t="s">
        <v>278</v>
      </c>
      <c r="L3695" t="s">
        <v>6235</v>
      </c>
      <c r="M3695" t="str">
        <f>"https://www.artic.edu/iiif/2/"&amp;Table9[[#This Row],[Image ID]]&amp;"/full/843,/0/default.jpg"</f>
        <v>https://www.artic.edu/iiif/2/8d005ccb-02f3-c0f4-3ea9-40a15ea30ac4/full/843,/0/default.jpg</v>
      </c>
      <c r="N3695" s="3">
        <v>0.61</v>
      </c>
      <c r="O3695" s="3">
        <v>0.14599999999999999</v>
      </c>
      <c r="P3695" s="3">
        <v>0.46399999999999997</v>
      </c>
      <c r="Q3695" s="3">
        <v>0.79321128129959095</v>
      </c>
    </row>
    <row r="3696" spans="1:17" x14ac:dyDescent="0.45">
      <c r="A3696" s="3">
        <v>115206</v>
      </c>
      <c r="B3696" t="b">
        <v>0</v>
      </c>
      <c r="C3696" t="b">
        <v>1</v>
      </c>
      <c r="D3696" s="3">
        <v>1840</v>
      </c>
      <c r="E3696" s="3">
        <v>1840</v>
      </c>
      <c r="F3696" t="s">
        <v>1858</v>
      </c>
      <c r="G3696" t="s">
        <v>1774</v>
      </c>
      <c r="H3696" s="3">
        <v>25.2911</v>
      </c>
      <c r="I3696" t="s">
        <v>1555</v>
      </c>
      <c r="J3696" t="s">
        <v>13597</v>
      </c>
      <c r="L3696" t="s">
        <v>1859</v>
      </c>
      <c r="M3696" t="str">
        <f>"https://www.artic.edu/iiif/2/"&amp;Table9[[#This Row],[Image ID]]&amp;"/full/843,/0/default.jpg"</f>
        <v>https://www.artic.edu/iiif/2/e5280219-3268-3000-08e6-9a11c0537cc6/full/843,/0/default.jpg</v>
      </c>
      <c r="N3696" s="3">
        <v>0.48799999999999999</v>
      </c>
      <c r="O3696" s="3">
        <v>2.4E-2</v>
      </c>
      <c r="P3696" s="3">
        <v>0.46399999999999997</v>
      </c>
      <c r="Q3696" s="3">
        <v>0.90703421831130904</v>
      </c>
    </row>
    <row r="3697" spans="1:17" x14ac:dyDescent="0.45">
      <c r="A3697" s="3">
        <v>59976</v>
      </c>
      <c r="B3697" t="b">
        <v>0</v>
      </c>
      <c r="C3697" t="b">
        <v>0</v>
      </c>
      <c r="D3697" s="3">
        <v>1904</v>
      </c>
      <c r="E3697" s="3">
        <v>1905</v>
      </c>
      <c r="F3697" t="s">
        <v>8670</v>
      </c>
      <c r="G3697" t="s">
        <v>8671</v>
      </c>
      <c r="H3697" s="3">
        <v>35.6252</v>
      </c>
      <c r="I3697" t="s">
        <v>14637</v>
      </c>
      <c r="J3697" t="s">
        <v>12228</v>
      </c>
      <c r="L3697" t="s">
        <v>8672</v>
      </c>
      <c r="M3697" t="str">
        <f>"https://www.artic.edu/iiif/2/"&amp;Table9[[#This Row],[Image ID]]&amp;"/full/843,/0/default.jpg"</f>
        <v>https://www.artic.edu/iiif/2/55b7b6c6-6999-b856-e7fb-d49dec971ec3/full/843,/0/default.jpg</v>
      </c>
      <c r="N3697" s="3">
        <v>0.48799999999999999</v>
      </c>
      <c r="O3697" s="3">
        <v>2.4E-2</v>
      </c>
      <c r="P3697" s="3">
        <v>0.46399999999999997</v>
      </c>
      <c r="Q3697" s="3">
        <v>0.67277735471725397</v>
      </c>
    </row>
    <row r="3698" spans="1:17" x14ac:dyDescent="0.45">
      <c r="A3698" s="3">
        <v>27312</v>
      </c>
      <c r="B3698" t="b">
        <v>0</v>
      </c>
      <c r="C3698" t="b">
        <v>0</v>
      </c>
      <c r="D3698" s="3">
        <v>1894</v>
      </c>
      <c r="E3698" s="3">
        <v>1937</v>
      </c>
      <c r="F3698" t="s">
        <v>6720</v>
      </c>
      <c r="G3698" t="s">
        <v>1769</v>
      </c>
      <c r="H3698" s="3">
        <v>30.002300000000002</v>
      </c>
      <c r="I3698" t="s">
        <v>6721</v>
      </c>
      <c r="J3698" t="s">
        <v>12774</v>
      </c>
      <c r="L3698" t="s">
        <v>6722</v>
      </c>
      <c r="M3698" t="str">
        <f>"https://www.artic.edu/iiif/2/"&amp;Table9[[#This Row],[Image ID]]&amp;"/full/843,/0/default.jpg"</f>
        <v>https://www.artic.edu/iiif/2/7ce4c805-8e51-e752-efed-270c47c61cfb/full/843,/0/default.jpg</v>
      </c>
      <c r="N3698" s="3">
        <v>0.73199999999999998</v>
      </c>
      <c r="O3698" s="3">
        <v>0.26800000000000002</v>
      </c>
      <c r="P3698" s="3">
        <v>0.46399999999999997</v>
      </c>
      <c r="Q3698" s="3">
        <v>0.53016990423202504</v>
      </c>
    </row>
    <row r="3699" spans="1:17" x14ac:dyDescent="0.45">
      <c r="A3699" s="3">
        <v>84232</v>
      </c>
      <c r="B3699" t="b">
        <v>0</v>
      </c>
      <c r="C3699" t="b">
        <v>0</v>
      </c>
      <c r="D3699" s="3">
        <v>1939</v>
      </c>
      <c r="E3699" s="3">
        <v>1939</v>
      </c>
      <c r="F3699" t="s">
        <v>10264</v>
      </c>
      <c r="G3699" t="s">
        <v>10265</v>
      </c>
      <c r="H3699" s="3">
        <v>45.7393</v>
      </c>
      <c r="I3699" t="s">
        <v>14549</v>
      </c>
      <c r="J3699" t="s">
        <v>13024</v>
      </c>
      <c r="L3699" t="s">
        <v>10266</v>
      </c>
      <c r="M3699" t="str">
        <f>"https://www.artic.edu/iiif/2/"&amp;Table9[[#This Row],[Image ID]]&amp;"/full/843,/0/default.jpg"</f>
        <v>https://www.artic.edu/iiif/2/8fecaf58-9c6c-a31f-e2e7-cc5ba3894651/full/843,/0/default.jpg</v>
      </c>
      <c r="N3699" s="3">
        <v>0.48799999999999999</v>
      </c>
      <c r="O3699" s="3">
        <v>2.4E-2</v>
      </c>
      <c r="P3699" s="3">
        <v>0.46399999999999997</v>
      </c>
      <c r="Q3699" s="3">
        <v>0.91439312696456898</v>
      </c>
    </row>
    <row r="3700" spans="1:17" x14ac:dyDescent="0.45">
      <c r="A3700" s="3">
        <v>24342</v>
      </c>
      <c r="B3700" t="b">
        <v>0</v>
      </c>
      <c r="C3700" t="b">
        <v>1</v>
      </c>
      <c r="D3700" s="3">
        <v>1872</v>
      </c>
      <c r="E3700" s="3">
        <v>1875</v>
      </c>
      <c r="F3700" t="s">
        <v>6387</v>
      </c>
      <c r="G3700" t="s">
        <v>6388</v>
      </c>
      <c r="H3700" s="3">
        <v>20.0397</v>
      </c>
      <c r="I3700" t="s">
        <v>2879</v>
      </c>
      <c r="J3700" t="s">
        <v>14504</v>
      </c>
      <c r="L3700" t="s">
        <v>6389</v>
      </c>
      <c r="M3700" t="str">
        <f>"https://www.artic.edu/iiif/2/"&amp;Table9[[#This Row],[Image ID]]&amp;"/full/843,/0/default.jpg"</f>
        <v>https://www.artic.edu/iiif/2/fdca1465-3f25-bba8-8692-ac4697c0e3e8/full/843,/0/default.jpg</v>
      </c>
      <c r="N3700" s="3">
        <v>0.56100000000000005</v>
      </c>
      <c r="O3700" s="3">
        <v>9.8000000000000004E-2</v>
      </c>
      <c r="P3700" s="3">
        <v>0.46300000000000008</v>
      </c>
      <c r="Q3700" s="3">
        <v>0.46428090333938599</v>
      </c>
    </row>
    <row r="3701" spans="1:17" x14ac:dyDescent="0.45">
      <c r="A3701" s="3">
        <v>118730</v>
      </c>
      <c r="B3701" t="b">
        <v>0</v>
      </c>
      <c r="C3701" t="b">
        <v>0</v>
      </c>
      <c r="D3701" s="3">
        <v>1939</v>
      </c>
      <c r="E3701" s="3">
        <v>1939</v>
      </c>
      <c r="F3701" t="s">
        <v>2549</v>
      </c>
      <c r="G3701" t="s">
        <v>7</v>
      </c>
      <c r="H3701" s="3">
        <v>26.7545</v>
      </c>
      <c r="I3701" t="s">
        <v>190</v>
      </c>
      <c r="J3701" t="s">
        <v>11803</v>
      </c>
      <c r="K3701" s="5" t="s">
        <v>2</v>
      </c>
      <c r="L3701" t="s">
        <v>2550</v>
      </c>
      <c r="M3701" t="str">
        <f>"https://www.artic.edu/iiif/2/"&amp;Table9[[#This Row],[Image ID]]&amp;"/full/843,/0/default.jpg"</f>
        <v>https://www.artic.edu/iiif/2/38fca3f3-264f-cb08-16de-3accc1cb8996/full/843,/0/default.jpg</v>
      </c>
      <c r="N3701" s="3">
        <v>0.56100000000000005</v>
      </c>
      <c r="O3701" s="3">
        <v>9.8000000000000004E-2</v>
      </c>
      <c r="P3701" s="3">
        <v>0.46300000000000008</v>
      </c>
      <c r="Q3701" s="3">
        <v>0.63973915576934803</v>
      </c>
    </row>
    <row r="3702" spans="1:17" x14ac:dyDescent="0.45">
      <c r="A3702" s="3">
        <v>129138</v>
      </c>
      <c r="B3702" t="b">
        <v>0</v>
      </c>
      <c r="C3702" t="b">
        <v>0</v>
      </c>
      <c r="D3702" s="3">
        <v>1944</v>
      </c>
      <c r="E3702" s="3">
        <v>1944</v>
      </c>
      <c r="F3702" t="s">
        <v>2856</v>
      </c>
      <c r="G3702" t="s">
        <v>2857</v>
      </c>
      <c r="H3702" s="3">
        <v>60.1282</v>
      </c>
      <c r="I3702" t="s">
        <v>14549</v>
      </c>
      <c r="J3702" t="s">
        <v>11294</v>
      </c>
      <c r="L3702" t="s">
        <v>2858</v>
      </c>
      <c r="M3702" t="str">
        <f>"https://www.artic.edu/iiif/2/"&amp;Table9[[#This Row],[Image ID]]&amp;"/full/843,/0/default.jpg"</f>
        <v>https://www.artic.edu/iiif/2/9dec9668-c38b-906d-cc66-9e63d71c958d/full/843,/0/default.jpg</v>
      </c>
      <c r="N3702" s="3">
        <v>0.56100000000000005</v>
      </c>
      <c r="O3702" s="3">
        <v>9.8000000000000004E-2</v>
      </c>
      <c r="P3702" s="3">
        <v>0.46300000000000008</v>
      </c>
      <c r="Q3702" s="3">
        <v>0.77896207571029596</v>
      </c>
    </row>
    <row r="3703" spans="1:17" x14ac:dyDescent="0.45">
      <c r="A3703" s="3">
        <v>150827</v>
      </c>
      <c r="B3703" t="b">
        <v>0</v>
      </c>
      <c r="C3703" t="b">
        <v>1</v>
      </c>
      <c r="D3703" s="3">
        <v>1873</v>
      </c>
      <c r="E3703" s="3">
        <v>1873</v>
      </c>
      <c r="F3703" t="s">
        <v>3814</v>
      </c>
      <c r="G3703" t="s">
        <v>3815</v>
      </c>
      <c r="H3703" s="3">
        <v>18.510200000000001</v>
      </c>
      <c r="I3703" t="s">
        <v>3217</v>
      </c>
      <c r="J3703" t="s">
        <v>13197</v>
      </c>
      <c r="L3703" t="s">
        <v>3816</v>
      </c>
      <c r="M3703" t="str">
        <f>"https://www.artic.edu/iiif/2/"&amp;Table9[[#This Row],[Image ID]]&amp;"/full/843,/0/default.jpg"</f>
        <v>https://www.artic.edu/iiif/2/9d7d33a9-0635-a40d-54ac-0b194f62d757/full/843,/0/default.jpg</v>
      </c>
      <c r="N3703" s="3">
        <v>0.78</v>
      </c>
      <c r="O3703" s="3">
        <v>0.317</v>
      </c>
      <c r="P3703" s="3">
        <v>0.46300000000000002</v>
      </c>
      <c r="Q3703" s="3">
        <v>0.69260656833648604</v>
      </c>
    </row>
    <row r="3704" spans="1:17" x14ac:dyDescent="0.45">
      <c r="A3704" s="3">
        <v>107040</v>
      </c>
      <c r="B3704" t="b">
        <v>0</v>
      </c>
      <c r="C3704" t="b">
        <v>0</v>
      </c>
      <c r="D3704" s="3">
        <v>1968</v>
      </c>
      <c r="E3704" s="3">
        <v>1968</v>
      </c>
      <c r="F3704" t="s">
        <v>593</v>
      </c>
      <c r="G3704" t="s">
        <v>594</v>
      </c>
      <c r="H3704" s="3">
        <v>24.859500000000001</v>
      </c>
      <c r="I3704" t="s">
        <v>29</v>
      </c>
      <c r="J3704" t="s">
        <v>11237</v>
      </c>
      <c r="L3704" t="s">
        <v>595</v>
      </c>
      <c r="M3704" t="str">
        <f>"https://www.artic.edu/iiif/2/"&amp;Table9[[#This Row],[Image ID]]&amp;"/full/843,/0/default.jpg"</f>
        <v>https://www.artic.edu/iiif/2/136b0840-66c6-48e8-15d1-5826acf87f22/full/843,/0/default.jpg</v>
      </c>
      <c r="N3704" s="3">
        <v>0.51200000000000001</v>
      </c>
      <c r="O3704" s="3">
        <v>4.9000000000000002E-2</v>
      </c>
      <c r="P3704" s="3">
        <v>0.46300000000000002</v>
      </c>
      <c r="Q3704" s="3">
        <v>0.78602302074432295</v>
      </c>
    </row>
    <row r="3705" spans="1:17" x14ac:dyDescent="0.45">
      <c r="A3705" s="3">
        <v>240973</v>
      </c>
      <c r="B3705" t="b">
        <v>0</v>
      </c>
      <c r="C3705" t="b">
        <v>0</v>
      </c>
      <c r="D3705" s="3">
        <v>1905</v>
      </c>
      <c r="E3705" s="3">
        <v>1905</v>
      </c>
      <c r="F3705" t="s">
        <v>6364</v>
      </c>
      <c r="G3705" t="s">
        <v>7</v>
      </c>
      <c r="H3705" s="3">
        <v>24.592500000000001</v>
      </c>
      <c r="I3705" t="s">
        <v>934</v>
      </c>
      <c r="J3705" t="s">
        <v>12689</v>
      </c>
      <c r="L3705" t="s">
        <v>6365</v>
      </c>
      <c r="M3705" t="str">
        <f>"https://www.artic.edu/iiif/2/"&amp;Table9[[#This Row],[Image ID]]&amp;"/full/843,/0/default.jpg"</f>
        <v>https://www.artic.edu/iiif/2/76558ea3-64d4-2c8b-983b-a2516ab0df7a/full/843,/0/default.jpg</v>
      </c>
      <c r="N3705" s="3">
        <v>0.51200000000000001</v>
      </c>
      <c r="O3705" s="3">
        <v>4.9000000000000002E-2</v>
      </c>
      <c r="P3705" s="3">
        <v>0.46300000000000002</v>
      </c>
      <c r="Q3705" s="3">
        <v>0.61526083946228005</v>
      </c>
    </row>
    <row r="3706" spans="1:17" x14ac:dyDescent="0.45">
      <c r="A3706" s="3">
        <v>38882</v>
      </c>
      <c r="B3706" t="b">
        <v>0</v>
      </c>
      <c r="C3706" t="b">
        <v>1</v>
      </c>
      <c r="D3706" s="3">
        <v>1823</v>
      </c>
      <c r="E3706" s="3">
        <v>1874</v>
      </c>
      <c r="F3706" t="s">
        <v>7299</v>
      </c>
      <c r="G3706" t="s">
        <v>7300</v>
      </c>
      <c r="H3706" s="3">
        <v>23.115100000000002</v>
      </c>
      <c r="I3706" t="s">
        <v>1268</v>
      </c>
      <c r="J3706" t="s">
        <v>13228</v>
      </c>
      <c r="L3706" t="s">
        <v>7301</v>
      </c>
      <c r="M3706" t="str">
        <f>"https://www.artic.edu/iiif/2/"&amp;Table9[[#This Row],[Image ID]]&amp;"/full/843,/0/default.jpg"</f>
        <v>https://www.artic.edu/iiif/2/9ff86b53-e966-9bc9-9c3b-534e86607efa/full/843,/0/default.jpg</v>
      </c>
      <c r="N3706" s="3">
        <v>0.70699999999999996</v>
      </c>
      <c r="O3706" s="3">
        <v>0.24399999999999999</v>
      </c>
      <c r="P3706" s="3">
        <v>0.46299999999999997</v>
      </c>
      <c r="Q3706" s="3">
        <v>0.47910526394844</v>
      </c>
    </row>
    <row r="3707" spans="1:17" x14ac:dyDescent="0.45">
      <c r="A3707" s="3">
        <v>80589</v>
      </c>
      <c r="B3707" t="b">
        <v>0</v>
      </c>
      <c r="C3707" t="b">
        <v>1</v>
      </c>
      <c r="D3707" s="3">
        <v>1445</v>
      </c>
      <c r="E3707" s="3">
        <v>1455</v>
      </c>
      <c r="F3707" t="s">
        <v>201</v>
      </c>
      <c r="G3707" t="s">
        <v>2787</v>
      </c>
      <c r="H3707" s="3">
        <v>52.477400000000003</v>
      </c>
      <c r="I3707" t="s">
        <v>10037</v>
      </c>
      <c r="J3707" t="s">
        <v>14370</v>
      </c>
      <c r="L3707" t="s">
        <v>10038</v>
      </c>
      <c r="M3707" t="str">
        <f>"https://www.artic.edu/iiif/2/"&amp;Table9[[#This Row],[Image ID]]&amp;"/full/843,/0/default.jpg"</f>
        <v>https://www.artic.edu/iiif/2/f46ec5c2-3897-1c1f-4d20-f8f81ac9b983/full/843,/0/default.jpg</v>
      </c>
      <c r="N3707" s="3">
        <v>0.58499999999999996</v>
      </c>
      <c r="O3707" s="3">
        <v>0.122</v>
      </c>
      <c r="P3707" s="3">
        <v>0.46299999999999997</v>
      </c>
      <c r="Q3707" s="3">
        <v>0.76955026388168302</v>
      </c>
    </row>
    <row r="3708" spans="1:17" x14ac:dyDescent="0.45">
      <c r="A3708" s="3">
        <v>146923</v>
      </c>
      <c r="B3708" t="b">
        <v>0</v>
      </c>
      <c r="C3708" t="b">
        <v>0</v>
      </c>
      <c r="D3708" s="3">
        <v>1958</v>
      </c>
      <c r="E3708" s="3">
        <v>1959</v>
      </c>
      <c r="F3708" t="s">
        <v>3519</v>
      </c>
      <c r="G3708" t="s">
        <v>7</v>
      </c>
      <c r="H3708" s="3">
        <v>28.052800000000001</v>
      </c>
      <c r="I3708" t="s">
        <v>28</v>
      </c>
      <c r="J3708" t="s">
        <v>12051</v>
      </c>
      <c r="L3708" t="s">
        <v>3520</v>
      </c>
      <c r="M3708" t="str">
        <f>"https://www.artic.edu/iiif/2/"&amp;Table9[[#This Row],[Image ID]]&amp;"/full/843,/0/default.jpg"</f>
        <v>https://www.artic.edu/iiif/2/49add2a9-b956-ac12-a24d-f661922dfc79/full/843,/0/default.jpg</v>
      </c>
      <c r="N3708" s="3">
        <v>0.58499999999999996</v>
      </c>
      <c r="O3708" s="3">
        <v>0.122</v>
      </c>
      <c r="P3708" s="3">
        <v>0.46299999999999997</v>
      </c>
      <c r="Q3708" s="3">
        <v>0.64858680963516202</v>
      </c>
    </row>
    <row r="3709" spans="1:17" x14ac:dyDescent="0.45">
      <c r="A3709" s="3">
        <v>133507</v>
      </c>
      <c r="B3709" t="b">
        <v>0</v>
      </c>
      <c r="C3709" t="b">
        <v>0</v>
      </c>
      <c r="D3709" s="3">
        <v>1876</v>
      </c>
      <c r="E3709" s="3">
        <v>1925</v>
      </c>
      <c r="F3709" t="s">
        <v>3046</v>
      </c>
      <c r="G3709" t="s">
        <v>3047</v>
      </c>
      <c r="H3709" s="3">
        <v>24.221900000000002</v>
      </c>
      <c r="I3709" t="s">
        <v>934</v>
      </c>
      <c r="J3709" t="s">
        <v>12591</v>
      </c>
      <c r="L3709" t="s">
        <v>3048</v>
      </c>
      <c r="M3709" t="str">
        <f>"https://www.artic.edu/iiif/2/"&amp;Table9[[#This Row],[Image ID]]&amp;"/full/843,/0/default.jpg"</f>
        <v>https://www.artic.edu/iiif/2/6f4297f5-36eb-6b88-2ee9-0964d85ab5a8/full/843,/0/default.jpg</v>
      </c>
      <c r="N3709" s="3">
        <v>0.58499999999999996</v>
      </c>
      <c r="O3709" s="3">
        <v>0.122</v>
      </c>
      <c r="P3709" s="3">
        <v>0.46299999999999997</v>
      </c>
      <c r="Q3709" s="3">
        <v>0.69453996419906605</v>
      </c>
    </row>
    <row r="3710" spans="1:17" x14ac:dyDescent="0.45">
      <c r="A3710" s="3">
        <v>225738</v>
      </c>
      <c r="B3710" t="b">
        <v>0</v>
      </c>
      <c r="C3710" t="b">
        <v>0</v>
      </c>
      <c r="D3710" s="3">
        <v>1959</v>
      </c>
      <c r="E3710" s="3">
        <v>1959</v>
      </c>
      <c r="F3710" t="s">
        <v>5936</v>
      </c>
      <c r="G3710" t="s">
        <v>5917</v>
      </c>
      <c r="H3710" s="3">
        <v>42.572000000000003</v>
      </c>
      <c r="I3710" t="s">
        <v>5918</v>
      </c>
      <c r="J3710" t="s">
        <v>11203</v>
      </c>
      <c r="L3710" t="s">
        <v>5937</v>
      </c>
      <c r="M3710" t="str">
        <f>"https://www.artic.edu/iiif/2/"&amp;Table9[[#This Row],[Image ID]]&amp;"/full/843,/0/default.jpg"</f>
        <v>https://www.artic.edu/iiif/2/cae3c4a5-7c8b-928f-1b26-ab12c8be51f9/full/843,/0/default.jpg</v>
      </c>
      <c r="N3710" s="3">
        <v>0.63400000000000001</v>
      </c>
      <c r="O3710" s="3">
        <v>0.17100000000000001</v>
      </c>
      <c r="P3710" s="3">
        <v>0.46299999999999997</v>
      </c>
      <c r="Q3710" s="3">
        <v>0.83576631546020497</v>
      </c>
    </row>
    <row r="3711" spans="1:17" x14ac:dyDescent="0.45">
      <c r="A3711" s="3">
        <v>2915</v>
      </c>
      <c r="B3711" t="b">
        <v>0</v>
      </c>
      <c r="C3711" t="b">
        <v>0</v>
      </c>
      <c r="D3711" s="3">
        <v>1908</v>
      </c>
      <c r="E3711" s="3">
        <v>1908</v>
      </c>
      <c r="F3711" t="s">
        <v>6878</v>
      </c>
      <c r="G3711" t="s">
        <v>6879</v>
      </c>
      <c r="H3711" s="3">
        <v>22.2346</v>
      </c>
      <c r="I3711" t="s">
        <v>949</v>
      </c>
      <c r="J3711" t="s">
        <v>14476</v>
      </c>
      <c r="L3711" t="s">
        <v>6880</v>
      </c>
      <c r="M3711" t="str">
        <f>"https://www.artic.edu/iiif/2/"&amp;Table9[[#This Row],[Image ID]]&amp;"/full/843,/0/default.jpg"</f>
        <v>https://www.artic.edu/iiif/2/fba3c53d-f118-18f6-9bd8-13e984323aee/full/843,/0/default.jpg</v>
      </c>
      <c r="N3711" s="3">
        <v>0.75</v>
      </c>
      <c r="O3711" s="3">
        <v>0.29299999999999998</v>
      </c>
      <c r="P3711" s="3">
        <v>0.45700000000000002</v>
      </c>
      <c r="Q3711" s="3">
        <v>0.68413501977920499</v>
      </c>
    </row>
    <row r="3712" spans="1:17" x14ac:dyDescent="0.45">
      <c r="A3712" s="3">
        <v>27606</v>
      </c>
      <c r="B3712" t="b">
        <v>0</v>
      </c>
      <c r="C3712" t="b">
        <v>1</v>
      </c>
      <c r="D3712" s="3">
        <v>1635</v>
      </c>
      <c r="E3712" s="3">
        <v>1645</v>
      </c>
      <c r="F3712" t="s">
        <v>6731</v>
      </c>
      <c r="G3712" t="s">
        <v>6732</v>
      </c>
      <c r="H3712" s="3">
        <v>15.0137</v>
      </c>
      <c r="I3712" t="s">
        <v>4241</v>
      </c>
      <c r="J3712" t="s">
        <v>12342</v>
      </c>
      <c r="L3712" t="s">
        <v>6733</v>
      </c>
      <c r="M3712" t="str">
        <f>"https://www.artic.edu/iiif/2/"&amp;Table9[[#This Row],[Image ID]]&amp;"/full/843,/0/default.jpg"</f>
        <v>https://www.artic.edu/iiif/2/5d3d7ee4-268d-97dd-b557-35c99edbca31/full/843,/0/default.jpg</v>
      </c>
      <c r="N3712" s="3">
        <v>0.72499999999999998</v>
      </c>
      <c r="O3712" s="3">
        <v>0.26800000000000002</v>
      </c>
      <c r="P3712" s="3">
        <v>0.45699999999999996</v>
      </c>
      <c r="Q3712" s="3">
        <v>0.442019313573837</v>
      </c>
    </row>
    <row r="3713" spans="1:17" x14ac:dyDescent="0.45">
      <c r="A3713" s="3">
        <v>17594</v>
      </c>
      <c r="B3713" t="b">
        <v>0</v>
      </c>
      <c r="C3713" t="b">
        <v>0</v>
      </c>
      <c r="D3713" s="3">
        <v>1921</v>
      </c>
      <c r="E3713" s="3">
        <v>1965</v>
      </c>
      <c r="F3713" t="s">
        <v>4668</v>
      </c>
      <c r="G3713" t="s">
        <v>4669</v>
      </c>
      <c r="H3713" s="3">
        <v>17.645499999999998</v>
      </c>
      <c r="I3713" t="s">
        <v>14639</v>
      </c>
      <c r="J3713" t="s">
        <v>12722</v>
      </c>
      <c r="L3713" t="s">
        <v>4670</v>
      </c>
      <c r="M3713" t="str">
        <f>"https://www.artic.edu/iiif/2/"&amp;Table9[[#This Row],[Image ID]]&amp;"/full/843,/0/default.jpg"</f>
        <v>https://www.artic.edu/iiif/2/78e7c250-056d-a85a-f3de-97cfa0266be9/full/843,/0/default.jpg</v>
      </c>
      <c r="N3713" s="3">
        <v>0.72499999999999998</v>
      </c>
      <c r="O3713" s="3">
        <v>0.26800000000000002</v>
      </c>
      <c r="P3713" s="3">
        <v>0.45699999999999996</v>
      </c>
      <c r="Q3713" s="3">
        <v>0.73131191730499201</v>
      </c>
    </row>
    <row r="3714" spans="1:17" x14ac:dyDescent="0.45">
      <c r="A3714" s="3">
        <v>61546</v>
      </c>
      <c r="B3714" t="b">
        <v>0</v>
      </c>
      <c r="C3714" t="b">
        <v>1</v>
      </c>
      <c r="D3714" s="3">
        <v>1810</v>
      </c>
      <c r="E3714" s="3">
        <v>1820</v>
      </c>
      <c r="F3714" t="s">
        <v>8800</v>
      </c>
      <c r="G3714" t="s">
        <v>8801</v>
      </c>
      <c r="H3714" s="3">
        <v>30.541899999999998</v>
      </c>
      <c r="I3714" t="s">
        <v>1312</v>
      </c>
      <c r="J3714" t="s">
        <v>12474</v>
      </c>
      <c r="L3714" t="s">
        <v>8802</v>
      </c>
      <c r="M3714" t="str">
        <f>"https://www.artic.edu/iiif/2/"&amp;Table9[[#This Row],[Image ID]]&amp;"/full/843,/0/default.jpg"</f>
        <v>https://www.artic.edu/iiif/2/668ae4ff-7fac-5f49-184b-d3f6c658c7aa/full/843,/0/default.jpg</v>
      </c>
      <c r="N3714" s="3">
        <v>0.65</v>
      </c>
      <c r="O3714" s="3">
        <v>0.19500000000000001</v>
      </c>
      <c r="P3714" s="3">
        <v>0.45500000000000002</v>
      </c>
      <c r="Q3714" s="3">
        <v>0.75180923938751198</v>
      </c>
    </row>
    <row r="3715" spans="1:17" x14ac:dyDescent="0.45">
      <c r="A3715" s="3">
        <v>109314</v>
      </c>
      <c r="B3715" t="b">
        <v>0</v>
      </c>
      <c r="C3715" t="b">
        <v>1</v>
      </c>
      <c r="D3715" s="3">
        <v>1887</v>
      </c>
      <c r="E3715" s="3">
        <v>1887</v>
      </c>
      <c r="F3715" t="s">
        <v>14691</v>
      </c>
      <c r="G3715" t="s">
        <v>7</v>
      </c>
      <c r="H3715" s="3">
        <v>36.6496</v>
      </c>
      <c r="I3715" t="s">
        <v>768</v>
      </c>
      <c r="J3715" t="s">
        <v>13057</v>
      </c>
      <c r="K3715" s="5" t="s">
        <v>9</v>
      </c>
      <c r="L3715" t="s">
        <v>769</v>
      </c>
      <c r="M3715" t="str">
        <f>"https://www.artic.edu/iiif/2/"&amp;Table9[[#This Row],[Image ID]]&amp;"/full/843,/0/default.jpg"</f>
        <v>https://www.artic.edu/iiif/2/92827fc4-78a3-a263-75a2-6470eabad38b/full/843,/0/default.jpg</v>
      </c>
      <c r="N3715" s="3">
        <v>0.59099999999999997</v>
      </c>
      <c r="O3715" s="3">
        <v>0.13600000000000001</v>
      </c>
      <c r="P3715" s="3">
        <v>0.45499999999999996</v>
      </c>
      <c r="Q3715" s="3">
        <v>0.623285353183746</v>
      </c>
    </row>
    <row r="3716" spans="1:17" x14ac:dyDescent="0.45">
      <c r="A3716" s="3">
        <v>115202</v>
      </c>
      <c r="B3716" t="b">
        <v>0</v>
      </c>
      <c r="C3716" t="b">
        <v>1</v>
      </c>
      <c r="D3716" s="3">
        <v>1843</v>
      </c>
      <c r="E3716" s="3">
        <v>1843</v>
      </c>
      <c r="F3716" t="s">
        <v>1848</v>
      </c>
      <c r="G3716" t="s">
        <v>1849</v>
      </c>
      <c r="H3716" s="3">
        <v>15.557700000000001</v>
      </c>
      <c r="I3716" t="s">
        <v>1555</v>
      </c>
      <c r="J3716" t="s">
        <v>13075</v>
      </c>
      <c r="L3716" t="s">
        <v>1850</v>
      </c>
      <c r="M3716" t="str">
        <f>"https://www.artic.edu/iiif/2/"&amp;Table9[[#This Row],[Image ID]]&amp;"/full/843,/0/default.jpg"</f>
        <v>https://www.artic.edu/iiif/2/9446d402-dbb9-9a46-aaf3-87225b568b71/full/843,/0/default.jpg</v>
      </c>
      <c r="N3716" s="3">
        <v>0.70499999999999996</v>
      </c>
      <c r="O3716" s="3">
        <v>0.25</v>
      </c>
      <c r="P3716" s="3">
        <v>0.45499999999999996</v>
      </c>
      <c r="Q3716" s="3">
        <v>0.59033304452896096</v>
      </c>
    </row>
    <row r="3717" spans="1:17" x14ac:dyDescent="0.45">
      <c r="A3717" s="3">
        <v>58603</v>
      </c>
      <c r="B3717" t="b">
        <v>0</v>
      </c>
      <c r="C3717" t="b">
        <v>0</v>
      </c>
      <c r="D3717" s="3">
        <v>1942</v>
      </c>
      <c r="E3717" s="3">
        <v>1942</v>
      </c>
      <c r="F3717" t="s">
        <v>6157</v>
      </c>
      <c r="G3717" t="s">
        <v>8518</v>
      </c>
      <c r="H3717" s="3">
        <v>33.876800000000003</v>
      </c>
      <c r="I3717" t="s">
        <v>753</v>
      </c>
      <c r="J3717" t="s">
        <v>12811</v>
      </c>
      <c r="L3717" t="s">
        <v>8519</v>
      </c>
      <c r="M3717" t="str">
        <f>"https://www.artic.edu/iiif/2/"&amp;Table9[[#This Row],[Image ID]]&amp;"/full/843,/0/default.jpg"</f>
        <v>https://www.artic.edu/iiif/2/7fcb2643-f153-a9d4-6e42-900b1e39e391/full/843,/0/default.jpg</v>
      </c>
      <c r="N3717" s="3">
        <v>0.625</v>
      </c>
      <c r="O3717" s="3">
        <v>0.17100000000000001</v>
      </c>
      <c r="P3717" s="3">
        <v>0.45399999999999996</v>
      </c>
      <c r="Q3717" s="3">
        <v>0.80432194471359197</v>
      </c>
    </row>
    <row r="3718" spans="1:17" x14ac:dyDescent="0.45">
      <c r="A3718" s="3">
        <v>131916</v>
      </c>
      <c r="B3718" t="b">
        <v>0</v>
      </c>
      <c r="C3718" t="b">
        <v>1</v>
      </c>
      <c r="D3718" s="3">
        <v>1695</v>
      </c>
      <c r="E3718" s="3">
        <v>1705</v>
      </c>
      <c r="F3718" t="s">
        <v>3012</v>
      </c>
      <c r="G3718" t="s">
        <v>723</v>
      </c>
      <c r="H3718" s="3">
        <v>32.495800000000003</v>
      </c>
      <c r="J3718" t="s">
        <v>13080</v>
      </c>
      <c r="K3718" s="5" t="s">
        <v>4</v>
      </c>
      <c r="L3718" t="s">
        <v>3013</v>
      </c>
      <c r="M3718" t="str">
        <f>"https://www.artic.edu/iiif/2/"&amp;Table9[[#This Row],[Image ID]]&amp;"/full/843,/0/default.jpg"</f>
        <v>https://www.artic.edu/iiif/2/94fe15b9-10af-554a-6620-82ac2bc4cb1e/full/843,/0/default.jpg</v>
      </c>
      <c r="N3718" s="3">
        <v>0.54800000000000004</v>
      </c>
      <c r="O3718" s="3">
        <v>9.5000000000000001E-2</v>
      </c>
      <c r="P3718" s="3">
        <v>0.45300000000000007</v>
      </c>
      <c r="Q3718" s="3">
        <v>0.79053986072540205</v>
      </c>
    </row>
    <row r="3719" spans="1:17" x14ac:dyDescent="0.45">
      <c r="A3719" s="3">
        <v>74207</v>
      </c>
      <c r="B3719" t="b">
        <v>0</v>
      </c>
      <c r="C3719" t="b">
        <v>1</v>
      </c>
      <c r="D3719" s="3">
        <v>1775</v>
      </c>
      <c r="E3719" s="3">
        <v>1775</v>
      </c>
      <c r="F3719" t="s">
        <v>14605</v>
      </c>
      <c r="G3719" t="s">
        <v>5162</v>
      </c>
      <c r="H3719" s="3">
        <v>35.4116</v>
      </c>
      <c r="I3719" t="s">
        <v>9685</v>
      </c>
      <c r="J3719" t="s">
        <v>13090</v>
      </c>
      <c r="L3719" t="s">
        <v>9686</v>
      </c>
      <c r="M3719" t="str">
        <f>"https://www.artic.edu/iiif/2/"&amp;Table9[[#This Row],[Image ID]]&amp;"/full/843,/0/default.jpg"</f>
        <v>https://www.artic.edu/iiif/2/95a1d7db-a27e-1f8f-a27c-c8dfe486e2bf/full/843,/0/default.jpg</v>
      </c>
      <c r="N3719" s="3">
        <v>0.54800000000000004</v>
      </c>
      <c r="O3719" s="3">
        <v>9.5000000000000001E-2</v>
      </c>
      <c r="P3719" s="3">
        <v>0.45300000000000007</v>
      </c>
      <c r="Q3719" s="3">
        <v>0.54941028356552102</v>
      </c>
    </row>
    <row r="3720" spans="1:17" x14ac:dyDescent="0.45">
      <c r="A3720" s="3">
        <v>217696</v>
      </c>
      <c r="B3720" t="b">
        <v>0</v>
      </c>
      <c r="C3720" t="b">
        <v>1</v>
      </c>
      <c r="D3720" s="3">
        <v>1895</v>
      </c>
      <c r="E3720" s="3">
        <v>1896</v>
      </c>
      <c r="F3720" t="s">
        <v>5734</v>
      </c>
      <c r="G3720" t="s">
        <v>3028</v>
      </c>
      <c r="H3720" s="3">
        <v>18.476800000000001</v>
      </c>
      <c r="I3720" t="s">
        <v>5727</v>
      </c>
      <c r="J3720" t="s">
        <v>11026</v>
      </c>
      <c r="K3720" s="5" t="s">
        <v>130</v>
      </c>
      <c r="L3720" t="s">
        <v>5739</v>
      </c>
      <c r="M3720" t="str">
        <f>"https://www.artic.edu/iiif/2/"&amp;Table9[[#This Row],[Image ID]]&amp;"/full/843,/0/default.jpg"</f>
        <v>https://www.artic.edu/iiif/2/bf68fe6b-dec1-f53c-8da8-814c8ac79e99/full/843,/0/default.jpg</v>
      </c>
      <c r="N3720" s="3">
        <v>0.52400000000000002</v>
      </c>
      <c r="O3720" s="3">
        <v>7.0999999999999994E-2</v>
      </c>
      <c r="P3720" s="3">
        <v>0.45300000000000001</v>
      </c>
      <c r="Q3720" s="3">
        <v>0.66700923442840498</v>
      </c>
    </row>
    <row r="3721" spans="1:17" x14ac:dyDescent="0.45">
      <c r="A3721" s="3">
        <v>160017</v>
      </c>
      <c r="B3721" t="b">
        <v>0</v>
      </c>
      <c r="C3721" t="b">
        <v>1</v>
      </c>
      <c r="D3721" s="3">
        <v>916</v>
      </c>
      <c r="E3721" s="3">
        <v>1125</v>
      </c>
      <c r="F3721" t="s">
        <v>4227</v>
      </c>
      <c r="G3721" t="s">
        <v>4228</v>
      </c>
      <c r="H3721" s="3">
        <v>24.673999999999999</v>
      </c>
      <c r="J3721" t="s">
        <v>14212</v>
      </c>
      <c r="K3721" s="5" t="s">
        <v>130</v>
      </c>
      <c r="L3721" t="s">
        <v>4229</v>
      </c>
      <c r="M3721" t="str">
        <f>"https://www.artic.edu/iiif/2/"&amp;Table9[[#This Row],[Image ID]]&amp;"/full/843,/0/default.jpg"</f>
        <v>https://www.artic.edu/iiif/2/e95dc063-127f-dd28-2c6f-fed1bc409d29/full/843,/0/default.jpg</v>
      </c>
      <c r="N3721" s="3">
        <v>0.64300000000000002</v>
      </c>
      <c r="O3721" s="3">
        <v>0.19</v>
      </c>
      <c r="P3721" s="3">
        <v>0.45300000000000001</v>
      </c>
      <c r="Q3721" s="3">
        <v>0.71675920486450195</v>
      </c>
    </row>
    <row r="3722" spans="1:17" x14ac:dyDescent="0.45">
      <c r="A3722" s="3">
        <v>150426</v>
      </c>
      <c r="B3722" t="b">
        <v>0</v>
      </c>
      <c r="C3722" t="b">
        <v>1</v>
      </c>
      <c r="D3722" s="3">
        <v>1501</v>
      </c>
      <c r="E3722" s="3">
        <v>1600</v>
      </c>
      <c r="F3722" t="s">
        <v>3791</v>
      </c>
      <c r="G3722" t="s">
        <v>3792</v>
      </c>
      <c r="H3722" s="3">
        <v>37.491199999999999</v>
      </c>
      <c r="I3722" t="s">
        <v>117</v>
      </c>
      <c r="J3722" t="s">
        <v>14421</v>
      </c>
      <c r="L3722" t="s">
        <v>3793</v>
      </c>
      <c r="M3722" t="str">
        <f>"https://www.artic.edu/iiif/2/"&amp;Table9[[#This Row],[Image ID]]&amp;"/full/843,/0/default.jpg"</f>
        <v>https://www.artic.edu/iiif/2/f79bf4b5-f500-dcac-765e-7ff017880641/full/843,/0/default.jpg</v>
      </c>
      <c r="N3722" s="3">
        <v>0.52400000000000002</v>
      </c>
      <c r="O3722" s="3">
        <v>7.0999999999999994E-2</v>
      </c>
      <c r="P3722" s="3">
        <v>0.45300000000000001</v>
      </c>
      <c r="Q3722" s="3">
        <v>0.75688648223876898</v>
      </c>
    </row>
    <row r="3723" spans="1:17" x14ac:dyDescent="0.45">
      <c r="A3723" s="3">
        <v>15172</v>
      </c>
      <c r="B3723" t="b">
        <v>0</v>
      </c>
      <c r="C3723" t="b">
        <v>0</v>
      </c>
      <c r="D3723" s="3">
        <v>1925</v>
      </c>
      <c r="E3723" s="3">
        <v>1925</v>
      </c>
      <c r="F3723" t="s">
        <v>3844</v>
      </c>
      <c r="G3723" t="s">
        <v>3845</v>
      </c>
      <c r="H3723" s="3">
        <v>35.350200000000001</v>
      </c>
      <c r="I3723" t="s">
        <v>443</v>
      </c>
      <c r="J3723" t="s">
        <v>13291</v>
      </c>
      <c r="L3723" t="s">
        <v>3846</v>
      </c>
      <c r="M3723" t="str">
        <f>"https://www.artic.edu/iiif/2/"&amp;Table9[[#This Row],[Image ID]]&amp;"/full/843,/0/default.jpg"</f>
        <v>https://www.artic.edu/iiif/2/a4630ade-0487-8ec2-6d76-2aee8d7e5f90/full/843,/0/default.jpg</v>
      </c>
      <c r="N3723" s="3">
        <v>0.52400000000000002</v>
      </c>
      <c r="O3723" s="3">
        <v>7.0999999999999994E-2</v>
      </c>
      <c r="P3723" s="3">
        <v>0.45300000000000001</v>
      </c>
      <c r="Q3723" s="3">
        <v>0.65627151727676303</v>
      </c>
    </row>
    <row r="3724" spans="1:17" x14ac:dyDescent="0.45">
      <c r="A3724" s="3">
        <v>105026</v>
      </c>
      <c r="B3724" t="b">
        <v>0</v>
      </c>
      <c r="C3724" t="b">
        <v>0</v>
      </c>
      <c r="D3724" s="3">
        <v>1961</v>
      </c>
      <c r="E3724" s="3">
        <v>1966</v>
      </c>
      <c r="F3724" t="s">
        <v>469</v>
      </c>
      <c r="G3724" t="s">
        <v>7</v>
      </c>
      <c r="H3724" s="3">
        <v>1.8924000000000001</v>
      </c>
      <c r="I3724" t="s">
        <v>470</v>
      </c>
      <c r="J3724" t="s">
        <v>12943</v>
      </c>
      <c r="L3724" t="s">
        <v>471</v>
      </c>
      <c r="M3724" t="str">
        <f>"https://www.artic.edu/iiif/2/"&amp;Table9[[#This Row],[Image ID]]&amp;"/full/843,/0/default.jpg"</f>
        <v>https://www.artic.edu/iiif/2/aab2ccf0-0012-0c52-0ffe-9bab278e74c5/full/843,/0/default.jpg</v>
      </c>
      <c r="N3724" s="3">
        <v>0.52400000000000002</v>
      </c>
      <c r="O3724" s="3">
        <v>7.0999999999999994E-2</v>
      </c>
      <c r="P3724" s="3">
        <v>0.45300000000000001</v>
      </c>
      <c r="Q3724" s="3">
        <v>0.74553799629211404</v>
      </c>
    </row>
    <row r="3725" spans="1:17" x14ac:dyDescent="0.45">
      <c r="A3725" s="3">
        <v>115540</v>
      </c>
      <c r="B3725" t="b">
        <v>0</v>
      </c>
      <c r="C3725" t="b">
        <v>0</v>
      </c>
      <c r="D3725" s="3">
        <v>1910</v>
      </c>
      <c r="E3725" s="3">
        <v>1910</v>
      </c>
      <c r="F3725" t="s">
        <v>2008</v>
      </c>
      <c r="G3725" t="s">
        <v>2009</v>
      </c>
      <c r="H3725" s="3">
        <v>43.941299999999998</v>
      </c>
      <c r="I3725" t="s">
        <v>2010</v>
      </c>
      <c r="J3725" t="s">
        <v>14278</v>
      </c>
      <c r="L3725" t="s">
        <v>2011</v>
      </c>
      <c r="M3725" t="str">
        <f>"https://www.artic.edu/iiif/2/"&amp;Table9[[#This Row],[Image ID]]&amp;"/full/843,/0/default.jpg"</f>
        <v>https://www.artic.edu/iiif/2/ed929625-1ea9-e840-69ba-752dac27f666/full/843,/0/default.jpg</v>
      </c>
      <c r="N3725" s="3">
        <v>0.57499999999999996</v>
      </c>
      <c r="O3725" s="3">
        <v>0.122</v>
      </c>
      <c r="P3725" s="3">
        <v>0.45299999999999996</v>
      </c>
      <c r="Q3725" s="3">
        <v>0.72169744968414296</v>
      </c>
    </row>
    <row r="3726" spans="1:17" x14ac:dyDescent="0.45">
      <c r="A3726" s="3">
        <v>51536</v>
      </c>
      <c r="B3726" t="b">
        <v>0</v>
      </c>
      <c r="C3726" t="b">
        <v>1</v>
      </c>
      <c r="D3726" s="3">
        <v>1825</v>
      </c>
      <c r="E3726" s="3">
        <v>1883</v>
      </c>
      <c r="F3726" t="s">
        <v>8146</v>
      </c>
      <c r="G3726" t="s">
        <v>642</v>
      </c>
      <c r="H3726" s="3">
        <v>28.176400000000001</v>
      </c>
      <c r="I3726" t="s">
        <v>3033</v>
      </c>
      <c r="J3726" t="s">
        <v>11356</v>
      </c>
      <c r="L3726" t="s">
        <v>8147</v>
      </c>
      <c r="M3726" t="str">
        <f>"https://www.artic.edu/iiif/2/"&amp;Table9[[#This Row],[Image ID]]&amp;"/full/843,/0/default.jpg"</f>
        <v>https://www.artic.edu/iiif/2/1bf5c49e-8eeb-c3de-8d16-bb31fd285c6a/full/843,/0/default.jpg</v>
      </c>
      <c r="N3726" s="3">
        <v>0.55000000000000004</v>
      </c>
      <c r="O3726" s="3">
        <v>9.8000000000000004E-2</v>
      </c>
      <c r="P3726" s="3">
        <v>0.45200000000000007</v>
      </c>
      <c r="Q3726" s="3">
        <v>0.57510334253311102</v>
      </c>
    </row>
    <row r="3727" spans="1:17" x14ac:dyDescent="0.45">
      <c r="A3727" s="3">
        <v>55894</v>
      </c>
      <c r="B3727" t="b">
        <v>0</v>
      </c>
      <c r="C3727" t="b">
        <v>0</v>
      </c>
      <c r="D3727" s="3">
        <v>1906</v>
      </c>
      <c r="E3727" s="3">
        <v>1928</v>
      </c>
      <c r="F3727" t="s">
        <v>8414</v>
      </c>
      <c r="G3727" t="s">
        <v>8415</v>
      </c>
      <c r="H3727" s="3">
        <v>17.908200000000001</v>
      </c>
      <c r="I3727" t="s">
        <v>5821</v>
      </c>
      <c r="J3727" t="s">
        <v>11296</v>
      </c>
      <c r="L3727" t="s">
        <v>8416</v>
      </c>
      <c r="M3727" t="str">
        <f>"https://www.artic.edu/iiif/2/"&amp;Table9[[#This Row],[Image ID]]&amp;"/full/843,/0/default.jpg"</f>
        <v>https://www.artic.edu/iiif/2/174364e1-e036-fbf2-d861-f8e8ecbafa20/full/843,/0/default.jpg</v>
      </c>
      <c r="N3727" s="3">
        <v>0.55000000000000004</v>
      </c>
      <c r="O3727" s="3">
        <v>9.8000000000000004E-2</v>
      </c>
      <c r="P3727" s="3">
        <v>0.45200000000000007</v>
      </c>
      <c r="Q3727" s="3">
        <v>0.56558603048324496</v>
      </c>
    </row>
    <row r="3728" spans="1:17" x14ac:dyDescent="0.45">
      <c r="A3728" s="3">
        <v>115899</v>
      </c>
      <c r="B3728" t="b">
        <v>0</v>
      </c>
      <c r="C3728" t="b">
        <v>1</v>
      </c>
      <c r="D3728" s="3">
        <v>1825</v>
      </c>
      <c r="E3728" s="3">
        <v>1876</v>
      </c>
      <c r="F3728" t="s">
        <v>2201</v>
      </c>
      <c r="G3728" t="s">
        <v>2196</v>
      </c>
      <c r="H3728" s="3">
        <v>32.564399999999999</v>
      </c>
      <c r="I3728" t="s">
        <v>2202</v>
      </c>
      <c r="J3728" t="s">
        <v>12718</v>
      </c>
      <c r="L3728" t="s">
        <v>2203</v>
      </c>
      <c r="M3728" t="str">
        <f>"https://www.artic.edu/iiif/2/"&amp;Table9[[#This Row],[Image ID]]&amp;"/full/843,/0/default.jpg"</f>
        <v>https://www.artic.edu/iiif/2/7893abdc-6616-9c52-e4eb-829e530dbf8a/full/843,/0/default.jpg</v>
      </c>
      <c r="N3728" s="3">
        <v>0.5</v>
      </c>
      <c r="O3728" s="3">
        <v>4.8000000000000001E-2</v>
      </c>
      <c r="P3728" s="3">
        <v>0.45200000000000001</v>
      </c>
      <c r="Q3728" s="3">
        <v>0.81709486246108998</v>
      </c>
    </row>
    <row r="3729" spans="1:17" x14ac:dyDescent="0.45">
      <c r="A3729" s="3">
        <v>4776</v>
      </c>
      <c r="B3729" t="b">
        <v>0</v>
      </c>
      <c r="C3729" t="b">
        <v>1</v>
      </c>
      <c r="D3729" s="3">
        <v>1871</v>
      </c>
      <c r="E3729" s="3">
        <v>1871</v>
      </c>
      <c r="F3729" t="s">
        <v>7972</v>
      </c>
      <c r="G3729" t="s">
        <v>7</v>
      </c>
      <c r="H3729" s="3">
        <v>33.308900000000001</v>
      </c>
      <c r="I3729" t="s">
        <v>14668</v>
      </c>
      <c r="J3729" t="s">
        <v>11121</v>
      </c>
      <c r="L3729" t="s">
        <v>7973</v>
      </c>
      <c r="M3729" t="str">
        <f>"https://www.artic.edu/iiif/2/"&amp;Table9[[#This Row],[Image ID]]&amp;"/full/843,/0/default.jpg"</f>
        <v>https://www.artic.edu/iiif/2/0ace29f2-7bc1-714a-c364-12b57bcf8a93/full/843,/0/default.jpg</v>
      </c>
      <c r="N3729" s="3">
        <v>0.57099999999999995</v>
      </c>
      <c r="O3729" s="3">
        <v>0.11899999999999999</v>
      </c>
      <c r="P3729" s="3">
        <v>0.45199999999999996</v>
      </c>
      <c r="Q3729" s="3">
        <v>0.72817373275756803</v>
      </c>
    </row>
    <row r="3730" spans="1:17" x14ac:dyDescent="0.45">
      <c r="A3730" s="3">
        <v>79040</v>
      </c>
      <c r="B3730" t="b">
        <v>0</v>
      </c>
      <c r="C3730" t="b">
        <v>1</v>
      </c>
      <c r="D3730" s="3">
        <v>1816</v>
      </c>
      <c r="E3730" s="3">
        <v>1863</v>
      </c>
      <c r="F3730" t="s">
        <v>9868</v>
      </c>
      <c r="G3730" t="s">
        <v>9869</v>
      </c>
      <c r="H3730" s="3">
        <v>20.287700000000001</v>
      </c>
      <c r="I3730" t="s">
        <v>9870</v>
      </c>
      <c r="J3730" t="s">
        <v>12862</v>
      </c>
      <c r="L3730" t="s">
        <v>9871</v>
      </c>
      <c r="M3730" t="str">
        <f>"https://www.artic.edu/iiif/2/"&amp;Table9[[#This Row],[Image ID]]&amp;"/full/843,/0/default.jpg"</f>
        <v>https://www.artic.edu/iiif/2/830ec8cf-2be3-78a6-45cb-8c4fb559469a/full/843,/0/default.jpg</v>
      </c>
      <c r="N3730" s="3">
        <v>0.61899999999999999</v>
      </c>
      <c r="O3730" s="3">
        <v>0.16700000000000001</v>
      </c>
      <c r="P3730" s="3">
        <v>0.45199999999999996</v>
      </c>
      <c r="Q3730" s="3">
        <v>0.75806945562362604</v>
      </c>
    </row>
    <row r="3731" spans="1:17" x14ac:dyDescent="0.45">
      <c r="A3731" s="3">
        <v>16564</v>
      </c>
      <c r="B3731" t="b">
        <v>0</v>
      </c>
      <c r="C3731" t="b">
        <v>1</v>
      </c>
      <c r="D3731" s="3">
        <v>1897</v>
      </c>
      <c r="E3731" s="3">
        <v>1897</v>
      </c>
      <c r="F3731" t="s">
        <v>4492</v>
      </c>
      <c r="G3731" t="s">
        <v>7</v>
      </c>
      <c r="H3731" s="3">
        <v>17.534400000000002</v>
      </c>
      <c r="I3731" t="s">
        <v>43</v>
      </c>
      <c r="J3731" t="s">
        <v>12872</v>
      </c>
      <c r="K3731" s="5" t="s">
        <v>9</v>
      </c>
      <c r="L3731" t="s">
        <v>4493</v>
      </c>
      <c r="M3731" t="str">
        <f>"https://www.artic.edu/iiif/2/"&amp;Table9[[#This Row],[Image ID]]&amp;"/full/843,/0/default.jpg"</f>
        <v>https://www.artic.edu/iiif/2/838d8c33-a3b4-68ea-587b-87ceec2011af/full/843,/0/default.jpg</v>
      </c>
      <c r="N3731" s="3">
        <v>0.59499999999999997</v>
      </c>
      <c r="O3731" s="3">
        <v>0.14299999999999999</v>
      </c>
      <c r="P3731" s="3">
        <v>0.45199999999999996</v>
      </c>
      <c r="Q3731" s="3">
        <v>0.65511649847030595</v>
      </c>
    </row>
    <row r="3732" spans="1:17" x14ac:dyDescent="0.45">
      <c r="A3732" s="3">
        <v>8999</v>
      </c>
      <c r="B3732" t="b">
        <v>0</v>
      </c>
      <c r="C3732" t="b">
        <v>0</v>
      </c>
      <c r="D3732" s="3">
        <v>1911</v>
      </c>
      <c r="E3732" s="3">
        <v>1911</v>
      </c>
      <c r="F3732" t="s">
        <v>10488</v>
      </c>
      <c r="G3732" t="s">
        <v>7</v>
      </c>
      <c r="H3732" s="3">
        <v>34.404899999999998</v>
      </c>
      <c r="I3732" t="s">
        <v>10485</v>
      </c>
      <c r="J3732" t="s">
        <v>11625</v>
      </c>
      <c r="L3732" t="s">
        <v>10489</v>
      </c>
      <c r="M3732" t="str">
        <f>"https://www.artic.edu/iiif/2/"&amp;Table9[[#This Row],[Image ID]]&amp;"/full/843,/0/default.jpg"</f>
        <v>https://www.artic.edu/iiif/2/2ca3a5e4-f0ef-c3e2-f286-38f59abad5d6/full/843,/0/default.jpg</v>
      </c>
      <c r="N3732" s="3">
        <v>0.61899999999999999</v>
      </c>
      <c r="O3732" s="3">
        <v>0.16700000000000001</v>
      </c>
      <c r="P3732" s="3">
        <v>0.45199999999999996</v>
      </c>
      <c r="Q3732" s="3">
        <v>0.71964555978775002</v>
      </c>
    </row>
    <row r="3733" spans="1:17" x14ac:dyDescent="0.45">
      <c r="A3733" s="3">
        <v>14697</v>
      </c>
      <c r="B3733" t="b">
        <v>0</v>
      </c>
      <c r="C3733" t="b">
        <v>0</v>
      </c>
      <c r="D3733" s="3">
        <v>1925</v>
      </c>
      <c r="E3733" s="3">
        <v>1925</v>
      </c>
      <c r="F3733" t="s">
        <v>3538</v>
      </c>
      <c r="G3733" t="s">
        <v>608</v>
      </c>
      <c r="H3733" s="3">
        <v>27.8</v>
      </c>
      <c r="I3733" t="s">
        <v>1423</v>
      </c>
      <c r="J3733" t="s">
        <v>13504</v>
      </c>
      <c r="L3733" t="s">
        <v>3539</v>
      </c>
      <c r="M3733" t="str">
        <f>"https://www.artic.edu/iiif/2/"&amp;Table9[[#This Row],[Image ID]]&amp;"/full/843,/0/default.jpg"</f>
        <v>https://www.artic.edu/iiif/2/b44ff968-fed8-fef4-e40d-3d6ee7578788/full/843,/0/default.jpg</v>
      </c>
      <c r="N3733" s="3">
        <v>0.57099999999999995</v>
      </c>
      <c r="O3733" s="3">
        <v>0.11899999999999999</v>
      </c>
      <c r="P3733" s="3">
        <v>0.45199999999999996</v>
      </c>
      <c r="Q3733" s="3">
        <v>0.65781164169311501</v>
      </c>
    </row>
    <row r="3734" spans="1:17" x14ac:dyDescent="0.45">
      <c r="A3734" s="3">
        <v>63783</v>
      </c>
      <c r="B3734" t="b">
        <v>0</v>
      </c>
      <c r="C3734" t="b">
        <v>0</v>
      </c>
      <c r="D3734" s="3">
        <v>1943</v>
      </c>
      <c r="E3734" s="3">
        <v>1943</v>
      </c>
      <c r="F3734" t="s">
        <v>8947</v>
      </c>
      <c r="G3734" t="s">
        <v>7</v>
      </c>
      <c r="H3734" s="3">
        <v>39.383600000000001</v>
      </c>
      <c r="I3734" t="s">
        <v>1</v>
      </c>
      <c r="J3734" t="s">
        <v>14156</v>
      </c>
      <c r="K3734" s="5" t="s">
        <v>2</v>
      </c>
      <c r="L3734" t="s">
        <v>8948</v>
      </c>
      <c r="M3734" t="str">
        <f>"https://www.artic.edu/iiif/2/"&amp;Table9[[#This Row],[Image ID]]&amp;"/full/843,/0/default.jpg"</f>
        <v>https://www.artic.edu/iiif/2/e529ea2c-e8c9-bd4f-fd8a-3116f7b93b22/full/843,/0/default.jpg</v>
      </c>
      <c r="N3734" s="3">
        <v>0.5</v>
      </c>
      <c r="O3734" s="3">
        <v>4.9000000000000002E-2</v>
      </c>
      <c r="P3734" s="3">
        <v>0.45100000000000001</v>
      </c>
      <c r="Q3734" s="3">
        <v>0.72341102361678999</v>
      </c>
    </row>
    <row r="3735" spans="1:17" x14ac:dyDescent="0.45">
      <c r="A3735" s="3">
        <v>64362</v>
      </c>
      <c r="B3735" t="b">
        <v>0</v>
      </c>
      <c r="C3735" t="b">
        <v>0</v>
      </c>
      <c r="D3735" s="3">
        <v>1930</v>
      </c>
      <c r="E3735" s="3">
        <v>1981</v>
      </c>
      <c r="F3735" t="s">
        <v>8972</v>
      </c>
      <c r="G3735" t="s">
        <v>3041</v>
      </c>
      <c r="H3735" s="3">
        <v>26.143799999999999</v>
      </c>
      <c r="I3735" t="s">
        <v>8298</v>
      </c>
      <c r="J3735" t="s">
        <v>12671</v>
      </c>
      <c r="L3735" t="s">
        <v>8973</v>
      </c>
      <c r="M3735" t="str">
        <f>"https://www.artic.edu/iiif/2/"&amp;Table9[[#This Row],[Image ID]]&amp;"/full/843,/0/default.jpg"</f>
        <v>https://www.artic.edu/iiif/2/74f3cbdf-6131-780c-c770-8135ef58d672/full/843,/0/default.jpg</v>
      </c>
      <c r="N3735" s="3">
        <v>0.47499999999999998</v>
      </c>
      <c r="O3735" s="3">
        <v>2.4E-2</v>
      </c>
      <c r="P3735" s="3">
        <v>0.45099999999999996</v>
      </c>
      <c r="Q3735" s="3">
        <v>0.77188372611999501</v>
      </c>
    </row>
    <row r="3736" spans="1:17" x14ac:dyDescent="0.45">
      <c r="A3736" s="3">
        <v>47195</v>
      </c>
      <c r="B3736" t="b">
        <v>0</v>
      </c>
      <c r="C3736" t="b">
        <v>1</v>
      </c>
      <c r="D3736" s="3">
        <v>1864</v>
      </c>
      <c r="E3736" s="3">
        <v>1864</v>
      </c>
      <c r="F3736" t="s">
        <v>7933</v>
      </c>
      <c r="G3736" t="s">
        <v>7934</v>
      </c>
      <c r="H3736" s="3">
        <v>24.4556</v>
      </c>
      <c r="I3736" t="s">
        <v>7935</v>
      </c>
      <c r="J3736" t="s">
        <v>11208</v>
      </c>
      <c r="L3736" t="s">
        <v>7936</v>
      </c>
      <c r="M3736" t="str">
        <f>"https://www.artic.edu/iiif/2/"&amp;Table9[[#This Row],[Image ID]]&amp;"/full/843,/0/default.jpg"</f>
        <v>https://www.artic.edu/iiif/2/11d28f11-3198-602c-ed89-5ef51304e404/full/843,/0/default.jpg</v>
      </c>
      <c r="N3736" s="3">
        <v>0.67500000000000004</v>
      </c>
      <c r="O3736" s="3">
        <v>0.22500000000000001</v>
      </c>
      <c r="P3736" s="3">
        <v>0.45000000000000007</v>
      </c>
      <c r="Q3736" s="3">
        <v>0.536185562610626</v>
      </c>
    </row>
    <row r="3737" spans="1:17" x14ac:dyDescent="0.45">
      <c r="A3737" s="3">
        <v>115902</v>
      </c>
      <c r="B3737" t="b">
        <v>0</v>
      </c>
      <c r="C3737" t="b">
        <v>1</v>
      </c>
      <c r="D3737" s="3">
        <v>1860</v>
      </c>
      <c r="E3737" s="3">
        <v>1889</v>
      </c>
      <c r="F3737" t="s">
        <v>2209</v>
      </c>
      <c r="G3737" t="s">
        <v>2095</v>
      </c>
      <c r="H3737" s="3">
        <v>19.085599999999999</v>
      </c>
      <c r="I3737" t="s">
        <v>2210</v>
      </c>
      <c r="J3737" t="s">
        <v>12160</v>
      </c>
      <c r="L3737" t="s">
        <v>2211</v>
      </c>
      <c r="M3737" t="str">
        <f>"https://www.artic.edu/iiif/2/"&amp;Table9[[#This Row],[Image ID]]&amp;"/full/843,/0/default.jpg"</f>
        <v>https://www.artic.edu/iiif/2/5163ab03-2c99-fdd9-8c1f-37b76f9d3013/full/843,/0/default.jpg</v>
      </c>
      <c r="N3737" s="3">
        <v>0.67500000000000004</v>
      </c>
      <c r="O3737" s="3">
        <v>0.22500000000000001</v>
      </c>
      <c r="P3737" s="3">
        <v>0.45000000000000007</v>
      </c>
      <c r="Q3737" s="3">
        <v>0.62962931394577004</v>
      </c>
    </row>
    <row r="3738" spans="1:17" x14ac:dyDescent="0.45">
      <c r="A3738" s="3">
        <v>81552</v>
      </c>
      <c r="B3738" t="b">
        <v>0</v>
      </c>
      <c r="C3738" t="b">
        <v>1</v>
      </c>
      <c r="D3738" s="3">
        <v>1882</v>
      </c>
      <c r="E3738" s="3">
        <v>1882</v>
      </c>
      <c r="F3738" t="s">
        <v>10133</v>
      </c>
      <c r="G3738" t="s">
        <v>7</v>
      </c>
      <c r="H3738" s="3">
        <v>28.217600000000001</v>
      </c>
      <c r="I3738" t="s">
        <v>288</v>
      </c>
      <c r="J3738" t="s">
        <v>13270</v>
      </c>
      <c r="K3738" s="5" t="s">
        <v>115</v>
      </c>
      <c r="L3738" t="s">
        <v>10134</v>
      </c>
      <c r="M3738" t="str">
        <f>"https://www.artic.edu/iiif/2/"&amp;Table9[[#This Row],[Image ID]]&amp;"/full/843,/0/default.jpg"</f>
        <v>https://www.artic.edu/iiif/2/a2ddbd89-d864-8877-37bc-cd3dce12c37c/full/843,/0/default.jpg</v>
      </c>
      <c r="N3738" s="3">
        <v>0.55000000000000004</v>
      </c>
      <c r="O3738" s="3">
        <v>0.1</v>
      </c>
      <c r="P3738" s="3">
        <v>0.45000000000000007</v>
      </c>
      <c r="Q3738" s="3">
        <v>0.76271641254425004</v>
      </c>
    </row>
    <row r="3739" spans="1:17" x14ac:dyDescent="0.45">
      <c r="A3739" s="3">
        <v>16321</v>
      </c>
      <c r="B3739" t="b">
        <v>0</v>
      </c>
      <c r="C3739" t="b">
        <v>1</v>
      </c>
      <c r="D3739" s="3">
        <v>1490</v>
      </c>
      <c r="E3739" s="3">
        <v>1500</v>
      </c>
      <c r="F3739" t="s">
        <v>4359</v>
      </c>
      <c r="G3739" t="s">
        <v>75</v>
      </c>
      <c r="H3739" s="3">
        <v>48.749299999999998</v>
      </c>
      <c r="I3739" t="s">
        <v>1007</v>
      </c>
      <c r="J3739" t="s">
        <v>14207</v>
      </c>
      <c r="L3739" t="s">
        <v>4360</v>
      </c>
      <c r="M3739" t="str">
        <f>"https://www.artic.edu/iiif/2/"&amp;Table9[[#This Row],[Image ID]]&amp;"/full/843,/0/default.jpg"</f>
        <v>https://www.artic.edu/iiif/2/e8e1ca3a-ec2f-d27e-20ea-c13728bc8eca/full/843,/0/default.jpg</v>
      </c>
      <c r="N3739" s="3">
        <v>0.55000000000000004</v>
      </c>
      <c r="O3739" s="3">
        <v>0.1</v>
      </c>
      <c r="P3739" s="3">
        <v>0.45000000000000007</v>
      </c>
      <c r="Q3739" s="3">
        <v>0.82186204195022505</v>
      </c>
    </row>
    <row r="3740" spans="1:17" x14ac:dyDescent="0.45">
      <c r="A3740" s="3">
        <v>115581</v>
      </c>
      <c r="B3740" t="b">
        <v>0</v>
      </c>
      <c r="C3740" t="b">
        <v>1</v>
      </c>
      <c r="D3740" s="3">
        <v>1840</v>
      </c>
      <c r="E3740" s="3">
        <v>1850</v>
      </c>
      <c r="F3740" t="s">
        <v>2023</v>
      </c>
      <c r="G3740" t="s">
        <v>2024</v>
      </c>
      <c r="H3740" s="3">
        <v>40.0501</v>
      </c>
      <c r="I3740" t="s">
        <v>2025</v>
      </c>
      <c r="J3740" t="s">
        <v>14517</v>
      </c>
      <c r="L3740" t="s">
        <v>2026</v>
      </c>
      <c r="M3740" t="str">
        <f>"https://www.artic.edu/iiif/2/"&amp;Table9[[#This Row],[Image ID]]&amp;"/full/843,/0/default.jpg"</f>
        <v>https://www.artic.edu/iiif/2/fea92c75-7c1f-c268-d5f8-55e2f7c371f8/full/843,/0/default.jpg</v>
      </c>
      <c r="N3740" s="3">
        <v>0.67500000000000004</v>
      </c>
      <c r="O3740" s="3">
        <v>0.22500000000000001</v>
      </c>
      <c r="P3740" s="3">
        <v>0.45000000000000007</v>
      </c>
      <c r="Q3740" s="3">
        <v>0.50566303730010898</v>
      </c>
    </row>
    <row r="3741" spans="1:17" x14ac:dyDescent="0.45">
      <c r="A3741" s="3">
        <v>100226</v>
      </c>
      <c r="B3741" t="b">
        <v>0</v>
      </c>
      <c r="C3741" t="b">
        <v>0</v>
      </c>
      <c r="D3741" s="3">
        <v>1939</v>
      </c>
      <c r="E3741" s="3">
        <v>1939</v>
      </c>
      <c r="F3741" t="s">
        <v>48</v>
      </c>
      <c r="G3741" t="s">
        <v>7</v>
      </c>
      <c r="H3741" s="3">
        <v>60.017000000000003</v>
      </c>
      <c r="I3741" t="s">
        <v>49</v>
      </c>
      <c r="J3741" t="s">
        <v>11281</v>
      </c>
      <c r="L3741" t="s">
        <v>50</v>
      </c>
      <c r="M3741" t="str">
        <f>"https://www.artic.edu/iiif/2/"&amp;Table9[[#This Row],[Image ID]]&amp;"/full/843,/0/default.jpg"</f>
        <v>https://www.artic.edu/iiif/2/1693f1ff-40a4-e0e2-16cd-3d8d055dc266/full/843,/0/default.jpg</v>
      </c>
      <c r="N3741" s="3">
        <v>0.67500000000000004</v>
      </c>
      <c r="O3741" s="3">
        <v>0.22500000000000001</v>
      </c>
      <c r="P3741" s="3">
        <v>0.45000000000000007</v>
      </c>
      <c r="Q3741" s="3">
        <v>0.81540805101394598</v>
      </c>
    </row>
    <row r="3742" spans="1:17" x14ac:dyDescent="0.45">
      <c r="A3742" s="3">
        <v>113430</v>
      </c>
      <c r="B3742" t="b">
        <v>0</v>
      </c>
      <c r="C3742" t="b">
        <v>0</v>
      </c>
      <c r="D3742" s="3">
        <v>1910</v>
      </c>
      <c r="E3742" s="3">
        <v>1910</v>
      </c>
      <c r="F3742" t="s">
        <v>1432</v>
      </c>
      <c r="G3742" t="s">
        <v>1433</v>
      </c>
      <c r="H3742" s="3">
        <v>22.395</v>
      </c>
      <c r="I3742" t="s">
        <v>949</v>
      </c>
      <c r="J3742" t="s">
        <v>11364</v>
      </c>
      <c r="L3742" t="s">
        <v>1434</v>
      </c>
      <c r="M3742" t="str">
        <f>"https://www.artic.edu/iiif/2/"&amp;Table9[[#This Row],[Image ID]]&amp;"/full/843,/0/default.jpg"</f>
        <v>https://www.artic.edu/iiif/2/1ca1f71c-448c-997b-495b-7f4181ee636e/full/843,/0/default.jpg</v>
      </c>
      <c r="N3742" s="3">
        <v>0.55000000000000004</v>
      </c>
      <c r="O3742" s="3">
        <v>0.1</v>
      </c>
      <c r="P3742" s="3">
        <v>0.45000000000000007</v>
      </c>
      <c r="Q3742" s="3">
        <v>0.54339855909347501</v>
      </c>
    </row>
    <row r="3743" spans="1:17" x14ac:dyDescent="0.45">
      <c r="A3743" s="3">
        <v>47367</v>
      </c>
      <c r="B3743" t="b">
        <v>0</v>
      </c>
      <c r="C3743" t="b">
        <v>0</v>
      </c>
      <c r="D3743" s="3">
        <v>1942</v>
      </c>
      <c r="E3743" s="3">
        <v>1942</v>
      </c>
      <c r="F3743" t="s">
        <v>7943</v>
      </c>
      <c r="G3743" t="s">
        <v>7944</v>
      </c>
      <c r="H3743" s="3">
        <v>28.020299999999999</v>
      </c>
      <c r="I3743" t="s">
        <v>4064</v>
      </c>
      <c r="J3743" t="s">
        <v>11513</v>
      </c>
      <c r="L3743" t="s">
        <v>7945</v>
      </c>
      <c r="M3743" t="str">
        <f>"https://www.artic.edu/iiif/2/"&amp;Table9[[#This Row],[Image ID]]&amp;"/full/843,/0/default.jpg"</f>
        <v>https://www.artic.edu/iiif/2/260c6e72-4bd2-9e6c-efed-e464043b3923/full/843,/0/default.jpg</v>
      </c>
      <c r="N3743" s="3">
        <v>0.55000000000000004</v>
      </c>
      <c r="O3743" s="3">
        <v>0.1</v>
      </c>
      <c r="P3743" s="3">
        <v>0.45000000000000007</v>
      </c>
      <c r="Q3743" s="3">
        <v>0.51308703422546298</v>
      </c>
    </row>
    <row r="3744" spans="1:17" x14ac:dyDescent="0.45">
      <c r="A3744" s="3">
        <v>65987</v>
      </c>
      <c r="B3744" t="b">
        <v>0</v>
      </c>
      <c r="C3744" t="b">
        <v>0</v>
      </c>
      <c r="D3744" s="3">
        <v>1923</v>
      </c>
      <c r="E3744" s="3">
        <v>1923</v>
      </c>
      <c r="F3744" t="s">
        <v>9136</v>
      </c>
      <c r="G3744" t="s">
        <v>9137</v>
      </c>
      <c r="H3744" s="3">
        <v>33.472499999999997</v>
      </c>
      <c r="I3744" t="s">
        <v>949</v>
      </c>
      <c r="J3744" t="s">
        <v>11549</v>
      </c>
      <c r="L3744" t="s">
        <v>9138</v>
      </c>
      <c r="M3744" t="str">
        <f>"https://www.artic.edu/iiif/2/"&amp;Table9[[#This Row],[Image ID]]&amp;"/full/843,/0/default.jpg"</f>
        <v>https://www.artic.edu/iiif/2/27b91b22-d451-ec2e-f6a5-9e345e765b9a/full/843,/0/default.jpg</v>
      </c>
      <c r="N3744" s="3">
        <v>0.55000000000000004</v>
      </c>
      <c r="O3744" s="3">
        <v>0.1</v>
      </c>
      <c r="P3744" s="3">
        <v>0.45000000000000007</v>
      </c>
      <c r="Q3744" s="3">
        <v>0.75924044847488403</v>
      </c>
    </row>
    <row r="3745" spans="1:17" x14ac:dyDescent="0.45">
      <c r="A3745" s="3">
        <v>65975</v>
      </c>
      <c r="B3745" t="b">
        <v>0</v>
      </c>
      <c r="C3745" t="b">
        <v>0</v>
      </c>
      <c r="D3745" s="3">
        <v>1921</v>
      </c>
      <c r="E3745" s="3">
        <v>1921</v>
      </c>
      <c r="F3745" t="s">
        <v>9130</v>
      </c>
      <c r="G3745" t="s">
        <v>9131</v>
      </c>
      <c r="H3745" s="3">
        <v>34.886600000000001</v>
      </c>
      <c r="I3745" t="s">
        <v>949</v>
      </c>
      <c r="J3745" t="s">
        <v>11811</v>
      </c>
      <c r="L3745" t="s">
        <v>9132</v>
      </c>
      <c r="M3745" t="str">
        <f>"https://www.artic.edu/iiif/2/"&amp;Table9[[#This Row],[Image ID]]&amp;"/full/843,/0/default.jpg"</f>
        <v>https://www.artic.edu/iiif/2/396bb5ff-0407-0293-54b8-ff428e919e98/full/843,/0/default.jpg</v>
      </c>
      <c r="N3745" s="3">
        <v>0.55000000000000004</v>
      </c>
      <c r="O3745" s="3">
        <v>0.1</v>
      </c>
      <c r="P3745" s="3">
        <v>0.45000000000000007</v>
      </c>
      <c r="Q3745" s="3">
        <v>0.65046733617782504</v>
      </c>
    </row>
    <row r="3746" spans="1:17" x14ac:dyDescent="0.45">
      <c r="A3746" s="3">
        <v>109529</v>
      </c>
      <c r="B3746" t="b">
        <v>0</v>
      </c>
      <c r="C3746" t="b">
        <v>0</v>
      </c>
      <c r="D3746" s="3">
        <v>1920</v>
      </c>
      <c r="E3746" s="3">
        <v>1923</v>
      </c>
      <c r="F3746" t="s">
        <v>821</v>
      </c>
      <c r="G3746" t="s">
        <v>7</v>
      </c>
      <c r="H3746" s="3">
        <v>37.616700000000002</v>
      </c>
      <c r="I3746" t="s">
        <v>822</v>
      </c>
      <c r="J3746" t="s">
        <v>12242</v>
      </c>
      <c r="L3746" t="s">
        <v>823</v>
      </c>
      <c r="M3746" t="str">
        <f>"https://www.artic.edu/iiif/2/"&amp;Table9[[#This Row],[Image ID]]&amp;"/full/843,/0/default.jpg"</f>
        <v>https://www.artic.edu/iiif/2/567b2141-2556-c195-01fe-b47c6d1a63dc/full/843,/0/default.jpg</v>
      </c>
      <c r="N3746" s="3">
        <v>0.55000000000000004</v>
      </c>
      <c r="O3746" s="3">
        <v>0.1</v>
      </c>
      <c r="P3746" s="3">
        <v>0.45000000000000007</v>
      </c>
      <c r="Q3746" s="3">
        <v>0.73154938220977705</v>
      </c>
    </row>
    <row r="3747" spans="1:17" x14ac:dyDescent="0.45">
      <c r="A3747" s="3">
        <v>217444</v>
      </c>
      <c r="B3747" t="b">
        <v>0</v>
      </c>
      <c r="C3747" t="b">
        <v>0</v>
      </c>
      <c r="D3747" s="3">
        <v>1902</v>
      </c>
      <c r="E3747" s="3">
        <v>1966</v>
      </c>
      <c r="F3747" t="s">
        <v>11</v>
      </c>
      <c r="G3747" t="s">
        <v>5695</v>
      </c>
      <c r="H3747" s="3">
        <v>30.065200000000001</v>
      </c>
      <c r="I3747" t="s">
        <v>2403</v>
      </c>
      <c r="J3747" t="s">
        <v>12120</v>
      </c>
      <c r="L3747" t="s">
        <v>5696</v>
      </c>
      <c r="M3747" t="str">
        <f>"https://www.artic.edu/iiif/2/"&amp;Table9[[#This Row],[Image ID]]&amp;"/full/843,/0/default.jpg"</f>
        <v>https://www.artic.edu/iiif/2/9157298c-a74a-351d-ba7f-4a52aeb79c39/full/843,/0/default.jpg</v>
      </c>
      <c r="N3747" s="3">
        <v>0.55000000000000004</v>
      </c>
      <c r="O3747" s="3">
        <v>0.1</v>
      </c>
      <c r="P3747" s="3">
        <v>0.45000000000000007</v>
      </c>
      <c r="Q3747" s="3">
        <v>0.68058836460113503</v>
      </c>
    </row>
    <row r="3748" spans="1:17" x14ac:dyDescent="0.45">
      <c r="A3748" s="3">
        <v>14746</v>
      </c>
      <c r="B3748" t="b">
        <v>0</v>
      </c>
      <c r="C3748" t="b">
        <v>0</v>
      </c>
      <c r="D3748" s="3">
        <v>1919</v>
      </c>
      <c r="E3748" s="3">
        <v>1929</v>
      </c>
      <c r="F3748" t="s">
        <v>3617</v>
      </c>
      <c r="G3748" t="s">
        <v>3618</v>
      </c>
      <c r="H3748" s="3">
        <v>22.782599999999999</v>
      </c>
      <c r="I3748" t="s">
        <v>1068</v>
      </c>
      <c r="J3748" t="s">
        <v>13273</v>
      </c>
      <c r="L3748" t="s">
        <v>3619</v>
      </c>
      <c r="M3748" t="str">
        <f>"https://www.artic.edu/iiif/2/"&amp;Table9[[#This Row],[Image ID]]&amp;"/full/843,/0/default.jpg"</f>
        <v>https://www.artic.edu/iiif/2/a2ef4a66-18fb-8298-cc97-ce1a6ebadf2f/full/843,/0/default.jpg</v>
      </c>
      <c r="N3748" s="3">
        <v>0.55000000000000004</v>
      </c>
      <c r="O3748" s="3">
        <v>0.1</v>
      </c>
      <c r="P3748" s="3">
        <v>0.45000000000000007</v>
      </c>
      <c r="Q3748" s="3">
        <v>0.60260510444641102</v>
      </c>
    </row>
    <row r="3749" spans="1:17" x14ac:dyDescent="0.45">
      <c r="A3749" s="3">
        <v>93434</v>
      </c>
      <c r="B3749" t="b">
        <v>0</v>
      </c>
      <c r="C3749" t="b">
        <v>0</v>
      </c>
      <c r="D3749" s="3">
        <v>1898</v>
      </c>
      <c r="E3749" s="3">
        <v>1898</v>
      </c>
      <c r="F3749" t="s">
        <v>10590</v>
      </c>
      <c r="G3749" t="s">
        <v>7</v>
      </c>
      <c r="H3749" s="3">
        <v>36.346299999999999</v>
      </c>
      <c r="I3749" t="s">
        <v>288</v>
      </c>
      <c r="J3749" t="s">
        <v>13379</v>
      </c>
      <c r="L3749" t="s">
        <v>10591</v>
      </c>
      <c r="M3749" t="str">
        <f>"https://www.artic.edu/iiif/2/"&amp;Table9[[#This Row],[Image ID]]&amp;"/full/843,/0/default.jpg"</f>
        <v>https://www.artic.edu/iiif/2/aa679e42-feeb-3036-f722-8a4b10423bfd/full/843,/0/default.jpg</v>
      </c>
      <c r="N3749" s="3">
        <v>0.55000000000000004</v>
      </c>
      <c r="O3749" s="3">
        <v>0.1</v>
      </c>
      <c r="P3749" s="3">
        <v>0.45000000000000007</v>
      </c>
      <c r="Q3749" s="3">
        <v>0.441520005464553</v>
      </c>
    </row>
    <row r="3750" spans="1:17" x14ac:dyDescent="0.45">
      <c r="A3750" s="3">
        <v>151147</v>
      </c>
      <c r="B3750" t="b">
        <v>0</v>
      </c>
      <c r="C3750" t="b">
        <v>1</v>
      </c>
      <c r="D3750" s="3">
        <v>1801</v>
      </c>
      <c r="E3750" s="3">
        <v>1845</v>
      </c>
      <c r="F3750" t="s">
        <v>3821</v>
      </c>
      <c r="G3750" t="s">
        <v>3822</v>
      </c>
      <c r="H3750" s="3">
        <v>28.291</v>
      </c>
      <c r="I3750" t="s">
        <v>3823</v>
      </c>
      <c r="J3750" t="s">
        <v>10995</v>
      </c>
      <c r="L3750" t="s">
        <v>3824</v>
      </c>
      <c r="M3750" t="str">
        <f>"https://www.artic.edu/iiif/2/"&amp;Table9[[#This Row],[Image ID]]&amp;"/full/843,/0/default.jpg"</f>
        <v>https://www.artic.edu/iiif/2/0205ab11-2d3c-bc16-6ec3-c7faeb2e7665/full/843,/0/default.jpg</v>
      </c>
      <c r="N3750" s="3">
        <v>0.77500000000000002</v>
      </c>
      <c r="O3750" s="3">
        <v>0.32500000000000001</v>
      </c>
      <c r="P3750" s="3">
        <v>0.45</v>
      </c>
      <c r="Q3750" s="3">
        <v>0.53093224763870195</v>
      </c>
    </row>
    <row r="3751" spans="1:17" x14ac:dyDescent="0.45">
      <c r="A3751" s="3">
        <v>79037</v>
      </c>
      <c r="B3751" t="b">
        <v>0</v>
      </c>
      <c r="C3751" t="b">
        <v>1</v>
      </c>
      <c r="D3751" s="3">
        <v>1770</v>
      </c>
      <c r="E3751" s="3">
        <v>1780</v>
      </c>
      <c r="F3751" t="s">
        <v>9865</v>
      </c>
      <c r="G3751" t="s">
        <v>7</v>
      </c>
      <c r="H3751" s="3">
        <v>29.914400000000001</v>
      </c>
      <c r="I3751" t="s">
        <v>9866</v>
      </c>
      <c r="J3751" t="s">
        <v>11840</v>
      </c>
      <c r="L3751" t="s">
        <v>9867</v>
      </c>
      <c r="M3751" t="str">
        <f>"https://www.artic.edu/iiif/2/"&amp;Table9[[#This Row],[Image ID]]&amp;"/full/843,/0/default.jpg"</f>
        <v>https://www.artic.edu/iiif/2/3b07d318-3be1-4e9a-e4ae-05700abcbc5b/full/843,/0/default.jpg</v>
      </c>
      <c r="N3751" s="3">
        <v>0.65</v>
      </c>
      <c r="O3751" s="3">
        <v>0.2</v>
      </c>
      <c r="P3751" s="3">
        <v>0.45</v>
      </c>
      <c r="Q3751" s="3">
        <v>0.47820156812667802</v>
      </c>
    </row>
    <row r="3752" spans="1:17" x14ac:dyDescent="0.45">
      <c r="A3752" s="3">
        <v>6005</v>
      </c>
      <c r="B3752" t="b">
        <v>0</v>
      </c>
      <c r="C3752" t="b">
        <v>1</v>
      </c>
      <c r="D3752" s="3">
        <v>1866</v>
      </c>
      <c r="E3752" s="3">
        <v>1866</v>
      </c>
      <c r="F3752" t="s">
        <v>8681</v>
      </c>
      <c r="G3752" t="s">
        <v>7</v>
      </c>
      <c r="H3752" s="3">
        <v>14.2309</v>
      </c>
      <c r="I3752" t="s">
        <v>288</v>
      </c>
      <c r="J3752" t="s">
        <v>11878</v>
      </c>
      <c r="K3752" s="5" t="s">
        <v>9</v>
      </c>
      <c r="L3752" t="s">
        <v>8682</v>
      </c>
      <c r="M3752" t="str">
        <f>"https://www.artic.edu/iiif/2/"&amp;Table9[[#This Row],[Image ID]]&amp;"/full/843,/0/default.jpg"</f>
        <v>https://www.artic.edu/iiif/2/3d950ecc-73f4-c28a-f216-0940b23fa5e8/full/843,/0/default.jpg</v>
      </c>
      <c r="N3752" s="3">
        <v>0.5</v>
      </c>
      <c r="O3752" s="3">
        <v>0.05</v>
      </c>
      <c r="P3752" s="3">
        <v>0.45</v>
      </c>
      <c r="Q3752" s="3">
        <v>0.58876234292983998</v>
      </c>
    </row>
    <row r="3753" spans="1:17" x14ac:dyDescent="0.45">
      <c r="A3753" s="3">
        <v>115876</v>
      </c>
      <c r="B3753" t="b">
        <v>0</v>
      </c>
      <c r="C3753" t="b">
        <v>1</v>
      </c>
      <c r="D3753" s="3">
        <v>1815</v>
      </c>
      <c r="E3753" s="3">
        <v>1867</v>
      </c>
      <c r="F3753" t="s">
        <v>2137</v>
      </c>
      <c r="G3753" t="s">
        <v>2138</v>
      </c>
      <c r="H3753" s="3">
        <v>22.463999999999999</v>
      </c>
      <c r="I3753" t="s">
        <v>2139</v>
      </c>
      <c r="J3753" t="s">
        <v>2141</v>
      </c>
      <c r="L3753" t="s">
        <v>2140</v>
      </c>
      <c r="M3753" t="str">
        <f>"https://www.artic.edu/iiif/2/"&amp;Table9[[#This Row],[Image ID]]&amp;"/full/843,/0/default.jpg"</f>
        <v>https://www.artic.edu/iiif/2/4a689535-3780-3ab3-b50b-6b00fe41f970/full/843,/0/default.jpg</v>
      </c>
      <c r="N3753" s="3">
        <v>0.625</v>
      </c>
      <c r="O3753" s="3">
        <v>0.17499999999999999</v>
      </c>
      <c r="P3753" s="3">
        <v>0.45</v>
      </c>
      <c r="Q3753" s="3">
        <v>0.60562187433242798</v>
      </c>
    </row>
    <row r="3754" spans="1:17" x14ac:dyDescent="0.45">
      <c r="A3754" s="3">
        <v>21783</v>
      </c>
      <c r="B3754" t="b">
        <v>0</v>
      </c>
      <c r="C3754" t="b">
        <v>1</v>
      </c>
      <c r="D3754" s="3">
        <v>1776</v>
      </c>
      <c r="E3754" s="3">
        <v>1827</v>
      </c>
      <c r="F3754" t="s">
        <v>5753</v>
      </c>
      <c r="G3754" t="s">
        <v>5754</v>
      </c>
      <c r="H3754" s="3">
        <v>18.173999999999999</v>
      </c>
      <c r="I3754" t="s">
        <v>1266</v>
      </c>
      <c r="J3754" t="s">
        <v>12061</v>
      </c>
      <c r="L3754" t="s">
        <v>5755</v>
      </c>
      <c r="M3754" t="str">
        <f>"https://www.artic.edu/iiif/2/"&amp;Table9[[#This Row],[Image ID]]&amp;"/full/843,/0/default.jpg"</f>
        <v>https://www.artic.edu/iiif/2/4a7690ef-e612-56b5-1323-e055063008d0/full/843,/0/default.jpg</v>
      </c>
      <c r="N3754" s="3">
        <v>0.77500000000000002</v>
      </c>
      <c r="O3754" s="3">
        <v>0.32500000000000001</v>
      </c>
      <c r="P3754" s="3">
        <v>0.45</v>
      </c>
      <c r="Q3754" s="3">
        <v>0.63623988628387396</v>
      </c>
    </row>
    <row r="3755" spans="1:17" x14ac:dyDescent="0.45">
      <c r="A3755" s="3">
        <v>16502</v>
      </c>
      <c r="B3755" t="b">
        <v>0</v>
      </c>
      <c r="C3755" t="b">
        <v>1</v>
      </c>
      <c r="D3755" s="3">
        <v>1895</v>
      </c>
      <c r="E3755" s="3">
        <v>1905</v>
      </c>
      <c r="F3755" t="s">
        <v>4462</v>
      </c>
      <c r="G3755" t="s">
        <v>7</v>
      </c>
      <c r="H3755" s="3">
        <v>0</v>
      </c>
      <c r="I3755" t="s">
        <v>3459</v>
      </c>
      <c r="J3755" t="s">
        <v>13262</v>
      </c>
      <c r="L3755" t="s">
        <v>4463</v>
      </c>
      <c r="M3755" t="str">
        <f>"https://www.artic.edu/iiif/2/"&amp;Table9[[#This Row],[Image ID]]&amp;"/full/843,/0/default.jpg"</f>
        <v>https://www.artic.edu/iiif/2/a27aba90-d164-9add-4021-c4921211a8ae/full/843,/0/default.jpg</v>
      </c>
      <c r="N3755" s="3">
        <v>0.52500000000000002</v>
      </c>
      <c r="O3755" s="3">
        <v>7.4999999999999997E-2</v>
      </c>
      <c r="P3755" s="3">
        <v>0.45</v>
      </c>
      <c r="Q3755" s="3">
        <v>0.54700988531112604</v>
      </c>
    </row>
    <row r="3756" spans="1:17" x14ac:dyDescent="0.45">
      <c r="A3756" s="3">
        <v>21730</v>
      </c>
      <c r="B3756" t="b">
        <v>0</v>
      </c>
      <c r="C3756" t="b">
        <v>1</v>
      </c>
      <c r="D3756" s="3">
        <v>1776</v>
      </c>
      <c r="E3756" s="3">
        <v>1827</v>
      </c>
      <c r="F3756" t="s">
        <v>138</v>
      </c>
      <c r="G3756" t="s">
        <v>785</v>
      </c>
      <c r="H3756" s="3">
        <v>20.7211</v>
      </c>
      <c r="I3756" t="s">
        <v>1266</v>
      </c>
      <c r="J3756" t="s">
        <v>13490</v>
      </c>
      <c r="L3756" t="s">
        <v>5675</v>
      </c>
      <c r="M3756" t="str">
        <f>"https://www.artic.edu/iiif/2/"&amp;Table9[[#This Row],[Image ID]]&amp;"/full/843,/0/default.jpg"</f>
        <v>https://www.artic.edu/iiif/2/b2fd6a58-022e-4c80-8851-07e940f73cc7/full/843,/0/default.jpg</v>
      </c>
      <c r="N3756" s="3">
        <v>0.65</v>
      </c>
      <c r="O3756" s="3">
        <v>0.2</v>
      </c>
      <c r="P3756" s="3">
        <v>0.45</v>
      </c>
      <c r="Q3756" s="3">
        <v>0.572090864181518</v>
      </c>
    </row>
    <row r="3757" spans="1:17" x14ac:dyDescent="0.45">
      <c r="A3757" s="3">
        <v>41033</v>
      </c>
      <c r="B3757" t="b">
        <v>0</v>
      </c>
      <c r="C3757" t="b">
        <v>1</v>
      </c>
      <c r="D3757" s="3">
        <v>1898</v>
      </c>
      <c r="E3757" s="3">
        <v>1898</v>
      </c>
      <c r="F3757" t="s">
        <v>7679</v>
      </c>
      <c r="G3757" t="s">
        <v>7680</v>
      </c>
      <c r="H3757" s="3">
        <v>20.155899999999999</v>
      </c>
      <c r="I3757" t="s">
        <v>7681</v>
      </c>
      <c r="J3757" t="s">
        <v>14008</v>
      </c>
      <c r="L3757" t="s">
        <v>7682</v>
      </c>
      <c r="M3757" t="str">
        <f>"https://www.artic.edu/iiif/2/"&amp;Table9[[#This Row],[Image ID]]&amp;"/full/843,/0/default.jpg"</f>
        <v>https://www.artic.edu/iiif/2/dbfcdaa8-ce31-febb-3960-9b38c6ad7b41/full/843,/0/default.jpg</v>
      </c>
      <c r="N3757" s="3">
        <v>0.75</v>
      </c>
      <c r="O3757" s="3">
        <v>0.3</v>
      </c>
      <c r="P3757" s="3">
        <v>0.45</v>
      </c>
      <c r="Q3757" s="3">
        <v>0.78264045715331998</v>
      </c>
    </row>
    <row r="3758" spans="1:17" x14ac:dyDescent="0.45">
      <c r="A3758" s="3">
        <v>111625</v>
      </c>
      <c r="B3758" t="b">
        <v>0</v>
      </c>
      <c r="C3758" t="b">
        <v>1</v>
      </c>
      <c r="D3758" s="3">
        <v>1866</v>
      </c>
      <c r="E3758" s="3">
        <v>1876</v>
      </c>
      <c r="F3758" t="s">
        <v>1160</v>
      </c>
      <c r="G3758" t="s">
        <v>249</v>
      </c>
      <c r="H3758" s="3">
        <v>27.405000000000001</v>
      </c>
      <c r="I3758" t="s">
        <v>99</v>
      </c>
      <c r="J3758" t="s">
        <v>14261</v>
      </c>
      <c r="L3758" t="s">
        <v>1161</v>
      </c>
      <c r="M3758" t="str">
        <f>"https://www.artic.edu/iiif/2/"&amp;Table9[[#This Row],[Image ID]]&amp;"/full/843,/0/default.jpg"</f>
        <v>https://www.artic.edu/iiif/2/ec823db9-a595-31d3-c499-ac921af10495/full/843,/0/default.jpg</v>
      </c>
      <c r="N3758" s="3">
        <v>0.52500000000000002</v>
      </c>
      <c r="O3758" s="3">
        <v>7.4999999999999997E-2</v>
      </c>
      <c r="P3758" s="3">
        <v>0.45</v>
      </c>
      <c r="Q3758" s="3">
        <v>0.72256565093994096</v>
      </c>
    </row>
    <row r="3759" spans="1:17" x14ac:dyDescent="0.45">
      <c r="A3759" s="3">
        <v>69137</v>
      </c>
      <c r="B3759" t="b">
        <v>0</v>
      </c>
      <c r="C3759" t="b">
        <v>1</v>
      </c>
      <c r="D3759" s="3">
        <v>1801</v>
      </c>
      <c r="E3759" s="3">
        <v>1900</v>
      </c>
      <c r="F3759" t="s">
        <v>9381</v>
      </c>
      <c r="G3759" t="s">
        <v>93</v>
      </c>
      <c r="H3759" s="3">
        <v>28.534700000000001</v>
      </c>
      <c r="I3759" t="s">
        <v>309</v>
      </c>
      <c r="J3759" t="s">
        <v>14301</v>
      </c>
      <c r="L3759" t="s">
        <v>9382</v>
      </c>
      <c r="M3759" t="str">
        <f>"https://www.artic.edu/iiif/2/"&amp;Table9[[#This Row],[Image ID]]&amp;"/full/843,/0/default.jpg"</f>
        <v>https://www.artic.edu/iiif/2/ef2f5040-c247-bc8a-5d06-431c09fbafd5/full/843,/0/default.jpg</v>
      </c>
      <c r="N3759" s="3">
        <v>0.625</v>
      </c>
      <c r="O3759" s="3">
        <v>0.17499999999999999</v>
      </c>
      <c r="P3759" s="3">
        <v>0.45</v>
      </c>
      <c r="Q3759" s="3">
        <v>0.62527716159820501</v>
      </c>
    </row>
    <row r="3760" spans="1:17" x14ac:dyDescent="0.45">
      <c r="A3760" s="3">
        <v>113690</v>
      </c>
      <c r="B3760" t="b">
        <v>0</v>
      </c>
      <c r="C3760" t="b">
        <v>0</v>
      </c>
      <c r="D3760" s="3">
        <v>1943</v>
      </c>
      <c r="E3760" s="3">
        <v>1945</v>
      </c>
      <c r="F3760" t="s">
        <v>562</v>
      </c>
      <c r="G3760" t="s">
        <v>1483</v>
      </c>
      <c r="H3760" s="3">
        <v>32.197499999999998</v>
      </c>
      <c r="I3760" t="s">
        <v>563</v>
      </c>
      <c r="J3760" t="s">
        <v>11112</v>
      </c>
      <c r="L3760" t="s">
        <v>1484</v>
      </c>
      <c r="M3760" t="str">
        <f>"https://www.artic.edu/iiif/2/"&amp;Table9[[#This Row],[Image ID]]&amp;"/full/843,/0/default.jpg"</f>
        <v>https://www.artic.edu/iiif/2/09a5306f-040e-3fe8-ee37-b660582891cd/full/843,/0/default.jpg</v>
      </c>
      <c r="N3760" s="3">
        <v>0.5</v>
      </c>
      <c r="O3760" s="3">
        <v>0.05</v>
      </c>
      <c r="P3760" s="3">
        <v>0.45</v>
      </c>
      <c r="Q3760" s="3">
        <v>0.48948037624359098</v>
      </c>
    </row>
    <row r="3761" spans="1:17" x14ac:dyDescent="0.45">
      <c r="A3761" s="3">
        <v>69424</v>
      </c>
      <c r="B3761" t="b">
        <v>0</v>
      </c>
      <c r="C3761" t="b">
        <v>0</v>
      </c>
      <c r="D3761" s="3">
        <v>1986</v>
      </c>
      <c r="E3761" s="3">
        <v>1986</v>
      </c>
      <c r="F3761" t="s">
        <v>9397</v>
      </c>
      <c r="G3761" t="s">
        <v>7</v>
      </c>
      <c r="H3761" s="3">
        <v>33.670099999999998</v>
      </c>
      <c r="I3761" t="s">
        <v>4682</v>
      </c>
      <c r="J3761" t="s">
        <v>11997</v>
      </c>
      <c r="L3761" t="s">
        <v>9398</v>
      </c>
      <c r="M3761" t="str">
        <f>"https://www.artic.edu/iiif/2/"&amp;Table9[[#This Row],[Image ID]]&amp;"/full/843,/0/default.jpg"</f>
        <v>https://www.artic.edu/iiif/2/450f9bca-cf80-f3e4-1340-906f33c43bd8/full/843,/0/default.jpg</v>
      </c>
      <c r="N3761" s="3">
        <v>0.5</v>
      </c>
      <c r="O3761" s="3">
        <v>0.05</v>
      </c>
      <c r="P3761" s="3">
        <v>0.45</v>
      </c>
      <c r="Q3761" s="3">
        <v>0.73685669898986805</v>
      </c>
    </row>
    <row r="3762" spans="1:17" x14ac:dyDescent="0.45">
      <c r="A3762" s="3">
        <v>96543</v>
      </c>
      <c r="B3762" t="b">
        <v>0</v>
      </c>
      <c r="C3762" t="b">
        <v>0</v>
      </c>
      <c r="D3762" s="3">
        <v>1944</v>
      </c>
      <c r="E3762" s="3">
        <v>1944</v>
      </c>
      <c r="F3762" t="s">
        <v>1397</v>
      </c>
      <c r="G3762" t="s">
        <v>7</v>
      </c>
      <c r="H3762" s="3">
        <v>0</v>
      </c>
      <c r="I3762" t="s">
        <v>2393</v>
      </c>
      <c r="J3762" t="s">
        <v>12060</v>
      </c>
      <c r="L3762" t="s">
        <v>10792</v>
      </c>
      <c r="M3762" t="str">
        <f>"https://www.artic.edu/iiif/2/"&amp;Table9[[#This Row],[Image ID]]&amp;"/full/843,/0/default.jpg"</f>
        <v>https://www.artic.edu/iiif/2/4a6139da-d54f-d2dc-a727-04f725151716/full/843,/0/default.jpg</v>
      </c>
      <c r="N3762" s="3">
        <v>0.52500000000000002</v>
      </c>
      <c r="O3762" s="3">
        <v>7.4999999999999997E-2</v>
      </c>
      <c r="P3762" s="3">
        <v>0.45</v>
      </c>
      <c r="Q3762" s="3">
        <v>0.74350273609161299</v>
      </c>
    </row>
    <row r="3763" spans="1:17" x14ac:dyDescent="0.45">
      <c r="A3763" s="3">
        <v>236424</v>
      </c>
      <c r="B3763" t="b">
        <v>0</v>
      </c>
      <c r="C3763" t="b">
        <v>0</v>
      </c>
      <c r="D3763" s="3">
        <v>2013</v>
      </c>
      <c r="E3763" s="3">
        <v>2013</v>
      </c>
      <c r="F3763" t="s">
        <v>6258</v>
      </c>
      <c r="G3763" t="s">
        <v>6259</v>
      </c>
      <c r="H3763" s="3">
        <v>64.3202</v>
      </c>
      <c r="I3763" t="s">
        <v>2287</v>
      </c>
      <c r="J3763" t="s">
        <v>12791</v>
      </c>
      <c r="K3763" s="5" t="s">
        <v>15</v>
      </c>
      <c r="L3763" t="s">
        <v>6260</v>
      </c>
      <c r="M3763" t="str">
        <f>"https://www.artic.edu/iiif/2/"&amp;Table9[[#This Row],[Image ID]]&amp;"/full/843,/0/default.jpg"</f>
        <v>https://www.artic.edu/iiif/2/7e5a2407-9b5a-df95-acc5-393d6248805a/full/843,/0/default.jpg</v>
      </c>
      <c r="N3763" s="3">
        <v>0.52500000000000002</v>
      </c>
      <c r="O3763" s="3">
        <v>7.4999999999999997E-2</v>
      </c>
      <c r="P3763" s="3">
        <v>0.45</v>
      </c>
      <c r="Q3763" s="3">
        <v>0.67227613925933805</v>
      </c>
    </row>
    <row r="3764" spans="1:17" x14ac:dyDescent="0.45">
      <c r="A3764" s="3">
        <v>65948</v>
      </c>
      <c r="B3764" t="b">
        <v>0</v>
      </c>
      <c r="C3764" t="b">
        <v>0</v>
      </c>
      <c r="D3764" s="3">
        <v>1908</v>
      </c>
      <c r="E3764" s="3">
        <v>1908</v>
      </c>
      <c r="F3764" t="s">
        <v>9110</v>
      </c>
      <c r="G3764" t="s">
        <v>9111</v>
      </c>
      <c r="H3764" s="3">
        <v>23.796900000000001</v>
      </c>
      <c r="I3764" t="s">
        <v>949</v>
      </c>
      <c r="J3764" t="s">
        <v>13393</v>
      </c>
      <c r="L3764" t="s">
        <v>9112</v>
      </c>
      <c r="M3764" t="str">
        <f>"https://www.artic.edu/iiif/2/"&amp;Table9[[#This Row],[Image ID]]&amp;"/full/843,/0/default.jpg"</f>
        <v>https://www.artic.edu/iiif/2/abde16ff-e842-2c83-b3b7-7f48192b6593/full/843,/0/default.jpg</v>
      </c>
      <c r="N3764" s="3">
        <v>0.52500000000000002</v>
      </c>
      <c r="O3764" s="3">
        <v>7.4999999999999997E-2</v>
      </c>
      <c r="P3764" s="3">
        <v>0.45</v>
      </c>
      <c r="Q3764" s="3">
        <v>0.59890592098235995</v>
      </c>
    </row>
    <row r="3765" spans="1:17" x14ac:dyDescent="0.45">
      <c r="A3765" s="3">
        <v>23643</v>
      </c>
      <c r="B3765" t="b">
        <v>0</v>
      </c>
      <c r="C3765" t="b">
        <v>0</v>
      </c>
      <c r="D3765" s="3">
        <v>1926</v>
      </c>
      <c r="E3765" s="3">
        <v>1926</v>
      </c>
      <c r="F3765" t="s">
        <v>6261</v>
      </c>
      <c r="G3765" t="s">
        <v>7</v>
      </c>
      <c r="H3765" s="3">
        <v>25.9755</v>
      </c>
      <c r="I3765" t="s">
        <v>6262</v>
      </c>
      <c r="J3765" t="s">
        <v>13619</v>
      </c>
      <c r="L3765" t="s">
        <v>6263</v>
      </c>
      <c r="M3765" t="str">
        <f>"https://www.artic.edu/iiif/2/"&amp;Table9[[#This Row],[Image ID]]&amp;"/full/843,/0/default.jpg"</f>
        <v>https://www.artic.edu/iiif/2/bdd11ec2-6566-0d64-dadf-8d1865d93ca3/full/843,/0/default.jpg</v>
      </c>
      <c r="N3765" s="3">
        <v>0.5</v>
      </c>
      <c r="O3765" s="3">
        <v>0.05</v>
      </c>
      <c r="P3765" s="3">
        <v>0.45</v>
      </c>
      <c r="Q3765" s="3">
        <v>0.59651023149490301</v>
      </c>
    </row>
    <row r="3766" spans="1:17" x14ac:dyDescent="0.45">
      <c r="A3766" s="3">
        <v>254887</v>
      </c>
      <c r="B3766" t="b">
        <v>0</v>
      </c>
      <c r="C3766" t="b">
        <v>0</v>
      </c>
      <c r="F3766" t="s">
        <v>6519</v>
      </c>
      <c r="G3766" t="s">
        <v>24</v>
      </c>
      <c r="H3766" s="3">
        <v>0</v>
      </c>
      <c r="I3766" t="s">
        <v>6383</v>
      </c>
      <c r="J3766" t="s">
        <v>11967</v>
      </c>
      <c r="L3766" t="s">
        <v>6520</v>
      </c>
      <c r="M3766" t="str">
        <f>"https://www.artic.edu/iiif/2/"&amp;Table9[[#This Row],[Image ID]]&amp;"/full/843,/0/default.jpg"</f>
        <v>https://www.artic.edu/iiif/2/f91929d8-c766-89cd-5bc4-8dde360373e5/full/843,/0/default.jpg</v>
      </c>
      <c r="N3766" s="3">
        <v>0.5</v>
      </c>
      <c r="O3766" s="3">
        <v>0.05</v>
      </c>
      <c r="P3766" s="3">
        <v>0.45</v>
      </c>
      <c r="Q3766" s="3">
        <v>0.86556363105773904</v>
      </c>
    </row>
    <row r="3767" spans="1:17" x14ac:dyDescent="0.45">
      <c r="A3767" s="3">
        <v>44829</v>
      </c>
      <c r="B3767" t="b">
        <v>0</v>
      </c>
      <c r="C3767" t="b">
        <v>1</v>
      </c>
      <c r="D3767" s="3">
        <v>1663</v>
      </c>
      <c r="E3767" s="3">
        <v>1665</v>
      </c>
      <c r="F3767" t="s">
        <v>7797</v>
      </c>
      <c r="G3767" t="s">
        <v>7</v>
      </c>
      <c r="H3767" s="3">
        <v>22.8489</v>
      </c>
      <c r="I3767" t="s">
        <v>1123</v>
      </c>
      <c r="J3767" t="s">
        <v>11201</v>
      </c>
      <c r="L3767" t="s">
        <v>7798</v>
      </c>
      <c r="M3767" t="str">
        <f>"https://www.artic.edu/iiif/2/"&amp;Table9[[#This Row],[Image ID]]&amp;"/full/843,/0/default.jpg"</f>
        <v>https://www.artic.edu/iiif/2/118eacd7-3e92-a96d-7b0e-160eb0c0bf20/full/843,/0/default.jpg</v>
      </c>
      <c r="N3767" s="3">
        <v>0.6</v>
      </c>
      <c r="O3767" s="3">
        <v>0.15</v>
      </c>
      <c r="P3767" s="3">
        <v>0.44999999999999996</v>
      </c>
      <c r="Q3767" s="3">
        <v>0.60473448038101196</v>
      </c>
    </row>
    <row r="3768" spans="1:17" x14ac:dyDescent="0.45">
      <c r="A3768" s="3">
        <v>183372</v>
      </c>
      <c r="B3768" t="b">
        <v>0</v>
      </c>
      <c r="C3768" t="b">
        <v>1</v>
      </c>
      <c r="D3768" s="3">
        <v>1670</v>
      </c>
      <c r="E3768" s="3">
        <v>1685</v>
      </c>
      <c r="F3768" t="s">
        <v>4785</v>
      </c>
      <c r="G3768" t="s">
        <v>723</v>
      </c>
      <c r="H3768" s="3">
        <v>71.997</v>
      </c>
      <c r="J3768" t="s">
        <v>11344</v>
      </c>
      <c r="K3768" s="5" t="s">
        <v>4</v>
      </c>
      <c r="L3768" t="s">
        <v>4786</v>
      </c>
      <c r="M3768" t="str">
        <f>"https://www.artic.edu/iiif/2/"&amp;Table9[[#This Row],[Image ID]]&amp;"/full/843,/0/default.jpg"</f>
        <v>https://www.artic.edu/iiif/2/1b03fde4-b8ee-bf14-b084-caeb4e9f69d8/full/843,/0/default.jpg</v>
      </c>
      <c r="N3768" s="3">
        <v>0.57499999999999996</v>
      </c>
      <c r="O3768" s="3">
        <v>0.125</v>
      </c>
      <c r="P3768" s="3">
        <v>0.44999999999999996</v>
      </c>
      <c r="Q3768" s="3">
        <v>0.71133726835250799</v>
      </c>
    </row>
    <row r="3769" spans="1:17" x14ac:dyDescent="0.45">
      <c r="A3769" s="3">
        <v>114329</v>
      </c>
      <c r="B3769" t="b">
        <v>0</v>
      </c>
      <c r="C3769" t="b">
        <v>1</v>
      </c>
      <c r="D3769" s="3">
        <v>1760</v>
      </c>
      <c r="E3769" s="3">
        <v>1850</v>
      </c>
      <c r="F3769" t="s">
        <v>1617</v>
      </c>
      <c r="G3769" t="s">
        <v>1618</v>
      </c>
      <c r="H3769" s="3">
        <v>21.946400000000001</v>
      </c>
      <c r="I3769" t="s">
        <v>1619</v>
      </c>
      <c r="J3769" t="s">
        <v>11553</v>
      </c>
      <c r="L3769" t="s">
        <v>1620</v>
      </c>
      <c r="M3769" t="str">
        <f>"https://www.artic.edu/iiif/2/"&amp;Table9[[#This Row],[Image ID]]&amp;"/full/843,/0/default.jpg"</f>
        <v>https://www.artic.edu/iiif/2/27e16985-a49d-8dce-c9f7-eeddfcca53d2/full/843,/0/default.jpg</v>
      </c>
      <c r="N3769" s="3">
        <v>0.72499999999999998</v>
      </c>
      <c r="O3769" s="3">
        <v>0.27500000000000002</v>
      </c>
      <c r="P3769" s="3">
        <v>0.44999999999999996</v>
      </c>
      <c r="Q3769" s="3">
        <v>0.578288674354553</v>
      </c>
    </row>
    <row r="3770" spans="1:17" x14ac:dyDescent="0.45">
      <c r="A3770" s="3">
        <v>88404</v>
      </c>
      <c r="B3770" t="b">
        <v>0</v>
      </c>
      <c r="C3770" t="b">
        <v>1</v>
      </c>
      <c r="D3770" s="3">
        <v>1490</v>
      </c>
      <c r="E3770" s="3">
        <v>1500</v>
      </c>
      <c r="F3770" t="s">
        <v>10421</v>
      </c>
      <c r="G3770" t="s">
        <v>212</v>
      </c>
      <c r="H3770" s="3">
        <v>61.882199999999997</v>
      </c>
      <c r="I3770" t="s">
        <v>10422</v>
      </c>
      <c r="J3770" t="s">
        <v>11628</v>
      </c>
      <c r="L3770" t="s">
        <v>10423</v>
      </c>
      <c r="M3770" t="str">
        <f>"https://www.artic.edu/iiif/2/"&amp;Table9[[#This Row],[Image ID]]&amp;"/full/843,/0/default.jpg"</f>
        <v>https://www.artic.edu/iiif/2/2cd72c96-2052-3527-d512-94c927a5523e/full/843,/0/default.jpg</v>
      </c>
      <c r="N3770" s="3">
        <v>0.47499999999999998</v>
      </c>
      <c r="O3770" s="3">
        <v>2.5000000000000001E-2</v>
      </c>
      <c r="P3770" s="3">
        <v>0.44999999999999996</v>
      </c>
      <c r="Q3770" s="3">
        <v>0.79529607295989901</v>
      </c>
    </row>
    <row r="3771" spans="1:17" x14ac:dyDescent="0.45">
      <c r="A3771" s="3">
        <v>4949</v>
      </c>
      <c r="B3771" t="b">
        <v>0</v>
      </c>
      <c r="C3771" t="b">
        <v>1</v>
      </c>
      <c r="D3771" s="3">
        <v>1635</v>
      </c>
      <c r="E3771" s="3">
        <v>1650</v>
      </c>
      <c r="F3771" t="s">
        <v>8055</v>
      </c>
      <c r="G3771" t="s">
        <v>8056</v>
      </c>
      <c r="H3771" s="3">
        <v>36.570599999999999</v>
      </c>
      <c r="I3771" t="s">
        <v>729</v>
      </c>
      <c r="J3771" t="s">
        <v>12421</v>
      </c>
      <c r="L3771" t="s">
        <v>8057</v>
      </c>
      <c r="M3771" t="str">
        <f>"https://www.artic.edu/iiif/2/"&amp;Table9[[#This Row],[Image ID]]&amp;"/full/843,/0/default.jpg"</f>
        <v>https://www.artic.edu/iiif/2/6350c51d-9533-ac1e-90ec-7434b69ddc9d/full/843,/0/default.jpg</v>
      </c>
      <c r="N3771" s="3">
        <v>0.57499999999999996</v>
      </c>
      <c r="O3771" s="3">
        <v>0.125</v>
      </c>
      <c r="P3771" s="3">
        <v>0.44999999999999996</v>
      </c>
      <c r="Q3771" s="3">
        <v>0.79893970489501898</v>
      </c>
    </row>
    <row r="3772" spans="1:17" x14ac:dyDescent="0.45">
      <c r="A3772" s="3">
        <v>71527</v>
      </c>
      <c r="B3772" t="b">
        <v>0</v>
      </c>
      <c r="C3772" t="b">
        <v>1</v>
      </c>
      <c r="D3772" s="3">
        <v>1401</v>
      </c>
      <c r="E3772" s="3">
        <v>1500</v>
      </c>
      <c r="F3772" t="s">
        <v>9488</v>
      </c>
      <c r="G3772" t="s">
        <v>9489</v>
      </c>
      <c r="H3772" s="3">
        <v>38.340000000000003</v>
      </c>
      <c r="J3772" t="s">
        <v>12489</v>
      </c>
      <c r="K3772" s="5" t="s">
        <v>278</v>
      </c>
      <c r="L3772" t="s">
        <v>9490</v>
      </c>
      <c r="M3772" t="str">
        <f>"https://www.artic.edu/iiif/2/"&amp;Table9[[#This Row],[Image ID]]&amp;"/full/843,/0/default.jpg"</f>
        <v>https://www.artic.edu/iiif/2/67cf215c-9bc7-732a-b96a-2b95965742b8/full/843,/0/default.jpg</v>
      </c>
      <c r="N3772" s="3">
        <v>0.72499999999999998</v>
      </c>
      <c r="O3772" s="3">
        <v>0.27500000000000002</v>
      </c>
      <c r="P3772" s="3">
        <v>0.44999999999999996</v>
      </c>
      <c r="Q3772" s="3">
        <v>0.69750565290451005</v>
      </c>
    </row>
    <row r="3773" spans="1:17" x14ac:dyDescent="0.45">
      <c r="A3773" s="3">
        <v>114321</v>
      </c>
      <c r="B3773" t="b">
        <v>0</v>
      </c>
      <c r="C3773" t="b">
        <v>1</v>
      </c>
      <c r="D3773" s="3">
        <v>1769</v>
      </c>
      <c r="E3773" s="3">
        <v>1831</v>
      </c>
      <c r="F3773" t="s">
        <v>1590</v>
      </c>
      <c r="G3773" t="s">
        <v>1591</v>
      </c>
      <c r="H3773" s="3">
        <v>20.3276</v>
      </c>
      <c r="I3773" t="s">
        <v>16</v>
      </c>
      <c r="J3773" t="s">
        <v>12609</v>
      </c>
      <c r="L3773" t="s">
        <v>1592</v>
      </c>
      <c r="M3773" t="str">
        <f>"https://www.artic.edu/iiif/2/"&amp;Table9[[#This Row],[Image ID]]&amp;"/full/843,/0/default.jpg"</f>
        <v>https://www.artic.edu/iiif/2/703e10ff-1edf-9c5f-64a3-e13da052b78f/full/843,/0/default.jpg</v>
      </c>
      <c r="N3773" s="3">
        <v>0.57499999999999996</v>
      </c>
      <c r="O3773" s="3">
        <v>0.125</v>
      </c>
      <c r="P3773" s="3">
        <v>0.44999999999999996</v>
      </c>
      <c r="Q3773" s="3">
        <v>0.58645832538604703</v>
      </c>
    </row>
    <row r="3774" spans="1:17" x14ac:dyDescent="0.45">
      <c r="A3774" s="3">
        <v>118979</v>
      </c>
      <c r="B3774" t="b">
        <v>0</v>
      </c>
      <c r="C3774" t="b">
        <v>1</v>
      </c>
      <c r="D3774" s="3">
        <v>1910</v>
      </c>
      <c r="E3774" s="3">
        <v>1910</v>
      </c>
      <c r="F3774" t="s">
        <v>2577</v>
      </c>
      <c r="G3774" t="s">
        <v>250</v>
      </c>
      <c r="H3774" s="3">
        <v>27.355399999999999</v>
      </c>
      <c r="I3774" t="s">
        <v>510</v>
      </c>
      <c r="J3774" t="s">
        <v>12830</v>
      </c>
      <c r="K3774" s="5" t="s">
        <v>9</v>
      </c>
      <c r="L3774" t="s">
        <v>2578</v>
      </c>
      <c r="M3774" t="str">
        <f>"https://www.artic.edu/iiif/2/"&amp;Table9[[#This Row],[Image ID]]&amp;"/full/843,/0/default.jpg"</f>
        <v>https://www.artic.edu/iiif/2/80b95c4e-8bed-3e21-1573-b339c6cda0f4/full/843,/0/default.jpg</v>
      </c>
      <c r="N3774" s="3">
        <v>0.57499999999999996</v>
      </c>
      <c r="O3774" s="3">
        <v>0.125</v>
      </c>
      <c r="P3774" s="3">
        <v>0.44999999999999996</v>
      </c>
      <c r="Q3774" s="3">
        <v>0.57346159219741799</v>
      </c>
    </row>
    <row r="3775" spans="1:17" x14ac:dyDescent="0.45">
      <c r="A3775" s="3">
        <v>114548</v>
      </c>
      <c r="B3775" t="b">
        <v>0</v>
      </c>
      <c r="C3775" t="b">
        <v>1</v>
      </c>
      <c r="D3775" s="3">
        <v>1765</v>
      </c>
      <c r="E3775" s="3">
        <v>1770</v>
      </c>
      <c r="F3775" t="s">
        <v>1670</v>
      </c>
      <c r="G3775" t="s">
        <v>1671</v>
      </c>
      <c r="H3775" s="3">
        <v>24.09</v>
      </c>
      <c r="I3775" t="s">
        <v>1296</v>
      </c>
      <c r="J3775" t="s">
        <v>13399</v>
      </c>
      <c r="L3775" t="s">
        <v>1672</v>
      </c>
      <c r="M3775" t="str">
        <f>"https://www.artic.edu/iiif/2/"&amp;Table9[[#This Row],[Image ID]]&amp;"/full/843,/0/default.jpg"</f>
        <v>https://www.artic.edu/iiif/2/ac92d63c-abcb-5349-d3c2-57433f61578a/full/843,/0/default.jpg</v>
      </c>
      <c r="N3775" s="3">
        <v>0.57499999999999996</v>
      </c>
      <c r="O3775" s="3">
        <v>0.125</v>
      </c>
      <c r="P3775" s="3">
        <v>0.44999999999999996</v>
      </c>
      <c r="Q3775" s="3">
        <v>0.47611016035079901</v>
      </c>
    </row>
    <row r="3776" spans="1:17" x14ac:dyDescent="0.45">
      <c r="A3776" s="3">
        <v>218464</v>
      </c>
      <c r="B3776" t="b">
        <v>0</v>
      </c>
      <c r="C3776" t="b">
        <v>1</v>
      </c>
      <c r="D3776" s="3">
        <v>1801</v>
      </c>
      <c r="E3776" s="3">
        <v>1825</v>
      </c>
      <c r="F3776" t="s">
        <v>5765</v>
      </c>
      <c r="G3776" t="s">
        <v>5766</v>
      </c>
      <c r="H3776" s="3">
        <v>66.306399999999996</v>
      </c>
      <c r="J3776" t="s">
        <v>13681</v>
      </c>
      <c r="L3776" t="s">
        <v>5767</v>
      </c>
      <c r="M3776" t="str">
        <f>"https://www.artic.edu/iiif/2/"&amp;Table9[[#This Row],[Image ID]]&amp;"/full/843,/0/default.jpg"</f>
        <v>https://www.artic.edu/iiif/2/c287089b-c740-d7ed-451a-b9b84b80d9ef/full/843,/0/default.jpg</v>
      </c>
      <c r="N3776" s="3">
        <v>0.47499999999999998</v>
      </c>
      <c r="O3776" s="3">
        <v>2.5000000000000001E-2</v>
      </c>
      <c r="P3776" s="3">
        <v>0.44999999999999996</v>
      </c>
      <c r="Q3776" s="3">
        <v>0.86902844905853205</v>
      </c>
    </row>
    <row r="3777" spans="1:17" x14ac:dyDescent="0.45">
      <c r="A3777" s="3">
        <v>115141</v>
      </c>
      <c r="B3777" t="b">
        <v>0</v>
      </c>
      <c r="C3777" t="b">
        <v>1</v>
      </c>
      <c r="D3777" s="3">
        <v>1845</v>
      </c>
      <c r="E3777" s="3">
        <v>1845</v>
      </c>
      <c r="F3777" t="s">
        <v>1800</v>
      </c>
      <c r="G3777" t="s">
        <v>164</v>
      </c>
      <c r="H3777" s="3">
        <v>32.2879</v>
      </c>
      <c r="I3777" t="s">
        <v>1555</v>
      </c>
      <c r="J3777" t="s">
        <v>14380</v>
      </c>
      <c r="L3777" t="s">
        <v>1801</v>
      </c>
      <c r="M3777" t="str">
        <f>"https://www.artic.edu/iiif/2/"&amp;Table9[[#This Row],[Image ID]]&amp;"/full/843,/0/default.jpg"</f>
        <v>https://www.artic.edu/iiif/2/f50e6915-0134-47dd-07e0-d361f4fbfc5c/full/843,/0/default.jpg</v>
      </c>
      <c r="N3777" s="3">
        <v>0.57499999999999996</v>
      </c>
      <c r="O3777" s="3">
        <v>0.125</v>
      </c>
      <c r="P3777" s="3">
        <v>0.44999999999999996</v>
      </c>
      <c r="Q3777" s="3">
        <v>0.65466380119323697</v>
      </c>
    </row>
    <row r="3778" spans="1:17" x14ac:dyDescent="0.45">
      <c r="A3778" s="3">
        <v>13763</v>
      </c>
      <c r="B3778" t="b">
        <v>0</v>
      </c>
      <c r="C3778" t="b">
        <v>0</v>
      </c>
      <c r="D3778" s="3">
        <v>1920</v>
      </c>
      <c r="E3778" s="3">
        <v>1920</v>
      </c>
      <c r="F3778" t="s">
        <v>3205</v>
      </c>
      <c r="G3778" t="s">
        <v>7</v>
      </c>
      <c r="H3778" s="3">
        <v>17.2409</v>
      </c>
      <c r="I3778" t="s">
        <v>3206</v>
      </c>
      <c r="J3778" t="s">
        <v>11035</v>
      </c>
      <c r="K3778" s="5" t="s">
        <v>9</v>
      </c>
      <c r="L3778" t="s">
        <v>3207</v>
      </c>
      <c r="M3778" t="str">
        <f>"https://www.artic.edu/iiif/2/"&amp;Table9[[#This Row],[Image ID]]&amp;"/full/843,/0/default.jpg"</f>
        <v>https://www.artic.edu/iiif/2/045a1779-36a4-282f-49b8-b8fb007f8254/full/843,/0/default.jpg</v>
      </c>
      <c r="N3778" s="3">
        <v>0.57499999999999996</v>
      </c>
      <c r="O3778" s="3">
        <v>0.125</v>
      </c>
      <c r="P3778" s="3">
        <v>0.44999999999999996</v>
      </c>
      <c r="Q3778" s="3">
        <v>0.55749905109405495</v>
      </c>
    </row>
    <row r="3779" spans="1:17" x14ac:dyDescent="0.45">
      <c r="A3779" s="3">
        <v>204041</v>
      </c>
      <c r="B3779" t="b">
        <v>0</v>
      </c>
      <c r="C3779" t="b">
        <v>0</v>
      </c>
      <c r="D3779" s="3">
        <v>1927</v>
      </c>
      <c r="E3779" s="3">
        <v>1927</v>
      </c>
      <c r="F3779" t="s">
        <v>5393</v>
      </c>
      <c r="G3779" t="s">
        <v>5394</v>
      </c>
      <c r="H3779" s="3">
        <v>18.782499999999999</v>
      </c>
      <c r="I3779" t="s">
        <v>3128</v>
      </c>
      <c r="J3779" t="s">
        <v>11454</v>
      </c>
      <c r="K3779" s="5" t="s">
        <v>45</v>
      </c>
      <c r="L3779" t="s">
        <v>5395</v>
      </c>
      <c r="M3779" t="str">
        <f>"https://www.artic.edu/iiif/2/"&amp;Table9[[#This Row],[Image ID]]&amp;"/full/843,/0/default.jpg"</f>
        <v>https://www.artic.edu/iiif/2/21f5b1f7-bc81-c5e5-ee7f-2c7f406384a1/full/843,/0/default.jpg</v>
      </c>
      <c r="N3779" s="3">
        <v>0.57499999999999996</v>
      </c>
      <c r="O3779" s="3">
        <v>0.125</v>
      </c>
      <c r="P3779" s="3">
        <v>0.44999999999999996</v>
      </c>
      <c r="Q3779" s="3">
        <v>0.78936654329299905</v>
      </c>
    </row>
    <row r="3780" spans="1:17" x14ac:dyDescent="0.45">
      <c r="A3780" s="3">
        <v>110877</v>
      </c>
      <c r="B3780" t="b">
        <v>0</v>
      </c>
      <c r="C3780" t="b">
        <v>0</v>
      </c>
      <c r="D3780" s="3">
        <v>1954</v>
      </c>
      <c r="E3780" s="3">
        <v>1954</v>
      </c>
      <c r="F3780" t="s">
        <v>962</v>
      </c>
      <c r="G3780" t="s">
        <v>7</v>
      </c>
      <c r="H3780" s="3">
        <v>23.943200000000001</v>
      </c>
      <c r="I3780" t="s">
        <v>963</v>
      </c>
      <c r="J3780" t="s">
        <v>11464</v>
      </c>
      <c r="L3780" t="s">
        <v>964</v>
      </c>
      <c r="M3780" t="str">
        <f>"https://www.artic.edu/iiif/2/"&amp;Table9[[#This Row],[Image ID]]&amp;"/full/843,/0/default.jpg"</f>
        <v>https://www.artic.edu/iiif/2/22761249-d2d1-7dbb-2251-041f818aae3c/full/843,/0/default.jpg</v>
      </c>
      <c r="N3780" s="3">
        <v>0.57499999999999996</v>
      </c>
      <c r="O3780" s="3">
        <v>0.125</v>
      </c>
      <c r="P3780" s="3">
        <v>0.44999999999999996</v>
      </c>
      <c r="Q3780" s="3">
        <v>0.74236899614334095</v>
      </c>
    </row>
    <row r="3781" spans="1:17" x14ac:dyDescent="0.45">
      <c r="A3781" s="3">
        <v>29761</v>
      </c>
      <c r="B3781" t="b">
        <v>0</v>
      </c>
      <c r="C3781" t="b">
        <v>0</v>
      </c>
      <c r="D3781" s="3">
        <v>1940</v>
      </c>
      <c r="E3781" s="3">
        <v>1942</v>
      </c>
      <c r="F3781" t="s">
        <v>6925</v>
      </c>
      <c r="G3781" t="s">
        <v>7</v>
      </c>
      <c r="H3781" s="3">
        <v>74.382300000000001</v>
      </c>
      <c r="I3781" t="s">
        <v>495</v>
      </c>
      <c r="J3781" t="s">
        <v>11477</v>
      </c>
      <c r="K3781" s="5" t="s">
        <v>45</v>
      </c>
      <c r="L3781" t="s">
        <v>6926</v>
      </c>
      <c r="M3781" t="str">
        <f>"https://www.artic.edu/iiif/2/"&amp;Table9[[#This Row],[Image ID]]&amp;"/full/843,/0/default.jpg"</f>
        <v>https://www.artic.edu/iiif/2/23479ed2-468f-b2d6-00d1-e909b8fa2d57/full/843,/0/default.jpg</v>
      </c>
      <c r="N3781" s="3">
        <v>0.7</v>
      </c>
      <c r="O3781" s="3">
        <v>0.25</v>
      </c>
      <c r="P3781" s="3">
        <v>0.44999999999999996</v>
      </c>
      <c r="Q3781" s="3">
        <v>0.83886253833770696</v>
      </c>
    </row>
    <row r="3782" spans="1:17" x14ac:dyDescent="0.45">
      <c r="A3782" s="3">
        <v>76063</v>
      </c>
      <c r="B3782" t="b">
        <v>0</v>
      </c>
      <c r="C3782" t="b">
        <v>0</v>
      </c>
      <c r="D3782" s="3">
        <v>1946</v>
      </c>
      <c r="E3782" s="3">
        <v>1948</v>
      </c>
      <c r="F3782" t="s">
        <v>9771</v>
      </c>
      <c r="G3782" t="s">
        <v>9772</v>
      </c>
      <c r="H3782" s="3">
        <v>15.537599999999999</v>
      </c>
      <c r="I3782" t="s">
        <v>172</v>
      </c>
      <c r="J3782" t="s">
        <v>11738</v>
      </c>
      <c r="L3782" t="s">
        <v>9773</v>
      </c>
      <c r="M3782" t="str">
        <f>"https://www.artic.edu/iiif/2/"&amp;Table9[[#This Row],[Image ID]]&amp;"/full/843,/0/default.jpg"</f>
        <v>https://www.artic.edu/iiif/2/34afa30e-505e-65c6-3d3a-b2d614d39753/full/843,/0/default.jpg</v>
      </c>
      <c r="N3782" s="3">
        <v>0.57499999999999996</v>
      </c>
      <c r="O3782" s="3">
        <v>0.125</v>
      </c>
      <c r="P3782" s="3">
        <v>0.44999999999999996</v>
      </c>
      <c r="Q3782" s="3">
        <v>0.80982589721679599</v>
      </c>
    </row>
    <row r="3783" spans="1:17" x14ac:dyDescent="0.45">
      <c r="A3783" s="3">
        <v>65993</v>
      </c>
      <c r="B3783" t="b">
        <v>0</v>
      </c>
      <c r="C3783" t="b">
        <v>0</v>
      </c>
      <c r="D3783" s="3">
        <v>1927</v>
      </c>
      <c r="E3783" s="3">
        <v>1927</v>
      </c>
      <c r="F3783" t="s">
        <v>9139</v>
      </c>
      <c r="G3783" t="s">
        <v>9140</v>
      </c>
      <c r="H3783" s="3">
        <v>32.3215</v>
      </c>
      <c r="I3783" t="s">
        <v>949</v>
      </c>
      <c r="J3783" t="s">
        <v>12004</v>
      </c>
      <c r="L3783" t="s">
        <v>9141</v>
      </c>
      <c r="M3783" t="str">
        <f>"https://www.artic.edu/iiif/2/"&amp;Table9[[#This Row],[Image ID]]&amp;"/full/843,/0/default.jpg"</f>
        <v>https://www.artic.edu/iiif/2/45e02294-741c-17d6-7f8a-7847edea8b82/full/843,/0/default.jpg</v>
      </c>
      <c r="N3783" s="3">
        <v>0.6</v>
      </c>
      <c r="O3783" s="3">
        <v>0.15</v>
      </c>
      <c r="P3783" s="3">
        <v>0.44999999999999996</v>
      </c>
      <c r="Q3783" s="3">
        <v>0.66736888885498002</v>
      </c>
    </row>
    <row r="3784" spans="1:17" x14ac:dyDescent="0.45">
      <c r="A3784" s="3">
        <v>75315</v>
      </c>
      <c r="B3784" t="b">
        <v>0</v>
      </c>
      <c r="C3784" t="b">
        <v>0</v>
      </c>
      <c r="D3784" s="3">
        <v>1927</v>
      </c>
      <c r="E3784" s="3">
        <v>1927</v>
      </c>
      <c r="F3784" t="s">
        <v>813</v>
      </c>
      <c r="G3784" t="s">
        <v>9728</v>
      </c>
      <c r="I3784" t="s">
        <v>133</v>
      </c>
      <c r="J3784" t="s">
        <v>12273</v>
      </c>
      <c r="L3784" t="s">
        <v>9729</v>
      </c>
      <c r="M3784" t="str">
        <f>"https://www.artic.edu/iiif/2/"&amp;Table9[[#This Row],[Image ID]]&amp;"/full/843,/0/default.jpg"</f>
        <v>https://www.artic.edu/iiif/2/58f4d35a-cb4c-d92a-3c16-0630c5a0c231/full/843,/0/default.jpg</v>
      </c>
      <c r="N3784" s="3">
        <v>0.47499999999999998</v>
      </c>
      <c r="O3784" s="3">
        <v>2.5000000000000001E-2</v>
      </c>
      <c r="P3784" s="3">
        <v>0.44999999999999996</v>
      </c>
      <c r="Q3784" s="3">
        <v>0.74024909734725897</v>
      </c>
    </row>
    <row r="3785" spans="1:17" x14ac:dyDescent="0.45">
      <c r="A3785" s="3">
        <v>39273</v>
      </c>
      <c r="B3785" t="b">
        <v>0</v>
      </c>
      <c r="C3785" t="b">
        <v>0</v>
      </c>
      <c r="D3785" s="3">
        <v>1933</v>
      </c>
      <c r="E3785" s="3">
        <v>1943</v>
      </c>
      <c r="F3785" t="s">
        <v>7559</v>
      </c>
      <c r="G3785" t="s">
        <v>7560</v>
      </c>
      <c r="H3785" s="3">
        <v>39.812800000000003</v>
      </c>
      <c r="I3785" t="s">
        <v>7561</v>
      </c>
      <c r="J3785" t="s">
        <v>12394</v>
      </c>
      <c r="L3785" t="s">
        <v>7562</v>
      </c>
      <c r="M3785" t="str">
        <f>"https://www.artic.edu/iiif/2/"&amp;Table9[[#This Row],[Image ID]]&amp;"/full/843,/0/default.jpg"</f>
        <v>https://www.artic.edu/iiif/2/60ed58d6-27db-b9e1-20e5-542aecc21299/full/843,/0/default.jpg</v>
      </c>
      <c r="N3785" s="3">
        <v>0.47499999999999998</v>
      </c>
      <c r="O3785" s="3">
        <v>2.5000000000000001E-2</v>
      </c>
      <c r="P3785" s="3">
        <v>0.44999999999999996</v>
      </c>
      <c r="Q3785" s="3">
        <v>0.65121620893478305</v>
      </c>
    </row>
    <row r="3786" spans="1:17" x14ac:dyDescent="0.45">
      <c r="A3786" s="3">
        <v>12415</v>
      </c>
      <c r="B3786" t="b">
        <v>0</v>
      </c>
      <c r="C3786" t="b">
        <v>0</v>
      </c>
      <c r="D3786" s="3">
        <v>1951</v>
      </c>
      <c r="E3786" s="3">
        <v>1951</v>
      </c>
      <c r="F3786" t="s">
        <v>2729</v>
      </c>
      <c r="G3786" t="s">
        <v>7</v>
      </c>
      <c r="H3786" s="3">
        <v>0</v>
      </c>
      <c r="I3786" t="s">
        <v>2730</v>
      </c>
      <c r="J3786" t="s">
        <v>12812</v>
      </c>
      <c r="L3786" t="s">
        <v>2731</v>
      </c>
      <c r="M3786" t="str">
        <f>"https://www.artic.edu/iiif/2/"&amp;Table9[[#This Row],[Image ID]]&amp;"/full/843,/0/default.jpg"</f>
        <v>https://www.artic.edu/iiif/2/7fde5797-ca4d-212a-f0e3-20383b0f55a6/full/843,/0/default.jpg</v>
      </c>
      <c r="N3786" s="3">
        <v>0.57499999999999996</v>
      </c>
      <c r="O3786" s="3">
        <v>0.125</v>
      </c>
      <c r="P3786" s="3">
        <v>0.44999999999999996</v>
      </c>
      <c r="Q3786" s="3">
        <v>0.76836252212524403</v>
      </c>
    </row>
    <row r="3787" spans="1:17" x14ac:dyDescent="0.45">
      <c r="A3787" s="3">
        <v>5576</v>
      </c>
      <c r="B3787" t="b">
        <v>0</v>
      </c>
      <c r="C3787" t="b">
        <v>0</v>
      </c>
      <c r="D3787" s="3">
        <v>1947</v>
      </c>
      <c r="E3787" s="3">
        <v>1953</v>
      </c>
      <c r="F3787" t="s">
        <v>8401</v>
      </c>
      <c r="G3787" t="s">
        <v>8402</v>
      </c>
      <c r="H3787" s="3">
        <v>45.015099999999997</v>
      </c>
      <c r="I3787" t="s">
        <v>184</v>
      </c>
      <c r="J3787" t="s">
        <v>13028</v>
      </c>
      <c r="L3787" t="s">
        <v>8403</v>
      </c>
      <c r="M3787" t="str">
        <f>"https://www.artic.edu/iiif/2/"&amp;Table9[[#This Row],[Image ID]]&amp;"/full/843,/0/default.jpg"</f>
        <v>https://www.artic.edu/iiif/2/902cace4-9d5f-b2f6-d01e-8d1266c72dc6/full/843,/0/default.jpg</v>
      </c>
      <c r="N3787" s="3">
        <v>0.6</v>
      </c>
      <c r="O3787" s="3">
        <v>0.15</v>
      </c>
      <c r="P3787" s="3">
        <v>0.44999999999999996</v>
      </c>
      <c r="Q3787" s="3">
        <v>0.77432584762573198</v>
      </c>
    </row>
    <row r="3788" spans="1:17" x14ac:dyDescent="0.45">
      <c r="A3788" s="3">
        <v>18914</v>
      </c>
      <c r="B3788" t="b">
        <v>0</v>
      </c>
      <c r="C3788" t="b">
        <v>0</v>
      </c>
      <c r="D3788" s="3">
        <v>1933</v>
      </c>
      <c r="E3788" s="3">
        <v>1948</v>
      </c>
      <c r="F3788" t="s">
        <v>562</v>
      </c>
      <c r="G3788" t="s">
        <v>1483</v>
      </c>
      <c r="H3788" s="3">
        <v>24.264900000000001</v>
      </c>
      <c r="I3788" t="s">
        <v>563</v>
      </c>
      <c r="J3788" t="s">
        <v>13376</v>
      </c>
      <c r="L3788" t="s">
        <v>5141</v>
      </c>
      <c r="M3788" t="str">
        <f>"https://www.artic.edu/iiif/2/"&amp;Table9[[#This Row],[Image ID]]&amp;"/full/843,/0/default.jpg"</f>
        <v>https://www.artic.edu/iiif/2/aa385a42-b638-eb1a-08dc-3fe74c7d50f4/full/843,/0/default.jpg</v>
      </c>
      <c r="N3788" s="3">
        <v>0.57499999999999996</v>
      </c>
      <c r="O3788" s="3">
        <v>0.125</v>
      </c>
      <c r="P3788" s="3">
        <v>0.44999999999999996</v>
      </c>
      <c r="Q3788" s="3">
        <v>0.53945177793502797</v>
      </c>
    </row>
    <row r="3789" spans="1:17" x14ac:dyDescent="0.45">
      <c r="A3789" s="3">
        <v>184896</v>
      </c>
      <c r="B3789" t="b">
        <v>0</v>
      </c>
      <c r="C3789" t="b">
        <v>0</v>
      </c>
      <c r="D3789" s="3">
        <v>2003</v>
      </c>
      <c r="E3789" s="3">
        <v>2003</v>
      </c>
      <c r="F3789" t="s">
        <v>4886</v>
      </c>
      <c r="G3789" t="s">
        <v>4823</v>
      </c>
      <c r="H3789" s="3">
        <v>9.6105</v>
      </c>
      <c r="I3789" t="s">
        <v>293</v>
      </c>
      <c r="J3789" t="s">
        <v>10977</v>
      </c>
      <c r="K3789" s="5" t="s">
        <v>15</v>
      </c>
      <c r="L3789" t="s">
        <v>4887</v>
      </c>
      <c r="M3789" t="str">
        <f>"https://www.artic.edu/iiif/2/"&amp;Table9[[#This Row],[Image ID]]&amp;"/full/843,/0/default.jpg"</f>
        <v>https://www.artic.edu/iiif/2/feaabfe5-3dcc-4aea-ecb7-a6e6ac8c775b/full/843,/0/default.jpg</v>
      </c>
      <c r="N3789" s="3">
        <v>0.57499999999999996</v>
      </c>
      <c r="O3789" s="3">
        <v>0.125</v>
      </c>
      <c r="P3789" s="3">
        <v>0.44999999999999996</v>
      </c>
      <c r="Q3789" s="3">
        <v>0.82231140136718694</v>
      </c>
    </row>
    <row r="3790" spans="1:17" x14ac:dyDescent="0.45">
      <c r="A3790" s="3">
        <v>55886</v>
      </c>
      <c r="B3790" t="b">
        <v>0</v>
      </c>
      <c r="C3790" t="b">
        <v>0</v>
      </c>
      <c r="D3790" s="3">
        <v>1959</v>
      </c>
      <c r="E3790" s="3">
        <v>1969</v>
      </c>
      <c r="F3790" t="s">
        <v>8411</v>
      </c>
      <c r="G3790" t="s">
        <v>8412</v>
      </c>
      <c r="H3790" s="3">
        <v>21.3947</v>
      </c>
      <c r="I3790" t="s">
        <v>599</v>
      </c>
      <c r="J3790" t="s">
        <v>14525</v>
      </c>
      <c r="L3790" t="s">
        <v>8413</v>
      </c>
      <c r="M3790" t="str">
        <f>"https://www.artic.edu/iiif/2/"&amp;Table9[[#This Row],[Image ID]]&amp;"/full/843,/0/default.jpg"</f>
        <v>https://www.artic.edu/iiif/2/feddd9a4-1cdb-212b-ff92-b98d98c52bab/full/843,/0/default.jpg</v>
      </c>
      <c r="N3790" s="3">
        <v>0.6</v>
      </c>
      <c r="O3790" s="3">
        <v>0.15</v>
      </c>
      <c r="P3790" s="3">
        <v>0.44999999999999996</v>
      </c>
      <c r="Q3790" s="3">
        <v>0.72344696521759</v>
      </c>
    </row>
    <row r="3791" spans="1:17" x14ac:dyDescent="0.45">
      <c r="A3791" s="3">
        <v>253793</v>
      </c>
      <c r="B3791" t="b">
        <v>0</v>
      </c>
      <c r="C3791" t="b">
        <v>0</v>
      </c>
      <c r="D3791" s="3">
        <v>1921</v>
      </c>
      <c r="E3791" s="3">
        <v>1921</v>
      </c>
      <c r="F3791" t="s">
        <v>6507</v>
      </c>
      <c r="G3791" t="s">
        <v>7</v>
      </c>
      <c r="H3791" s="3">
        <v>33.551400000000001</v>
      </c>
      <c r="I3791" t="s">
        <v>6508</v>
      </c>
      <c r="J3791" t="s">
        <v>11798</v>
      </c>
      <c r="K3791" s="5" t="s">
        <v>284</v>
      </c>
      <c r="L3791" t="s">
        <v>6509</v>
      </c>
      <c r="M3791" t="str">
        <f>"https://www.artic.edu/iiif/2/"&amp;Table9[[#This Row],[Image ID]]&amp;"/full/843,/0/default.jpg"</f>
        <v>https://www.artic.edu/iiif/2/38c1cbfd-fbb9-f05c-d743-a6cf1e2f68e9/full/843,/0/default.jpg</v>
      </c>
      <c r="N3791" s="3">
        <v>0.628</v>
      </c>
      <c r="O3791" s="3">
        <v>0.186</v>
      </c>
      <c r="P3791" s="3">
        <v>0.442</v>
      </c>
      <c r="Q3791" s="3">
        <v>0.71226221323013295</v>
      </c>
    </row>
    <row r="3792" spans="1:17" x14ac:dyDescent="0.45">
      <c r="A3792" s="3">
        <v>114333</v>
      </c>
      <c r="B3792" t="b">
        <v>0</v>
      </c>
      <c r="C3792" t="b">
        <v>1</v>
      </c>
      <c r="D3792" s="3">
        <v>1760</v>
      </c>
      <c r="E3792" s="3">
        <v>1821</v>
      </c>
      <c r="F3792" t="s">
        <v>1631</v>
      </c>
      <c r="G3792" t="s">
        <v>1632</v>
      </c>
      <c r="H3792" s="3">
        <v>21.65</v>
      </c>
      <c r="I3792" t="s">
        <v>1633</v>
      </c>
      <c r="J3792" t="s">
        <v>13616</v>
      </c>
      <c r="L3792" t="s">
        <v>1634</v>
      </c>
      <c r="M3792" t="str">
        <f>"https://www.artic.edu/iiif/2/"&amp;Table9[[#This Row],[Image ID]]&amp;"/full/843,/0/default.jpg"</f>
        <v>https://www.artic.edu/iiif/2/bdab6fc3-747e-0049-1196-a630866f6dd6/full/843,/0/default.jpg</v>
      </c>
      <c r="N3792" s="3">
        <v>0.60499999999999998</v>
      </c>
      <c r="O3792" s="3">
        <v>0.16300000000000001</v>
      </c>
      <c r="P3792" s="3">
        <v>0.44199999999999995</v>
      </c>
      <c r="Q3792" s="3">
        <v>0.77061343193054199</v>
      </c>
    </row>
    <row r="3793" spans="1:17" x14ac:dyDescent="0.45">
      <c r="A3793" s="3">
        <v>45400</v>
      </c>
      <c r="B3793" t="b">
        <v>0</v>
      </c>
      <c r="C3793" t="b">
        <v>0</v>
      </c>
      <c r="D3793" s="3">
        <v>1923</v>
      </c>
      <c r="E3793" s="3">
        <v>1959</v>
      </c>
      <c r="F3793" t="s">
        <v>7861</v>
      </c>
      <c r="G3793" t="s">
        <v>7862</v>
      </c>
      <c r="H3793" s="3">
        <v>20.869900000000001</v>
      </c>
      <c r="I3793" t="s">
        <v>3711</v>
      </c>
      <c r="J3793" t="s">
        <v>13334</v>
      </c>
      <c r="L3793" t="s">
        <v>7863</v>
      </c>
      <c r="M3793" t="str">
        <f>"https://www.artic.edu/iiif/2/"&amp;Table9[[#This Row],[Image ID]]&amp;"/full/843,/0/default.jpg"</f>
        <v>https://www.artic.edu/iiif/2/a77a29fe-f765-8f26-0156-737ab08992e9/full/843,/0/default.jpg</v>
      </c>
      <c r="N3793" s="3">
        <v>0.60499999999999998</v>
      </c>
      <c r="O3793" s="3">
        <v>0.16300000000000001</v>
      </c>
      <c r="P3793" s="3">
        <v>0.44199999999999995</v>
      </c>
      <c r="Q3793" s="3">
        <v>0.70200717449188199</v>
      </c>
    </row>
    <row r="3794" spans="1:17" x14ac:dyDescent="0.45">
      <c r="A3794" s="3">
        <v>60809</v>
      </c>
      <c r="B3794" t="b">
        <v>0</v>
      </c>
      <c r="C3794" t="b">
        <v>1</v>
      </c>
      <c r="D3794" s="3">
        <v>1835</v>
      </c>
      <c r="E3794" s="3">
        <v>1840</v>
      </c>
      <c r="F3794" t="s">
        <v>2056</v>
      </c>
      <c r="G3794" t="s">
        <v>505</v>
      </c>
      <c r="H3794" s="3">
        <v>32.790999999999997</v>
      </c>
      <c r="I3794" t="s">
        <v>14692</v>
      </c>
      <c r="J3794" t="s">
        <v>13274</v>
      </c>
      <c r="L3794" t="s">
        <v>8748</v>
      </c>
      <c r="M3794" t="str">
        <f>"https://www.artic.edu/iiif/2/"&amp;Table9[[#This Row],[Image ID]]&amp;"/full/843,/0/default.jpg"</f>
        <v>https://www.artic.edu/iiif/2/a304d1a0-b3f4-5d9f-98b2-0323c0d3c89a/full/843,/0/default.jpg</v>
      </c>
      <c r="N3794" s="3">
        <v>0.48799999999999999</v>
      </c>
      <c r="O3794" s="3">
        <v>4.7E-2</v>
      </c>
      <c r="P3794" s="3">
        <v>0.441</v>
      </c>
      <c r="Q3794" s="3">
        <v>0.451252341270446</v>
      </c>
    </row>
    <row r="3795" spans="1:17" x14ac:dyDescent="0.45">
      <c r="A3795" s="3">
        <v>89726</v>
      </c>
      <c r="B3795" t="b">
        <v>0</v>
      </c>
      <c r="C3795" t="b">
        <v>0</v>
      </c>
      <c r="D3795" s="3">
        <v>1922</v>
      </c>
      <c r="E3795" s="3">
        <v>1933</v>
      </c>
      <c r="F3795" t="s">
        <v>10469</v>
      </c>
      <c r="G3795" t="s">
        <v>7967</v>
      </c>
      <c r="H3795" s="3">
        <v>41.938499999999998</v>
      </c>
      <c r="I3795" t="s">
        <v>5241</v>
      </c>
      <c r="J3795" t="s">
        <v>11702</v>
      </c>
      <c r="L3795" t="s">
        <v>10470</v>
      </c>
      <c r="M3795" t="str">
        <f>"https://www.artic.edu/iiif/2/"&amp;Table9[[#This Row],[Image ID]]&amp;"/full/843,/0/default.jpg"</f>
        <v>https://www.artic.edu/iiif/2/31e2f8fd-2dd8-e806-a40d-c73e038e8701/full/843,/0/default.jpg</v>
      </c>
      <c r="N3795" s="3">
        <v>0.51200000000000001</v>
      </c>
      <c r="O3795" s="3">
        <v>7.0999999999999994E-2</v>
      </c>
      <c r="P3795" s="3">
        <v>0.441</v>
      </c>
      <c r="Q3795" s="3">
        <v>0.71953195333480802</v>
      </c>
    </row>
    <row r="3796" spans="1:17" x14ac:dyDescent="0.45">
      <c r="A3796" s="3">
        <v>21744</v>
      </c>
      <c r="B3796" t="b">
        <v>0</v>
      </c>
      <c r="C3796" t="b">
        <v>1</v>
      </c>
      <c r="D3796" s="3">
        <v>1776</v>
      </c>
      <c r="E3796" s="3">
        <v>1827</v>
      </c>
      <c r="F3796" t="s">
        <v>5692</v>
      </c>
      <c r="G3796" t="s">
        <v>5693</v>
      </c>
      <c r="H3796" s="3">
        <v>25.962599999999998</v>
      </c>
      <c r="I3796" t="s">
        <v>1266</v>
      </c>
      <c r="J3796" t="s">
        <v>13306</v>
      </c>
      <c r="L3796" t="s">
        <v>5694</v>
      </c>
      <c r="M3796" t="str">
        <f>"https://www.artic.edu/iiif/2/"&amp;Table9[[#This Row],[Image ID]]&amp;"/full/843,/0/default.jpg"</f>
        <v>https://www.artic.edu/iiif/2/a591a9c5-ac4b-7af0-91b3-1b9fc8dc4837/full/843,/0/default.jpg</v>
      </c>
      <c r="N3796" s="3">
        <v>0.68300000000000005</v>
      </c>
      <c r="O3796" s="3">
        <v>0.24399999999999999</v>
      </c>
      <c r="P3796" s="3">
        <v>0.43900000000000006</v>
      </c>
      <c r="Q3796" s="3">
        <v>0.61165684461593595</v>
      </c>
    </row>
    <row r="3797" spans="1:17" x14ac:dyDescent="0.45">
      <c r="A3797" s="3">
        <v>31882</v>
      </c>
      <c r="B3797" t="b">
        <v>0</v>
      </c>
      <c r="C3797" t="b">
        <v>1</v>
      </c>
      <c r="D3797" s="3">
        <v>1500</v>
      </c>
      <c r="E3797" s="3">
        <v>1799</v>
      </c>
      <c r="F3797" t="s">
        <v>7028</v>
      </c>
      <c r="G3797" t="s">
        <v>7029</v>
      </c>
      <c r="H3797" s="3">
        <v>46.361899999999999</v>
      </c>
      <c r="J3797" t="s">
        <v>13708</v>
      </c>
      <c r="K3797" s="5" t="s">
        <v>278</v>
      </c>
      <c r="L3797" t="s">
        <v>7030</v>
      </c>
      <c r="M3797" t="str">
        <f>"https://www.artic.edu/iiif/2/"&amp;Table9[[#This Row],[Image ID]]&amp;"/full/843,/0/default.jpg"</f>
        <v>https://www.artic.edu/iiif/2/c5134c9e-1a65-c27f-8fdf-940216ba4973/full/843,/0/default.jpg</v>
      </c>
      <c r="N3797" s="3">
        <v>0.65900000000000003</v>
      </c>
      <c r="O3797" s="3">
        <v>0.22</v>
      </c>
      <c r="P3797" s="3">
        <v>0.43900000000000006</v>
      </c>
      <c r="Q3797" s="3">
        <v>0.72163408994674605</v>
      </c>
    </row>
    <row r="3798" spans="1:17" x14ac:dyDescent="0.45">
      <c r="A3798" s="3">
        <v>145848</v>
      </c>
      <c r="B3798" t="b">
        <v>0</v>
      </c>
      <c r="C3798" t="b">
        <v>0</v>
      </c>
      <c r="D3798" s="3">
        <v>1955</v>
      </c>
      <c r="E3798" s="3">
        <v>1955</v>
      </c>
      <c r="F3798" t="s">
        <v>3386</v>
      </c>
      <c r="G3798" t="s">
        <v>3387</v>
      </c>
      <c r="H3798" s="3">
        <v>9.7246000000000006</v>
      </c>
      <c r="I3798" t="s">
        <v>235</v>
      </c>
      <c r="J3798" t="s">
        <v>12541</v>
      </c>
      <c r="L3798" t="s">
        <v>3388</v>
      </c>
      <c r="M3798" t="str">
        <f>"https://www.artic.edu/iiif/2/"&amp;Table9[[#This Row],[Image ID]]&amp;"/full/843,/0/default.jpg"</f>
        <v>https://www.artic.edu/iiif/2/6b7e22ef-145f-473f-9791-4a664042223f/full/843,/0/default.jpg</v>
      </c>
      <c r="N3798" s="3">
        <v>0.53700000000000003</v>
      </c>
      <c r="O3798" s="3">
        <v>9.8000000000000004E-2</v>
      </c>
      <c r="P3798" s="3">
        <v>0.43900000000000006</v>
      </c>
      <c r="Q3798" s="3">
        <v>0.63211452960967995</v>
      </c>
    </row>
    <row r="3799" spans="1:17" x14ac:dyDescent="0.45">
      <c r="A3799" s="3">
        <v>111077</v>
      </c>
      <c r="B3799" t="b">
        <v>0</v>
      </c>
      <c r="C3799" t="b">
        <v>0</v>
      </c>
      <c r="D3799" s="3">
        <v>1949</v>
      </c>
      <c r="E3799" s="3">
        <v>1949</v>
      </c>
      <c r="F3799" t="s">
        <v>1026</v>
      </c>
      <c r="G3799" t="s">
        <v>7</v>
      </c>
      <c r="H3799" s="3">
        <v>53.726100000000002</v>
      </c>
      <c r="I3799" t="s">
        <v>190</v>
      </c>
      <c r="J3799" t="s">
        <v>12561</v>
      </c>
      <c r="K3799" s="5" t="s">
        <v>2</v>
      </c>
      <c r="L3799" t="s">
        <v>1027</v>
      </c>
      <c r="M3799" t="str">
        <f>"https://www.artic.edu/iiif/2/"&amp;Table9[[#This Row],[Image ID]]&amp;"/full/843,/0/default.jpg"</f>
        <v>https://www.artic.edu/iiif/2/6cbd513d-b486-5a67-f852-18af2ee32fcf/full/843,/0/default.jpg</v>
      </c>
      <c r="N3799" s="3">
        <v>0.53700000000000003</v>
      </c>
      <c r="O3799" s="3">
        <v>9.8000000000000004E-2</v>
      </c>
      <c r="P3799" s="3">
        <v>0.43900000000000006</v>
      </c>
      <c r="Q3799" s="3">
        <v>0.64435964822769098</v>
      </c>
    </row>
    <row r="3800" spans="1:17" x14ac:dyDescent="0.45">
      <c r="A3800" s="3">
        <v>111381</v>
      </c>
      <c r="B3800" t="b">
        <v>0</v>
      </c>
      <c r="C3800" t="b">
        <v>0</v>
      </c>
      <c r="D3800" s="3">
        <v>1925</v>
      </c>
      <c r="E3800" s="3">
        <v>1935</v>
      </c>
      <c r="F3800" t="s">
        <v>1089</v>
      </c>
      <c r="G3800" t="s">
        <v>7</v>
      </c>
      <c r="H3800" s="3">
        <v>32.967199999999998</v>
      </c>
      <c r="I3800" t="s">
        <v>749</v>
      </c>
      <c r="J3800" t="s">
        <v>12595</v>
      </c>
      <c r="L3800" t="s">
        <v>1090</v>
      </c>
      <c r="M3800" t="str">
        <f>"https://www.artic.edu/iiif/2/"&amp;Table9[[#This Row],[Image ID]]&amp;"/full/843,/0/default.jpg"</f>
        <v>https://www.artic.edu/iiif/2/6f84b595-943b-b698-6c4d-79a27e4f7ee7/full/843,/0/default.jpg</v>
      </c>
      <c r="N3800" s="3">
        <v>0.65900000000000003</v>
      </c>
      <c r="O3800" s="3">
        <v>0.22</v>
      </c>
      <c r="P3800" s="3">
        <v>0.43900000000000006</v>
      </c>
      <c r="Q3800" s="3">
        <v>0.545668065547943</v>
      </c>
    </row>
    <row r="3801" spans="1:17" x14ac:dyDescent="0.45">
      <c r="A3801" s="3">
        <v>113691</v>
      </c>
      <c r="B3801" t="b">
        <v>0</v>
      </c>
      <c r="C3801" t="b">
        <v>0</v>
      </c>
      <c r="D3801" s="3">
        <v>1943</v>
      </c>
      <c r="E3801" s="3">
        <v>1945</v>
      </c>
      <c r="F3801" t="s">
        <v>562</v>
      </c>
      <c r="G3801" t="s">
        <v>1485</v>
      </c>
      <c r="H3801" s="3">
        <v>30.3658</v>
      </c>
      <c r="I3801" t="s">
        <v>563</v>
      </c>
      <c r="J3801" t="s">
        <v>13083</v>
      </c>
      <c r="L3801" t="s">
        <v>1486</v>
      </c>
      <c r="M3801" t="str">
        <f>"https://www.artic.edu/iiif/2/"&amp;Table9[[#This Row],[Image ID]]&amp;"/full/843,/0/default.jpg"</f>
        <v>https://www.artic.edu/iiif/2/953814ec-d329-2889-d5cd-522d0171ff1d/full/843,/0/default.jpg</v>
      </c>
      <c r="N3801" s="3">
        <v>0.56100000000000005</v>
      </c>
      <c r="O3801" s="3">
        <v>0.122</v>
      </c>
      <c r="P3801" s="3">
        <v>0.43900000000000006</v>
      </c>
      <c r="Q3801" s="3">
        <v>0.58578616380691495</v>
      </c>
    </row>
    <row r="3802" spans="1:17" x14ac:dyDescent="0.45">
      <c r="A3802" s="3">
        <v>184722</v>
      </c>
      <c r="B3802" t="b">
        <v>0</v>
      </c>
      <c r="C3802" t="b">
        <v>0</v>
      </c>
      <c r="D3802" s="3">
        <v>2003</v>
      </c>
      <c r="E3802" s="3">
        <v>2003</v>
      </c>
      <c r="F3802" t="s">
        <v>4822</v>
      </c>
      <c r="G3802" t="s">
        <v>4823</v>
      </c>
      <c r="H3802" s="3">
        <v>10.1599</v>
      </c>
      <c r="I3802" t="s">
        <v>293</v>
      </c>
      <c r="J3802" t="s">
        <v>10977</v>
      </c>
      <c r="K3802" s="5" t="s">
        <v>15</v>
      </c>
      <c r="L3802" t="s">
        <v>4824</v>
      </c>
      <c r="M3802" t="str">
        <f>"https://www.artic.edu/iiif/2/"&amp;Table9[[#This Row],[Image ID]]&amp;"/full/843,/0/default.jpg"</f>
        <v>https://www.artic.edu/iiif/2/c38d50bc-af23-5dff-97f9-967616cda643/full/843,/0/default.jpg</v>
      </c>
      <c r="N3802" s="3">
        <v>0.56100000000000005</v>
      </c>
      <c r="O3802" s="3">
        <v>0.122</v>
      </c>
      <c r="P3802" s="3">
        <v>0.43900000000000006</v>
      </c>
      <c r="Q3802" s="3">
        <v>0.82218444347381503</v>
      </c>
    </row>
    <row r="3803" spans="1:17" x14ac:dyDescent="0.45">
      <c r="A3803" s="3">
        <v>17534</v>
      </c>
      <c r="B3803" t="b">
        <v>0</v>
      </c>
      <c r="C3803" t="b">
        <v>0</v>
      </c>
      <c r="D3803" s="3">
        <v>1919</v>
      </c>
      <c r="E3803" s="3">
        <v>1919</v>
      </c>
      <c r="F3803" t="s">
        <v>1397</v>
      </c>
      <c r="G3803" t="s">
        <v>4655</v>
      </c>
      <c r="H3803" s="3">
        <v>33.351199999999999</v>
      </c>
      <c r="I3803" t="s">
        <v>761</v>
      </c>
      <c r="J3803" t="s">
        <v>14323</v>
      </c>
      <c r="K3803" s="5" t="s">
        <v>134</v>
      </c>
      <c r="L3803" t="s">
        <v>4656</v>
      </c>
      <c r="M3803" t="str">
        <f>"https://www.artic.edu/iiif/2/"&amp;Table9[[#This Row],[Image ID]]&amp;"/full/843,/0/default.jpg"</f>
        <v>https://www.artic.edu/iiif/2/f0918557-0396-daab-1f4b-c7a5c980cff1/full/843,/0/default.jpg</v>
      </c>
      <c r="N3803" s="3">
        <v>0.53700000000000003</v>
      </c>
      <c r="O3803" s="3">
        <v>9.8000000000000004E-2</v>
      </c>
      <c r="P3803" s="3">
        <v>0.43900000000000006</v>
      </c>
      <c r="Q3803" s="3">
        <v>0.82188600301742498</v>
      </c>
    </row>
    <row r="3804" spans="1:17" x14ac:dyDescent="0.45">
      <c r="A3804" s="3">
        <v>193926</v>
      </c>
      <c r="B3804" t="b">
        <v>0</v>
      </c>
      <c r="C3804" t="b">
        <v>1</v>
      </c>
      <c r="D3804" s="3">
        <v>1834</v>
      </c>
      <c r="E3804" s="3">
        <v>1834</v>
      </c>
      <c r="F3804" t="s">
        <v>5243</v>
      </c>
      <c r="G3804" t="s">
        <v>5244</v>
      </c>
      <c r="H3804" s="3">
        <v>28.901800000000001</v>
      </c>
      <c r="I3804" t="s">
        <v>14558</v>
      </c>
      <c r="J3804" t="s">
        <v>13547</v>
      </c>
      <c r="L3804" t="s">
        <v>5245</v>
      </c>
      <c r="M3804" t="str">
        <f>"https://www.artic.edu/iiif/2/"&amp;Table9[[#This Row],[Image ID]]&amp;"/full/843,/0/default.jpg"</f>
        <v>https://www.artic.edu/iiif/2/b7e9650f-fe31-1206-ec54-8b2f019b8621/full/843,/0/default.jpg</v>
      </c>
      <c r="N3804" s="3">
        <v>0.51200000000000001</v>
      </c>
      <c r="O3804" s="3">
        <v>7.2999999999999995E-2</v>
      </c>
      <c r="P3804" s="3">
        <v>0.439</v>
      </c>
      <c r="Q3804" s="3">
        <v>0.51372593641281095</v>
      </c>
    </row>
    <row r="3805" spans="1:17" x14ac:dyDescent="0.45">
      <c r="A3805" s="3">
        <v>158639</v>
      </c>
      <c r="B3805" t="b">
        <v>0</v>
      </c>
      <c r="C3805" t="b">
        <v>0</v>
      </c>
      <c r="D3805" s="3">
        <v>1982</v>
      </c>
      <c r="E3805" s="3">
        <v>1982</v>
      </c>
      <c r="F3805" t="s">
        <v>4152</v>
      </c>
      <c r="G3805" t="s">
        <v>7</v>
      </c>
      <c r="H3805" s="3">
        <v>40.343499999999999</v>
      </c>
      <c r="I3805" t="s">
        <v>4153</v>
      </c>
      <c r="J3805" t="s">
        <v>12182</v>
      </c>
      <c r="L3805" t="s">
        <v>4154</v>
      </c>
      <c r="M3805" t="str">
        <f>"https://www.artic.edu/iiif/2/"&amp;Table9[[#This Row],[Image ID]]&amp;"/full/843,/0/default.jpg"</f>
        <v>https://www.artic.edu/iiif/2/52bf8856-560d-d3cc-2d62-2a7b06e00c5e/full/843,/0/default.jpg</v>
      </c>
      <c r="N3805" s="3">
        <v>0.46300000000000002</v>
      </c>
      <c r="O3805" s="3">
        <v>2.4E-2</v>
      </c>
      <c r="P3805" s="3">
        <v>0.439</v>
      </c>
      <c r="Q3805" s="3">
        <v>0.80915570259094205</v>
      </c>
    </row>
    <row r="3806" spans="1:17" x14ac:dyDescent="0.45">
      <c r="A3806" s="3">
        <v>10949</v>
      </c>
      <c r="B3806" t="b">
        <v>0</v>
      </c>
      <c r="C3806" t="b">
        <v>0</v>
      </c>
      <c r="D3806" s="3">
        <v>1927</v>
      </c>
      <c r="E3806" s="3">
        <v>1932</v>
      </c>
      <c r="F3806" t="s">
        <v>816</v>
      </c>
      <c r="G3806" t="s">
        <v>817</v>
      </c>
      <c r="H3806" s="3">
        <v>27.7378</v>
      </c>
      <c r="I3806" t="s">
        <v>70</v>
      </c>
      <c r="J3806" t="s">
        <v>12507</v>
      </c>
      <c r="L3806" t="s">
        <v>818</v>
      </c>
      <c r="M3806" t="str">
        <f>"https://www.artic.edu/iiif/2/"&amp;Table9[[#This Row],[Image ID]]&amp;"/full/843,/0/default.jpg"</f>
        <v>https://www.artic.edu/iiif/2/696e8325-f66a-7804-2962-3d37961e2d39/full/843,/0/default.jpg</v>
      </c>
      <c r="N3806" s="3">
        <v>0.51200000000000001</v>
      </c>
      <c r="O3806" s="3">
        <v>7.2999999999999995E-2</v>
      </c>
      <c r="P3806" s="3">
        <v>0.439</v>
      </c>
      <c r="Q3806" s="3">
        <v>0.63687467575073198</v>
      </c>
    </row>
    <row r="3807" spans="1:17" x14ac:dyDescent="0.45">
      <c r="A3807" s="3">
        <v>104281</v>
      </c>
      <c r="B3807" t="b">
        <v>0</v>
      </c>
      <c r="C3807" t="b">
        <v>0</v>
      </c>
      <c r="D3807" s="3">
        <v>1984</v>
      </c>
      <c r="E3807" s="3">
        <v>1984</v>
      </c>
      <c r="F3807" t="s">
        <v>429</v>
      </c>
      <c r="G3807" t="s">
        <v>59</v>
      </c>
      <c r="H3807" s="3">
        <v>47.329099999999997</v>
      </c>
      <c r="I3807" t="s">
        <v>430</v>
      </c>
      <c r="J3807" t="s">
        <v>11283</v>
      </c>
      <c r="L3807" t="s">
        <v>431</v>
      </c>
      <c r="M3807" t="str">
        <f>"https://www.artic.edu/iiif/2/"&amp;Table9[[#This Row],[Image ID]]&amp;"/full/843,/0/default.jpg"</f>
        <v>https://www.artic.edu/iiif/2/9f58fbdd-a5fb-ac05-b9a0-376c32cf16ed/full/843,/0/default.jpg</v>
      </c>
      <c r="N3807" s="3">
        <v>0.46300000000000002</v>
      </c>
      <c r="O3807" s="3">
        <v>2.4E-2</v>
      </c>
      <c r="P3807" s="3">
        <v>0.439</v>
      </c>
      <c r="Q3807" s="3">
        <v>0.75532776117324796</v>
      </c>
    </row>
    <row r="3808" spans="1:17" x14ac:dyDescent="0.45">
      <c r="A3808" s="3">
        <v>240218</v>
      </c>
      <c r="B3808" t="b">
        <v>0</v>
      </c>
      <c r="C3808" t="b">
        <v>0</v>
      </c>
      <c r="D3808" s="3">
        <v>1965</v>
      </c>
      <c r="E3808" s="3">
        <v>1965</v>
      </c>
      <c r="F3808" t="s">
        <v>6361</v>
      </c>
      <c r="G3808" t="s">
        <v>5901</v>
      </c>
      <c r="H3808" s="3">
        <v>25.064699999999998</v>
      </c>
      <c r="I3808" t="s">
        <v>6362</v>
      </c>
      <c r="J3808" t="s">
        <v>14279</v>
      </c>
      <c r="L3808" t="s">
        <v>6363</v>
      </c>
      <c r="M3808" t="str">
        <f>"https://www.artic.edu/iiif/2/"&amp;Table9[[#This Row],[Image ID]]&amp;"/full/843,/0/default.jpg"</f>
        <v>https://www.artic.edu/iiif/2/ed9f694d-2a01-71ff-7a79-9100446ec3e3/full/843,/0/default.jpg</v>
      </c>
      <c r="N3808" s="3">
        <v>0.46300000000000002</v>
      </c>
      <c r="O3808" s="3">
        <v>2.4E-2</v>
      </c>
      <c r="P3808" s="3">
        <v>0.439</v>
      </c>
      <c r="Q3808" s="3">
        <v>0.627227783203125</v>
      </c>
    </row>
    <row r="3809" spans="1:17" x14ac:dyDescent="0.45">
      <c r="A3809" s="3">
        <v>159086</v>
      </c>
      <c r="B3809" t="b">
        <v>0</v>
      </c>
      <c r="C3809" t="b">
        <v>1</v>
      </c>
      <c r="D3809" s="3">
        <v>1894</v>
      </c>
      <c r="E3809" s="3">
        <v>1894</v>
      </c>
      <c r="F3809" t="s">
        <v>4197</v>
      </c>
      <c r="G3809" t="s">
        <v>4198</v>
      </c>
      <c r="H3809" s="3">
        <v>48.581200000000003</v>
      </c>
      <c r="I3809" t="s">
        <v>872</v>
      </c>
      <c r="J3809" t="s">
        <v>11052</v>
      </c>
      <c r="L3809" t="s">
        <v>4199</v>
      </c>
      <c r="M3809" t="str">
        <f>"https://www.artic.edu/iiif/2/"&amp;Table9[[#This Row],[Image ID]]&amp;"/full/843,/0/default.jpg"</f>
        <v>https://www.artic.edu/iiif/2/054394fd-9e62-440b-2248-7d3feca191d5/full/843,/0/default.jpg</v>
      </c>
      <c r="N3809" s="3">
        <v>0.58499999999999996</v>
      </c>
      <c r="O3809" s="3">
        <v>0.14599999999999999</v>
      </c>
      <c r="P3809" s="3">
        <v>0.43899999999999995</v>
      </c>
      <c r="Q3809" s="3">
        <v>0.75660365819930997</v>
      </c>
    </row>
    <row r="3810" spans="1:17" x14ac:dyDescent="0.45">
      <c r="A3810" s="3">
        <v>58984</v>
      </c>
      <c r="B3810" t="b">
        <v>0</v>
      </c>
      <c r="C3810" t="b">
        <v>1</v>
      </c>
      <c r="D3810" s="3">
        <v>1870</v>
      </c>
      <c r="E3810" s="3">
        <v>1880</v>
      </c>
      <c r="F3810" t="s">
        <v>8538</v>
      </c>
      <c r="G3810" t="s">
        <v>7</v>
      </c>
      <c r="H3810" s="3">
        <v>23.929099999999998</v>
      </c>
      <c r="I3810" t="s">
        <v>3452</v>
      </c>
      <c r="J3810" t="s">
        <v>11620</v>
      </c>
      <c r="K3810" s="5" t="s">
        <v>9</v>
      </c>
      <c r="L3810" t="s">
        <v>8539</v>
      </c>
      <c r="M3810" t="str">
        <f>"https://www.artic.edu/iiif/2/"&amp;Table9[[#This Row],[Image ID]]&amp;"/full/843,/0/default.jpg"</f>
        <v>https://www.artic.edu/iiif/2/2bcffdac-951e-569f-8f05-f4c8e4228302/full/843,/0/default.jpg</v>
      </c>
      <c r="N3810" s="3">
        <v>0.58499999999999996</v>
      </c>
      <c r="O3810" s="3">
        <v>0.14599999999999999</v>
      </c>
      <c r="P3810" s="3">
        <v>0.43899999999999995</v>
      </c>
      <c r="Q3810" s="3">
        <v>0.50906527042388905</v>
      </c>
    </row>
    <row r="3811" spans="1:17" x14ac:dyDescent="0.45">
      <c r="A3811" s="3">
        <v>114337</v>
      </c>
      <c r="B3811" t="b">
        <v>0</v>
      </c>
      <c r="C3811" t="b">
        <v>1</v>
      </c>
      <c r="D3811" s="3">
        <v>1825</v>
      </c>
      <c r="E3811" s="3">
        <v>1835</v>
      </c>
      <c r="F3811" t="s">
        <v>1643</v>
      </c>
      <c r="G3811" t="s">
        <v>1644</v>
      </c>
      <c r="H3811" s="3">
        <v>37.496400000000001</v>
      </c>
      <c r="I3811" t="s">
        <v>1645</v>
      </c>
      <c r="J3811" t="s">
        <v>12971</v>
      </c>
      <c r="L3811" t="s">
        <v>1646</v>
      </c>
      <c r="M3811" t="str">
        <f>"https://www.artic.edu/iiif/2/"&amp;Table9[[#This Row],[Image ID]]&amp;"/full/843,/0/default.jpg"</f>
        <v>https://www.artic.edu/iiif/2/8bb8dff1-90ab-0136-b5be-b8cfdf445ec1/full/843,/0/default.jpg</v>
      </c>
      <c r="N3811" s="3">
        <v>0.58499999999999996</v>
      </c>
      <c r="O3811" s="3">
        <v>0.14599999999999999</v>
      </c>
      <c r="P3811" s="3">
        <v>0.43899999999999995</v>
      </c>
      <c r="Q3811" s="3">
        <v>0.52753698825836104</v>
      </c>
    </row>
    <row r="3812" spans="1:17" x14ac:dyDescent="0.45">
      <c r="A3812" s="3">
        <v>26684</v>
      </c>
      <c r="B3812" t="b">
        <v>0</v>
      </c>
      <c r="C3812" t="b">
        <v>1</v>
      </c>
      <c r="D3812" s="3">
        <v>1868</v>
      </c>
      <c r="E3812" s="3">
        <v>1868</v>
      </c>
      <c r="F3812" t="s">
        <v>6686</v>
      </c>
      <c r="G3812" t="s">
        <v>6687</v>
      </c>
      <c r="H3812" s="3">
        <v>17.724599999999999</v>
      </c>
      <c r="I3812" t="s">
        <v>2877</v>
      </c>
      <c r="J3812" t="s">
        <v>13621</v>
      </c>
      <c r="L3812" t="s">
        <v>6688</v>
      </c>
      <c r="M3812" t="str">
        <f>"https://www.artic.edu/iiif/2/"&amp;Table9[[#This Row],[Image ID]]&amp;"/full/843,/0/default.jpg"</f>
        <v>https://www.artic.edu/iiif/2/be1006e2-e77f-3344-4b26-59d78fde58dd/full/843,/0/default.jpg</v>
      </c>
      <c r="N3812" s="3">
        <v>0.61</v>
      </c>
      <c r="O3812" s="3">
        <v>0.17100000000000001</v>
      </c>
      <c r="P3812" s="3">
        <v>0.43899999999999995</v>
      </c>
      <c r="Q3812" s="3">
        <v>0.58751714229583696</v>
      </c>
    </row>
    <row r="3813" spans="1:17" x14ac:dyDescent="0.45">
      <c r="A3813" s="3">
        <v>81557</v>
      </c>
      <c r="B3813" t="b">
        <v>0</v>
      </c>
      <c r="C3813" t="b">
        <v>1</v>
      </c>
      <c r="D3813" s="3">
        <v>1879</v>
      </c>
      <c r="E3813" s="3">
        <v>1879</v>
      </c>
      <c r="F3813" t="s">
        <v>2445</v>
      </c>
      <c r="G3813" t="s">
        <v>7</v>
      </c>
      <c r="H3813" s="3">
        <v>34.978700000000003</v>
      </c>
      <c r="I3813" t="s">
        <v>8</v>
      </c>
      <c r="J3813" t="s">
        <v>13786</v>
      </c>
      <c r="K3813" s="5" t="s">
        <v>9</v>
      </c>
      <c r="L3813" t="s">
        <v>10137</v>
      </c>
      <c r="M3813" t="str">
        <f>"https://www.artic.edu/iiif/2/"&amp;Table9[[#This Row],[Image ID]]&amp;"/full/843,/0/default.jpg"</f>
        <v>https://www.artic.edu/iiif/2/caf4fa39-e2e8-344a-542c-2d9a03ec9d4b/full/843,/0/default.jpg</v>
      </c>
      <c r="N3813" s="3">
        <v>0.58499999999999996</v>
      </c>
      <c r="O3813" s="3">
        <v>0.14599999999999999</v>
      </c>
      <c r="P3813" s="3">
        <v>0.43899999999999995</v>
      </c>
      <c r="Q3813" s="3">
        <v>0.58227485418319702</v>
      </c>
    </row>
    <row r="3814" spans="1:17" x14ac:dyDescent="0.45">
      <c r="A3814" s="3">
        <v>17540</v>
      </c>
      <c r="B3814" t="b">
        <v>0</v>
      </c>
      <c r="C3814" t="b">
        <v>0</v>
      </c>
      <c r="D3814" s="3">
        <v>1921</v>
      </c>
      <c r="E3814" s="3">
        <v>1940</v>
      </c>
      <c r="F3814" t="s">
        <v>3026</v>
      </c>
      <c r="G3814" t="s">
        <v>4660</v>
      </c>
      <c r="H3814" s="3">
        <v>41.8416</v>
      </c>
      <c r="I3814" t="s">
        <v>40</v>
      </c>
      <c r="J3814" t="s">
        <v>12227</v>
      </c>
      <c r="L3814" t="s">
        <v>4661</v>
      </c>
      <c r="M3814" t="str">
        <f>"https://www.artic.edu/iiif/2/"&amp;Table9[[#This Row],[Image ID]]&amp;"/full/843,/0/default.jpg"</f>
        <v>https://www.artic.edu/iiif/2/5598eee1-6583-fce8-ae73-39b11b767321/full/843,/0/default.jpg</v>
      </c>
      <c r="N3814" s="3">
        <v>0.61</v>
      </c>
      <c r="O3814" s="3">
        <v>0.17100000000000001</v>
      </c>
      <c r="P3814" s="3">
        <v>0.43899999999999995</v>
      </c>
      <c r="Q3814" s="3">
        <v>0.76407784223556496</v>
      </c>
    </row>
    <row r="3815" spans="1:17" x14ac:dyDescent="0.45">
      <c r="A3815" s="3">
        <v>118761</v>
      </c>
      <c r="B3815" t="b">
        <v>0</v>
      </c>
      <c r="C3815" t="b">
        <v>0</v>
      </c>
      <c r="D3815" s="3">
        <v>1937</v>
      </c>
      <c r="E3815" s="3">
        <v>1937</v>
      </c>
      <c r="F3815" t="s">
        <v>2561</v>
      </c>
      <c r="G3815" t="s">
        <v>2562</v>
      </c>
      <c r="H3815" s="3">
        <v>45.337800000000001</v>
      </c>
      <c r="I3815" t="s">
        <v>4769</v>
      </c>
      <c r="J3815" t="s">
        <v>13252</v>
      </c>
      <c r="L3815" t="s">
        <v>2563</v>
      </c>
      <c r="M3815" t="str">
        <f>"https://www.artic.edu/iiif/2/"&amp;Table9[[#This Row],[Image ID]]&amp;"/full/843,/0/default.jpg"</f>
        <v>https://www.artic.edu/iiif/2/a1bfab10-acb0-f786-7864-cefb6718e246/full/843,/0/default.jpg</v>
      </c>
      <c r="N3815" s="3">
        <v>0.54500000000000004</v>
      </c>
      <c r="O3815" s="3">
        <v>0.114</v>
      </c>
      <c r="P3815" s="3">
        <v>0.43100000000000005</v>
      </c>
      <c r="Q3815" s="3">
        <v>0.76359534263610795</v>
      </c>
    </row>
    <row r="3816" spans="1:17" x14ac:dyDescent="0.45">
      <c r="A3816" s="3">
        <v>46321</v>
      </c>
      <c r="B3816" t="b">
        <v>0</v>
      </c>
      <c r="C3816" t="b">
        <v>1</v>
      </c>
      <c r="D3816" s="3">
        <v>1895</v>
      </c>
      <c r="E3816" s="3">
        <v>1895</v>
      </c>
      <c r="F3816" t="s">
        <v>7893</v>
      </c>
      <c r="G3816" t="s">
        <v>7</v>
      </c>
      <c r="H3816" s="3">
        <v>22.881799999999998</v>
      </c>
      <c r="I3816" t="s">
        <v>7894</v>
      </c>
      <c r="J3816" t="s">
        <v>12683</v>
      </c>
      <c r="K3816" s="5" t="s">
        <v>9</v>
      </c>
      <c r="L3816" t="s">
        <v>7895</v>
      </c>
      <c r="M3816" t="str">
        <f>"https://www.artic.edu/iiif/2/"&amp;Table9[[#This Row],[Image ID]]&amp;"/full/843,/0/default.jpg"</f>
        <v>https://www.artic.edu/iiif/2/75d767b8-38ca-42af-ef70-f5960a7e86e7/full/843,/0/default.jpg</v>
      </c>
      <c r="N3816" s="3">
        <v>0.625</v>
      </c>
      <c r="O3816" s="3">
        <v>0.19500000000000001</v>
      </c>
      <c r="P3816" s="3">
        <v>0.43</v>
      </c>
      <c r="Q3816" s="3">
        <v>0.49533474445343001</v>
      </c>
    </row>
    <row r="3817" spans="1:17" x14ac:dyDescent="0.45">
      <c r="A3817" s="3">
        <v>28077</v>
      </c>
      <c r="B3817" t="b">
        <v>0</v>
      </c>
      <c r="C3817" t="b">
        <v>0</v>
      </c>
      <c r="D3817" s="3">
        <v>1897</v>
      </c>
      <c r="E3817" s="3">
        <v>1926</v>
      </c>
      <c r="F3817" t="s">
        <v>6778</v>
      </c>
      <c r="G3817" t="s">
        <v>6779</v>
      </c>
      <c r="H3817" s="3">
        <v>28.7531</v>
      </c>
      <c r="I3817" t="s">
        <v>184</v>
      </c>
      <c r="J3817" t="s">
        <v>11796</v>
      </c>
      <c r="L3817" t="s">
        <v>6780</v>
      </c>
      <c r="M3817" t="str">
        <f>"https://www.artic.edu/iiif/2/"&amp;Table9[[#This Row],[Image ID]]&amp;"/full/843,/0/default.jpg"</f>
        <v>https://www.artic.edu/iiif/2/38ab393b-d731-a862-76fa-f3f7935f97e9/full/843,/0/default.jpg</v>
      </c>
      <c r="N3817" s="3">
        <v>0.52400000000000002</v>
      </c>
      <c r="O3817" s="3">
        <v>9.5000000000000001E-2</v>
      </c>
      <c r="P3817" s="3">
        <v>0.42900000000000005</v>
      </c>
      <c r="Q3817" s="3">
        <v>0.81258457899093595</v>
      </c>
    </row>
    <row r="3818" spans="1:17" x14ac:dyDescent="0.45">
      <c r="A3818" s="3">
        <v>53498</v>
      </c>
      <c r="B3818" t="b">
        <v>0</v>
      </c>
      <c r="C3818" t="b">
        <v>0</v>
      </c>
      <c r="D3818" s="3">
        <v>1840</v>
      </c>
      <c r="E3818" s="3">
        <v>1910</v>
      </c>
      <c r="F3818" t="s">
        <v>8268</v>
      </c>
      <c r="G3818" t="s">
        <v>8269</v>
      </c>
      <c r="H3818" s="3">
        <v>24.482500000000002</v>
      </c>
      <c r="I3818" t="s">
        <v>8270</v>
      </c>
      <c r="J3818" t="s">
        <v>12222</v>
      </c>
      <c r="L3818" t="s">
        <v>8271</v>
      </c>
      <c r="M3818" t="str">
        <f>"https://www.artic.edu/iiif/2/"&amp;Table9[[#This Row],[Image ID]]&amp;"/full/843,/0/default.jpg"</f>
        <v>https://www.artic.edu/iiif/2/55322641-0860-783e-6fb0-d5aa90a0b1a6/full/843,/0/default.jpg</v>
      </c>
      <c r="N3818" s="3">
        <v>0.64300000000000002</v>
      </c>
      <c r="O3818" s="3">
        <v>0.214</v>
      </c>
      <c r="P3818" s="3">
        <v>0.42900000000000005</v>
      </c>
      <c r="Q3818" s="3">
        <v>0.61669504642486495</v>
      </c>
    </row>
    <row r="3819" spans="1:17" x14ac:dyDescent="0.45">
      <c r="A3819" s="3">
        <v>16473</v>
      </c>
      <c r="B3819" t="b">
        <v>0</v>
      </c>
      <c r="C3819" t="b">
        <v>1</v>
      </c>
      <c r="D3819" s="3">
        <v>1899</v>
      </c>
      <c r="E3819" s="3">
        <v>1899</v>
      </c>
      <c r="F3819" t="s">
        <v>4440</v>
      </c>
      <c r="G3819" t="s">
        <v>7</v>
      </c>
      <c r="H3819" s="3">
        <v>31.442499999999999</v>
      </c>
      <c r="I3819" t="s">
        <v>4441</v>
      </c>
      <c r="J3819" t="s">
        <v>12282</v>
      </c>
      <c r="L3819" t="s">
        <v>4442</v>
      </c>
      <c r="M3819" t="str">
        <f>"https://www.artic.edu/iiif/2/"&amp;Table9[[#This Row],[Image ID]]&amp;"/full/843,/0/default.jpg"</f>
        <v>https://www.artic.edu/iiif/2/5965fe15-d8fa-3f39-031d-bb4a231560e0/full/843,/0/default.jpg</v>
      </c>
      <c r="N3819" s="3">
        <v>0.5</v>
      </c>
      <c r="O3819" s="3">
        <v>7.0999999999999994E-2</v>
      </c>
      <c r="P3819" s="3">
        <v>0.42899999999999999</v>
      </c>
      <c r="Q3819" s="3">
        <v>0.66384679079055697</v>
      </c>
    </row>
    <row r="3820" spans="1:17" x14ac:dyDescent="0.45">
      <c r="A3820" s="3">
        <v>111062</v>
      </c>
      <c r="B3820" t="b">
        <v>0</v>
      </c>
      <c r="C3820" t="b">
        <v>1</v>
      </c>
      <c r="D3820" s="3">
        <v>1891</v>
      </c>
      <c r="E3820" s="3">
        <v>1891</v>
      </c>
      <c r="F3820" t="s">
        <v>1020</v>
      </c>
      <c r="G3820" t="s">
        <v>1021</v>
      </c>
      <c r="H3820" s="3">
        <v>39.837200000000003</v>
      </c>
      <c r="I3820" t="s">
        <v>872</v>
      </c>
      <c r="J3820" t="s">
        <v>13041</v>
      </c>
      <c r="K3820" s="5" t="s">
        <v>115</v>
      </c>
      <c r="L3820" t="s">
        <v>1022</v>
      </c>
      <c r="M3820" t="str">
        <f>"https://www.artic.edu/iiif/2/"&amp;Table9[[#This Row],[Image ID]]&amp;"/full/843,/0/default.jpg"</f>
        <v>https://www.artic.edu/iiif/2/916405d1-1407-d90e-1be8-f8c77f26f546/full/843,/0/default.jpg</v>
      </c>
      <c r="N3820" s="3">
        <v>0.5</v>
      </c>
      <c r="O3820" s="3">
        <v>7.0999999999999994E-2</v>
      </c>
      <c r="P3820" s="3">
        <v>0.42899999999999999</v>
      </c>
      <c r="Q3820" s="3">
        <v>0.44866055250167802</v>
      </c>
    </row>
    <row r="3821" spans="1:17" x14ac:dyDescent="0.45">
      <c r="A3821" s="3">
        <v>16156</v>
      </c>
      <c r="B3821" t="b">
        <v>0</v>
      </c>
      <c r="C3821" t="b">
        <v>1</v>
      </c>
      <c r="D3821" s="3">
        <v>1455</v>
      </c>
      <c r="E3821" s="3">
        <v>1460</v>
      </c>
      <c r="F3821" t="s">
        <v>4269</v>
      </c>
      <c r="G3821" t="s">
        <v>103</v>
      </c>
      <c r="H3821" s="3">
        <v>33.321800000000003</v>
      </c>
      <c r="I3821" t="s">
        <v>4270</v>
      </c>
      <c r="J3821" t="s">
        <v>14205</v>
      </c>
      <c r="L3821" t="s">
        <v>4271</v>
      </c>
      <c r="M3821" t="str">
        <f>"https://www.artic.edu/iiif/2/"&amp;Table9[[#This Row],[Image ID]]&amp;"/full/843,/0/default.jpg"</f>
        <v>https://www.artic.edu/iiif/2/e8d8a10a-0a24-6029-4fdc-3e59caaac457/full/843,/0/default.jpg</v>
      </c>
      <c r="N3821" s="3">
        <v>0.5</v>
      </c>
      <c r="O3821" s="3">
        <v>7.0999999999999994E-2</v>
      </c>
      <c r="P3821" s="3">
        <v>0.42899999999999999</v>
      </c>
      <c r="Q3821" s="3">
        <v>0.660935759544372</v>
      </c>
    </row>
    <row r="3822" spans="1:17" x14ac:dyDescent="0.45">
      <c r="A3822" s="3">
        <v>90984</v>
      </c>
      <c r="B3822" t="b">
        <v>0</v>
      </c>
      <c r="C3822" t="b">
        <v>0</v>
      </c>
      <c r="D3822" s="3">
        <v>1960</v>
      </c>
      <c r="E3822" s="3">
        <v>1960</v>
      </c>
      <c r="F3822" t="s">
        <v>11</v>
      </c>
      <c r="G3822" t="s">
        <v>7</v>
      </c>
      <c r="H3822" s="3">
        <v>54.3125</v>
      </c>
      <c r="I3822" t="s">
        <v>3510</v>
      </c>
      <c r="J3822" t="s">
        <v>11346</v>
      </c>
      <c r="L3822" t="s">
        <v>10561</v>
      </c>
      <c r="M3822" t="str">
        <f>"https://www.artic.edu/iiif/2/"&amp;Table9[[#This Row],[Image ID]]&amp;"/full/843,/0/default.jpg"</f>
        <v>https://www.artic.edu/iiif/2/1b3e9a14-4deb-2b0a-6ee6-54ca60c0383f/full/843,/0/default.jpg</v>
      </c>
      <c r="N3822" s="3">
        <v>0.5</v>
      </c>
      <c r="O3822" s="3">
        <v>7.0999999999999994E-2</v>
      </c>
      <c r="P3822" s="3">
        <v>0.42899999999999999</v>
      </c>
      <c r="Q3822" s="3">
        <v>0.58400630950927701</v>
      </c>
    </row>
    <row r="3823" spans="1:17" x14ac:dyDescent="0.45">
      <c r="A3823" s="3">
        <v>27977</v>
      </c>
      <c r="B3823" t="b">
        <v>0</v>
      </c>
      <c r="C3823" t="b">
        <v>0</v>
      </c>
      <c r="D3823" s="3">
        <v>1910</v>
      </c>
      <c r="E3823" s="3">
        <v>1910</v>
      </c>
      <c r="F3823" t="s">
        <v>6768</v>
      </c>
      <c r="G3823" t="s">
        <v>6769</v>
      </c>
      <c r="H3823" s="3">
        <v>50.513199999999998</v>
      </c>
      <c r="I3823" t="s">
        <v>949</v>
      </c>
      <c r="J3823" t="s">
        <v>13965</v>
      </c>
      <c r="L3823" t="s">
        <v>6770</v>
      </c>
      <c r="M3823" t="str">
        <f>"https://www.artic.edu/iiif/2/"&amp;Table9[[#This Row],[Image ID]]&amp;"/full/843,/0/default.jpg"</f>
        <v>https://www.artic.edu/iiif/2/d8f50197-8976-671b-9714-da126ec50ad3/full/843,/0/default.jpg</v>
      </c>
      <c r="N3823" s="3">
        <v>0.5</v>
      </c>
      <c r="O3823" s="3">
        <v>7.0999999999999994E-2</v>
      </c>
      <c r="P3823" s="3">
        <v>0.42899999999999999</v>
      </c>
      <c r="Q3823" s="3">
        <v>0.67710900306701605</v>
      </c>
    </row>
    <row r="3824" spans="1:17" x14ac:dyDescent="0.45">
      <c r="A3824" s="3">
        <v>44010</v>
      </c>
      <c r="B3824" t="b">
        <v>0</v>
      </c>
      <c r="C3824" t="b">
        <v>1</v>
      </c>
      <c r="D3824" s="3">
        <v>1823</v>
      </c>
      <c r="E3824" s="3">
        <v>1869</v>
      </c>
      <c r="F3824" t="s">
        <v>7744</v>
      </c>
      <c r="G3824" t="s">
        <v>7745</v>
      </c>
      <c r="H3824" s="3">
        <v>35.622399999999999</v>
      </c>
      <c r="I3824" t="s">
        <v>3729</v>
      </c>
      <c r="J3824" t="s">
        <v>11018</v>
      </c>
      <c r="L3824" t="s">
        <v>7746</v>
      </c>
      <c r="M3824" t="str">
        <f>"https://www.artic.edu/iiif/2/"&amp;Table9[[#This Row],[Image ID]]&amp;"/full/843,/0/default.jpg"</f>
        <v>https://www.artic.edu/iiif/2/0344689e-0b2d-ab79-335e-818522c63ad7/full/843,/0/default.jpg</v>
      </c>
      <c r="N3824" s="3">
        <v>0.6</v>
      </c>
      <c r="O3824" s="3">
        <v>0.17100000000000001</v>
      </c>
      <c r="P3824" s="3">
        <v>0.42899999999999994</v>
      </c>
      <c r="Q3824" s="3">
        <v>0.54854947328567505</v>
      </c>
    </row>
    <row r="3825" spans="1:17" x14ac:dyDescent="0.45">
      <c r="A3825" s="3">
        <v>59979</v>
      </c>
      <c r="B3825" t="b">
        <v>0</v>
      </c>
      <c r="C3825" t="b">
        <v>0</v>
      </c>
      <c r="D3825" s="3">
        <v>1901</v>
      </c>
      <c r="E3825" s="3">
        <v>1911</v>
      </c>
      <c r="F3825" t="s">
        <v>8673</v>
      </c>
      <c r="G3825" t="s">
        <v>8674</v>
      </c>
      <c r="H3825" s="3">
        <v>40.075699999999998</v>
      </c>
      <c r="I3825" t="s">
        <v>14637</v>
      </c>
      <c r="J3825" t="s">
        <v>13651</v>
      </c>
      <c r="L3825" t="s">
        <v>8675</v>
      </c>
      <c r="M3825" t="str">
        <f>"https://www.artic.edu/iiif/2/"&amp;Table9[[#This Row],[Image ID]]&amp;"/full/843,/0/default.jpg"</f>
        <v>https://www.artic.edu/iiif/2/c0230fcf-364c-a11e-85e7-f9ed106bd4cc/full/843,/0/default.jpg</v>
      </c>
      <c r="N3825" s="3">
        <v>0.55000000000000004</v>
      </c>
      <c r="O3825" s="3">
        <v>0.122</v>
      </c>
      <c r="P3825" s="3">
        <v>0.42800000000000005</v>
      </c>
      <c r="Q3825" s="3">
        <v>0.67480689287185602</v>
      </c>
    </row>
    <row r="3826" spans="1:17" x14ac:dyDescent="0.45">
      <c r="A3826" s="3">
        <v>65893</v>
      </c>
      <c r="B3826" t="b">
        <v>0</v>
      </c>
      <c r="C3826" t="b">
        <v>0</v>
      </c>
      <c r="D3826" s="3">
        <v>1936</v>
      </c>
      <c r="E3826" s="3">
        <v>1936</v>
      </c>
      <c r="F3826" t="s">
        <v>9086</v>
      </c>
      <c r="G3826" t="s">
        <v>7</v>
      </c>
      <c r="H3826" s="3">
        <v>29.143599999999999</v>
      </c>
      <c r="I3826" t="s">
        <v>1430</v>
      </c>
      <c r="J3826" t="s">
        <v>14477</v>
      </c>
      <c r="K3826" s="5" t="s">
        <v>45</v>
      </c>
      <c r="L3826" t="s">
        <v>9087</v>
      </c>
      <c r="M3826" t="str">
        <f>"https://www.artic.edu/iiif/2/"&amp;Table9[[#This Row],[Image ID]]&amp;"/full/843,/0/default.jpg"</f>
        <v>https://www.artic.edu/iiif/2/fbb0cd34-bca0-661f-157e-7b352427bdc1/full/843,/0/default.jpg</v>
      </c>
      <c r="N3826" s="3">
        <v>0.45200000000000001</v>
      </c>
      <c r="O3826" s="3">
        <v>2.4E-2</v>
      </c>
      <c r="P3826" s="3">
        <v>0.42799999999999999</v>
      </c>
      <c r="Q3826" s="3">
        <v>0.74921673536300604</v>
      </c>
    </row>
    <row r="3827" spans="1:17" x14ac:dyDescent="0.45">
      <c r="A3827" s="3">
        <v>17458</v>
      </c>
      <c r="B3827" t="b">
        <v>0</v>
      </c>
      <c r="C3827" t="b">
        <v>0</v>
      </c>
      <c r="D3827" s="3">
        <v>1962</v>
      </c>
      <c r="E3827" s="3">
        <v>1962</v>
      </c>
      <c r="F3827" t="s">
        <v>4650</v>
      </c>
      <c r="G3827" t="s">
        <v>4651</v>
      </c>
      <c r="H3827" s="3">
        <v>21.860199999999999</v>
      </c>
      <c r="I3827" t="s">
        <v>3329</v>
      </c>
      <c r="J3827" t="s">
        <v>13214</v>
      </c>
      <c r="L3827" t="s">
        <v>4652</v>
      </c>
      <c r="M3827" t="str">
        <f>"https://www.artic.edu/iiif/2/"&amp;Table9[[#This Row],[Image ID]]&amp;"/full/843,/0/default.jpg"</f>
        <v>https://www.artic.edu/iiif/2/9e3f5120-80d7-cfae-42f7-a97e6ffe0987/full/843,/0/default.jpg</v>
      </c>
      <c r="N3827" s="3">
        <v>0.52500000000000002</v>
      </c>
      <c r="O3827" s="3">
        <v>9.8000000000000004E-2</v>
      </c>
      <c r="P3827" s="3">
        <v>0.42700000000000005</v>
      </c>
      <c r="Q3827" s="3">
        <v>0.73745203018188399</v>
      </c>
    </row>
    <row r="3828" spans="1:17" x14ac:dyDescent="0.45">
      <c r="A3828" s="3">
        <v>115887</v>
      </c>
      <c r="B3828" t="b">
        <v>0</v>
      </c>
      <c r="C3828" t="b">
        <v>1</v>
      </c>
      <c r="D3828" s="3">
        <v>1700</v>
      </c>
      <c r="E3828" s="3">
        <v>1799</v>
      </c>
      <c r="F3828" t="s">
        <v>2183</v>
      </c>
      <c r="G3828" t="s">
        <v>2184</v>
      </c>
      <c r="H3828" s="3">
        <v>36.284199999999998</v>
      </c>
      <c r="I3828" t="s">
        <v>16</v>
      </c>
      <c r="J3828" t="s">
        <v>2186</v>
      </c>
      <c r="L3828" t="s">
        <v>2185</v>
      </c>
      <c r="M3828" t="str">
        <f>"https://www.artic.edu/iiif/2/"&amp;Table9[[#This Row],[Image ID]]&amp;"/full/843,/0/default.jpg"</f>
        <v>https://www.artic.edu/iiif/2/18b48516-6fbd-6458-1400-b2235bf2333e/full/843,/0/default.jpg</v>
      </c>
      <c r="N3828" s="3">
        <v>0.5</v>
      </c>
      <c r="O3828" s="3">
        <v>7.2999999999999995E-2</v>
      </c>
      <c r="P3828" s="3">
        <v>0.42699999999999999</v>
      </c>
      <c r="Q3828" s="3">
        <v>0.80856531858444203</v>
      </c>
    </row>
    <row r="3829" spans="1:17" x14ac:dyDescent="0.45">
      <c r="A3829" s="3">
        <v>114748</v>
      </c>
      <c r="B3829" t="b">
        <v>0</v>
      </c>
      <c r="C3829" t="b">
        <v>1</v>
      </c>
      <c r="D3829" s="3">
        <v>1849</v>
      </c>
      <c r="E3829" s="3">
        <v>1849</v>
      </c>
      <c r="F3829" t="s">
        <v>1721</v>
      </c>
      <c r="G3829" t="s">
        <v>1722</v>
      </c>
      <c r="H3829" s="3">
        <v>31.069800000000001</v>
      </c>
      <c r="I3829" t="s">
        <v>1723</v>
      </c>
      <c r="J3829" t="s">
        <v>12308</v>
      </c>
      <c r="L3829" t="s">
        <v>1724</v>
      </c>
      <c r="M3829" t="str">
        <f>"https://www.artic.edu/iiif/2/"&amp;Table9[[#This Row],[Image ID]]&amp;"/full/843,/0/default.jpg"</f>
        <v>https://www.artic.edu/iiif/2/5b1b8ee5-0556-9bab-bb70-26387af81da3/full/843,/0/default.jpg</v>
      </c>
      <c r="N3829" s="3">
        <v>0.52500000000000002</v>
      </c>
      <c r="O3829" s="3">
        <v>0.1</v>
      </c>
      <c r="P3829" s="3">
        <v>0.42500000000000004</v>
      </c>
      <c r="Q3829" s="3">
        <v>0.72539645433425903</v>
      </c>
    </row>
    <row r="3830" spans="1:17" x14ac:dyDescent="0.45">
      <c r="A3830" s="3">
        <v>115197</v>
      </c>
      <c r="B3830" t="b">
        <v>0</v>
      </c>
      <c r="C3830" t="b">
        <v>1</v>
      </c>
      <c r="D3830" s="3">
        <v>1843</v>
      </c>
      <c r="E3830" s="3">
        <v>1843</v>
      </c>
      <c r="F3830" t="s">
        <v>1839</v>
      </c>
      <c r="G3830" t="s">
        <v>1832</v>
      </c>
      <c r="H3830" s="3">
        <v>19.101900000000001</v>
      </c>
      <c r="I3830" t="s">
        <v>1555</v>
      </c>
      <c r="J3830" t="s">
        <v>11010</v>
      </c>
      <c r="L3830" t="s">
        <v>1840</v>
      </c>
      <c r="M3830" t="str">
        <f>"https://www.artic.edu/iiif/2/"&amp;Table9[[#This Row],[Image ID]]&amp;"/full/843,/0/default.jpg"</f>
        <v>https://www.artic.edu/iiif/2/85aa3890-b670-ca2e-c3b9-0384decf89fb/full/843,/0/default.jpg</v>
      </c>
      <c r="N3830" s="3">
        <v>0.65</v>
      </c>
      <c r="O3830" s="3">
        <v>0.22500000000000001</v>
      </c>
      <c r="P3830" s="3">
        <v>0.42500000000000004</v>
      </c>
      <c r="Q3830" s="3">
        <v>0.55705028772354104</v>
      </c>
    </row>
    <row r="3831" spans="1:17" x14ac:dyDescent="0.45">
      <c r="A3831" s="3">
        <v>14310</v>
      </c>
      <c r="B3831" t="b">
        <v>0</v>
      </c>
      <c r="C3831" t="b">
        <v>1</v>
      </c>
      <c r="D3831" s="3">
        <v>1900</v>
      </c>
      <c r="E3831" s="3">
        <v>1905</v>
      </c>
      <c r="F3831" t="s">
        <v>3297</v>
      </c>
      <c r="G3831" t="s">
        <v>3298</v>
      </c>
      <c r="H3831" s="3">
        <v>36.860399999999998</v>
      </c>
      <c r="I3831" t="s">
        <v>3299</v>
      </c>
      <c r="J3831" t="s">
        <v>12967</v>
      </c>
      <c r="L3831" t="s">
        <v>3300</v>
      </c>
      <c r="M3831" t="str">
        <f>"https://www.artic.edu/iiif/2/"&amp;Table9[[#This Row],[Image ID]]&amp;"/full/843,/0/default.jpg"</f>
        <v>https://www.artic.edu/iiif/2/8b97ac54-558d-fc50-259b-a5cfbadd15ff/full/843,/0/default.jpg</v>
      </c>
      <c r="N3831" s="3">
        <v>0.52500000000000002</v>
      </c>
      <c r="O3831" s="3">
        <v>0.1</v>
      </c>
      <c r="P3831" s="3">
        <v>0.42500000000000004</v>
      </c>
      <c r="Q3831" s="3">
        <v>0.57847672700881902</v>
      </c>
    </row>
    <row r="3832" spans="1:17" x14ac:dyDescent="0.45">
      <c r="A3832" s="3">
        <v>116240</v>
      </c>
      <c r="B3832" t="b">
        <v>0</v>
      </c>
      <c r="C3832" t="b">
        <v>1</v>
      </c>
      <c r="D3832" s="3">
        <v>1838</v>
      </c>
      <c r="E3832" s="3">
        <v>1838</v>
      </c>
      <c r="F3832" t="s">
        <v>2249</v>
      </c>
      <c r="G3832" t="s">
        <v>2250</v>
      </c>
      <c r="H3832" s="3">
        <v>26.886800000000001</v>
      </c>
      <c r="I3832" t="s">
        <v>2251</v>
      </c>
      <c r="J3832" t="s">
        <v>13009</v>
      </c>
      <c r="L3832" t="s">
        <v>2252</v>
      </c>
      <c r="M3832" t="str">
        <f>"https://www.artic.edu/iiif/2/"&amp;Table9[[#This Row],[Image ID]]&amp;"/full/843,/0/default.jpg"</f>
        <v>https://www.artic.edu/iiif/2/8e8bd85f-21e3-654e-998b-96c45a0ba6e9/full/843,/0/default.jpg</v>
      </c>
      <c r="N3832" s="3">
        <v>0.65</v>
      </c>
      <c r="O3832" s="3">
        <v>0.22500000000000001</v>
      </c>
      <c r="P3832" s="3">
        <v>0.42500000000000004</v>
      </c>
      <c r="Q3832" s="3">
        <v>0.436480402946472</v>
      </c>
    </row>
    <row r="3833" spans="1:17" x14ac:dyDescent="0.45">
      <c r="A3833" s="3">
        <v>113888</v>
      </c>
      <c r="B3833" t="b">
        <v>0</v>
      </c>
      <c r="C3833" t="b">
        <v>1</v>
      </c>
      <c r="D3833" s="3">
        <v>1771</v>
      </c>
      <c r="E3833" s="3">
        <v>1981</v>
      </c>
      <c r="F3833" t="s">
        <v>1513</v>
      </c>
      <c r="G3833" t="s">
        <v>1514</v>
      </c>
      <c r="H3833" s="3">
        <v>19.142299999999999</v>
      </c>
      <c r="I3833" t="s">
        <v>1312</v>
      </c>
      <c r="J3833" t="s">
        <v>13104</v>
      </c>
      <c r="L3833" t="s">
        <v>1515</v>
      </c>
      <c r="M3833" t="str">
        <f>"https://www.artic.edu/iiif/2/"&amp;Table9[[#This Row],[Image ID]]&amp;"/full/843,/0/default.jpg"</f>
        <v>https://www.artic.edu/iiif/2/969697ee-07c2-2484-1034-37f4c2ff7646/full/843,/0/default.jpg</v>
      </c>
      <c r="N3833" s="3">
        <v>0.52500000000000002</v>
      </c>
      <c r="O3833" s="3">
        <v>0.1</v>
      </c>
      <c r="P3833" s="3">
        <v>0.42500000000000004</v>
      </c>
      <c r="Q3833" s="3">
        <v>0.71976298093795699</v>
      </c>
    </row>
    <row r="3834" spans="1:17" x14ac:dyDescent="0.45">
      <c r="A3834" s="3">
        <v>75392</v>
      </c>
      <c r="B3834" t="b">
        <v>0</v>
      </c>
      <c r="C3834" t="b">
        <v>1</v>
      </c>
      <c r="D3834" s="3">
        <v>1760</v>
      </c>
      <c r="E3834" s="3">
        <v>1770</v>
      </c>
      <c r="F3834" t="s">
        <v>9737</v>
      </c>
      <c r="G3834" t="s">
        <v>7</v>
      </c>
      <c r="H3834" s="3">
        <v>0</v>
      </c>
      <c r="I3834" t="s">
        <v>4343</v>
      </c>
      <c r="J3834" t="s">
        <v>13321</v>
      </c>
      <c r="L3834" t="s">
        <v>9738</v>
      </c>
      <c r="M3834" t="str">
        <f>"https://www.artic.edu/iiif/2/"&amp;Table9[[#This Row],[Image ID]]&amp;"/full/843,/0/default.jpg"</f>
        <v>https://www.artic.edu/iiif/2/a680713b-f1f9-1fd0-5b77-81d42415db5d/full/843,/0/default.jpg</v>
      </c>
      <c r="N3834" s="3">
        <v>0.77500000000000002</v>
      </c>
      <c r="O3834" s="3">
        <v>0.35</v>
      </c>
      <c r="P3834" s="3">
        <v>0.42500000000000004</v>
      </c>
      <c r="Q3834" s="3">
        <v>0.81017118692398005</v>
      </c>
    </row>
    <row r="3835" spans="1:17" x14ac:dyDescent="0.45">
      <c r="A3835" s="3">
        <v>879</v>
      </c>
      <c r="B3835" t="b">
        <v>0</v>
      </c>
      <c r="C3835" t="b">
        <v>1</v>
      </c>
      <c r="D3835" s="3">
        <v>1815</v>
      </c>
      <c r="E3835" s="3">
        <v>1830</v>
      </c>
      <c r="F3835" t="s">
        <v>10406</v>
      </c>
      <c r="G3835" t="s">
        <v>7</v>
      </c>
      <c r="H3835" s="3">
        <v>22.172799999999999</v>
      </c>
      <c r="I3835" t="s">
        <v>739</v>
      </c>
      <c r="J3835" t="s">
        <v>14530</v>
      </c>
      <c r="L3835" t="s">
        <v>10407</v>
      </c>
      <c r="M3835" t="str">
        <f>"https://www.artic.edu/iiif/2/"&amp;Table9[[#This Row],[Image ID]]&amp;"/full/843,/0/default.jpg"</f>
        <v>https://www.artic.edu/iiif/2/ff3b5c8a-5b14-5c35-8775-3d021e92a381/full/843,/0/default.jpg</v>
      </c>
      <c r="N3835" s="3">
        <v>0.52500000000000002</v>
      </c>
      <c r="O3835" s="3">
        <v>0.1</v>
      </c>
      <c r="P3835" s="3">
        <v>0.42500000000000004</v>
      </c>
      <c r="Q3835" s="3">
        <v>0.489318817853927</v>
      </c>
    </row>
    <row r="3836" spans="1:17" x14ac:dyDescent="0.45">
      <c r="A3836" s="3">
        <v>26742</v>
      </c>
      <c r="B3836" t="b">
        <v>0</v>
      </c>
      <c r="C3836" t="b">
        <v>0</v>
      </c>
      <c r="D3836" s="3">
        <v>1891</v>
      </c>
      <c r="E3836" s="3">
        <v>1956</v>
      </c>
      <c r="F3836" t="s">
        <v>780</v>
      </c>
      <c r="G3836" t="s">
        <v>6692</v>
      </c>
      <c r="H3836" s="3">
        <v>28.197099999999999</v>
      </c>
      <c r="I3836" t="s">
        <v>915</v>
      </c>
      <c r="J3836" t="s">
        <v>10997</v>
      </c>
      <c r="L3836" t="s">
        <v>6693</v>
      </c>
      <c r="M3836" t="str">
        <f>"https://www.artic.edu/iiif/2/"&amp;Table9[[#This Row],[Image ID]]&amp;"/full/843,/0/default.jpg"</f>
        <v>https://www.artic.edu/iiif/2/021e6f13-725d-3a1b-d995-6054957b6f5e/full/843,/0/default.jpg</v>
      </c>
      <c r="N3836" s="3">
        <v>0.55000000000000004</v>
      </c>
      <c r="O3836" s="3">
        <v>0.125</v>
      </c>
      <c r="P3836" s="3">
        <v>0.42500000000000004</v>
      </c>
      <c r="Q3836" s="3">
        <v>0.64343637228011996</v>
      </c>
    </row>
    <row r="3837" spans="1:17" x14ac:dyDescent="0.45">
      <c r="A3837" s="3">
        <v>107328</v>
      </c>
      <c r="B3837" t="b">
        <v>0</v>
      </c>
      <c r="C3837" t="b">
        <v>0</v>
      </c>
      <c r="D3837" s="3">
        <v>1963</v>
      </c>
      <c r="E3837" s="3">
        <v>1963</v>
      </c>
      <c r="F3837" t="s">
        <v>660</v>
      </c>
      <c r="G3837" t="s">
        <v>642</v>
      </c>
      <c r="H3837" s="3">
        <v>20.645800000000001</v>
      </c>
      <c r="I3837" t="s">
        <v>239</v>
      </c>
      <c r="J3837" t="s">
        <v>11337</v>
      </c>
      <c r="L3837" t="s">
        <v>661</v>
      </c>
      <c r="M3837" t="str">
        <f>"https://www.artic.edu/iiif/2/"&amp;Table9[[#This Row],[Image ID]]&amp;"/full/843,/0/default.jpg"</f>
        <v>https://www.artic.edu/iiif/2/1a421903-15e7-a439-19d2-599ce734454b/full/843,/0/default.jpg</v>
      </c>
      <c r="N3837" s="3">
        <v>0.55000000000000004</v>
      </c>
      <c r="O3837" s="3">
        <v>0.125</v>
      </c>
      <c r="P3837" s="3">
        <v>0.42500000000000004</v>
      </c>
      <c r="Q3837" s="3">
        <v>0.80796617269515902</v>
      </c>
    </row>
    <row r="3838" spans="1:17" x14ac:dyDescent="0.45">
      <c r="A3838" s="3">
        <v>7030</v>
      </c>
      <c r="B3838" t="b">
        <v>0</v>
      </c>
      <c r="C3838" t="b">
        <v>0</v>
      </c>
      <c r="D3838" s="3">
        <v>1956</v>
      </c>
      <c r="E3838" s="3">
        <v>1956</v>
      </c>
      <c r="F3838" t="s">
        <v>9454</v>
      </c>
      <c r="G3838" t="s">
        <v>7</v>
      </c>
      <c r="H3838" s="3">
        <v>42.6248</v>
      </c>
      <c r="I3838" t="s">
        <v>2780</v>
      </c>
      <c r="J3838" t="s">
        <v>12086</v>
      </c>
      <c r="L3838" t="s">
        <v>9455</v>
      </c>
      <c r="M3838" t="str">
        <f>"https://www.artic.edu/iiif/2/"&amp;Table9[[#This Row],[Image ID]]&amp;"/full/843,/0/default.jpg"</f>
        <v>https://www.artic.edu/iiif/2/4c9a8fcd-afbf-b229-27fc-37ed46a0afe2/full/843,/0/default.jpg</v>
      </c>
      <c r="N3838" s="3">
        <v>0.52500000000000002</v>
      </c>
      <c r="O3838" s="3">
        <v>0.1</v>
      </c>
      <c r="P3838" s="3">
        <v>0.42500000000000004</v>
      </c>
      <c r="Q3838" s="3">
        <v>0.63066124916076605</v>
      </c>
    </row>
    <row r="3839" spans="1:17" x14ac:dyDescent="0.45">
      <c r="A3839" s="3">
        <v>239771</v>
      </c>
      <c r="B3839" t="b">
        <v>0</v>
      </c>
      <c r="C3839" t="b">
        <v>0</v>
      </c>
      <c r="D3839" s="3">
        <v>1965</v>
      </c>
      <c r="E3839" s="3">
        <v>1975</v>
      </c>
      <c r="F3839" t="s">
        <v>11</v>
      </c>
      <c r="G3839" t="s">
        <v>6348</v>
      </c>
      <c r="H3839" s="3">
        <v>18.513300000000001</v>
      </c>
      <c r="I3839" t="s">
        <v>6349</v>
      </c>
      <c r="J3839" t="s">
        <v>12391</v>
      </c>
      <c r="L3839" t="s">
        <v>6350</v>
      </c>
      <c r="M3839" t="str">
        <f>"https://www.artic.edu/iiif/2/"&amp;Table9[[#This Row],[Image ID]]&amp;"/full/843,/0/default.jpg"</f>
        <v>https://www.artic.edu/iiif/2/60cd4cd7-e01f-9351-ce60-abddd8d0ca0d/full/843,/0/default.jpg</v>
      </c>
      <c r="N3839" s="3">
        <v>0.55000000000000004</v>
      </c>
      <c r="O3839" s="3">
        <v>0.125</v>
      </c>
      <c r="P3839" s="3">
        <v>0.42500000000000004</v>
      </c>
      <c r="Q3839" s="3">
        <v>0.68296968936920099</v>
      </c>
    </row>
    <row r="3840" spans="1:17" x14ac:dyDescent="0.45">
      <c r="A3840" s="3">
        <v>16708</v>
      </c>
      <c r="B3840" t="b">
        <v>0</v>
      </c>
      <c r="C3840" t="b">
        <v>0</v>
      </c>
      <c r="D3840" s="3">
        <v>1893</v>
      </c>
      <c r="E3840" s="3">
        <v>1893</v>
      </c>
      <c r="F3840" t="s">
        <v>4540</v>
      </c>
      <c r="G3840" t="s">
        <v>7</v>
      </c>
      <c r="H3840" s="3">
        <v>21.565799999999999</v>
      </c>
      <c r="I3840" t="s">
        <v>908</v>
      </c>
      <c r="J3840" t="s">
        <v>11873</v>
      </c>
      <c r="L3840" t="s">
        <v>4541</v>
      </c>
      <c r="M3840" t="str">
        <f>"https://www.artic.edu/iiif/2/"&amp;Table9[[#This Row],[Image ID]]&amp;"/full/843,/0/default.jpg"</f>
        <v>https://www.artic.edu/iiif/2/a7fe2909-c242-ad82-b4dd-e5df7ec2eaf9/full/843,/0/default.jpg</v>
      </c>
      <c r="N3840" s="3">
        <v>0.65</v>
      </c>
      <c r="O3840" s="3">
        <v>0.22500000000000001</v>
      </c>
      <c r="P3840" s="3">
        <v>0.42500000000000004</v>
      </c>
      <c r="Q3840" s="3">
        <v>0.514684557914733</v>
      </c>
    </row>
    <row r="3841" spans="1:17" x14ac:dyDescent="0.45">
      <c r="A3841" s="3">
        <v>189398</v>
      </c>
      <c r="B3841" t="b">
        <v>0</v>
      </c>
      <c r="C3841" t="b">
        <v>0</v>
      </c>
      <c r="D3841" s="3">
        <v>1955</v>
      </c>
      <c r="E3841" s="3">
        <v>2007</v>
      </c>
      <c r="F3841" t="s">
        <v>11</v>
      </c>
      <c r="G3841" t="s">
        <v>7</v>
      </c>
      <c r="H3841" s="3">
        <v>5.7465999999999999</v>
      </c>
      <c r="I3841" t="s">
        <v>5149</v>
      </c>
      <c r="J3841" t="s">
        <v>12560</v>
      </c>
      <c r="K3841" s="5" t="s">
        <v>15</v>
      </c>
      <c r="L3841" t="s">
        <v>5151</v>
      </c>
      <c r="M3841" t="str">
        <f>"https://www.artic.edu/iiif/2/"&amp;Table9[[#This Row],[Image ID]]&amp;"/full/843,/0/default.jpg"</f>
        <v>https://www.artic.edu/iiif/2/c29b0569-1742-d4ab-6e97-3f4d7c184eb1/full/843,/0/default.jpg</v>
      </c>
      <c r="N3841" s="3">
        <v>0.55000000000000004</v>
      </c>
      <c r="O3841" s="3">
        <v>0.125</v>
      </c>
      <c r="P3841" s="3">
        <v>0.42500000000000004</v>
      </c>
      <c r="Q3841" s="3">
        <v>0.81891632080078103</v>
      </c>
    </row>
    <row r="3842" spans="1:17" x14ac:dyDescent="0.45">
      <c r="A3842" s="3">
        <v>13827</v>
      </c>
      <c r="B3842" t="b">
        <v>0</v>
      </c>
      <c r="C3842" t="b">
        <v>0</v>
      </c>
      <c r="D3842" s="3">
        <v>1924</v>
      </c>
      <c r="E3842" s="3">
        <v>1924</v>
      </c>
      <c r="F3842" t="s">
        <v>3224</v>
      </c>
      <c r="G3842" t="s">
        <v>7</v>
      </c>
      <c r="H3842" s="3">
        <v>37.4709</v>
      </c>
      <c r="I3842" t="s">
        <v>3225</v>
      </c>
      <c r="J3842" t="s">
        <v>13753</v>
      </c>
      <c r="L3842" t="s">
        <v>3226</v>
      </c>
      <c r="M3842" t="str">
        <f>"https://www.artic.edu/iiif/2/"&amp;Table9[[#This Row],[Image ID]]&amp;"/full/843,/0/default.jpg"</f>
        <v>https://www.artic.edu/iiif/2/c827ef1d-3fae-479d-a4f9-6eba3ad32c9f/full/843,/0/default.jpg</v>
      </c>
      <c r="N3842" s="3">
        <v>0.55000000000000004</v>
      </c>
      <c r="O3842" s="3">
        <v>0.125</v>
      </c>
      <c r="P3842" s="3">
        <v>0.42500000000000004</v>
      </c>
      <c r="Q3842" s="3">
        <v>0.63041949272155695</v>
      </c>
    </row>
    <row r="3843" spans="1:17" x14ac:dyDescent="0.45">
      <c r="A3843" s="3">
        <v>146990</v>
      </c>
      <c r="B3843" t="b">
        <v>0</v>
      </c>
      <c r="C3843" t="b">
        <v>0</v>
      </c>
      <c r="D3843" s="3">
        <v>1960</v>
      </c>
      <c r="E3843" s="3">
        <v>1965</v>
      </c>
      <c r="F3843" t="s">
        <v>3548</v>
      </c>
      <c r="G3843" t="s">
        <v>7</v>
      </c>
      <c r="H3843" s="3">
        <v>8.9976000000000003</v>
      </c>
      <c r="I3843" t="s">
        <v>470</v>
      </c>
      <c r="J3843" t="s">
        <v>12943</v>
      </c>
      <c r="L3843" t="s">
        <v>3549</v>
      </c>
      <c r="M3843" t="str">
        <f>"https://www.artic.edu/iiif/2/"&amp;Table9[[#This Row],[Image ID]]&amp;"/full/843,/0/default.jpg"</f>
        <v>https://www.artic.edu/iiif/2/e6e34aa0-a5e4-f727-2f3c-64d7d9b9a375/full/843,/0/default.jpg</v>
      </c>
      <c r="N3843" s="3">
        <v>0.52500000000000002</v>
      </c>
      <c r="O3843" s="3">
        <v>0.1</v>
      </c>
      <c r="P3843" s="3">
        <v>0.42500000000000004</v>
      </c>
      <c r="Q3843" s="3">
        <v>0.68870776891708296</v>
      </c>
    </row>
    <row r="3844" spans="1:17" x14ac:dyDescent="0.45">
      <c r="A3844" s="3">
        <v>20601</v>
      </c>
      <c r="B3844" t="b">
        <v>0</v>
      </c>
      <c r="C3844" t="b">
        <v>1</v>
      </c>
      <c r="D3844" s="3">
        <v>1788</v>
      </c>
      <c r="E3844" s="3">
        <v>1806</v>
      </c>
      <c r="F3844" t="s">
        <v>5485</v>
      </c>
      <c r="G3844" t="s">
        <v>5483</v>
      </c>
      <c r="H3844" s="3">
        <v>27.19</v>
      </c>
      <c r="I3844" t="s">
        <v>2880</v>
      </c>
      <c r="J3844" t="s">
        <v>11601</v>
      </c>
      <c r="L3844" t="s">
        <v>5486</v>
      </c>
      <c r="M3844" t="str">
        <f>"https://www.artic.edu/iiif/2/"&amp;Table9[[#This Row],[Image ID]]&amp;"/full/843,/0/default.jpg"</f>
        <v>https://www.artic.edu/iiif/2/2ae7a0d4-9247-af14-fcc3-2ba6f8cf9aea/full/843,/0/default.jpg</v>
      </c>
      <c r="N3844" s="3">
        <v>0.625</v>
      </c>
      <c r="O3844" s="3">
        <v>0.2</v>
      </c>
      <c r="P3844" s="3">
        <v>0.42499999999999999</v>
      </c>
      <c r="Q3844" s="3">
        <v>0.53321611881256104</v>
      </c>
    </row>
    <row r="3845" spans="1:17" x14ac:dyDescent="0.45">
      <c r="A3845" s="3">
        <v>131822</v>
      </c>
      <c r="B3845" t="b">
        <v>0</v>
      </c>
      <c r="C3845" t="b">
        <v>1</v>
      </c>
      <c r="D3845" s="3">
        <v>1815</v>
      </c>
      <c r="E3845" s="3">
        <v>1845</v>
      </c>
      <c r="F3845" t="s">
        <v>2986</v>
      </c>
      <c r="G3845" t="s">
        <v>119</v>
      </c>
      <c r="H3845" s="3">
        <v>59.784599999999998</v>
      </c>
      <c r="J3845" t="s">
        <v>11760</v>
      </c>
      <c r="K3845" s="5" t="s">
        <v>4</v>
      </c>
      <c r="L3845" t="s">
        <v>2987</v>
      </c>
      <c r="M3845" t="str">
        <f>"https://www.artic.edu/iiif/2/"&amp;Table9[[#This Row],[Image ID]]&amp;"/full/843,/0/default.jpg"</f>
        <v>https://www.artic.edu/iiif/2/3689df31-7765-4fcb-0bd4-cbb3ea2ec91c/full/843,/0/default.jpg</v>
      </c>
      <c r="N3845" s="3">
        <v>0.5</v>
      </c>
      <c r="O3845" s="3">
        <v>7.4999999999999997E-2</v>
      </c>
      <c r="P3845" s="3">
        <v>0.42499999999999999</v>
      </c>
      <c r="Q3845" s="3">
        <v>0.64097666740417403</v>
      </c>
    </row>
    <row r="3846" spans="1:17" x14ac:dyDescent="0.45">
      <c r="A3846" s="3">
        <v>59006</v>
      </c>
      <c r="B3846" t="b">
        <v>0</v>
      </c>
      <c r="C3846" t="b">
        <v>1</v>
      </c>
      <c r="D3846" s="3">
        <v>1885</v>
      </c>
      <c r="E3846" s="3">
        <v>1895</v>
      </c>
      <c r="F3846" t="s">
        <v>8550</v>
      </c>
      <c r="G3846" t="s">
        <v>7</v>
      </c>
      <c r="H3846" s="3">
        <v>0</v>
      </c>
      <c r="I3846" t="s">
        <v>4470</v>
      </c>
      <c r="J3846" t="s">
        <v>11779</v>
      </c>
      <c r="L3846" t="s">
        <v>8551</v>
      </c>
      <c r="M3846" t="str">
        <f>"https://www.artic.edu/iiif/2/"&amp;Table9[[#This Row],[Image ID]]&amp;"/full/843,/0/default.jpg"</f>
        <v>https://www.artic.edu/iiif/2/37a47ee5-4524-ca65-02c8-1df82c9bb647/full/843,/0/default.jpg</v>
      </c>
      <c r="N3846" s="3">
        <v>0.47499999999999998</v>
      </c>
      <c r="O3846" s="3">
        <v>0.05</v>
      </c>
      <c r="P3846" s="3">
        <v>0.42499999999999999</v>
      </c>
      <c r="Q3846" s="3">
        <v>0.54873120784759499</v>
      </c>
    </row>
    <row r="3847" spans="1:17" x14ac:dyDescent="0.45">
      <c r="A3847" s="3">
        <v>68433</v>
      </c>
      <c r="B3847" t="b">
        <v>0</v>
      </c>
      <c r="C3847" t="b">
        <v>1</v>
      </c>
      <c r="D3847" s="3">
        <v>1888</v>
      </c>
      <c r="E3847" s="3">
        <v>1895</v>
      </c>
      <c r="F3847" t="s">
        <v>9360</v>
      </c>
      <c r="G3847" t="s">
        <v>7</v>
      </c>
      <c r="H3847" s="3">
        <v>38.262799999999999</v>
      </c>
      <c r="I3847" t="s">
        <v>5058</v>
      </c>
      <c r="J3847" t="s">
        <v>11789</v>
      </c>
      <c r="L3847" t="s">
        <v>9361</v>
      </c>
      <c r="M3847" t="str">
        <f>"https://www.artic.edu/iiif/2/"&amp;Table9[[#This Row],[Image ID]]&amp;"/full/843,/0/default.jpg"</f>
        <v>https://www.artic.edu/iiif/2/3826e366-e82a-e853-12e4-b303a1618103/full/843,/0/default.jpg</v>
      </c>
      <c r="N3847" s="3">
        <v>0.5</v>
      </c>
      <c r="O3847" s="3">
        <v>7.4999999999999997E-2</v>
      </c>
      <c r="P3847" s="3">
        <v>0.42499999999999999</v>
      </c>
      <c r="Q3847" s="3">
        <v>0.63905441761016801</v>
      </c>
    </row>
    <row r="3848" spans="1:17" x14ac:dyDescent="0.45">
      <c r="A3848" s="3">
        <v>99749</v>
      </c>
      <c r="B3848" t="b">
        <v>0</v>
      </c>
      <c r="C3848" t="b">
        <v>1</v>
      </c>
      <c r="D3848" s="3">
        <v>1888</v>
      </c>
      <c r="E3848" s="3">
        <v>1890</v>
      </c>
      <c r="F3848" t="s">
        <v>9751</v>
      </c>
      <c r="G3848" t="s">
        <v>8006</v>
      </c>
      <c r="H3848" s="3">
        <v>51.428800000000003</v>
      </c>
      <c r="I3848" t="s">
        <v>8</v>
      </c>
      <c r="J3848" t="s">
        <v>12350</v>
      </c>
      <c r="L3848" t="s">
        <v>10949</v>
      </c>
      <c r="M3848" t="str">
        <f>"https://www.artic.edu/iiif/2/"&amp;Table9[[#This Row],[Image ID]]&amp;"/full/843,/0/default.jpg"</f>
        <v>https://www.artic.edu/iiif/2/5dfcbae3-6682-d1e6-0d1c-9eb8b5fd4a5e/full/843,/0/default.jpg</v>
      </c>
      <c r="N3848" s="3">
        <v>0.45</v>
      </c>
      <c r="O3848" s="3">
        <v>2.5000000000000001E-2</v>
      </c>
      <c r="P3848" s="3">
        <v>0.42499999999999999</v>
      </c>
      <c r="Q3848" s="3">
        <v>0.66840666532516402</v>
      </c>
    </row>
    <row r="3849" spans="1:17" x14ac:dyDescent="0.45">
      <c r="A3849" s="3">
        <v>81516</v>
      </c>
      <c r="B3849" t="b">
        <v>0</v>
      </c>
      <c r="C3849" t="b">
        <v>1</v>
      </c>
      <c r="D3849" s="3">
        <v>1866</v>
      </c>
      <c r="E3849" s="3">
        <v>1866</v>
      </c>
      <c r="F3849" t="s">
        <v>10110</v>
      </c>
      <c r="G3849" t="s">
        <v>7</v>
      </c>
      <c r="H3849" s="3">
        <v>30.624500000000001</v>
      </c>
      <c r="I3849" t="s">
        <v>14668</v>
      </c>
      <c r="J3849" t="s">
        <v>12747</v>
      </c>
      <c r="L3849" t="s">
        <v>10111</v>
      </c>
      <c r="M3849" t="str">
        <f>"https://www.artic.edu/iiif/2/"&amp;Table9[[#This Row],[Image ID]]&amp;"/full/843,/0/default.jpg"</f>
        <v>https://www.artic.edu/iiif/2/7a313db7-2369-1c7b-b4f7-a1d29218f778/full/843,/0/default.jpg</v>
      </c>
      <c r="N3849" s="3">
        <v>0.5</v>
      </c>
      <c r="O3849" s="3">
        <v>7.4999999999999997E-2</v>
      </c>
      <c r="P3849" s="3">
        <v>0.42499999999999999</v>
      </c>
      <c r="Q3849" s="3">
        <v>0.56701731681823697</v>
      </c>
    </row>
    <row r="3850" spans="1:17" x14ac:dyDescent="0.45">
      <c r="A3850" s="3">
        <v>23091</v>
      </c>
      <c r="B3850" t="b">
        <v>0</v>
      </c>
      <c r="C3850" t="b">
        <v>1</v>
      </c>
      <c r="D3850" s="3">
        <v>1783</v>
      </c>
      <c r="E3850" s="3">
        <v>1827</v>
      </c>
      <c r="F3850" t="s">
        <v>6149</v>
      </c>
      <c r="G3850" t="s">
        <v>6150</v>
      </c>
      <c r="H3850" s="3">
        <v>22.376799999999999</v>
      </c>
      <c r="I3850" t="s">
        <v>14676</v>
      </c>
      <c r="J3850" t="s">
        <v>13313</v>
      </c>
      <c r="L3850" t="s">
        <v>6151</v>
      </c>
      <c r="M3850" t="str">
        <f>"https://www.artic.edu/iiif/2/"&amp;Table9[[#This Row],[Image ID]]&amp;"/full/843,/0/default.jpg"</f>
        <v>https://www.artic.edu/iiif/2/a6064df8-c4f2-9d19-a1d6-cb2c24cf9a97/full/843,/0/default.jpg</v>
      </c>
      <c r="N3850" s="3">
        <v>0.625</v>
      </c>
      <c r="O3850" s="3">
        <v>0.2</v>
      </c>
      <c r="P3850" s="3">
        <v>0.42499999999999999</v>
      </c>
      <c r="Q3850" s="3">
        <v>0.589729905128479</v>
      </c>
    </row>
    <row r="3851" spans="1:17" x14ac:dyDescent="0.45">
      <c r="A3851" s="3">
        <v>90064</v>
      </c>
      <c r="B3851" t="b">
        <v>0</v>
      </c>
      <c r="C3851" t="b">
        <v>1</v>
      </c>
      <c r="D3851" s="3">
        <v>1855</v>
      </c>
      <c r="E3851" s="3">
        <v>1875</v>
      </c>
      <c r="F3851" t="s">
        <v>8614</v>
      </c>
      <c r="G3851" t="s">
        <v>75</v>
      </c>
      <c r="H3851" s="3">
        <v>3.802</v>
      </c>
      <c r="I3851" t="s">
        <v>1007</v>
      </c>
      <c r="J3851" t="s">
        <v>13387</v>
      </c>
      <c r="L3851" t="s">
        <v>10504</v>
      </c>
      <c r="M3851" t="str">
        <f>"https://www.artic.edu/iiif/2/"&amp;Table9[[#This Row],[Image ID]]&amp;"/full/843,/0/default.jpg"</f>
        <v>https://www.artic.edu/iiif/2/ab54b417-6dc1-e12b-67f7-0b6a6421d336/full/843,/0/default.jpg</v>
      </c>
      <c r="N3851" s="3">
        <v>0.6</v>
      </c>
      <c r="O3851" s="3">
        <v>0.17499999999999999</v>
      </c>
      <c r="P3851" s="3">
        <v>0.42499999999999999</v>
      </c>
      <c r="Q3851" s="3">
        <v>0.58073389530181796</v>
      </c>
    </row>
    <row r="3852" spans="1:17" x14ac:dyDescent="0.45">
      <c r="A3852" s="3">
        <v>79042</v>
      </c>
      <c r="B3852" t="b">
        <v>0</v>
      </c>
      <c r="C3852" t="b">
        <v>1</v>
      </c>
      <c r="D3852" s="3">
        <v>1816</v>
      </c>
      <c r="E3852" s="3">
        <v>1863</v>
      </c>
      <c r="F3852" t="s">
        <v>9872</v>
      </c>
      <c r="G3852" t="s">
        <v>9873</v>
      </c>
      <c r="H3852" s="3">
        <v>45.667099999999998</v>
      </c>
      <c r="I3852" t="s">
        <v>9870</v>
      </c>
      <c r="J3852" t="s">
        <v>14000</v>
      </c>
      <c r="L3852" t="s">
        <v>9874</v>
      </c>
      <c r="M3852" t="str">
        <f>"https://www.artic.edu/iiif/2/"&amp;Table9[[#This Row],[Image ID]]&amp;"/full/843,/0/default.jpg"</f>
        <v>https://www.artic.edu/iiif/2/db98e7b2-d74b-c5a7-d1d0-24be7754aa70/full/843,/0/default.jpg</v>
      </c>
      <c r="N3852" s="3">
        <v>0.47499999999999998</v>
      </c>
      <c r="O3852" s="3">
        <v>0.05</v>
      </c>
      <c r="P3852" s="3">
        <v>0.42499999999999999</v>
      </c>
      <c r="Q3852" s="3">
        <v>0.63413405418395996</v>
      </c>
    </row>
    <row r="3853" spans="1:17" x14ac:dyDescent="0.45">
      <c r="A3853" s="3">
        <v>81533</v>
      </c>
      <c r="B3853" t="b">
        <v>0</v>
      </c>
      <c r="C3853" t="b">
        <v>1</v>
      </c>
      <c r="D3853" s="3">
        <v>1866</v>
      </c>
      <c r="E3853" s="3">
        <v>1866</v>
      </c>
      <c r="F3853" t="s">
        <v>10117</v>
      </c>
      <c r="G3853" t="s">
        <v>7</v>
      </c>
      <c r="H3853" s="3">
        <v>24.286899999999999</v>
      </c>
      <c r="I3853" t="s">
        <v>14636</v>
      </c>
      <c r="J3853" t="s">
        <v>14221</v>
      </c>
      <c r="K3853" s="5" t="s">
        <v>9</v>
      </c>
      <c r="L3853" t="s">
        <v>10118</v>
      </c>
      <c r="M3853" t="str">
        <f>"https://www.artic.edu/iiif/2/"&amp;Table9[[#This Row],[Image ID]]&amp;"/full/843,/0/default.jpg"</f>
        <v>https://www.artic.edu/iiif/2/e9ce5aca-4c34-c8dd-b8a1-91b3e3197211/full/843,/0/default.jpg</v>
      </c>
      <c r="N3853" s="3">
        <v>0.5</v>
      </c>
      <c r="O3853" s="3">
        <v>7.4999999999999997E-2</v>
      </c>
      <c r="P3853" s="3">
        <v>0.42499999999999999</v>
      </c>
      <c r="Q3853" s="3">
        <v>0.53308814764022805</v>
      </c>
    </row>
    <row r="3854" spans="1:17" x14ac:dyDescent="0.45">
      <c r="A3854" s="3">
        <v>21914</v>
      </c>
      <c r="B3854" t="b">
        <v>0</v>
      </c>
      <c r="C3854" t="b">
        <v>1</v>
      </c>
      <c r="D3854" s="3">
        <v>1814</v>
      </c>
      <c r="E3854" s="3">
        <v>1830</v>
      </c>
      <c r="F3854" t="s">
        <v>286</v>
      </c>
      <c r="G3854" t="s">
        <v>75</v>
      </c>
      <c r="H3854" s="3">
        <v>30.5792</v>
      </c>
      <c r="I3854" t="s">
        <v>5775</v>
      </c>
      <c r="J3854" t="s">
        <v>14538</v>
      </c>
      <c r="L3854" t="s">
        <v>5776</v>
      </c>
      <c r="M3854" t="str">
        <f>"https://www.artic.edu/iiif/2/"&amp;Table9[[#This Row],[Image ID]]&amp;"/full/843,/0/default.jpg"</f>
        <v>https://www.artic.edu/iiif/2/ff7cae53-a6f6-9965-70e9-7e264ead9265/full/843,/0/default.jpg</v>
      </c>
      <c r="N3854" s="3">
        <v>0.625</v>
      </c>
      <c r="O3854" s="3">
        <v>0.2</v>
      </c>
      <c r="P3854" s="3">
        <v>0.42499999999999999</v>
      </c>
      <c r="Q3854" s="3">
        <v>0.53151410818099898</v>
      </c>
    </row>
    <row r="3855" spans="1:17" x14ac:dyDescent="0.45">
      <c r="A3855" s="3">
        <v>146995</v>
      </c>
      <c r="B3855" t="b">
        <v>0</v>
      </c>
      <c r="C3855" t="b">
        <v>0</v>
      </c>
      <c r="D3855" s="3">
        <v>1989</v>
      </c>
      <c r="E3855" s="3">
        <v>1989</v>
      </c>
      <c r="F3855" t="s">
        <v>3553</v>
      </c>
      <c r="G3855" t="s">
        <v>7</v>
      </c>
      <c r="H3855" s="3">
        <v>30.071999999999999</v>
      </c>
      <c r="I3855" t="s">
        <v>52</v>
      </c>
      <c r="J3855" t="s">
        <v>11074</v>
      </c>
      <c r="L3855" t="s">
        <v>3554</v>
      </c>
      <c r="M3855" t="str">
        <f>"https://www.artic.edu/iiif/2/"&amp;Table9[[#This Row],[Image ID]]&amp;"/full/843,/0/default.jpg"</f>
        <v>https://www.artic.edu/iiif/2/07783936-58fb-859d-9350-fb600510177a/full/843,/0/default.jpg</v>
      </c>
      <c r="N3855" s="3">
        <v>0.5</v>
      </c>
      <c r="O3855" s="3">
        <v>7.4999999999999997E-2</v>
      </c>
      <c r="P3855" s="3">
        <v>0.42499999999999999</v>
      </c>
      <c r="Q3855" s="3">
        <v>0.69251030683517401</v>
      </c>
    </row>
    <row r="3856" spans="1:17" x14ac:dyDescent="0.45">
      <c r="A3856" s="3">
        <v>118614</v>
      </c>
      <c r="B3856" t="b">
        <v>0</v>
      </c>
      <c r="C3856" t="b">
        <v>0</v>
      </c>
      <c r="D3856" s="3">
        <v>1922</v>
      </c>
      <c r="E3856" s="3">
        <v>1932</v>
      </c>
      <c r="F3856" t="s">
        <v>2519</v>
      </c>
      <c r="G3856" t="s">
        <v>7</v>
      </c>
      <c r="H3856" s="3">
        <v>48.5976</v>
      </c>
      <c r="I3856" t="s">
        <v>498</v>
      </c>
      <c r="J3856" t="s">
        <v>11360</v>
      </c>
      <c r="L3856" t="s">
        <v>2520</v>
      </c>
      <c r="M3856" t="str">
        <f>"https://www.artic.edu/iiif/2/"&amp;Table9[[#This Row],[Image ID]]&amp;"/full/843,/0/default.jpg"</f>
        <v>https://www.artic.edu/iiif/2/1c2cc4ae-7a15-b94e-1bcd-a588ffa38ac1/full/843,/0/default.jpg</v>
      </c>
      <c r="N3856" s="3">
        <v>0.47499999999999998</v>
      </c>
      <c r="O3856" s="3">
        <v>0.05</v>
      </c>
      <c r="P3856" s="3">
        <v>0.42499999999999999</v>
      </c>
      <c r="Q3856" s="3">
        <v>0.70064866542816095</v>
      </c>
    </row>
    <row r="3857" spans="1:17" x14ac:dyDescent="0.45">
      <c r="A3857" s="3">
        <v>61691</v>
      </c>
      <c r="B3857" t="b">
        <v>0</v>
      </c>
      <c r="C3857" t="b">
        <v>0</v>
      </c>
      <c r="D3857" s="3">
        <v>1930</v>
      </c>
      <c r="E3857" s="3">
        <v>1930</v>
      </c>
      <c r="F3857" t="s">
        <v>260</v>
      </c>
      <c r="G3857" t="s">
        <v>238</v>
      </c>
      <c r="H3857" s="3">
        <v>39.215000000000003</v>
      </c>
      <c r="I3857" t="s">
        <v>8833</v>
      </c>
      <c r="J3857" t="s">
        <v>11874</v>
      </c>
      <c r="L3857" t="s">
        <v>8834</v>
      </c>
      <c r="M3857" t="str">
        <f>"https://www.artic.edu/iiif/2/"&amp;Table9[[#This Row],[Image ID]]&amp;"/full/843,/0/default.jpg"</f>
        <v>https://www.artic.edu/iiif/2/3d2e7727-b473-9726-89fd-2c5c93092599/full/843,/0/default.jpg</v>
      </c>
      <c r="N3857" s="3">
        <v>0.47499999999999998</v>
      </c>
      <c r="O3857" s="3">
        <v>0.05</v>
      </c>
      <c r="P3857" s="3">
        <v>0.42499999999999999</v>
      </c>
      <c r="Q3857" s="3">
        <v>0.53323596715927102</v>
      </c>
    </row>
    <row r="3858" spans="1:17" x14ac:dyDescent="0.45">
      <c r="A3858" s="3">
        <v>90445</v>
      </c>
      <c r="B3858" t="b">
        <v>0</v>
      </c>
      <c r="C3858" t="b">
        <v>0</v>
      </c>
      <c r="D3858" s="3">
        <v>1925</v>
      </c>
      <c r="E3858" s="3">
        <v>1929</v>
      </c>
      <c r="F3858" t="s">
        <v>10530</v>
      </c>
      <c r="G3858" t="s">
        <v>10531</v>
      </c>
      <c r="H3858" s="3">
        <v>10.063800000000001</v>
      </c>
      <c r="I3858" t="s">
        <v>180</v>
      </c>
      <c r="J3858" t="s">
        <v>12354</v>
      </c>
      <c r="L3858" t="s">
        <v>10532</v>
      </c>
      <c r="M3858" t="str">
        <f>"https://www.artic.edu/iiif/2/"&amp;Table9[[#This Row],[Image ID]]&amp;"/full/843,/0/default.jpg"</f>
        <v>https://www.artic.edu/iiif/2/5e8c0b90-e611-a3a3-4eaa-8501b9821d93/full/843,/0/default.jpg</v>
      </c>
      <c r="N3858" s="3">
        <v>0.45</v>
      </c>
      <c r="O3858" s="3">
        <v>2.5000000000000001E-2</v>
      </c>
      <c r="P3858" s="3">
        <v>0.42499999999999999</v>
      </c>
      <c r="Q3858" s="3">
        <v>0.72786402702331499</v>
      </c>
    </row>
    <row r="3859" spans="1:17" x14ac:dyDescent="0.45">
      <c r="A3859" s="3">
        <v>66218</v>
      </c>
      <c r="B3859" t="b">
        <v>0</v>
      </c>
      <c r="C3859" t="b">
        <v>0</v>
      </c>
      <c r="D3859" s="3">
        <v>1918</v>
      </c>
      <c r="E3859" s="3">
        <v>1928</v>
      </c>
      <c r="F3859" t="s">
        <v>7753</v>
      </c>
      <c r="G3859" t="s">
        <v>7</v>
      </c>
      <c r="H3859" s="3">
        <v>25.725100000000001</v>
      </c>
      <c r="I3859" t="s">
        <v>2709</v>
      </c>
      <c r="J3859" t="s">
        <v>12412</v>
      </c>
      <c r="L3859" t="s">
        <v>9230</v>
      </c>
      <c r="M3859" t="str">
        <f>"https://www.artic.edu/iiif/2/"&amp;Table9[[#This Row],[Image ID]]&amp;"/full/843,/0/default.jpg"</f>
        <v>https://www.artic.edu/iiif/2/62c37fee-4f12-a8ac-f1b2-67c1104efbf9/full/843,/0/default.jpg</v>
      </c>
      <c r="N3859" s="3">
        <v>0.5</v>
      </c>
      <c r="O3859" s="3">
        <v>7.4999999999999997E-2</v>
      </c>
      <c r="P3859" s="3">
        <v>0.42499999999999999</v>
      </c>
      <c r="Q3859" s="3">
        <v>0.75449496507644598</v>
      </c>
    </row>
    <row r="3860" spans="1:17" x14ac:dyDescent="0.45">
      <c r="A3860" s="3">
        <v>16684</v>
      </c>
      <c r="B3860" t="b">
        <v>0</v>
      </c>
      <c r="C3860" t="b">
        <v>0</v>
      </c>
      <c r="D3860" s="3">
        <v>1915</v>
      </c>
      <c r="E3860" s="3">
        <v>1915</v>
      </c>
      <c r="F3860" t="s">
        <v>4531</v>
      </c>
      <c r="G3860" t="s">
        <v>7</v>
      </c>
      <c r="H3860" s="3">
        <v>43.094999999999999</v>
      </c>
      <c r="I3860" t="s">
        <v>1277</v>
      </c>
      <c r="J3860" t="s">
        <v>12545</v>
      </c>
      <c r="L3860" t="s">
        <v>4532</v>
      </c>
      <c r="M3860" t="str">
        <f>"https://www.artic.edu/iiif/2/"&amp;Table9[[#This Row],[Image ID]]&amp;"/full/843,/0/default.jpg"</f>
        <v>https://www.artic.edu/iiif/2/6bba40c6-b2a3-9f41-082f-9f025d9c7d94/full/843,/0/default.jpg</v>
      </c>
      <c r="N3860" s="3">
        <v>0.5</v>
      </c>
      <c r="O3860" s="3">
        <v>7.4999999999999997E-2</v>
      </c>
      <c r="P3860" s="3">
        <v>0.42499999999999999</v>
      </c>
      <c r="Q3860" s="3">
        <v>0.676499724388122</v>
      </c>
    </row>
    <row r="3861" spans="1:17" x14ac:dyDescent="0.45">
      <c r="A3861" s="3">
        <v>71264</v>
      </c>
      <c r="B3861" t="b">
        <v>0</v>
      </c>
      <c r="C3861" t="b">
        <v>0</v>
      </c>
      <c r="D3861" s="3">
        <v>1908</v>
      </c>
      <c r="E3861" s="3">
        <v>1911</v>
      </c>
      <c r="F3861" t="s">
        <v>9479</v>
      </c>
      <c r="G3861" t="s">
        <v>7</v>
      </c>
      <c r="H3861" s="3">
        <v>31.133600000000001</v>
      </c>
      <c r="I3861" t="s">
        <v>9480</v>
      </c>
      <c r="J3861" t="s">
        <v>12677</v>
      </c>
      <c r="L3861" t="s">
        <v>9481</v>
      </c>
      <c r="M3861" t="str">
        <f>"https://www.artic.edu/iiif/2/"&amp;Table9[[#This Row],[Image ID]]&amp;"/full/843,/0/default.jpg"</f>
        <v>https://www.artic.edu/iiif/2/75454167-e33b-49ee-db9f-78f0831e1c0f/full/843,/0/default.jpg</v>
      </c>
      <c r="N3861" s="3">
        <v>0.5</v>
      </c>
      <c r="O3861" s="3">
        <v>7.4999999999999997E-2</v>
      </c>
      <c r="P3861" s="3">
        <v>0.42499999999999999</v>
      </c>
      <c r="Q3861" s="3">
        <v>0.59452265501022294</v>
      </c>
    </row>
    <row r="3862" spans="1:17" x14ac:dyDescent="0.45">
      <c r="A3862" s="3">
        <v>104289</v>
      </c>
      <c r="B3862" t="b">
        <v>0</v>
      </c>
      <c r="C3862" t="b">
        <v>0</v>
      </c>
      <c r="D3862" s="3">
        <v>1920</v>
      </c>
      <c r="E3862" s="3">
        <v>1920</v>
      </c>
      <c r="F3862" t="s">
        <v>433</v>
      </c>
      <c r="G3862" t="s">
        <v>434</v>
      </c>
      <c r="H3862" s="3">
        <v>46.082099999999997</v>
      </c>
      <c r="I3862" t="s">
        <v>435</v>
      </c>
      <c r="J3862" t="s">
        <v>11735</v>
      </c>
      <c r="L3862" t="s">
        <v>436</v>
      </c>
      <c r="M3862" t="str">
        <f>"https://www.artic.edu/iiif/2/"&amp;Table9[[#This Row],[Image ID]]&amp;"/full/843,/0/default.jpg"</f>
        <v>https://www.artic.edu/iiif/2/7d0ec6e2-fe80-c069-378d-c6a02c4073e9/full/843,/0/default.jpg</v>
      </c>
      <c r="N3862" s="3">
        <v>0.45</v>
      </c>
      <c r="O3862" s="3">
        <v>2.5000000000000001E-2</v>
      </c>
      <c r="P3862" s="3">
        <v>0.42499999999999999</v>
      </c>
      <c r="Q3862" s="3">
        <v>0.83248990774154596</v>
      </c>
    </row>
    <row r="3863" spans="1:17" x14ac:dyDescent="0.45">
      <c r="A3863" s="3">
        <v>90441</v>
      </c>
      <c r="B3863" t="b">
        <v>0</v>
      </c>
      <c r="C3863" t="b">
        <v>0</v>
      </c>
      <c r="D3863" s="3">
        <v>1924</v>
      </c>
      <c r="E3863" s="3">
        <v>1924</v>
      </c>
      <c r="F3863" t="s">
        <v>10528</v>
      </c>
      <c r="G3863" t="s">
        <v>7</v>
      </c>
      <c r="H3863" s="3">
        <v>37.790500000000002</v>
      </c>
      <c r="I3863" t="s">
        <v>14572</v>
      </c>
      <c r="J3863" t="s">
        <v>12867</v>
      </c>
      <c r="L3863" t="s">
        <v>10529</v>
      </c>
      <c r="M3863" t="str">
        <f>"https://www.artic.edu/iiif/2/"&amp;Table9[[#This Row],[Image ID]]&amp;"/full/843,/0/default.jpg"</f>
        <v>https://www.artic.edu/iiif/2/8363dfda-5f9e-3e11-0c6c-2ddd219921cf/full/843,/0/default.jpg</v>
      </c>
      <c r="N3863" s="3">
        <v>0.5</v>
      </c>
      <c r="O3863" s="3">
        <v>7.4999999999999997E-2</v>
      </c>
      <c r="P3863" s="3">
        <v>0.42499999999999999</v>
      </c>
      <c r="Q3863" s="3">
        <v>0.82951414585113503</v>
      </c>
    </row>
    <row r="3864" spans="1:17" x14ac:dyDescent="0.45">
      <c r="A3864" s="3">
        <v>31799</v>
      </c>
      <c r="B3864" t="b">
        <v>0</v>
      </c>
      <c r="C3864" t="b">
        <v>0</v>
      </c>
      <c r="D3864" s="3">
        <v>1882</v>
      </c>
      <c r="E3864" s="3">
        <v>1926</v>
      </c>
      <c r="F3864" t="s">
        <v>7020</v>
      </c>
      <c r="G3864" t="s">
        <v>7021</v>
      </c>
      <c r="H3864" s="3">
        <v>18.318200000000001</v>
      </c>
      <c r="I3864" t="s">
        <v>1277</v>
      </c>
      <c r="J3864" t="s">
        <v>13076</v>
      </c>
      <c r="L3864" t="s">
        <v>7022</v>
      </c>
      <c r="M3864" t="str">
        <f>"https://www.artic.edu/iiif/2/"&amp;Table9[[#This Row],[Image ID]]&amp;"/full/843,/0/default.jpg"</f>
        <v>https://www.artic.edu/iiif/2/94906989-2dd6-a4be-74f8-bed12cee17e9/full/843,/0/default.jpg</v>
      </c>
      <c r="N3864" s="3">
        <v>0.6</v>
      </c>
      <c r="O3864" s="3">
        <v>0.17499999999999999</v>
      </c>
      <c r="P3864" s="3">
        <v>0.42499999999999999</v>
      </c>
      <c r="Q3864" s="3">
        <v>0.63154971599578802</v>
      </c>
    </row>
    <row r="3865" spans="1:17" x14ac:dyDescent="0.45">
      <c r="A3865" s="3">
        <v>34899</v>
      </c>
      <c r="B3865" t="b">
        <v>0</v>
      </c>
      <c r="C3865" t="b">
        <v>0</v>
      </c>
      <c r="D3865" s="3">
        <v>1905</v>
      </c>
      <c r="E3865" s="3">
        <v>1927</v>
      </c>
      <c r="F3865" t="s">
        <v>7140</v>
      </c>
      <c r="G3865" t="s">
        <v>7141</v>
      </c>
      <c r="H3865" s="3">
        <v>35.005299999999998</v>
      </c>
      <c r="I3865" t="s">
        <v>7142</v>
      </c>
      <c r="J3865" t="s">
        <v>13428</v>
      </c>
      <c r="L3865" t="s">
        <v>7143</v>
      </c>
      <c r="M3865" t="str">
        <f>"https://www.artic.edu/iiif/2/"&amp;Table9[[#This Row],[Image ID]]&amp;"/full/843,/0/default.jpg"</f>
        <v>https://www.artic.edu/iiif/2/ae74d545-4e40-e654-534a-c6386bd24bd3/full/843,/0/default.jpg</v>
      </c>
      <c r="N3865" s="3">
        <v>0.47499999999999998</v>
      </c>
      <c r="O3865" s="3">
        <v>0.05</v>
      </c>
      <c r="P3865" s="3">
        <v>0.42499999999999999</v>
      </c>
      <c r="Q3865" s="3">
        <v>0.86471313238143899</v>
      </c>
    </row>
    <row r="3866" spans="1:17" x14ac:dyDescent="0.45">
      <c r="A3866" s="3">
        <v>8082</v>
      </c>
      <c r="B3866" t="b">
        <v>0</v>
      </c>
      <c r="C3866" t="b">
        <v>0</v>
      </c>
      <c r="D3866" s="3">
        <v>1958</v>
      </c>
      <c r="E3866" s="3">
        <v>1958</v>
      </c>
      <c r="F3866" t="s">
        <v>10042</v>
      </c>
      <c r="G3866" t="s">
        <v>10043</v>
      </c>
      <c r="H3866" s="3">
        <v>0</v>
      </c>
      <c r="I3866" t="s">
        <v>9856</v>
      </c>
      <c r="J3866" t="s">
        <v>13484</v>
      </c>
      <c r="L3866" t="s">
        <v>10044</v>
      </c>
      <c r="M3866" t="str">
        <f>"https://www.artic.edu/iiif/2/"&amp;Table9[[#This Row],[Image ID]]&amp;"/full/843,/0/default.jpg"</f>
        <v>https://www.artic.edu/iiif/2/b2a11f4d-af2a-f3cf-da12-62e99e39ef7f/full/843,/0/default.jpg</v>
      </c>
      <c r="N3866" s="3">
        <v>0.47499999999999998</v>
      </c>
      <c r="O3866" s="3">
        <v>0.05</v>
      </c>
      <c r="P3866" s="3">
        <v>0.42499999999999999</v>
      </c>
      <c r="Q3866" s="3">
        <v>0.63657921552658003</v>
      </c>
    </row>
    <row r="3867" spans="1:17" x14ac:dyDescent="0.45">
      <c r="A3867" s="3">
        <v>65968</v>
      </c>
      <c r="B3867" t="b">
        <v>0</v>
      </c>
      <c r="C3867" t="b">
        <v>0</v>
      </c>
      <c r="D3867" s="3">
        <v>1918</v>
      </c>
      <c r="E3867" s="3">
        <v>1918</v>
      </c>
      <c r="F3867" t="s">
        <v>1490</v>
      </c>
      <c r="G3867" t="s">
        <v>9125</v>
      </c>
      <c r="H3867" s="3">
        <v>29.440300000000001</v>
      </c>
      <c r="I3867" t="s">
        <v>949</v>
      </c>
      <c r="J3867" t="s">
        <v>13635</v>
      </c>
      <c r="L3867" t="s">
        <v>9126</v>
      </c>
      <c r="M3867" t="str">
        <f>"https://www.artic.edu/iiif/2/"&amp;Table9[[#This Row],[Image ID]]&amp;"/full/843,/0/default.jpg"</f>
        <v>https://www.artic.edu/iiif/2/bea79cf4-a005-d325-d995-796cf669d659/full/843,/0/default.jpg</v>
      </c>
      <c r="N3867" s="3">
        <v>0.6</v>
      </c>
      <c r="O3867" s="3">
        <v>0.17499999999999999</v>
      </c>
      <c r="P3867" s="3">
        <v>0.42499999999999999</v>
      </c>
      <c r="Q3867" s="3">
        <v>0.60184681415557795</v>
      </c>
    </row>
    <row r="3868" spans="1:17" x14ac:dyDescent="0.45">
      <c r="A3868" s="3">
        <v>225736</v>
      </c>
      <c r="B3868" t="b">
        <v>0</v>
      </c>
      <c r="C3868" t="b">
        <v>0</v>
      </c>
      <c r="D3868" s="3">
        <v>1959</v>
      </c>
      <c r="E3868" s="3">
        <v>1959</v>
      </c>
      <c r="F3868" t="s">
        <v>5932</v>
      </c>
      <c r="G3868" t="s">
        <v>5917</v>
      </c>
      <c r="H3868" s="3">
        <v>39.892099999999999</v>
      </c>
      <c r="I3868" t="s">
        <v>5918</v>
      </c>
      <c r="J3868" t="s">
        <v>11203</v>
      </c>
      <c r="L3868" t="s">
        <v>5933</v>
      </c>
      <c r="M3868" t="str">
        <f>"https://www.artic.edu/iiif/2/"&amp;Table9[[#This Row],[Image ID]]&amp;"/full/843,/0/default.jpg"</f>
        <v>https://www.artic.edu/iiif/2/c52c43e6-1d7b-609b-6e6a-98609e150b75/full/843,/0/default.jpg</v>
      </c>
      <c r="N3868" s="3">
        <v>0.75</v>
      </c>
      <c r="O3868" s="3">
        <v>0.32500000000000001</v>
      </c>
      <c r="P3868" s="3">
        <v>0.42499999999999999</v>
      </c>
      <c r="Q3868" s="3">
        <v>0.84685426950454701</v>
      </c>
    </row>
    <row r="3869" spans="1:17" x14ac:dyDescent="0.45">
      <c r="A3869" s="3">
        <v>118729</v>
      </c>
      <c r="B3869" t="b">
        <v>0</v>
      </c>
      <c r="C3869" t="b">
        <v>0</v>
      </c>
      <c r="D3869" s="3">
        <v>1927</v>
      </c>
      <c r="E3869" s="3">
        <v>1927</v>
      </c>
      <c r="F3869" t="s">
        <v>2547</v>
      </c>
      <c r="G3869" t="s">
        <v>845</v>
      </c>
      <c r="H3869" s="3">
        <v>33.398400000000002</v>
      </c>
      <c r="I3869" t="s">
        <v>14588</v>
      </c>
      <c r="J3869" t="s">
        <v>14450</v>
      </c>
      <c r="L3869" t="s">
        <v>2548</v>
      </c>
      <c r="M3869" t="str">
        <f>"https://www.artic.edu/iiif/2/"&amp;Table9[[#This Row],[Image ID]]&amp;"/full/843,/0/default.jpg"</f>
        <v>https://www.artic.edu/iiif/2/f9deae9e-bc51-53e5-75d3-759e5b03ade5/full/843,/0/default.jpg</v>
      </c>
      <c r="N3869" s="3">
        <v>0.5</v>
      </c>
      <c r="O3869" s="3">
        <v>7.4999999999999997E-2</v>
      </c>
      <c r="P3869" s="3">
        <v>0.42499999999999999</v>
      </c>
      <c r="Q3869" s="3">
        <v>0.71904647350311202</v>
      </c>
    </row>
    <row r="3870" spans="1:17" x14ac:dyDescent="0.45">
      <c r="A3870" s="3">
        <v>235046</v>
      </c>
      <c r="B3870" t="b">
        <v>0</v>
      </c>
      <c r="C3870" t="b">
        <v>1</v>
      </c>
      <c r="D3870" s="3">
        <v>1899</v>
      </c>
      <c r="E3870" s="3">
        <v>1899</v>
      </c>
      <c r="F3870" t="s">
        <v>6226</v>
      </c>
      <c r="G3870" t="s">
        <v>7</v>
      </c>
      <c r="H3870" s="3">
        <v>34.0989</v>
      </c>
      <c r="I3870" t="s">
        <v>14580</v>
      </c>
      <c r="J3870" t="s">
        <v>12024</v>
      </c>
      <c r="L3870" t="s">
        <v>6227</v>
      </c>
      <c r="M3870" t="str">
        <f>"https://www.artic.edu/iiif/2/"&amp;Table9[[#This Row],[Image ID]]&amp;"/full/843,/0/default.jpg"</f>
        <v>https://www.artic.edu/iiif/2/47634d3f-1ac9-4631-b9ea-5c40fda489be/full/843,/0/default.jpg</v>
      </c>
      <c r="N3870" s="3">
        <v>0.57499999999999996</v>
      </c>
      <c r="O3870" s="3">
        <v>0.15</v>
      </c>
      <c r="P3870" s="3">
        <v>0.42499999999999993</v>
      </c>
      <c r="Q3870" s="3">
        <v>0.62046176195144598</v>
      </c>
    </row>
    <row r="3871" spans="1:17" x14ac:dyDescent="0.45">
      <c r="A3871" s="3">
        <v>59455</v>
      </c>
      <c r="B3871" t="b">
        <v>0</v>
      </c>
      <c r="C3871" t="b">
        <v>1</v>
      </c>
      <c r="D3871" s="3">
        <v>1799</v>
      </c>
      <c r="E3871" s="3">
        <v>1799</v>
      </c>
      <c r="F3871" t="s">
        <v>8566</v>
      </c>
      <c r="G3871" t="s">
        <v>7</v>
      </c>
      <c r="H3871" s="3">
        <v>18.9451</v>
      </c>
      <c r="I3871" t="s">
        <v>8567</v>
      </c>
      <c r="J3871" t="s">
        <v>12050</v>
      </c>
      <c r="K3871" s="5" t="s">
        <v>125</v>
      </c>
      <c r="L3871" t="s">
        <v>8568</v>
      </c>
      <c r="M3871" t="str">
        <f>"https://www.artic.edu/iiif/2/"&amp;Table9[[#This Row],[Image ID]]&amp;"/full/843,/0/default.jpg"</f>
        <v>https://www.artic.edu/iiif/2/498e45a7-5721-25dd-e26c-09b3e5b8010b/full/843,/0/default.jpg</v>
      </c>
      <c r="N3871" s="3">
        <v>0.57499999999999996</v>
      </c>
      <c r="O3871" s="3">
        <v>0.15</v>
      </c>
      <c r="P3871" s="3">
        <v>0.42499999999999993</v>
      </c>
      <c r="Q3871" s="3">
        <v>0.412830650806427</v>
      </c>
    </row>
    <row r="3872" spans="1:17" x14ac:dyDescent="0.45">
      <c r="A3872" s="3">
        <v>81507</v>
      </c>
      <c r="B3872" t="b">
        <v>0</v>
      </c>
      <c r="C3872" t="b">
        <v>1</v>
      </c>
      <c r="D3872" s="3">
        <v>1874</v>
      </c>
      <c r="E3872" s="3">
        <v>1874</v>
      </c>
      <c r="F3872" t="s">
        <v>14688</v>
      </c>
      <c r="G3872" t="s">
        <v>7</v>
      </c>
      <c r="H3872" s="3">
        <v>20.185700000000001</v>
      </c>
      <c r="I3872" t="s">
        <v>14669</v>
      </c>
      <c r="J3872" t="s">
        <v>12503</v>
      </c>
      <c r="L3872" t="s">
        <v>10104</v>
      </c>
      <c r="M3872" t="str">
        <f>"https://www.artic.edu/iiif/2/"&amp;Table9[[#This Row],[Image ID]]&amp;"/full/843,/0/default.jpg"</f>
        <v>https://www.artic.edu/iiif/2/68e24e96-1f25-75cd-bb2c-232713f131a9/full/843,/0/default.jpg</v>
      </c>
      <c r="N3872" s="3">
        <v>0.57499999999999996</v>
      </c>
      <c r="O3872" s="3">
        <v>0.15</v>
      </c>
      <c r="P3872" s="3">
        <v>0.42499999999999993</v>
      </c>
      <c r="Q3872" s="3">
        <v>0.496276885271072</v>
      </c>
    </row>
    <row r="3873" spans="1:17" x14ac:dyDescent="0.45">
      <c r="A3873" s="3">
        <v>37741</v>
      </c>
      <c r="B3873" t="b">
        <v>0</v>
      </c>
      <c r="C3873" t="b">
        <v>1</v>
      </c>
      <c r="D3873" s="3">
        <v>1875</v>
      </c>
      <c r="E3873" s="3">
        <v>1875</v>
      </c>
      <c r="F3873" t="s">
        <v>7272</v>
      </c>
      <c r="G3873" t="s">
        <v>7</v>
      </c>
      <c r="H3873" s="3">
        <v>28.018899999999999</v>
      </c>
      <c r="I3873" t="s">
        <v>3452</v>
      </c>
      <c r="J3873" t="s">
        <v>14276</v>
      </c>
      <c r="K3873" s="5" t="s">
        <v>9</v>
      </c>
      <c r="L3873" t="s">
        <v>7273</v>
      </c>
      <c r="M3873" t="str">
        <f>"https://www.artic.edu/iiif/2/"&amp;Table9[[#This Row],[Image ID]]&amp;"/full/843,/0/default.jpg"</f>
        <v>https://www.artic.edu/iiif/2/ed7aa098-e5c9-04dd-b09c-3416d1c56854/full/843,/0/default.jpg</v>
      </c>
      <c r="N3873" s="3">
        <v>0.57499999999999996</v>
      </c>
      <c r="O3873" s="3">
        <v>0.15</v>
      </c>
      <c r="P3873" s="3">
        <v>0.42499999999999993</v>
      </c>
      <c r="Q3873" s="3">
        <v>0.45623391866683899</v>
      </c>
    </row>
    <row r="3874" spans="1:17" x14ac:dyDescent="0.45">
      <c r="A3874" s="3">
        <v>114458</v>
      </c>
      <c r="B3874" t="b">
        <v>0</v>
      </c>
      <c r="C3874" t="b">
        <v>1</v>
      </c>
      <c r="D3874" s="3">
        <v>1895</v>
      </c>
      <c r="E3874" s="3">
        <v>1905</v>
      </c>
      <c r="F3874" t="s">
        <v>1650</v>
      </c>
      <c r="G3874" t="s">
        <v>1651</v>
      </c>
      <c r="H3874" s="3">
        <v>18.525600000000001</v>
      </c>
      <c r="I3874" t="s">
        <v>16</v>
      </c>
      <c r="J3874" t="s">
        <v>14336</v>
      </c>
      <c r="L3874" t="s">
        <v>1652</v>
      </c>
      <c r="M3874" t="str">
        <f>"https://www.artic.edu/iiif/2/"&amp;Table9[[#This Row],[Image ID]]&amp;"/full/843,/0/default.jpg"</f>
        <v>https://www.artic.edu/iiif/2/f179bc3a-b391-8236-cc47-25cdcf93fe26/full/843,/0/default.jpg</v>
      </c>
      <c r="N3874" s="3">
        <v>0.57499999999999996</v>
      </c>
      <c r="O3874" s="3">
        <v>0.15</v>
      </c>
      <c r="P3874" s="3">
        <v>0.42499999999999993</v>
      </c>
      <c r="Q3874" s="3">
        <v>0.51453280448913497</v>
      </c>
    </row>
    <row r="3875" spans="1:17" x14ac:dyDescent="0.45">
      <c r="A3875" s="3">
        <v>202857</v>
      </c>
      <c r="B3875" t="b">
        <v>0</v>
      </c>
      <c r="C3875" t="b">
        <v>0</v>
      </c>
      <c r="D3875" s="3">
        <v>2004</v>
      </c>
      <c r="E3875" s="3">
        <v>2004</v>
      </c>
      <c r="F3875" t="s">
        <v>5359</v>
      </c>
      <c r="G3875" t="s">
        <v>5360</v>
      </c>
      <c r="H3875" s="3">
        <v>88.589799999999997</v>
      </c>
      <c r="I3875" t="s">
        <v>5361</v>
      </c>
      <c r="J3875" t="s">
        <v>12539</v>
      </c>
      <c r="K3875" s="5" t="s">
        <v>15</v>
      </c>
      <c r="L3875" t="s">
        <v>5362</v>
      </c>
      <c r="M3875" t="str">
        <f>"https://www.artic.edu/iiif/2/"&amp;Table9[[#This Row],[Image ID]]&amp;"/full/843,/0/default.jpg"</f>
        <v>https://www.artic.edu/iiif/2/ab735178-90c0-a1ed-341d-4792013ac20f/full/843,/0/default.jpg</v>
      </c>
      <c r="N3875" s="3">
        <v>0.57499999999999996</v>
      </c>
      <c r="O3875" s="3">
        <v>0.15</v>
      </c>
      <c r="P3875" s="3">
        <v>0.42499999999999993</v>
      </c>
      <c r="Q3875" s="3">
        <v>0.73348766565322798</v>
      </c>
    </row>
    <row r="3876" spans="1:17" x14ac:dyDescent="0.45">
      <c r="A3876" s="3">
        <v>20730</v>
      </c>
      <c r="B3876" t="b">
        <v>0</v>
      </c>
      <c r="C3876" t="b">
        <v>0</v>
      </c>
      <c r="D3876" s="3">
        <v>1908</v>
      </c>
      <c r="E3876" s="3">
        <v>1918</v>
      </c>
      <c r="F3876" t="s">
        <v>5506</v>
      </c>
      <c r="G3876" t="s">
        <v>5507</v>
      </c>
      <c r="H3876" s="3">
        <v>13.7098</v>
      </c>
      <c r="I3876" t="s">
        <v>5508</v>
      </c>
      <c r="J3876" t="s">
        <v>13860</v>
      </c>
      <c r="L3876" t="s">
        <v>5509</v>
      </c>
      <c r="M3876" t="str">
        <f>"https://www.artic.edu/iiif/2/"&amp;Table9[[#This Row],[Image ID]]&amp;"/full/843,/0/default.jpg"</f>
        <v>https://www.artic.edu/iiif/2/d15f17db-c40a-55a3-c9a7-9989116e17f9/full/843,/0/default.jpg</v>
      </c>
      <c r="N3876" s="3">
        <v>0.57499999999999996</v>
      </c>
      <c r="O3876" s="3">
        <v>0.15</v>
      </c>
      <c r="P3876" s="3">
        <v>0.42499999999999993</v>
      </c>
      <c r="Q3876" s="3">
        <v>0.63560533523559504</v>
      </c>
    </row>
    <row r="3877" spans="1:17" x14ac:dyDescent="0.45">
      <c r="A3877" s="3">
        <v>94092</v>
      </c>
      <c r="B3877" t="b">
        <v>0</v>
      </c>
      <c r="C3877" t="b">
        <v>0</v>
      </c>
      <c r="D3877" s="3">
        <v>1933</v>
      </c>
      <c r="E3877" s="3">
        <v>1933</v>
      </c>
      <c r="F3877" t="s">
        <v>10721</v>
      </c>
      <c r="G3877" t="s">
        <v>10722</v>
      </c>
      <c r="H3877" s="3">
        <v>35.986899999999999</v>
      </c>
      <c r="I3877" t="s">
        <v>1404</v>
      </c>
      <c r="J3877" t="s">
        <v>13886</v>
      </c>
      <c r="L3877" t="s">
        <v>10723</v>
      </c>
      <c r="M3877" t="str">
        <f>"https://www.artic.edu/iiif/2/"&amp;Table9[[#This Row],[Image ID]]&amp;"/full/843,/0/default.jpg"</f>
        <v>https://www.artic.edu/iiif/2/d3bde1ed-6cb9-b69e-b313-620e06db39b3/full/843,/0/default.jpg</v>
      </c>
      <c r="N3877" s="3">
        <v>0.57499999999999996</v>
      </c>
      <c r="O3877" s="3">
        <v>0.15</v>
      </c>
      <c r="P3877" s="3">
        <v>0.42499999999999993</v>
      </c>
      <c r="Q3877" s="3">
        <v>0.68042993545532204</v>
      </c>
    </row>
    <row r="3878" spans="1:17" x14ac:dyDescent="0.45">
      <c r="A3878" s="3">
        <v>215704</v>
      </c>
      <c r="B3878" t="b">
        <v>0</v>
      </c>
      <c r="C3878" t="b">
        <v>0</v>
      </c>
      <c r="D3878" s="3">
        <v>1920</v>
      </c>
      <c r="E3878" s="3">
        <v>1920</v>
      </c>
      <c r="F3878" t="s">
        <v>5632</v>
      </c>
      <c r="G3878" t="s">
        <v>5633</v>
      </c>
      <c r="H3878" s="3">
        <v>19.476400000000002</v>
      </c>
      <c r="I3878" t="s">
        <v>5337</v>
      </c>
      <c r="J3878" t="s">
        <v>14366</v>
      </c>
      <c r="L3878" t="s">
        <v>5634</v>
      </c>
      <c r="M3878" t="str">
        <f>"https://www.artic.edu/iiif/2/"&amp;Table9[[#This Row],[Image ID]]&amp;"/full/843,/0/default.jpg"</f>
        <v>https://www.artic.edu/iiif/2/f40158c9-e284-e328-be6c-a25b433c1e1c/full/843,/0/default.jpg</v>
      </c>
      <c r="N3878" s="3">
        <v>0.57499999999999996</v>
      </c>
      <c r="O3878" s="3">
        <v>0.15</v>
      </c>
      <c r="P3878" s="3">
        <v>0.42499999999999993</v>
      </c>
      <c r="Q3878" s="3">
        <v>0.67931276559829701</v>
      </c>
    </row>
    <row r="3879" spans="1:17" x14ac:dyDescent="0.45">
      <c r="A3879" s="3">
        <v>45386</v>
      </c>
      <c r="B3879" t="b">
        <v>0</v>
      </c>
      <c r="C3879" t="b">
        <v>0</v>
      </c>
      <c r="D3879" s="3">
        <v>1964</v>
      </c>
      <c r="E3879" s="3">
        <v>1964</v>
      </c>
      <c r="F3879" t="s">
        <v>7847</v>
      </c>
      <c r="G3879" t="s">
        <v>7848</v>
      </c>
      <c r="H3879" s="3">
        <v>29.825800000000001</v>
      </c>
      <c r="I3879" t="s">
        <v>165</v>
      </c>
      <c r="J3879" t="s">
        <v>13407</v>
      </c>
      <c r="L3879" t="s">
        <v>7849</v>
      </c>
      <c r="M3879" t="str">
        <f>"https://www.artic.edu/iiif/2/"&amp;Table9[[#This Row],[Image ID]]&amp;"/full/843,/0/default.jpg"</f>
        <v>https://www.artic.edu/iiif/2/ad15c19c-6c96-26e8-7a10-9544347a2950/full/843,/0/default.jpg</v>
      </c>
      <c r="N3879" s="3">
        <v>0.48799999999999999</v>
      </c>
      <c r="O3879" s="3">
        <v>7.0000000000000007E-2</v>
      </c>
      <c r="P3879" s="3">
        <v>0.41799999999999998</v>
      </c>
      <c r="Q3879" s="3">
        <v>0.56914579868316595</v>
      </c>
    </row>
    <row r="3880" spans="1:17" x14ac:dyDescent="0.45">
      <c r="A3880" s="3">
        <v>117703</v>
      </c>
      <c r="B3880" t="b">
        <v>0</v>
      </c>
      <c r="C3880" t="b">
        <v>0</v>
      </c>
      <c r="D3880" s="3">
        <v>1913</v>
      </c>
      <c r="E3880" s="3">
        <v>1913</v>
      </c>
      <c r="F3880" t="s">
        <v>2412</v>
      </c>
      <c r="G3880" t="s">
        <v>7</v>
      </c>
      <c r="H3880" s="3">
        <v>16.863299999999999</v>
      </c>
      <c r="I3880" t="s">
        <v>2413</v>
      </c>
      <c r="J3880" t="s">
        <v>13155</v>
      </c>
      <c r="K3880" s="5" t="s">
        <v>45</v>
      </c>
      <c r="L3880" t="s">
        <v>2414</v>
      </c>
      <c r="M3880" t="str">
        <f>"https://www.artic.edu/iiif/2/"&amp;Table9[[#This Row],[Image ID]]&amp;"/full/843,/0/default.jpg"</f>
        <v>https://www.artic.edu/iiif/2/9a48102a-2f39-d1bc-d696-64c1225eaf9a/full/843,/0/default.jpg</v>
      </c>
      <c r="N3880" s="3">
        <v>0.58099999999999996</v>
      </c>
      <c r="O3880" s="3">
        <v>0.16300000000000001</v>
      </c>
      <c r="P3880" s="3">
        <v>0.41799999999999993</v>
      </c>
      <c r="Q3880" s="3">
        <v>0.73753362894058205</v>
      </c>
    </row>
    <row r="3881" spans="1:17" x14ac:dyDescent="0.45">
      <c r="A3881" s="3">
        <v>15206</v>
      </c>
      <c r="B3881" t="b">
        <v>0</v>
      </c>
      <c r="C3881" t="b">
        <v>0</v>
      </c>
      <c r="D3881" s="3">
        <v>1962</v>
      </c>
      <c r="E3881" s="3">
        <v>1964</v>
      </c>
      <c r="F3881" t="s">
        <v>3881</v>
      </c>
      <c r="G3881" t="s">
        <v>3882</v>
      </c>
      <c r="H3881" s="3">
        <v>23.9419</v>
      </c>
      <c r="I3881" t="s">
        <v>3883</v>
      </c>
      <c r="J3881" t="s">
        <v>13140</v>
      </c>
      <c r="L3881" t="s">
        <v>3884</v>
      </c>
      <c r="M3881" t="str">
        <f>"https://www.artic.edu/iiif/2/"&amp;Table9[[#This Row],[Image ID]]&amp;"/full/843,/0/default.jpg"</f>
        <v>https://www.artic.edu/iiif/2/995b6264-28e4-e8c6-d963-c77324f791b2/full/843,/0/default.jpg</v>
      </c>
      <c r="N3881" s="3">
        <v>0.48799999999999999</v>
      </c>
      <c r="O3881" s="3">
        <v>7.0999999999999994E-2</v>
      </c>
      <c r="P3881" s="3">
        <v>0.41699999999999998</v>
      </c>
      <c r="Q3881" s="3">
        <v>0.545698583126068</v>
      </c>
    </row>
    <row r="3882" spans="1:17" x14ac:dyDescent="0.45">
      <c r="A3882" s="3">
        <v>57163</v>
      </c>
      <c r="B3882" t="b">
        <v>0</v>
      </c>
      <c r="C3882" t="b">
        <v>1</v>
      </c>
      <c r="D3882" s="3">
        <v>1839</v>
      </c>
      <c r="E3882" s="3">
        <v>1839</v>
      </c>
      <c r="F3882" t="s">
        <v>8474</v>
      </c>
      <c r="G3882" t="s">
        <v>7</v>
      </c>
      <c r="H3882" s="3">
        <v>37.898400000000002</v>
      </c>
      <c r="I3882" t="s">
        <v>2689</v>
      </c>
      <c r="J3882" t="s">
        <v>13150</v>
      </c>
      <c r="L3882" t="s">
        <v>8475</v>
      </c>
      <c r="M3882" t="str">
        <f>"https://www.artic.edu/iiif/2/"&amp;Table9[[#This Row],[Image ID]]&amp;"/full/843,/0/default.jpg"</f>
        <v>https://www.artic.edu/iiif/2/99e276fd-f076-f396-b5c1-b22c3ce62b45/full/843,/0/default.jpg</v>
      </c>
      <c r="N3882" s="3">
        <v>0.53700000000000003</v>
      </c>
      <c r="O3882" s="3">
        <v>0.122</v>
      </c>
      <c r="P3882" s="3">
        <v>0.41500000000000004</v>
      </c>
      <c r="Q3882" s="3">
        <v>0.45794284343719399</v>
      </c>
    </row>
    <row r="3883" spans="1:17" x14ac:dyDescent="0.45">
      <c r="A3883" s="3">
        <v>230687</v>
      </c>
      <c r="B3883" t="b">
        <v>0</v>
      </c>
      <c r="C3883" t="b">
        <v>0</v>
      </c>
      <c r="D3883" s="3">
        <v>1961</v>
      </c>
      <c r="E3883" s="3">
        <v>1961</v>
      </c>
      <c r="F3883" t="s">
        <v>11</v>
      </c>
      <c r="G3883" t="s">
        <v>6145</v>
      </c>
      <c r="H3883" s="3">
        <v>37.859099999999998</v>
      </c>
      <c r="I3883" t="s">
        <v>6144</v>
      </c>
      <c r="J3883" t="s">
        <v>12478</v>
      </c>
      <c r="L3883" t="s">
        <v>6146</v>
      </c>
      <c r="M3883" t="str">
        <f>"https://www.artic.edu/iiif/2/"&amp;Table9[[#This Row],[Image ID]]&amp;"/full/843,/0/default.jpg"</f>
        <v>https://www.artic.edu/iiif/2/66caed8a-e188-f2e7-0892-ecadf7a88696/full/843,/0/default.jpg</v>
      </c>
      <c r="N3883" s="3">
        <v>0.53700000000000003</v>
      </c>
      <c r="O3883" s="3">
        <v>0.122</v>
      </c>
      <c r="P3883" s="3">
        <v>0.41500000000000004</v>
      </c>
      <c r="Q3883" s="3">
        <v>0.648232102394104</v>
      </c>
    </row>
    <row r="3884" spans="1:17" x14ac:dyDescent="0.45">
      <c r="A3884" s="3">
        <v>4760</v>
      </c>
      <c r="B3884" t="b">
        <v>0</v>
      </c>
      <c r="C3884" t="b">
        <v>1</v>
      </c>
      <c r="D3884" s="3">
        <v>1855</v>
      </c>
      <c r="E3884" s="3">
        <v>1860</v>
      </c>
      <c r="F3884" t="s">
        <v>7962</v>
      </c>
      <c r="G3884" t="s">
        <v>7</v>
      </c>
      <c r="H3884" s="3">
        <v>14.7712</v>
      </c>
      <c r="I3884" t="s">
        <v>1274</v>
      </c>
      <c r="J3884" t="s">
        <v>12126</v>
      </c>
      <c r="L3884" t="s">
        <v>7963</v>
      </c>
      <c r="M3884" t="str">
        <f>"https://www.artic.edu/iiif/2/"&amp;Table9[[#This Row],[Image ID]]&amp;"/full/843,/0/default.jpg"</f>
        <v>https://www.artic.edu/iiif/2/4f5ea323-3f98-2487-26d3-f55ee1274de5/full/843,/0/default.jpg</v>
      </c>
      <c r="N3884" s="3">
        <v>0.48799999999999999</v>
      </c>
      <c r="O3884" s="3">
        <v>7.2999999999999995E-2</v>
      </c>
      <c r="P3884" s="3">
        <v>0.41499999999999998</v>
      </c>
      <c r="Q3884" s="3">
        <v>0.530564785003662</v>
      </c>
    </row>
    <row r="3885" spans="1:17" x14ac:dyDescent="0.45">
      <c r="A3885" s="3">
        <v>158411</v>
      </c>
      <c r="B3885" t="b">
        <v>0</v>
      </c>
      <c r="C3885" t="b">
        <v>1</v>
      </c>
      <c r="D3885" s="3">
        <v>1783</v>
      </c>
      <c r="E3885" s="3">
        <v>1784</v>
      </c>
      <c r="F3885" t="s">
        <v>4133</v>
      </c>
      <c r="G3885" t="s">
        <v>4134</v>
      </c>
      <c r="H3885" s="3">
        <v>17.178899999999999</v>
      </c>
      <c r="I3885" t="s">
        <v>2876</v>
      </c>
      <c r="J3885" t="s">
        <v>14394</v>
      </c>
      <c r="L3885" t="s">
        <v>4135</v>
      </c>
      <c r="M3885" t="str">
        <f>"https://www.artic.edu/iiif/2/"&amp;Table9[[#This Row],[Image ID]]&amp;"/full/843,/0/default.jpg"</f>
        <v>https://www.artic.edu/iiif/2/f6312bce-358a-8127-f436-72ef73cec071/full/843,/0/default.jpg</v>
      </c>
      <c r="N3885" s="3">
        <v>0.48799999999999999</v>
      </c>
      <c r="O3885" s="3">
        <v>7.2999999999999995E-2</v>
      </c>
      <c r="P3885" s="3">
        <v>0.41499999999999998</v>
      </c>
      <c r="Q3885" s="3">
        <v>0.445352673530578</v>
      </c>
    </row>
    <row r="3886" spans="1:17" x14ac:dyDescent="0.45">
      <c r="A3886" s="3">
        <v>115780</v>
      </c>
      <c r="B3886" t="b">
        <v>0</v>
      </c>
      <c r="C3886" t="b">
        <v>1</v>
      </c>
      <c r="D3886" s="3">
        <v>1747</v>
      </c>
      <c r="E3886" s="3">
        <v>1785</v>
      </c>
      <c r="F3886" t="s">
        <v>2098</v>
      </c>
      <c r="G3886" t="s">
        <v>2099</v>
      </c>
      <c r="H3886" s="3">
        <v>18.610700000000001</v>
      </c>
      <c r="I3886" t="s">
        <v>1542</v>
      </c>
      <c r="J3886" t="s">
        <v>11816</v>
      </c>
      <c r="L3886" t="s">
        <v>2100</v>
      </c>
      <c r="M3886" t="str">
        <f>"https://www.artic.edu/iiif/2/"&amp;Table9[[#This Row],[Image ID]]&amp;"/full/843,/0/default.jpg"</f>
        <v>https://www.artic.edu/iiif/2/39bdbf23-d278-356e-b978-2201eaa9dab0/full/843,/0/default.jpg</v>
      </c>
      <c r="N3886" s="3">
        <v>0.78</v>
      </c>
      <c r="O3886" s="3">
        <v>0.36599999999999999</v>
      </c>
      <c r="P3886" s="3">
        <v>0.41400000000000003</v>
      </c>
      <c r="Q3886" s="3">
        <v>0.67625814676284701</v>
      </c>
    </row>
    <row r="3887" spans="1:17" x14ac:dyDescent="0.45">
      <c r="A3887" s="3">
        <v>88533</v>
      </c>
      <c r="B3887" t="b">
        <v>0</v>
      </c>
      <c r="C3887" t="b">
        <v>0</v>
      </c>
      <c r="D3887" s="3">
        <v>1961</v>
      </c>
      <c r="E3887" s="3">
        <v>1961</v>
      </c>
      <c r="F3887" t="s">
        <v>2056</v>
      </c>
      <c r="G3887" t="s">
        <v>10426</v>
      </c>
      <c r="H3887" s="3">
        <v>40.174500000000002</v>
      </c>
      <c r="I3887" t="s">
        <v>9856</v>
      </c>
      <c r="J3887" t="s">
        <v>12180</v>
      </c>
      <c r="L3887" t="s">
        <v>10427</v>
      </c>
      <c r="M3887" t="str">
        <f>"https://www.artic.edu/iiif/2/"&amp;Table9[[#This Row],[Image ID]]&amp;"/full/843,/0/default.jpg"</f>
        <v>https://www.artic.edu/iiif/2/52aa325f-0e87-48d7-de17-e95ce2e21fec/full/843,/0/default.jpg</v>
      </c>
      <c r="N3887" s="3">
        <v>0.46300000000000002</v>
      </c>
      <c r="O3887" s="3">
        <v>4.9000000000000002E-2</v>
      </c>
      <c r="P3887" s="3">
        <v>0.41400000000000003</v>
      </c>
      <c r="Q3887" s="3">
        <v>0.69393235445022505</v>
      </c>
    </row>
    <row r="3888" spans="1:17" x14ac:dyDescent="0.45">
      <c r="A3888" s="3">
        <v>16755</v>
      </c>
      <c r="B3888" t="b">
        <v>0</v>
      </c>
      <c r="C3888" t="b">
        <v>0</v>
      </c>
      <c r="D3888" s="3">
        <v>1915</v>
      </c>
      <c r="E3888" s="3">
        <v>1928</v>
      </c>
      <c r="F3888" t="s">
        <v>4562</v>
      </c>
      <c r="G3888" t="s">
        <v>4563</v>
      </c>
      <c r="H3888" s="3">
        <v>29.489899999999999</v>
      </c>
      <c r="I3888" t="s">
        <v>1277</v>
      </c>
      <c r="J3888" t="s">
        <v>12369</v>
      </c>
      <c r="L3888" t="s">
        <v>4564</v>
      </c>
      <c r="M3888" t="str">
        <f>"https://www.artic.edu/iiif/2/"&amp;Table9[[#This Row],[Image ID]]&amp;"/full/843,/0/default.jpg"</f>
        <v>https://www.artic.edu/iiif/2/5f377276-3fab-7e8c-3e9a-911889a67daa/full/843,/0/default.jpg</v>
      </c>
      <c r="N3888" s="3">
        <v>0.51200000000000001</v>
      </c>
      <c r="O3888" s="3">
        <v>9.8000000000000004E-2</v>
      </c>
      <c r="P3888" s="3">
        <v>0.41400000000000003</v>
      </c>
      <c r="Q3888" s="3">
        <v>0.41535511612892101</v>
      </c>
    </row>
    <row r="3889" spans="1:17" x14ac:dyDescent="0.45">
      <c r="A3889" s="3">
        <v>69287</v>
      </c>
      <c r="B3889" t="b">
        <v>0</v>
      </c>
      <c r="C3889" t="b">
        <v>0</v>
      </c>
      <c r="D3889" s="3">
        <v>1885</v>
      </c>
      <c r="E3889" s="3">
        <v>1895</v>
      </c>
      <c r="F3889" t="s">
        <v>9391</v>
      </c>
      <c r="G3889" t="s">
        <v>7</v>
      </c>
      <c r="H3889" s="3">
        <v>30.7485</v>
      </c>
      <c r="I3889" t="s">
        <v>9392</v>
      </c>
      <c r="J3889" t="s">
        <v>12894</v>
      </c>
      <c r="L3889" t="s">
        <v>9393</v>
      </c>
      <c r="M3889" t="str">
        <f>"https://www.artic.edu/iiif/2/"&amp;Table9[[#This Row],[Image ID]]&amp;"/full/843,/0/default.jpg"</f>
        <v>https://www.artic.edu/iiif/2/85525848-ca61-bf03-c114-a4d86289314f/full/843,/0/default.jpg</v>
      </c>
      <c r="N3889" s="3">
        <v>0.46300000000000002</v>
      </c>
      <c r="O3889" s="3">
        <v>4.9000000000000002E-2</v>
      </c>
      <c r="P3889" s="3">
        <v>0.41400000000000003</v>
      </c>
      <c r="Q3889" s="3">
        <v>0.76791322231292702</v>
      </c>
    </row>
    <row r="3890" spans="1:17" x14ac:dyDescent="0.45">
      <c r="A3890" s="3">
        <v>39492</v>
      </c>
      <c r="B3890" t="b">
        <v>0</v>
      </c>
      <c r="C3890" t="b">
        <v>0</v>
      </c>
      <c r="D3890" s="3">
        <v>1883</v>
      </c>
      <c r="E3890" s="3">
        <v>1883</v>
      </c>
      <c r="F3890" t="s">
        <v>1397</v>
      </c>
      <c r="G3890" t="s">
        <v>75</v>
      </c>
      <c r="H3890" s="3">
        <v>0</v>
      </c>
      <c r="I3890" t="s">
        <v>7570</v>
      </c>
      <c r="J3890" t="s">
        <v>12905</v>
      </c>
      <c r="L3890" t="s">
        <v>7571</v>
      </c>
      <c r="M3890" t="str">
        <f>"https://www.artic.edu/iiif/2/"&amp;Table9[[#This Row],[Image ID]]&amp;"/full/843,/0/default.jpg"</f>
        <v>https://www.artic.edu/iiif/2/862608e5-8953-b1a3-53fd-ec009662516f/full/843,/0/default.jpg</v>
      </c>
      <c r="N3890" s="3">
        <v>0.51200000000000001</v>
      </c>
      <c r="O3890" s="3">
        <v>9.8000000000000004E-2</v>
      </c>
      <c r="P3890" s="3">
        <v>0.41400000000000003</v>
      </c>
      <c r="Q3890" s="3">
        <v>0.71914857625961304</v>
      </c>
    </row>
    <row r="3891" spans="1:17" x14ac:dyDescent="0.45">
      <c r="A3891" s="3">
        <v>18583</v>
      </c>
      <c r="B3891" t="b">
        <v>0</v>
      </c>
      <c r="C3891" t="b">
        <v>0</v>
      </c>
      <c r="D3891" s="3">
        <v>1932</v>
      </c>
      <c r="E3891" s="3">
        <v>1932</v>
      </c>
      <c r="F3891" t="s">
        <v>5031</v>
      </c>
      <c r="G3891" t="s">
        <v>5032</v>
      </c>
      <c r="H3891" s="3">
        <v>22.275099999999998</v>
      </c>
      <c r="I3891" t="s">
        <v>851</v>
      </c>
      <c r="J3891" t="s">
        <v>13887</v>
      </c>
      <c r="L3891" t="s">
        <v>5033</v>
      </c>
      <c r="M3891" t="str">
        <f>"https://www.artic.edu/iiif/2/"&amp;Table9[[#This Row],[Image ID]]&amp;"/full/843,/0/default.jpg"</f>
        <v>https://www.artic.edu/iiif/2/d3c92370-dac5-3afd-3698-7cf9ca3f4770/full/843,/0/default.jpg</v>
      </c>
      <c r="N3891" s="3">
        <v>0.46300000000000002</v>
      </c>
      <c r="O3891" s="3">
        <v>4.9000000000000002E-2</v>
      </c>
      <c r="P3891" s="3">
        <v>0.41400000000000003</v>
      </c>
      <c r="Q3891" s="3">
        <v>0.586744725704193</v>
      </c>
    </row>
    <row r="3892" spans="1:17" x14ac:dyDescent="0.45">
      <c r="A3892" s="3">
        <v>59867</v>
      </c>
      <c r="B3892" t="b">
        <v>0</v>
      </c>
      <c r="C3892" t="b">
        <v>0</v>
      </c>
      <c r="D3892" s="3">
        <v>1925</v>
      </c>
      <c r="E3892" s="3">
        <v>1935</v>
      </c>
      <c r="F3892" t="s">
        <v>8610</v>
      </c>
      <c r="G3892" t="s">
        <v>93</v>
      </c>
      <c r="H3892" s="3">
        <v>26.154699999999998</v>
      </c>
      <c r="I3892" t="s">
        <v>14554</v>
      </c>
      <c r="J3892" t="s">
        <v>12941</v>
      </c>
      <c r="L3892" t="s">
        <v>8611</v>
      </c>
      <c r="M3892" t="str">
        <f>"https://www.artic.edu/iiif/2/"&amp;Table9[[#This Row],[Image ID]]&amp;"/full/843,/0/default.jpg"</f>
        <v>https://www.artic.edu/iiif/2/89f059fb-4919-6783-6b7e-ec960a639b60/full/843,/0/default.jpg</v>
      </c>
      <c r="N3892" s="3">
        <v>0.58499999999999996</v>
      </c>
      <c r="O3892" s="3">
        <v>0.17100000000000001</v>
      </c>
      <c r="P3892" s="3">
        <v>0.41399999999999992</v>
      </c>
      <c r="Q3892" s="3">
        <v>0.52095890045166005</v>
      </c>
    </row>
    <row r="3893" spans="1:17" x14ac:dyDescent="0.45">
      <c r="A3893" s="3">
        <v>38893</v>
      </c>
      <c r="B3893" t="b">
        <v>0</v>
      </c>
      <c r="C3893" t="b">
        <v>1</v>
      </c>
      <c r="D3893" s="3">
        <v>1806</v>
      </c>
      <c r="E3893" s="3">
        <v>1854</v>
      </c>
      <c r="F3893" t="s">
        <v>7309</v>
      </c>
      <c r="G3893" t="s">
        <v>7310</v>
      </c>
      <c r="H3893" s="3">
        <v>30.166799999999999</v>
      </c>
      <c r="I3893" t="s">
        <v>7307</v>
      </c>
      <c r="J3893" t="s">
        <v>13599</v>
      </c>
      <c r="L3893" t="s">
        <v>7311</v>
      </c>
      <c r="M3893" t="str">
        <f>"https://www.artic.edu/iiif/2/"&amp;Table9[[#This Row],[Image ID]]&amp;"/full/843,/0/default.jpg"</f>
        <v>https://www.artic.edu/iiif/2/cf644300-1a6f-54c5-634a-51744540b28d/full/843,/0/default.jpg</v>
      </c>
      <c r="N3893" s="3">
        <v>0.47699999999999998</v>
      </c>
      <c r="O3893" s="3">
        <v>6.8000000000000005E-2</v>
      </c>
      <c r="P3893" s="3">
        <v>0.40899999999999997</v>
      </c>
      <c r="Q3893" s="3">
        <v>0.63646280765533403</v>
      </c>
    </row>
    <row r="3894" spans="1:17" x14ac:dyDescent="0.45">
      <c r="A3894" s="3">
        <v>28862</v>
      </c>
      <c r="B3894" t="b">
        <v>0</v>
      </c>
      <c r="C3894" t="b">
        <v>1</v>
      </c>
      <c r="D3894" s="3">
        <v>1880</v>
      </c>
      <c r="E3894" s="3">
        <v>1890</v>
      </c>
      <c r="F3894" t="s">
        <v>6833</v>
      </c>
      <c r="G3894" t="s">
        <v>7</v>
      </c>
      <c r="H3894" s="3">
        <v>19.449100000000001</v>
      </c>
      <c r="I3894" t="s">
        <v>768</v>
      </c>
      <c r="J3894" t="s">
        <v>11376</v>
      </c>
      <c r="K3894" s="5" t="s">
        <v>284</v>
      </c>
      <c r="L3894" t="s">
        <v>6834</v>
      </c>
      <c r="M3894" t="str">
        <f>"https://www.artic.edu/iiif/2/"&amp;Table9[[#This Row],[Image ID]]&amp;"/full/843,/0/default.jpg"</f>
        <v>https://www.artic.edu/iiif/2/1d3a275d-45dd-6026-b6ed-d7d8df417a3d/full/843,/0/default.jpg</v>
      </c>
      <c r="N3894" s="3">
        <v>0.52400000000000002</v>
      </c>
      <c r="O3894" s="3">
        <v>0.11899999999999999</v>
      </c>
      <c r="P3894" s="3">
        <v>0.40500000000000003</v>
      </c>
      <c r="Q3894" s="3">
        <v>0.55443394184112504</v>
      </c>
    </row>
    <row r="3895" spans="1:17" x14ac:dyDescent="0.45">
      <c r="A3895" s="3">
        <v>10992</v>
      </c>
      <c r="B3895" t="b">
        <v>0</v>
      </c>
      <c r="C3895" t="b">
        <v>0</v>
      </c>
      <c r="D3895" s="3">
        <v>1901</v>
      </c>
      <c r="E3895" s="3">
        <v>1911</v>
      </c>
      <c r="F3895" t="s">
        <v>862</v>
      </c>
      <c r="G3895" t="s">
        <v>863</v>
      </c>
      <c r="H3895" s="3">
        <v>56.671500000000002</v>
      </c>
      <c r="I3895" t="s">
        <v>14637</v>
      </c>
      <c r="J3895" t="s">
        <v>11656</v>
      </c>
      <c r="L3895" t="s">
        <v>864</v>
      </c>
      <c r="M3895" t="str">
        <f>"https://www.artic.edu/iiif/2/"&amp;Table9[[#This Row],[Image ID]]&amp;"/full/843,/0/default.jpg"</f>
        <v>https://www.artic.edu/iiif/2/2ece1308-12e3-1dea-6be2-6ede259c19bb/full/843,/0/default.jpg</v>
      </c>
      <c r="N3895" s="3">
        <v>0.5</v>
      </c>
      <c r="O3895" s="3">
        <v>9.5000000000000001E-2</v>
      </c>
      <c r="P3895" s="3">
        <v>0.40500000000000003</v>
      </c>
      <c r="Q3895" s="3">
        <v>0.500613152980804</v>
      </c>
    </row>
    <row r="3896" spans="1:17" x14ac:dyDescent="0.45">
      <c r="A3896" s="3">
        <v>32962</v>
      </c>
      <c r="B3896" t="b">
        <v>0</v>
      </c>
      <c r="C3896" t="b">
        <v>1</v>
      </c>
      <c r="D3896" s="3">
        <v>1832</v>
      </c>
      <c r="E3896" s="3">
        <v>1863</v>
      </c>
      <c r="F3896" t="s">
        <v>7067</v>
      </c>
      <c r="G3896" t="s">
        <v>7068</v>
      </c>
      <c r="H3896" s="3">
        <v>40.524900000000002</v>
      </c>
      <c r="I3896" t="s">
        <v>14686</v>
      </c>
      <c r="J3896" t="s">
        <v>13129</v>
      </c>
      <c r="L3896" t="s">
        <v>7069</v>
      </c>
      <c r="M3896" t="str">
        <f>"https://www.artic.edu/iiif/2/"&amp;Table9[[#This Row],[Image ID]]&amp;"/full/843,/0/default.jpg"</f>
        <v>https://www.artic.edu/iiif/2/98b1d82e-0ab6-b597-1f26-ef858b043b46/full/843,/0/default.jpg</v>
      </c>
      <c r="N3896" s="3">
        <v>0.59499999999999997</v>
      </c>
      <c r="O3896" s="3">
        <v>0.19</v>
      </c>
      <c r="P3896" s="3">
        <v>0.40499999999999997</v>
      </c>
      <c r="Q3896" s="3">
        <v>0.71932184696197499</v>
      </c>
    </row>
    <row r="3897" spans="1:17" x14ac:dyDescent="0.45">
      <c r="A3897" s="3">
        <v>121628</v>
      </c>
      <c r="B3897" t="b">
        <v>0</v>
      </c>
      <c r="C3897" t="b">
        <v>1</v>
      </c>
      <c r="D3897" s="3">
        <v>1879</v>
      </c>
      <c r="E3897" s="3">
        <v>1879</v>
      </c>
      <c r="F3897" t="s">
        <v>2682</v>
      </c>
      <c r="G3897" t="s">
        <v>7</v>
      </c>
      <c r="H3897" s="3">
        <v>16.267700000000001</v>
      </c>
      <c r="I3897" t="s">
        <v>934</v>
      </c>
      <c r="J3897" t="s">
        <v>14423</v>
      </c>
      <c r="K3897" s="5" t="s">
        <v>9</v>
      </c>
      <c r="L3897" t="s">
        <v>2683</v>
      </c>
      <c r="M3897" t="str">
        <f>"https://www.artic.edu/iiif/2/"&amp;Table9[[#This Row],[Image ID]]&amp;"/full/843,/0/default.jpg"</f>
        <v>https://www.artic.edu/iiif/2/f7ef1f0f-c5c9-6794-9283-2e7ebcde95cd/full/843,/0/default.jpg</v>
      </c>
      <c r="N3897" s="3">
        <v>0.47599999999999998</v>
      </c>
      <c r="O3897" s="3">
        <v>7.0999999999999994E-2</v>
      </c>
      <c r="P3897" s="3">
        <v>0.40499999999999997</v>
      </c>
      <c r="Q3897" s="3">
        <v>0.58353602886199896</v>
      </c>
    </row>
    <row r="3898" spans="1:17" x14ac:dyDescent="0.45">
      <c r="A3898" s="3">
        <v>15898</v>
      </c>
      <c r="B3898" t="b">
        <v>0</v>
      </c>
      <c r="C3898" t="b">
        <v>0</v>
      </c>
      <c r="D3898" s="3">
        <v>1921</v>
      </c>
      <c r="E3898" s="3">
        <v>1921</v>
      </c>
      <c r="F3898" t="s">
        <v>4176</v>
      </c>
      <c r="G3898" t="s">
        <v>4177</v>
      </c>
      <c r="H3898" s="3">
        <v>24.925000000000001</v>
      </c>
      <c r="I3898" t="s">
        <v>341</v>
      </c>
      <c r="J3898" t="s">
        <v>12483</v>
      </c>
      <c r="L3898" t="s">
        <v>4178</v>
      </c>
      <c r="M3898" t="str">
        <f>"https://www.artic.edu/iiif/2/"&amp;Table9[[#This Row],[Image ID]]&amp;"/full/843,/0/default.jpg"</f>
        <v>https://www.artic.edu/iiif/2/67761ddf-a555-1d48-404c-faee4dd508e1/full/843,/0/default.jpg</v>
      </c>
      <c r="N3898" s="3">
        <v>0.59499999999999997</v>
      </c>
      <c r="O3898" s="3">
        <v>0.19</v>
      </c>
      <c r="P3898" s="3">
        <v>0.40499999999999997</v>
      </c>
      <c r="Q3898" s="3">
        <v>0.57322853803634599</v>
      </c>
    </row>
    <row r="3899" spans="1:17" x14ac:dyDescent="0.45">
      <c r="A3899" s="3">
        <v>65963</v>
      </c>
      <c r="B3899" t="b">
        <v>0</v>
      </c>
      <c r="C3899" t="b">
        <v>0</v>
      </c>
      <c r="D3899" s="3">
        <v>1917</v>
      </c>
      <c r="E3899" s="3">
        <v>1917</v>
      </c>
      <c r="F3899" t="s">
        <v>9119</v>
      </c>
      <c r="G3899" t="s">
        <v>9120</v>
      </c>
      <c r="H3899" s="3">
        <v>21.918299999999999</v>
      </c>
      <c r="I3899" t="s">
        <v>949</v>
      </c>
      <c r="J3899" t="s">
        <v>14204</v>
      </c>
      <c r="L3899" t="s">
        <v>9121</v>
      </c>
      <c r="M3899" t="str">
        <f>"https://www.artic.edu/iiif/2/"&amp;Table9[[#This Row],[Image ID]]&amp;"/full/843,/0/default.jpg"</f>
        <v>https://www.artic.edu/iiif/2/e8d2a77a-9368-46bb-4756-256d79cd9c00/full/843,/0/default.jpg</v>
      </c>
      <c r="N3899" s="3">
        <v>0.59499999999999997</v>
      </c>
      <c r="O3899" s="3">
        <v>0.19</v>
      </c>
      <c r="P3899" s="3">
        <v>0.40499999999999997</v>
      </c>
      <c r="Q3899" s="3">
        <v>0.72433966398239102</v>
      </c>
    </row>
    <row r="3900" spans="1:17" x14ac:dyDescent="0.45">
      <c r="A3900" s="3">
        <v>117489</v>
      </c>
      <c r="B3900" t="b">
        <v>0</v>
      </c>
      <c r="C3900" t="b">
        <v>0</v>
      </c>
      <c r="D3900" s="3">
        <v>1891</v>
      </c>
      <c r="E3900" s="3">
        <v>1957</v>
      </c>
      <c r="F3900" t="s">
        <v>2337</v>
      </c>
      <c r="G3900" t="s">
        <v>2338</v>
      </c>
      <c r="H3900" s="3">
        <v>37.867800000000003</v>
      </c>
      <c r="I3900" t="s">
        <v>822</v>
      </c>
      <c r="J3900" t="s">
        <v>11264</v>
      </c>
      <c r="L3900" t="s">
        <v>2339</v>
      </c>
      <c r="M3900" t="str">
        <f>"https://www.artic.edu/iiif/2/"&amp;Table9[[#This Row],[Image ID]]&amp;"/full/843,/0/default.jpg"</f>
        <v>https://www.artic.edu/iiif/2/156d9321-547b-1b62-63bc-aa284cc0bbe5/full/843,/0/default.jpg</v>
      </c>
      <c r="N3900" s="3">
        <v>0.45200000000000001</v>
      </c>
      <c r="O3900" s="3">
        <v>4.8000000000000001E-2</v>
      </c>
      <c r="P3900" s="3">
        <v>0.40400000000000003</v>
      </c>
      <c r="Q3900" s="3">
        <v>0.67431545257568304</v>
      </c>
    </row>
    <row r="3901" spans="1:17" x14ac:dyDescent="0.45">
      <c r="A3901" s="3">
        <v>5304</v>
      </c>
      <c r="B3901" t="b">
        <v>0</v>
      </c>
      <c r="C3901" t="b">
        <v>1</v>
      </c>
      <c r="D3901" s="3">
        <v>1660</v>
      </c>
      <c r="E3901" s="3">
        <v>1665</v>
      </c>
      <c r="F3901" t="s">
        <v>8226</v>
      </c>
      <c r="G3901" t="s">
        <v>7</v>
      </c>
      <c r="H3901" s="3">
        <v>0</v>
      </c>
      <c r="I3901" t="s">
        <v>581</v>
      </c>
      <c r="J3901" t="s">
        <v>13014</v>
      </c>
      <c r="L3901" t="s">
        <v>8227</v>
      </c>
      <c r="M3901" t="str">
        <f>"https://www.artic.edu/iiif/2/"&amp;Table9[[#This Row],[Image ID]]&amp;"/full/843,/0/default.jpg"</f>
        <v>https://www.artic.edu/iiif/2/8eed2fbf-5090-4fb2-8f7a-74e97c8e6eaf/full/843,/0/default.jpg</v>
      </c>
      <c r="N3901" s="3">
        <v>0.57099999999999995</v>
      </c>
      <c r="O3901" s="3">
        <v>0.16700000000000001</v>
      </c>
      <c r="P3901" s="3">
        <v>0.40399999999999991</v>
      </c>
      <c r="Q3901" s="3">
        <v>0.56901639699935902</v>
      </c>
    </row>
    <row r="3902" spans="1:17" x14ac:dyDescent="0.45">
      <c r="A3902" s="3">
        <v>107045</v>
      </c>
      <c r="B3902" t="b">
        <v>0</v>
      </c>
      <c r="C3902" t="b">
        <v>0</v>
      </c>
      <c r="D3902" s="3">
        <v>1970</v>
      </c>
      <c r="E3902" s="3">
        <v>1970</v>
      </c>
      <c r="F3902" t="s">
        <v>603</v>
      </c>
      <c r="G3902" t="s">
        <v>604</v>
      </c>
      <c r="H3902" s="3">
        <v>36.366900000000001</v>
      </c>
      <c r="I3902" t="s">
        <v>599</v>
      </c>
      <c r="J3902" t="s">
        <v>14326</v>
      </c>
      <c r="L3902" t="s">
        <v>605</v>
      </c>
      <c r="M3902" t="str">
        <f>"https://www.artic.edu/iiif/2/"&amp;Table9[[#This Row],[Image ID]]&amp;"/full/843,/0/default.jpg"</f>
        <v>https://www.artic.edu/iiif/2/f0c297db-39a3-d299-f059-47e0dafb9e79/full/843,/0/default.jpg</v>
      </c>
      <c r="N3902" s="3">
        <v>0.52500000000000002</v>
      </c>
      <c r="O3902" s="3">
        <v>0.122</v>
      </c>
      <c r="P3902" s="3">
        <v>0.40300000000000002</v>
      </c>
      <c r="Q3902" s="3">
        <v>0.79731935262679998</v>
      </c>
    </row>
    <row r="3903" spans="1:17" x14ac:dyDescent="0.45">
      <c r="A3903" s="3">
        <v>153705</v>
      </c>
      <c r="B3903" t="b">
        <v>0</v>
      </c>
      <c r="C3903" t="b">
        <v>0</v>
      </c>
      <c r="D3903" s="3">
        <v>1918</v>
      </c>
      <c r="E3903" s="3">
        <v>1918</v>
      </c>
      <c r="F3903" t="s">
        <v>3954</v>
      </c>
      <c r="G3903" t="s">
        <v>3955</v>
      </c>
      <c r="H3903" s="3">
        <v>20.834199999999999</v>
      </c>
      <c r="I3903" t="s">
        <v>14637</v>
      </c>
      <c r="J3903" t="s">
        <v>14088</v>
      </c>
      <c r="K3903" s="5" t="s">
        <v>115</v>
      </c>
      <c r="L3903" t="s">
        <v>3956</v>
      </c>
      <c r="M3903" t="str">
        <f>"https://www.artic.edu/iiif/2/"&amp;Table9[[#This Row],[Image ID]]&amp;"/full/843,/0/default.jpg"</f>
        <v>https://www.artic.edu/iiif/2/e170725f-cc12-cb0f-841e-8b1ea918933e/full/843,/0/default.jpg</v>
      </c>
      <c r="N3903" s="3">
        <v>0.45</v>
      </c>
      <c r="O3903" s="3">
        <v>4.9000000000000002E-2</v>
      </c>
      <c r="P3903" s="3">
        <v>0.40100000000000002</v>
      </c>
      <c r="Q3903" s="3">
        <v>0.52940261363983099</v>
      </c>
    </row>
    <row r="3904" spans="1:17" x14ac:dyDescent="0.45">
      <c r="A3904" s="3">
        <v>22549</v>
      </c>
      <c r="B3904" t="b">
        <v>0</v>
      </c>
      <c r="C3904" t="b">
        <v>0</v>
      </c>
      <c r="D3904" s="3">
        <v>1952</v>
      </c>
      <c r="E3904" s="3">
        <v>1952</v>
      </c>
      <c r="F3904" t="s">
        <v>5905</v>
      </c>
      <c r="G3904" t="s">
        <v>5906</v>
      </c>
      <c r="H3904" s="3">
        <v>8.1661000000000001</v>
      </c>
      <c r="I3904" t="s">
        <v>1275</v>
      </c>
      <c r="J3904" t="s">
        <v>14226</v>
      </c>
      <c r="L3904" t="s">
        <v>5907</v>
      </c>
      <c r="M3904" t="str">
        <f>"https://www.artic.edu/iiif/2/"&amp;Table9[[#This Row],[Image ID]]&amp;"/full/843,/0/default.jpg"</f>
        <v>https://www.artic.edu/iiif/2/ea332d81-eced-a26c-29ef-47b751fb8855/full/843,/0/default.jpg</v>
      </c>
      <c r="N3904" s="3">
        <v>0.45</v>
      </c>
      <c r="O3904" s="3">
        <v>4.9000000000000002E-2</v>
      </c>
      <c r="P3904" s="3">
        <v>0.40100000000000002</v>
      </c>
      <c r="Q3904" s="3">
        <v>0.60286301374435403</v>
      </c>
    </row>
    <row r="3905" spans="1:17" x14ac:dyDescent="0.45">
      <c r="A3905" s="3">
        <v>62309</v>
      </c>
      <c r="B3905" t="b">
        <v>0</v>
      </c>
      <c r="C3905" t="b">
        <v>0</v>
      </c>
      <c r="D3905" s="3">
        <v>1943</v>
      </c>
      <c r="E3905" s="3">
        <v>1953</v>
      </c>
      <c r="F3905" t="s">
        <v>8882</v>
      </c>
      <c r="G3905" t="s">
        <v>2534</v>
      </c>
      <c r="H3905" s="3">
        <v>82.113</v>
      </c>
      <c r="I3905" t="s">
        <v>1</v>
      </c>
      <c r="J3905" t="s">
        <v>13350</v>
      </c>
      <c r="K3905" s="5" t="s">
        <v>2</v>
      </c>
      <c r="L3905" t="s">
        <v>8883</v>
      </c>
      <c r="M3905" t="str">
        <f>"https://www.artic.edu/iiif/2/"&amp;Table9[[#This Row],[Image ID]]&amp;"/full/843,/0/default.jpg"</f>
        <v>https://www.artic.edu/iiif/2/a8300772-733f-2467-c9bf-80dd997aac68/full/843,/0/default.jpg</v>
      </c>
      <c r="N3905" s="3">
        <v>0.42499999999999999</v>
      </c>
      <c r="O3905" s="3">
        <v>2.4E-2</v>
      </c>
      <c r="P3905" s="3">
        <v>0.40099999999999997</v>
      </c>
      <c r="Q3905" s="3">
        <v>0.84135103225707997</v>
      </c>
    </row>
    <row r="3906" spans="1:17" x14ac:dyDescent="0.45">
      <c r="A3906" s="3">
        <v>80567</v>
      </c>
      <c r="B3906" t="b">
        <v>0</v>
      </c>
      <c r="C3906" t="b">
        <v>1</v>
      </c>
      <c r="D3906" s="3">
        <v>1867</v>
      </c>
      <c r="E3906" s="3">
        <v>1867</v>
      </c>
      <c r="F3906" t="s">
        <v>2056</v>
      </c>
      <c r="G3906" t="s">
        <v>7</v>
      </c>
      <c r="H3906" s="3">
        <v>0</v>
      </c>
      <c r="I3906" t="s">
        <v>10025</v>
      </c>
      <c r="J3906" t="s">
        <v>11028</v>
      </c>
      <c r="L3906" t="s">
        <v>10026</v>
      </c>
      <c r="M3906" t="str">
        <f>"https://www.artic.edu/iiif/2/"&amp;Table9[[#This Row],[Image ID]]&amp;"/full/843,/0/default.jpg"</f>
        <v>https://www.artic.edu/iiif/2/03be2848-416a-b7c0-a92b-37cbe4de00ba/full/843,/0/default.jpg</v>
      </c>
      <c r="N3906" s="3">
        <v>0.625</v>
      </c>
      <c r="O3906" s="3">
        <v>0.22500000000000001</v>
      </c>
      <c r="P3906" s="3">
        <v>0.4</v>
      </c>
      <c r="Q3906" s="3">
        <v>0.42555212974548301</v>
      </c>
    </row>
    <row r="3907" spans="1:17" x14ac:dyDescent="0.45">
      <c r="A3907" s="3">
        <v>14313</v>
      </c>
      <c r="B3907" t="b">
        <v>0</v>
      </c>
      <c r="C3907" t="b">
        <v>1</v>
      </c>
      <c r="D3907" s="3">
        <v>1897</v>
      </c>
      <c r="E3907" s="3">
        <v>1900</v>
      </c>
      <c r="F3907" t="s">
        <v>3305</v>
      </c>
      <c r="G3907" t="s">
        <v>3306</v>
      </c>
      <c r="H3907" s="3">
        <v>21.0962</v>
      </c>
      <c r="I3907" t="s">
        <v>527</v>
      </c>
      <c r="J3907" t="s">
        <v>11503</v>
      </c>
      <c r="L3907" t="s">
        <v>3307</v>
      </c>
      <c r="M3907" t="str">
        <f>"https://www.artic.edu/iiif/2/"&amp;Table9[[#This Row],[Image ID]]&amp;"/full/843,/0/default.jpg"</f>
        <v>https://www.artic.edu/iiif/2/258cd64d-9d9a-f878-ffd5-aa017ca05300/full/843,/0/default.jpg</v>
      </c>
      <c r="N3907" s="3">
        <v>0.625</v>
      </c>
      <c r="O3907" s="3">
        <v>0.22500000000000001</v>
      </c>
      <c r="P3907" s="3">
        <v>0.4</v>
      </c>
      <c r="Q3907" s="3">
        <v>0.67003720998764005</v>
      </c>
    </row>
    <row r="3908" spans="1:17" x14ac:dyDescent="0.45">
      <c r="A3908" s="3">
        <v>80901</v>
      </c>
      <c r="B3908" t="b">
        <v>0</v>
      </c>
      <c r="C3908" t="b">
        <v>1</v>
      </c>
      <c r="D3908" s="3">
        <v>1325</v>
      </c>
      <c r="E3908" s="3">
        <v>1350</v>
      </c>
      <c r="F3908" t="s">
        <v>10053</v>
      </c>
      <c r="G3908" t="s">
        <v>10054</v>
      </c>
      <c r="H3908" s="3">
        <v>24.8245</v>
      </c>
      <c r="J3908" t="s">
        <v>12195</v>
      </c>
      <c r="K3908" s="5" t="s">
        <v>278</v>
      </c>
      <c r="L3908" t="s">
        <v>10055</v>
      </c>
      <c r="M3908" t="str">
        <f>"https://www.artic.edu/iiif/2/"&amp;Table9[[#This Row],[Image ID]]&amp;"/full/843,/0/default.jpg"</f>
        <v>https://www.artic.edu/iiif/2/53be6341-8e53-9d7f-a31f-785ee82c6383/full/843,/0/default.jpg</v>
      </c>
      <c r="N3908" s="3">
        <v>0.65</v>
      </c>
      <c r="O3908" s="3">
        <v>0.25</v>
      </c>
      <c r="P3908" s="3">
        <v>0.4</v>
      </c>
      <c r="Q3908" s="3">
        <v>0.67873686552047696</v>
      </c>
    </row>
    <row r="3909" spans="1:17" x14ac:dyDescent="0.45">
      <c r="A3909" s="3">
        <v>30701</v>
      </c>
      <c r="B3909" t="b">
        <v>0</v>
      </c>
      <c r="C3909" t="b">
        <v>1</v>
      </c>
      <c r="D3909" s="3">
        <v>1849</v>
      </c>
      <c r="E3909" s="3">
        <v>1849</v>
      </c>
      <c r="F3909" t="s">
        <v>6953</v>
      </c>
      <c r="G3909" t="s">
        <v>7</v>
      </c>
      <c r="H3909" s="3">
        <v>30.192699999999999</v>
      </c>
      <c r="I3909" t="s">
        <v>908</v>
      </c>
      <c r="J3909" t="s">
        <v>13182</v>
      </c>
      <c r="L3909" t="s">
        <v>6954</v>
      </c>
      <c r="M3909" t="str">
        <f>"https://www.artic.edu/iiif/2/"&amp;Table9[[#This Row],[Image ID]]&amp;"/full/843,/0/default.jpg"</f>
        <v>https://www.artic.edu/iiif/2/9c2e39ad-fc3f-356e-cd98-db0038cfe8da/full/843,/0/default.jpg</v>
      </c>
      <c r="N3909" s="3">
        <v>0.67500000000000004</v>
      </c>
      <c r="O3909" s="3">
        <v>0.27500000000000002</v>
      </c>
      <c r="P3909" s="3">
        <v>0.4</v>
      </c>
      <c r="Q3909" s="3">
        <v>0.473713397979736</v>
      </c>
    </row>
    <row r="3910" spans="1:17" x14ac:dyDescent="0.45">
      <c r="A3910" s="3">
        <v>85720</v>
      </c>
      <c r="B3910" t="b">
        <v>0</v>
      </c>
      <c r="C3910" t="b">
        <v>1</v>
      </c>
      <c r="D3910" s="3">
        <v>1747</v>
      </c>
      <c r="E3910" s="3">
        <v>1806</v>
      </c>
      <c r="F3910" t="s">
        <v>10310</v>
      </c>
      <c r="G3910" t="s">
        <v>10311</v>
      </c>
      <c r="H3910" s="3">
        <v>9.7560000000000002</v>
      </c>
      <c r="I3910" t="s">
        <v>10095</v>
      </c>
      <c r="J3910" t="s">
        <v>13588</v>
      </c>
      <c r="L3910" t="s">
        <v>10312</v>
      </c>
      <c r="M3910" t="str">
        <f>"https://www.artic.edu/iiif/2/"&amp;Table9[[#This Row],[Image ID]]&amp;"/full/843,/0/default.jpg"</f>
        <v>https://www.artic.edu/iiif/2/bb285067-a75a-fb85-1ddc-c5cb27817128/full/843,/0/default.jpg</v>
      </c>
      <c r="N3910" s="3">
        <v>0.55000000000000004</v>
      </c>
      <c r="O3910" s="3">
        <v>0.15</v>
      </c>
      <c r="P3910" s="3">
        <v>0.4</v>
      </c>
      <c r="Q3910" s="3">
        <v>0.60226738452911299</v>
      </c>
    </row>
    <row r="3911" spans="1:17" x14ac:dyDescent="0.45">
      <c r="A3911" s="3">
        <v>16166</v>
      </c>
      <c r="B3911" t="b">
        <v>0</v>
      </c>
      <c r="C3911" t="b">
        <v>1</v>
      </c>
      <c r="D3911" s="3">
        <v>1455</v>
      </c>
      <c r="E3911" s="3">
        <v>1460</v>
      </c>
      <c r="F3911" t="s">
        <v>4283</v>
      </c>
      <c r="G3911" t="s">
        <v>103</v>
      </c>
      <c r="H3911" s="3">
        <v>44.033900000000003</v>
      </c>
      <c r="I3911" t="s">
        <v>4270</v>
      </c>
      <c r="J3911" t="s">
        <v>13703</v>
      </c>
      <c r="L3911" t="s">
        <v>4284</v>
      </c>
      <c r="M3911" t="str">
        <f>"https://www.artic.edu/iiif/2/"&amp;Table9[[#This Row],[Image ID]]&amp;"/full/843,/0/default.jpg"</f>
        <v>https://www.artic.edu/iiif/2/c4d8f64a-fc13-8a26-ba46-868f3d0d978c/full/843,/0/default.jpg</v>
      </c>
      <c r="N3911" s="3">
        <v>0.5</v>
      </c>
      <c r="O3911" s="3">
        <v>0.1</v>
      </c>
      <c r="P3911" s="3">
        <v>0.4</v>
      </c>
      <c r="Q3911" s="3">
        <v>0.73452347517013505</v>
      </c>
    </row>
    <row r="3912" spans="1:17" x14ac:dyDescent="0.45">
      <c r="A3912" s="3">
        <v>20598</v>
      </c>
      <c r="B3912" t="b">
        <v>0</v>
      </c>
      <c r="C3912" t="b">
        <v>1</v>
      </c>
      <c r="D3912" s="3">
        <v>1742</v>
      </c>
      <c r="E3912" s="3">
        <v>1743</v>
      </c>
      <c r="F3912" t="s">
        <v>5481</v>
      </c>
      <c r="G3912" t="s">
        <v>7</v>
      </c>
      <c r="H3912" s="3">
        <v>61.253399999999999</v>
      </c>
      <c r="I3912" t="s">
        <v>1410</v>
      </c>
      <c r="J3912" t="s">
        <v>13783</v>
      </c>
      <c r="L3912" t="s">
        <v>5482</v>
      </c>
      <c r="M3912" t="str">
        <f>"https://www.artic.edu/iiif/2/"&amp;Table9[[#This Row],[Image ID]]&amp;"/full/843,/0/default.jpg"</f>
        <v>https://www.artic.edu/iiif/2/ca8ba7cf-670b-8db8-3ceb-9bbdb595b096/full/843,/0/default.jpg</v>
      </c>
      <c r="N3912" s="3">
        <v>0.45</v>
      </c>
      <c r="O3912" s="3">
        <v>0.05</v>
      </c>
      <c r="P3912" s="3">
        <v>0.4</v>
      </c>
      <c r="Q3912" s="3">
        <v>0.73020392656326205</v>
      </c>
    </row>
    <row r="3913" spans="1:17" x14ac:dyDescent="0.45">
      <c r="A3913" s="3">
        <v>115181</v>
      </c>
      <c r="B3913" t="b">
        <v>0</v>
      </c>
      <c r="C3913" t="b">
        <v>1</v>
      </c>
      <c r="D3913" s="3">
        <v>1835</v>
      </c>
      <c r="E3913" s="3">
        <v>1882</v>
      </c>
      <c r="F3913" t="s">
        <v>1814</v>
      </c>
      <c r="G3913" t="s">
        <v>1774</v>
      </c>
      <c r="H3913" s="3">
        <v>37.090600000000002</v>
      </c>
      <c r="I3913" t="s">
        <v>1555</v>
      </c>
      <c r="J3913" t="s">
        <v>14334</v>
      </c>
      <c r="L3913" t="s">
        <v>1815</v>
      </c>
      <c r="M3913" t="str">
        <f>"https://www.artic.edu/iiif/2/"&amp;Table9[[#This Row],[Image ID]]&amp;"/full/843,/0/default.jpg"</f>
        <v>https://www.artic.edu/iiif/2/f16c72f9-6091-98b7-0e0c-d8e2cc69b96a/full/843,/0/default.jpg</v>
      </c>
      <c r="N3913" s="3">
        <v>0.65</v>
      </c>
      <c r="O3913" s="3">
        <v>0.25</v>
      </c>
      <c r="P3913" s="3">
        <v>0.4</v>
      </c>
      <c r="Q3913" s="3">
        <v>0.48772406578063898</v>
      </c>
    </row>
    <row r="3914" spans="1:17" x14ac:dyDescent="0.45">
      <c r="A3914" s="3">
        <v>9003</v>
      </c>
      <c r="B3914" t="b">
        <v>0</v>
      </c>
      <c r="C3914" t="b">
        <v>0</v>
      </c>
      <c r="D3914" s="3">
        <v>1914</v>
      </c>
      <c r="E3914" s="3">
        <v>1914</v>
      </c>
      <c r="F3914" t="s">
        <v>10495</v>
      </c>
      <c r="G3914" t="s">
        <v>7</v>
      </c>
      <c r="H3914" s="3">
        <v>33.471899999999998</v>
      </c>
      <c r="I3914" t="s">
        <v>5327</v>
      </c>
      <c r="J3914" t="s">
        <v>11936</v>
      </c>
      <c r="L3914" t="s">
        <v>10496</v>
      </c>
      <c r="M3914" t="str">
        <f>"https://www.artic.edu/iiif/2/"&amp;Table9[[#This Row],[Image ID]]&amp;"/full/843,/0/default.jpg"</f>
        <v>https://www.artic.edu/iiif/2/413a4dd2-8647-a376-eb3f-b976c94b2b7f/full/843,/0/default.jpg</v>
      </c>
      <c r="N3914" s="3">
        <v>0.5</v>
      </c>
      <c r="O3914" s="3">
        <v>0.1</v>
      </c>
      <c r="P3914" s="3">
        <v>0.4</v>
      </c>
      <c r="Q3914" s="3">
        <v>0.63706672191619795</v>
      </c>
    </row>
    <row r="3915" spans="1:17" x14ac:dyDescent="0.45">
      <c r="A3915" s="3">
        <v>33209</v>
      </c>
      <c r="B3915" t="b">
        <v>0</v>
      </c>
      <c r="C3915" t="b">
        <v>0</v>
      </c>
      <c r="D3915" s="3">
        <v>1957</v>
      </c>
      <c r="E3915" s="3">
        <v>1957</v>
      </c>
      <c r="F3915" t="s">
        <v>11</v>
      </c>
      <c r="G3915" t="s">
        <v>7</v>
      </c>
      <c r="H3915" s="3">
        <v>0</v>
      </c>
      <c r="I3915" t="s">
        <v>4028</v>
      </c>
      <c r="J3915" t="s">
        <v>7073</v>
      </c>
      <c r="L3915" t="s">
        <v>7072</v>
      </c>
      <c r="M3915" t="str">
        <f>"https://www.artic.edu/iiif/2/"&amp;Table9[[#This Row],[Image ID]]&amp;"/full/843,/0/default.jpg"</f>
        <v>https://www.artic.edu/iiif/2/56ae1356-1bc1-90a0-3a0e-9cd0812ca823/full/843,/0/default.jpg</v>
      </c>
      <c r="N3915" s="3">
        <v>0.55000000000000004</v>
      </c>
      <c r="O3915" s="3">
        <v>0.15</v>
      </c>
      <c r="P3915" s="3">
        <v>0.4</v>
      </c>
      <c r="Q3915" s="3">
        <v>0.70533925294876099</v>
      </c>
    </row>
    <row r="3916" spans="1:17" x14ac:dyDescent="0.45">
      <c r="A3916" s="3">
        <v>60539</v>
      </c>
      <c r="B3916" t="b">
        <v>0</v>
      </c>
      <c r="C3916" t="b">
        <v>0</v>
      </c>
      <c r="D3916" s="3">
        <v>1947</v>
      </c>
      <c r="E3916" s="3">
        <v>1947</v>
      </c>
      <c r="F3916" t="s">
        <v>8720</v>
      </c>
      <c r="G3916" t="s">
        <v>8721</v>
      </c>
      <c r="H3916" s="3">
        <v>24.765599999999999</v>
      </c>
      <c r="I3916" t="s">
        <v>2816</v>
      </c>
      <c r="J3916" t="s">
        <v>12610</v>
      </c>
      <c r="L3916" t="s">
        <v>8722</v>
      </c>
      <c r="M3916" t="str">
        <f>"https://www.artic.edu/iiif/2/"&amp;Table9[[#This Row],[Image ID]]&amp;"/full/843,/0/default.jpg"</f>
        <v>https://www.artic.edu/iiif/2/7040b771-3716-260a-9cb5-b594fc27c75e/full/843,/0/default.jpg</v>
      </c>
      <c r="N3916" s="3">
        <v>0.52500000000000002</v>
      </c>
      <c r="O3916" s="3">
        <v>0.125</v>
      </c>
      <c r="P3916" s="3">
        <v>0.4</v>
      </c>
      <c r="Q3916" s="3">
        <v>0.66339743137359597</v>
      </c>
    </row>
    <row r="3917" spans="1:17" x14ac:dyDescent="0.45">
      <c r="A3917" s="3">
        <v>2913</v>
      </c>
      <c r="B3917" t="b">
        <v>0</v>
      </c>
      <c r="C3917" t="b">
        <v>0</v>
      </c>
      <c r="D3917" s="3">
        <v>1910</v>
      </c>
      <c r="E3917" s="3">
        <v>1910</v>
      </c>
      <c r="F3917" t="s">
        <v>6875</v>
      </c>
      <c r="G3917" t="s">
        <v>6876</v>
      </c>
      <c r="H3917" s="3">
        <v>32.594999999999999</v>
      </c>
      <c r="I3917" t="s">
        <v>949</v>
      </c>
      <c r="J3917" t="s">
        <v>13196</v>
      </c>
      <c r="L3917" t="s">
        <v>6877</v>
      </c>
      <c r="M3917" t="str">
        <f>"https://www.artic.edu/iiif/2/"&amp;Table9[[#This Row],[Image ID]]&amp;"/full/843,/0/default.jpg"</f>
        <v>https://www.artic.edu/iiif/2/b6391e64-f8a2-0118-7319-ef7958cd63cd/full/843,/0/default.jpg</v>
      </c>
      <c r="N3917" s="3">
        <v>0.8</v>
      </c>
      <c r="O3917" s="3">
        <v>0.4</v>
      </c>
      <c r="P3917" s="3">
        <v>0.4</v>
      </c>
      <c r="Q3917" s="3">
        <v>0.65047621726989702</v>
      </c>
    </row>
    <row r="3918" spans="1:17" x14ac:dyDescent="0.45">
      <c r="A3918" s="3">
        <v>145902</v>
      </c>
      <c r="B3918" t="b">
        <v>0</v>
      </c>
      <c r="C3918" t="b">
        <v>0</v>
      </c>
      <c r="D3918" s="3">
        <v>1917</v>
      </c>
      <c r="E3918" s="3">
        <v>1917</v>
      </c>
      <c r="F3918" t="s">
        <v>3413</v>
      </c>
      <c r="G3918" t="s">
        <v>3414</v>
      </c>
      <c r="H3918" s="3">
        <v>26.666</v>
      </c>
      <c r="I3918" t="s">
        <v>934</v>
      </c>
      <c r="J3918" t="s">
        <v>13833</v>
      </c>
      <c r="L3918" t="s">
        <v>3415</v>
      </c>
      <c r="M3918" t="str">
        <f>"https://www.artic.edu/iiif/2/"&amp;Table9[[#This Row],[Image ID]]&amp;"/full/843,/0/default.jpg"</f>
        <v>https://www.artic.edu/iiif/2/cf6462bb-5e7a-1440-edca-0d47c0e6fc12/full/843,/0/default.jpg</v>
      </c>
      <c r="N3918" s="3">
        <v>0.45</v>
      </c>
      <c r="O3918" s="3">
        <v>0.05</v>
      </c>
      <c r="P3918" s="3">
        <v>0.4</v>
      </c>
      <c r="Q3918" s="3">
        <v>0.51976650953292802</v>
      </c>
    </row>
    <row r="3919" spans="1:17" x14ac:dyDescent="0.45">
      <c r="A3919" s="3">
        <v>18691</v>
      </c>
      <c r="B3919" t="b">
        <v>0</v>
      </c>
      <c r="C3919" t="b">
        <v>0</v>
      </c>
      <c r="D3919" s="3">
        <v>1900</v>
      </c>
      <c r="E3919" s="3">
        <v>1925</v>
      </c>
      <c r="F3919" t="s">
        <v>2971</v>
      </c>
      <c r="G3919" t="s">
        <v>5084</v>
      </c>
      <c r="H3919" s="3">
        <v>28.7242</v>
      </c>
      <c r="I3919" t="s">
        <v>5082</v>
      </c>
      <c r="J3919" t="s">
        <v>13925</v>
      </c>
      <c r="L3919" t="s">
        <v>5085</v>
      </c>
      <c r="M3919" t="str">
        <f>"https://www.artic.edu/iiif/2/"&amp;Table9[[#This Row],[Image ID]]&amp;"/full/843,/0/default.jpg"</f>
        <v>https://www.artic.edu/iiif/2/d66f7f7a-9cba-dc93-acc0-ce17f5d9648c/full/843,/0/default.jpg</v>
      </c>
      <c r="N3919" s="3">
        <v>0.52500000000000002</v>
      </c>
      <c r="O3919" s="3">
        <v>0.125</v>
      </c>
      <c r="P3919" s="3">
        <v>0.4</v>
      </c>
      <c r="Q3919" s="3">
        <v>0.71412497758865301</v>
      </c>
    </row>
    <row r="3920" spans="1:17" x14ac:dyDescent="0.45">
      <c r="A3920" s="3">
        <v>58842</v>
      </c>
      <c r="B3920" t="b">
        <v>0</v>
      </c>
      <c r="C3920" t="b">
        <v>0</v>
      </c>
      <c r="D3920" s="3">
        <v>1923</v>
      </c>
      <c r="E3920" s="3">
        <v>1924</v>
      </c>
      <c r="F3920" t="s">
        <v>8535</v>
      </c>
      <c r="G3920" t="s">
        <v>8536</v>
      </c>
      <c r="H3920" s="3">
        <v>30.735199999999999</v>
      </c>
      <c r="I3920" t="s">
        <v>40</v>
      </c>
      <c r="J3920" t="s">
        <v>14186</v>
      </c>
      <c r="L3920" t="s">
        <v>8537</v>
      </c>
      <c r="M3920" t="str">
        <f>"https://www.artic.edu/iiif/2/"&amp;Table9[[#This Row],[Image ID]]&amp;"/full/843,/0/default.jpg"</f>
        <v>https://www.artic.edu/iiif/2/e7d3569b-8a77-f190-3444-51c8c4ab990c/full/843,/0/default.jpg</v>
      </c>
      <c r="N3920" s="3">
        <v>0.45</v>
      </c>
      <c r="O3920" s="3">
        <v>0.05</v>
      </c>
      <c r="P3920" s="3">
        <v>0.4</v>
      </c>
      <c r="Q3920" s="3">
        <v>0.75281077623367298</v>
      </c>
    </row>
    <row r="3921" spans="1:17" x14ac:dyDescent="0.45">
      <c r="A3921" s="3">
        <v>30370</v>
      </c>
      <c r="B3921" t="b">
        <v>0</v>
      </c>
      <c r="C3921" t="b">
        <v>0</v>
      </c>
      <c r="D3921" s="3">
        <v>1954</v>
      </c>
      <c r="E3921" s="3">
        <v>1954</v>
      </c>
      <c r="F3921" t="s">
        <v>6059</v>
      </c>
      <c r="G3921" t="s">
        <v>7</v>
      </c>
      <c r="H3921" s="3">
        <v>0</v>
      </c>
      <c r="I3921" t="s">
        <v>5644</v>
      </c>
      <c r="J3921" t="s">
        <v>14489</v>
      </c>
      <c r="L3921" t="s">
        <v>6947</v>
      </c>
      <c r="M3921" t="str">
        <f>"https://www.artic.edu/iiif/2/"&amp;Table9[[#This Row],[Image ID]]&amp;"/full/843,/0/default.jpg"</f>
        <v>https://www.artic.edu/iiif/2/fc7ba5e5-5aaa-61a1-b744-cec37b4f5266/full/843,/0/default.jpg</v>
      </c>
      <c r="N3921" s="3">
        <v>0.52500000000000002</v>
      </c>
      <c r="O3921" s="3">
        <v>0.125</v>
      </c>
      <c r="P3921" s="3">
        <v>0.4</v>
      </c>
      <c r="Q3921" s="3">
        <v>0.735384941101074</v>
      </c>
    </row>
    <row r="3922" spans="1:17" x14ac:dyDescent="0.45">
      <c r="A3922" s="3">
        <v>194773</v>
      </c>
      <c r="B3922" t="b">
        <v>0</v>
      </c>
      <c r="C3922" t="b">
        <v>1</v>
      </c>
      <c r="D3922" s="3">
        <v>1735</v>
      </c>
      <c r="E3922" s="3">
        <v>1745</v>
      </c>
      <c r="F3922" t="s">
        <v>5250</v>
      </c>
      <c r="G3922" t="s">
        <v>7</v>
      </c>
      <c r="H3922" s="3">
        <v>23.8322</v>
      </c>
      <c r="I3922" t="s">
        <v>3641</v>
      </c>
      <c r="J3922" t="s">
        <v>13663</v>
      </c>
      <c r="L3922" t="s">
        <v>5251</v>
      </c>
      <c r="M3922" t="str">
        <f>"https://www.artic.edu/iiif/2/"&amp;Table9[[#This Row],[Image ID]]&amp;"/full/843,/0/default.jpg"</f>
        <v>https://www.artic.edu/iiif/2/c0e3572f-f756-a351-fe0f-bcecb20a5090/full/843,/0/default.jpg</v>
      </c>
      <c r="N3922" s="3">
        <v>0.6</v>
      </c>
      <c r="O3922" s="3">
        <v>0.2</v>
      </c>
      <c r="P3922" s="3">
        <v>0.39999999999999997</v>
      </c>
      <c r="Q3922" s="3">
        <v>0.57668453454971302</v>
      </c>
    </row>
    <row r="3923" spans="1:17" x14ac:dyDescent="0.45">
      <c r="A3923" s="3">
        <v>114332</v>
      </c>
      <c r="B3923" t="b">
        <v>0</v>
      </c>
      <c r="C3923" t="b">
        <v>1</v>
      </c>
      <c r="D3923" s="3">
        <v>1800</v>
      </c>
      <c r="E3923" s="3">
        <v>1899</v>
      </c>
      <c r="F3923" t="s">
        <v>1628</v>
      </c>
      <c r="G3923" t="s">
        <v>1629</v>
      </c>
      <c r="H3923" s="3">
        <v>39.495199999999997</v>
      </c>
      <c r="I3923" t="s">
        <v>16</v>
      </c>
      <c r="J3923" t="s">
        <v>14110</v>
      </c>
      <c r="L3923" t="s">
        <v>1630</v>
      </c>
      <c r="M3923" t="str">
        <f>"https://www.artic.edu/iiif/2/"&amp;Table9[[#This Row],[Image ID]]&amp;"/full/843,/0/default.jpg"</f>
        <v>https://www.artic.edu/iiif/2/e281a4a3-fc16-1578-dcc2-c582d146b2c9/full/843,/0/default.jpg</v>
      </c>
      <c r="N3923" s="3">
        <v>0.6</v>
      </c>
      <c r="O3923" s="3">
        <v>0.2</v>
      </c>
      <c r="P3923" s="3">
        <v>0.39999999999999997</v>
      </c>
      <c r="Q3923" s="3">
        <v>0.54477614164352395</v>
      </c>
    </row>
    <row r="3924" spans="1:17" x14ac:dyDescent="0.45">
      <c r="A3924" s="3">
        <v>14767</v>
      </c>
      <c r="B3924" t="b">
        <v>0</v>
      </c>
      <c r="C3924" t="b">
        <v>0</v>
      </c>
      <c r="D3924" s="3">
        <v>1887</v>
      </c>
      <c r="E3924" s="3">
        <v>1933</v>
      </c>
      <c r="F3924" t="s">
        <v>3646</v>
      </c>
      <c r="G3924" t="s">
        <v>3647</v>
      </c>
      <c r="H3924" s="3">
        <v>49.573300000000003</v>
      </c>
      <c r="I3924" t="s">
        <v>3648</v>
      </c>
      <c r="J3924" t="s">
        <v>11119</v>
      </c>
      <c r="L3924" t="s">
        <v>3649</v>
      </c>
      <c r="M3924" t="str">
        <f>"https://www.artic.edu/iiif/2/"&amp;Table9[[#This Row],[Image ID]]&amp;"/full/843,/0/default.jpg"</f>
        <v>https://www.artic.edu/iiif/2/0aa9c027-8bd9-7276-e210-9d75d97f92b7/full/843,/0/default.jpg</v>
      </c>
      <c r="N3924" s="3">
        <v>0.57499999999999996</v>
      </c>
      <c r="O3924" s="3">
        <v>0.17499999999999999</v>
      </c>
      <c r="P3924" s="3">
        <v>0.39999999999999997</v>
      </c>
      <c r="Q3924" s="3">
        <v>0.43790325522422702</v>
      </c>
    </row>
    <row r="3925" spans="1:17" x14ac:dyDescent="0.45">
      <c r="A3925" s="3">
        <v>20543</v>
      </c>
      <c r="B3925" t="b">
        <v>0</v>
      </c>
      <c r="C3925" t="b">
        <v>0</v>
      </c>
      <c r="D3925" s="3">
        <v>1895</v>
      </c>
      <c r="E3925" s="3">
        <v>1905</v>
      </c>
      <c r="F3925" t="s">
        <v>2056</v>
      </c>
      <c r="G3925" t="s">
        <v>7</v>
      </c>
      <c r="H3925" s="3">
        <v>0</v>
      </c>
      <c r="I3925" t="s">
        <v>4470</v>
      </c>
      <c r="J3925" t="s">
        <v>12011</v>
      </c>
      <c r="L3925" t="s">
        <v>5464</v>
      </c>
      <c r="M3925" t="str">
        <f>"https://www.artic.edu/iiif/2/"&amp;Table9[[#This Row],[Image ID]]&amp;"/full/843,/0/default.jpg"</f>
        <v>https://www.artic.edu/iiif/2/464827b1-0dc5-5522-4dad-6dd085d98367/full/843,/0/default.jpg</v>
      </c>
      <c r="N3925" s="3">
        <v>0.57499999999999996</v>
      </c>
      <c r="O3925" s="3">
        <v>0.17499999999999999</v>
      </c>
      <c r="P3925" s="3">
        <v>0.39999999999999997</v>
      </c>
      <c r="Q3925" s="3">
        <v>0.417000502347946</v>
      </c>
    </row>
    <row r="3926" spans="1:17" x14ac:dyDescent="0.45">
      <c r="A3926" s="3">
        <v>66011</v>
      </c>
      <c r="B3926" t="b">
        <v>0</v>
      </c>
      <c r="C3926" t="b">
        <v>0</v>
      </c>
      <c r="D3926" s="3">
        <v>1940</v>
      </c>
      <c r="E3926" s="3">
        <v>1940</v>
      </c>
      <c r="F3926" t="s">
        <v>9157</v>
      </c>
      <c r="G3926" t="s">
        <v>9158</v>
      </c>
      <c r="H3926" s="3">
        <v>27.113399999999999</v>
      </c>
      <c r="I3926" t="s">
        <v>949</v>
      </c>
      <c r="J3926" t="s">
        <v>13143</v>
      </c>
      <c r="L3926" t="s">
        <v>9159</v>
      </c>
      <c r="M3926" t="str">
        <f>"https://www.artic.edu/iiif/2/"&amp;Table9[[#This Row],[Image ID]]&amp;"/full/843,/0/default.jpg"</f>
        <v>https://www.artic.edu/iiif/2/998c52ff-350b-69d9-04ba-7706a6604463/full/843,/0/default.jpg</v>
      </c>
      <c r="N3926" s="3">
        <v>0.72499999999999998</v>
      </c>
      <c r="O3926" s="3">
        <v>0.32500000000000001</v>
      </c>
      <c r="P3926" s="3">
        <v>0.39999999999999997</v>
      </c>
      <c r="Q3926" s="3">
        <v>0.69060891866683904</v>
      </c>
    </row>
    <row r="3927" spans="1:17" x14ac:dyDescent="0.45">
      <c r="A3927" s="3">
        <v>113424</v>
      </c>
      <c r="B3927" t="b">
        <v>0</v>
      </c>
      <c r="C3927" t="b">
        <v>0</v>
      </c>
      <c r="D3927" s="3">
        <v>1917</v>
      </c>
      <c r="E3927" s="3">
        <v>1917</v>
      </c>
      <c r="F3927" t="s">
        <v>1421</v>
      </c>
      <c r="G3927" t="s">
        <v>1422</v>
      </c>
      <c r="H3927" s="3">
        <v>15.5847</v>
      </c>
      <c r="I3927" t="s">
        <v>1423</v>
      </c>
      <c r="J3927" t="s">
        <v>13196</v>
      </c>
      <c r="L3927" t="s">
        <v>1424</v>
      </c>
      <c r="M3927" t="str">
        <f>"https://www.artic.edu/iiif/2/"&amp;Table9[[#This Row],[Image ID]]&amp;"/full/843,/0/default.jpg"</f>
        <v>https://www.artic.edu/iiif/2/9d6060c1-6dda-daa8-399f-6afb25b62e8a/full/843,/0/default.jpg</v>
      </c>
      <c r="N3927" s="3">
        <v>0.6</v>
      </c>
      <c r="O3927" s="3">
        <v>0.2</v>
      </c>
      <c r="P3927" s="3">
        <v>0.39999999999999997</v>
      </c>
      <c r="Q3927" s="3">
        <v>0.660528004169464</v>
      </c>
    </row>
    <row r="3928" spans="1:17" x14ac:dyDescent="0.45">
      <c r="A3928" s="3">
        <v>35269</v>
      </c>
      <c r="B3928" t="b">
        <v>0</v>
      </c>
      <c r="C3928" t="b">
        <v>0</v>
      </c>
      <c r="D3928" s="3">
        <v>1946</v>
      </c>
      <c r="E3928" s="3">
        <v>1956</v>
      </c>
      <c r="F3928" t="s">
        <v>7178</v>
      </c>
      <c r="G3928" t="s">
        <v>7</v>
      </c>
      <c r="H3928" s="3">
        <v>85.153199999999998</v>
      </c>
      <c r="I3928" t="s">
        <v>523</v>
      </c>
      <c r="J3928" t="s">
        <v>14016</v>
      </c>
      <c r="L3928" t="s">
        <v>7179</v>
      </c>
      <c r="M3928" t="str">
        <f>"https://www.artic.edu/iiif/2/"&amp;Table9[[#This Row],[Image ID]]&amp;"/full/843,/0/default.jpg"</f>
        <v>https://www.artic.edu/iiif/2/dcb642f8-7b0b-1254-bad3-0fb49e6f0e64/full/843,/0/default.jpg</v>
      </c>
      <c r="N3928" s="3">
        <v>0.47499999999999998</v>
      </c>
      <c r="O3928" s="3">
        <v>7.4999999999999997E-2</v>
      </c>
      <c r="P3928" s="3">
        <v>0.39999999999999997</v>
      </c>
      <c r="Q3928" s="3">
        <v>0.60395145416259699</v>
      </c>
    </row>
    <row r="3929" spans="1:17" x14ac:dyDescent="0.45">
      <c r="A3929" s="3">
        <v>94842</v>
      </c>
      <c r="B3929" t="b">
        <v>0</v>
      </c>
      <c r="C3929" t="b">
        <v>1</v>
      </c>
      <c r="D3929" s="3">
        <v>1852</v>
      </c>
      <c r="E3929" s="3">
        <v>1852</v>
      </c>
      <c r="F3929" t="s">
        <v>10747</v>
      </c>
      <c r="G3929" t="s">
        <v>7</v>
      </c>
      <c r="H3929" s="3">
        <v>0</v>
      </c>
      <c r="I3929" t="s">
        <v>14669</v>
      </c>
      <c r="J3929" t="s">
        <v>11694</v>
      </c>
      <c r="L3929" t="s">
        <v>10748</v>
      </c>
      <c r="M3929" t="str">
        <f>"https://www.artic.edu/iiif/2/"&amp;Table9[[#This Row],[Image ID]]&amp;"/full/843,/0/default.jpg"</f>
        <v>https://www.artic.edu/iiif/2/314637b6-22f5-5c2d-5b33-cd6ef4218748/full/843,/0/default.jpg</v>
      </c>
      <c r="N3929" s="3">
        <v>0.65900000000000003</v>
      </c>
      <c r="O3929" s="3">
        <v>0.26800000000000002</v>
      </c>
      <c r="P3929" s="3">
        <v>0.39100000000000001</v>
      </c>
      <c r="Q3929" s="3">
        <v>0.41530698537826499</v>
      </c>
    </row>
    <row r="3930" spans="1:17" x14ac:dyDescent="0.45">
      <c r="A3930" s="3">
        <v>133605</v>
      </c>
      <c r="B3930" t="b">
        <v>0</v>
      </c>
      <c r="C3930" t="b">
        <v>1</v>
      </c>
      <c r="D3930" s="3">
        <v>1888</v>
      </c>
      <c r="E3930" s="3">
        <v>1888</v>
      </c>
      <c r="F3930" t="s">
        <v>3068</v>
      </c>
      <c r="G3930" t="s">
        <v>3069</v>
      </c>
      <c r="H3930" s="3">
        <v>27.985499999999998</v>
      </c>
      <c r="I3930" t="s">
        <v>768</v>
      </c>
      <c r="J3930" t="s">
        <v>11380</v>
      </c>
      <c r="L3930" t="s">
        <v>3070</v>
      </c>
      <c r="M3930" t="str">
        <f>"https://www.artic.edu/iiif/2/"&amp;Table9[[#This Row],[Image ID]]&amp;"/full/843,/0/default.jpg"</f>
        <v>https://www.artic.edu/iiif/2/1d789b2f-7821-b5a8-5f84-6fb2549b4e30/full/843,/0/default.jpg</v>
      </c>
      <c r="N3930" s="3">
        <v>0.51200000000000001</v>
      </c>
      <c r="O3930" s="3">
        <v>0.122</v>
      </c>
      <c r="P3930" s="3">
        <v>0.39</v>
      </c>
      <c r="Q3930" s="3">
        <v>0.84398388862609797</v>
      </c>
    </row>
    <row r="3931" spans="1:17" x14ac:dyDescent="0.45">
      <c r="A3931" s="3">
        <v>28813</v>
      </c>
      <c r="B3931" t="b">
        <v>0</v>
      </c>
      <c r="C3931" t="b">
        <v>1</v>
      </c>
      <c r="D3931" s="3">
        <v>1645</v>
      </c>
      <c r="E3931" s="3">
        <v>1650</v>
      </c>
      <c r="F3931" t="s">
        <v>6816</v>
      </c>
      <c r="G3931" t="s">
        <v>6817</v>
      </c>
      <c r="H3931" s="3">
        <v>32.806600000000003</v>
      </c>
      <c r="I3931" t="s">
        <v>473</v>
      </c>
      <c r="J3931" t="s">
        <v>12062</v>
      </c>
      <c r="L3931" t="s">
        <v>6818</v>
      </c>
      <c r="M3931" t="str">
        <f>"https://www.artic.edu/iiif/2/"&amp;Table9[[#This Row],[Image ID]]&amp;"/full/843,/0/default.jpg"</f>
        <v>https://www.artic.edu/iiif/2/4a8d1a44-32c7-8106-daf6-14673cc9e2e0/full/843,/0/default.jpg</v>
      </c>
      <c r="N3931" s="3">
        <v>0.46300000000000002</v>
      </c>
      <c r="O3931" s="3">
        <v>7.2999999999999995E-2</v>
      </c>
      <c r="P3931" s="3">
        <v>0.39</v>
      </c>
      <c r="Q3931" s="3">
        <v>0.68122565746307295</v>
      </c>
    </row>
    <row r="3932" spans="1:17" x14ac:dyDescent="0.45">
      <c r="A3932" s="3">
        <v>16797</v>
      </c>
      <c r="B3932" t="b">
        <v>0</v>
      </c>
      <c r="C3932" t="b">
        <v>1</v>
      </c>
      <c r="D3932" s="3">
        <v>1892</v>
      </c>
      <c r="E3932" s="3">
        <v>1892</v>
      </c>
      <c r="F3932" t="s">
        <v>4583</v>
      </c>
      <c r="G3932" t="s">
        <v>4584</v>
      </c>
      <c r="H3932" s="3">
        <v>19.796500000000002</v>
      </c>
      <c r="I3932" t="s">
        <v>1337</v>
      </c>
      <c r="J3932" t="s">
        <v>12127</v>
      </c>
      <c r="L3932" t="s">
        <v>4585</v>
      </c>
      <c r="M3932" t="str">
        <f>"https://www.artic.edu/iiif/2/"&amp;Table9[[#This Row],[Image ID]]&amp;"/full/843,/0/default.jpg"</f>
        <v>https://www.artic.edu/iiif/2/4f75fd95-c957-7aa2-3b21-e4fd84bb8676/full/843,/0/default.jpg</v>
      </c>
      <c r="N3932" s="3">
        <v>0.56100000000000005</v>
      </c>
      <c r="O3932" s="3">
        <v>0.17100000000000001</v>
      </c>
      <c r="P3932" s="3">
        <v>0.39</v>
      </c>
      <c r="Q3932" s="3">
        <v>0.566289663314819</v>
      </c>
    </row>
    <row r="3933" spans="1:17" x14ac:dyDescent="0.45">
      <c r="A3933" s="3">
        <v>72398</v>
      </c>
      <c r="B3933" t="b">
        <v>0</v>
      </c>
      <c r="C3933" t="b">
        <v>1</v>
      </c>
      <c r="D3933" s="3">
        <v>1860</v>
      </c>
      <c r="E3933" s="3">
        <v>1860</v>
      </c>
      <c r="F3933" t="s">
        <v>9570</v>
      </c>
      <c r="G3933" t="s">
        <v>7</v>
      </c>
      <c r="H3933" s="3">
        <v>32.7333</v>
      </c>
      <c r="I3933" t="s">
        <v>506</v>
      </c>
      <c r="J3933" t="s">
        <v>14229</v>
      </c>
      <c r="L3933" t="s">
        <v>9571</v>
      </c>
      <c r="M3933" t="str">
        <f>"https://www.artic.edu/iiif/2/"&amp;Table9[[#This Row],[Image ID]]&amp;"/full/843,/0/default.jpg"</f>
        <v>https://www.artic.edu/iiif/2/ea5875fc-48ab-037d-3eec-86ccf6e9be60/full/843,/0/default.jpg</v>
      </c>
      <c r="N3933" s="3">
        <v>0.56100000000000005</v>
      </c>
      <c r="O3933" s="3">
        <v>0.17100000000000001</v>
      </c>
      <c r="P3933" s="3">
        <v>0.39</v>
      </c>
      <c r="Q3933" s="3">
        <v>0.59816658496856601</v>
      </c>
    </row>
    <row r="3934" spans="1:17" x14ac:dyDescent="0.45">
      <c r="A3934" s="3">
        <v>80514</v>
      </c>
      <c r="B3934" t="b">
        <v>0</v>
      </c>
      <c r="C3934" t="b">
        <v>0</v>
      </c>
      <c r="D3934" s="3">
        <v>1920</v>
      </c>
      <c r="E3934" s="3">
        <v>1920</v>
      </c>
      <c r="F3934" t="s">
        <v>9991</v>
      </c>
      <c r="G3934" t="s">
        <v>9992</v>
      </c>
      <c r="H3934" s="3">
        <v>50.9208</v>
      </c>
      <c r="I3934" t="s">
        <v>7016</v>
      </c>
      <c r="J3934" t="s">
        <v>12600</v>
      </c>
      <c r="L3934" t="s">
        <v>9993</v>
      </c>
      <c r="M3934" t="str">
        <f>"https://www.artic.edu/iiif/2/"&amp;Table9[[#This Row],[Image ID]]&amp;"/full/843,/0/default.jpg"</f>
        <v>https://www.artic.edu/iiif/2/6fc4dcff-48c0-9be6-30db-fcc3fd4c7412/full/843,/0/default.jpg</v>
      </c>
      <c r="N3934" s="3">
        <v>0.46300000000000002</v>
      </c>
      <c r="O3934" s="3">
        <v>7.2999999999999995E-2</v>
      </c>
      <c r="P3934" s="3">
        <v>0.39</v>
      </c>
      <c r="Q3934" s="3">
        <v>0.55861794948577803</v>
      </c>
    </row>
    <row r="3935" spans="1:17" x14ac:dyDescent="0.45">
      <c r="A3935" s="3">
        <v>59858</v>
      </c>
      <c r="B3935" t="b">
        <v>0</v>
      </c>
      <c r="C3935" t="b">
        <v>1</v>
      </c>
      <c r="D3935" s="3">
        <v>1705</v>
      </c>
      <c r="E3935" s="3">
        <v>1725</v>
      </c>
      <c r="F3935" t="s">
        <v>8602</v>
      </c>
      <c r="G3935" t="s">
        <v>7</v>
      </c>
      <c r="H3935" s="3">
        <v>0</v>
      </c>
      <c r="I3935" t="s">
        <v>1298</v>
      </c>
      <c r="J3935" t="s">
        <v>11658</v>
      </c>
      <c r="L3935" t="s">
        <v>8603</v>
      </c>
      <c r="M3935" t="str">
        <f>"https://www.artic.edu/iiif/2/"&amp;Table9[[#This Row],[Image ID]]&amp;"/full/843,/0/default.jpg"</f>
        <v>https://www.artic.edu/iiif/2/2ee1ea7b-4ad8-e8fd-6821-394bab14c395/full/843,/0/default.jpg</v>
      </c>
      <c r="N3935" s="3">
        <v>0.56799999999999995</v>
      </c>
      <c r="O3935" s="3">
        <v>0.182</v>
      </c>
      <c r="P3935" s="3">
        <v>0.38599999999999995</v>
      </c>
      <c r="Q3935" s="3">
        <v>0.75378197431564298</v>
      </c>
    </row>
    <row r="3936" spans="1:17" x14ac:dyDescent="0.45">
      <c r="A3936" s="3">
        <v>102096</v>
      </c>
      <c r="B3936" t="b">
        <v>0</v>
      </c>
      <c r="C3936" t="b">
        <v>1</v>
      </c>
      <c r="D3936" s="3">
        <v>1450</v>
      </c>
      <c r="E3936" s="3">
        <v>1475</v>
      </c>
      <c r="F3936" t="s">
        <v>223</v>
      </c>
      <c r="G3936" t="s">
        <v>212</v>
      </c>
      <c r="H3936" s="3">
        <v>53.892099999999999</v>
      </c>
      <c r="I3936" t="s">
        <v>224</v>
      </c>
      <c r="J3936" t="s">
        <v>13441</v>
      </c>
      <c r="L3936" t="s">
        <v>225</v>
      </c>
      <c r="M3936" t="str">
        <f>"https://www.artic.edu/iiif/2/"&amp;Table9[[#This Row],[Image ID]]&amp;"/full/843,/0/default.jpg"</f>
        <v>https://www.artic.edu/iiif/2/af9fd892-6b39-27b9-0126-01de127c22a1/full/843,/0/default.jpg</v>
      </c>
      <c r="N3936" s="3">
        <v>0.45200000000000001</v>
      </c>
      <c r="O3936" s="3">
        <v>7.0999999999999994E-2</v>
      </c>
      <c r="P3936" s="3">
        <v>0.38100000000000001</v>
      </c>
      <c r="Q3936" s="3">
        <v>0.73509776592254605</v>
      </c>
    </row>
    <row r="3937" spans="1:17" x14ac:dyDescent="0.45">
      <c r="A3937" s="3">
        <v>50943</v>
      </c>
      <c r="B3937" t="b">
        <v>0</v>
      </c>
      <c r="C3937" t="b">
        <v>0</v>
      </c>
      <c r="D3937" s="3">
        <v>1924</v>
      </c>
      <c r="E3937" s="3">
        <v>1944</v>
      </c>
      <c r="F3937" t="s">
        <v>8129</v>
      </c>
      <c r="G3937" t="s">
        <v>3286</v>
      </c>
      <c r="H3937" s="3">
        <v>52.938200000000002</v>
      </c>
      <c r="I3937" t="s">
        <v>8130</v>
      </c>
      <c r="J3937" t="s">
        <v>11462</v>
      </c>
      <c r="L3937" t="s">
        <v>8131</v>
      </c>
      <c r="M3937" t="str">
        <f>"https://www.artic.edu/iiif/2/"&amp;Table9[[#This Row],[Image ID]]&amp;"/full/843,/0/default.jpg"</f>
        <v>https://www.artic.edu/iiif/2/22405831-1241-d2a5-0925-266bd1465b0b/full/843,/0/default.jpg</v>
      </c>
      <c r="N3937" s="3">
        <v>0.52400000000000002</v>
      </c>
      <c r="O3937" s="3">
        <v>0.14299999999999999</v>
      </c>
      <c r="P3937" s="3">
        <v>0.38100000000000001</v>
      </c>
      <c r="Q3937" s="3">
        <v>0.52850174903869596</v>
      </c>
    </row>
    <row r="3938" spans="1:17" x14ac:dyDescent="0.45">
      <c r="A3938" s="3">
        <v>14679</v>
      </c>
      <c r="B3938" t="b">
        <v>0</v>
      </c>
      <c r="C3938" t="b">
        <v>0</v>
      </c>
      <c r="D3938" s="3">
        <v>1925</v>
      </c>
      <c r="E3938" s="3">
        <v>1925</v>
      </c>
      <c r="F3938" t="s">
        <v>3485</v>
      </c>
      <c r="G3938" t="s">
        <v>3486</v>
      </c>
      <c r="H3938" s="3">
        <v>23.5885</v>
      </c>
      <c r="I3938" t="s">
        <v>3487</v>
      </c>
      <c r="J3938" t="s">
        <v>13030</v>
      </c>
      <c r="L3938" t="s">
        <v>3488</v>
      </c>
      <c r="M3938" t="str">
        <f>"https://www.artic.edu/iiif/2/"&amp;Table9[[#This Row],[Image ID]]&amp;"/full/843,/0/default.jpg"</f>
        <v>https://www.artic.edu/iiif/2/907994e0-0065-34fd-ccb6-6010590204af/full/843,/0/default.jpg</v>
      </c>
      <c r="N3938" s="3">
        <v>0.64300000000000002</v>
      </c>
      <c r="O3938" s="3">
        <v>0.26200000000000001</v>
      </c>
      <c r="P3938" s="3">
        <v>0.38100000000000001</v>
      </c>
      <c r="Q3938" s="3">
        <v>0.72410702705383301</v>
      </c>
    </row>
    <row r="3939" spans="1:17" x14ac:dyDescent="0.45">
      <c r="A3939" s="3">
        <v>2921</v>
      </c>
      <c r="B3939" t="b">
        <v>0</v>
      </c>
      <c r="C3939" t="b">
        <v>0</v>
      </c>
      <c r="D3939" s="3">
        <v>1916</v>
      </c>
      <c r="E3939" s="3">
        <v>1916</v>
      </c>
      <c r="F3939" t="s">
        <v>6897</v>
      </c>
      <c r="G3939" t="s">
        <v>6898</v>
      </c>
      <c r="H3939" s="3">
        <v>39.720300000000002</v>
      </c>
      <c r="I3939" t="s">
        <v>949</v>
      </c>
      <c r="J3939" t="s">
        <v>13133</v>
      </c>
      <c r="L3939" t="s">
        <v>6899</v>
      </c>
      <c r="M3939" t="str">
        <f>"https://www.artic.edu/iiif/2/"&amp;Table9[[#This Row],[Image ID]]&amp;"/full/843,/0/default.jpg"</f>
        <v>https://www.artic.edu/iiif/2/98d3ca34-e264-af12-2c46-ea77000f79d9/full/843,/0/default.jpg</v>
      </c>
      <c r="N3939" s="3">
        <v>0.55000000000000004</v>
      </c>
      <c r="O3939" s="3">
        <v>0.17100000000000001</v>
      </c>
      <c r="P3939" s="3">
        <v>0.379</v>
      </c>
      <c r="Q3939" s="3">
        <v>0.56527441740036</v>
      </c>
    </row>
    <row r="3940" spans="1:17" x14ac:dyDescent="0.45">
      <c r="A3940" s="3">
        <v>252699</v>
      </c>
      <c r="B3940" t="b">
        <v>0</v>
      </c>
      <c r="C3940" t="b">
        <v>0</v>
      </c>
      <c r="D3940" s="3">
        <v>1956</v>
      </c>
      <c r="E3940" s="3">
        <v>1956</v>
      </c>
      <c r="F3940" t="s">
        <v>11</v>
      </c>
      <c r="G3940" t="s">
        <v>6503</v>
      </c>
      <c r="H3940" s="3">
        <v>33.2744</v>
      </c>
      <c r="I3940" t="s">
        <v>6504</v>
      </c>
      <c r="J3940" t="s">
        <v>12457</v>
      </c>
      <c r="L3940" t="s">
        <v>6505</v>
      </c>
      <c r="M3940" t="str">
        <f>"https://www.artic.edu/iiif/2/"&amp;Table9[[#This Row],[Image ID]]&amp;"/full/843,/0/default.jpg"</f>
        <v>https://www.artic.edu/iiif/2/655c775b-ae0c-1b34-fb34-b07e05d63722/full/843,/0/default.jpg</v>
      </c>
      <c r="N3940" s="3">
        <v>0.42499999999999999</v>
      </c>
      <c r="O3940" s="3">
        <v>4.9000000000000002E-2</v>
      </c>
      <c r="P3940" s="3">
        <v>0.376</v>
      </c>
      <c r="Q3940" s="3">
        <v>0.59152245521545399</v>
      </c>
    </row>
    <row r="3941" spans="1:17" x14ac:dyDescent="0.45">
      <c r="A3941" s="3">
        <v>99654</v>
      </c>
      <c r="B3941" t="b">
        <v>0</v>
      </c>
      <c r="C3941" t="b">
        <v>1</v>
      </c>
      <c r="D3941" s="3">
        <v>1873</v>
      </c>
      <c r="E3941" s="3">
        <v>1877</v>
      </c>
      <c r="F3941" t="s">
        <v>10945</v>
      </c>
      <c r="G3941" t="s">
        <v>75</v>
      </c>
      <c r="H3941" s="3">
        <v>0</v>
      </c>
      <c r="I3941" t="s">
        <v>14628</v>
      </c>
      <c r="J3941" t="s">
        <v>14426</v>
      </c>
      <c r="L3941" t="s">
        <v>10946</v>
      </c>
      <c r="M3941" t="str">
        <f>"https://www.artic.edu/iiif/2/"&amp;Table9[[#This Row],[Image ID]]&amp;"/full/843,/0/default.jpg"</f>
        <v>https://www.artic.edu/iiif/2/f83244ce-5aef-fa2b-184c-b44c6747dc49/full/843,/0/default.jpg</v>
      </c>
      <c r="N3941" s="3">
        <v>0.67500000000000004</v>
      </c>
      <c r="O3941" s="3">
        <v>0.3</v>
      </c>
      <c r="P3941" s="3">
        <v>0.37500000000000006</v>
      </c>
      <c r="Q3941" s="3">
        <v>0.53214198350906305</v>
      </c>
    </row>
    <row r="3942" spans="1:17" x14ac:dyDescent="0.45">
      <c r="A3942" s="3">
        <v>151895</v>
      </c>
      <c r="B3942" t="b">
        <v>0</v>
      </c>
      <c r="C3942" t="b">
        <v>1</v>
      </c>
      <c r="D3942" s="3">
        <v>1300</v>
      </c>
      <c r="E3942" s="3">
        <v>1500</v>
      </c>
      <c r="F3942" t="s">
        <v>3862</v>
      </c>
      <c r="G3942" t="s">
        <v>3863</v>
      </c>
      <c r="H3942" s="3">
        <v>41.380099999999999</v>
      </c>
      <c r="J3942" t="s">
        <v>11155</v>
      </c>
      <c r="L3942" t="s">
        <v>3864</v>
      </c>
      <c r="M3942" t="str">
        <f>"https://www.artic.edu/iiif/2/"&amp;Table9[[#This Row],[Image ID]]&amp;"/full/843,/0/default.jpg"</f>
        <v>https://www.artic.edu/iiif/2/0dd13184-1b9e-5523-3ba8-434c3724f362/full/843,/0/default.jpg</v>
      </c>
      <c r="N3942" s="3">
        <v>0.47499999999999998</v>
      </c>
      <c r="O3942" s="3">
        <v>0.1</v>
      </c>
      <c r="P3942" s="3">
        <v>0.375</v>
      </c>
      <c r="Q3942" s="3">
        <v>0.84943085908889704</v>
      </c>
    </row>
    <row r="3943" spans="1:17" x14ac:dyDescent="0.45">
      <c r="A3943" s="3">
        <v>96558</v>
      </c>
      <c r="B3943" t="b">
        <v>0</v>
      </c>
      <c r="C3943" t="b">
        <v>1</v>
      </c>
      <c r="D3943" s="3">
        <v>1540</v>
      </c>
      <c r="E3943" s="3">
        <v>1550</v>
      </c>
      <c r="F3943" t="s">
        <v>4256</v>
      </c>
      <c r="G3943" t="s">
        <v>7</v>
      </c>
      <c r="H3943" s="3">
        <v>34.358699999999999</v>
      </c>
      <c r="I3943" t="s">
        <v>6958</v>
      </c>
      <c r="J3943" t="s">
        <v>11817</v>
      </c>
      <c r="L3943" t="s">
        <v>10797</v>
      </c>
      <c r="M3943" t="str">
        <f>"https://www.artic.edu/iiif/2/"&amp;Table9[[#This Row],[Image ID]]&amp;"/full/843,/0/default.jpg"</f>
        <v>https://www.artic.edu/iiif/2/39be9eee-83ac-15eb-de79-f657bd10aecf/full/843,/0/default.jpg</v>
      </c>
      <c r="N3943" s="3">
        <v>0.625</v>
      </c>
      <c r="O3943" s="3">
        <v>0.25</v>
      </c>
      <c r="P3943" s="3">
        <v>0.375</v>
      </c>
      <c r="Q3943" s="3">
        <v>0.51840621232986395</v>
      </c>
    </row>
    <row r="3944" spans="1:17" x14ac:dyDescent="0.45">
      <c r="A3944" s="3">
        <v>142516</v>
      </c>
      <c r="B3944" t="b">
        <v>0</v>
      </c>
      <c r="C3944" t="b">
        <v>1</v>
      </c>
      <c r="D3944" s="3">
        <v>1620</v>
      </c>
      <c r="E3944" s="3">
        <v>1655</v>
      </c>
      <c r="F3944" t="s">
        <v>3273</v>
      </c>
      <c r="G3944" t="s">
        <v>2653</v>
      </c>
      <c r="H3944" s="3">
        <v>41.3613</v>
      </c>
      <c r="J3944" t="s">
        <v>13277</v>
      </c>
      <c r="K3944" s="5" t="s">
        <v>4</v>
      </c>
      <c r="L3944" t="s">
        <v>3274</v>
      </c>
      <c r="M3944" t="str">
        <f>"https://www.artic.edu/iiif/2/"&amp;Table9[[#This Row],[Image ID]]&amp;"/full/843,/0/default.jpg"</f>
        <v>https://www.artic.edu/iiif/2/a3516d51-4809-b4dc-41e6-d2a76de0f8c5/full/843,/0/default.jpg</v>
      </c>
      <c r="N3944" s="3">
        <v>0.47499999999999998</v>
      </c>
      <c r="O3944" s="3">
        <v>0.1</v>
      </c>
      <c r="P3944" s="3">
        <v>0.375</v>
      </c>
      <c r="Q3944" s="3">
        <v>0.73562663793563798</v>
      </c>
    </row>
    <row r="3945" spans="1:17" x14ac:dyDescent="0.45">
      <c r="A3945" s="3">
        <v>16740</v>
      </c>
      <c r="B3945" t="b">
        <v>0</v>
      </c>
      <c r="C3945" t="b">
        <v>0</v>
      </c>
      <c r="D3945" s="3">
        <v>1924</v>
      </c>
      <c r="E3945" s="3">
        <v>1924</v>
      </c>
      <c r="F3945" t="s">
        <v>4550</v>
      </c>
      <c r="G3945" t="s">
        <v>4551</v>
      </c>
      <c r="H3945" s="3">
        <v>28.690799999999999</v>
      </c>
      <c r="I3945" t="s">
        <v>1277</v>
      </c>
      <c r="J3945" t="s">
        <v>11239</v>
      </c>
      <c r="L3945" t="s">
        <v>4552</v>
      </c>
      <c r="M3945" t="str">
        <f>"https://www.artic.edu/iiif/2/"&amp;Table9[[#This Row],[Image ID]]&amp;"/full/843,/0/default.jpg"</f>
        <v>https://www.artic.edu/iiif/2/1384f2d8-5791-a32c-4cab-145449dc8a9e/full/843,/0/default.jpg</v>
      </c>
      <c r="N3945" s="3">
        <v>0.6</v>
      </c>
      <c r="O3945" s="3">
        <v>0.22500000000000001</v>
      </c>
      <c r="P3945" s="3">
        <v>0.375</v>
      </c>
      <c r="Q3945" s="3">
        <v>0.55581897497177102</v>
      </c>
    </row>
    <row r="3946" spans="1:17" x14ac:dyDescent="0.45">
      <c r="A3946" s="3">
        <v>222570</v>
      </c>
      <c r="B3946" t="b">
        <v>0</v>
      </c>
      <c r="C3946" t="b">
        <v>0</v>
      </c>
      <c r="D3946" s="3">
        <v>1938</v>
      </c>
      <c r="E3946" s="3">
        <v>1938</v>
      </c>
      <c r="F3946" t="s">
        <v>5832</v>
      </c>
      <c r="G3946" t="s">
        <v>5833</v>
      </c>
      <c r="H3946" s="3">
        <v>9.7754999999999992</v>
      </c>
      <c r="I3946" t="s">
        <v>5834</v>
      </c>
      <c r="J3946" t="s">
        <v>11424</v>
      </c>
      <c r="L3946" t="s">
        <v>5835</v>
      </c>
      <c r="M3946" t="str">
        <f>"https://www.artic.edu/iiif/2/"&amp;Table9[[#This Row],[Image ID]]&amp;"/full/843,/0/default.jpg"</f>
        <v>https://www.artic.edu/iiif/2/1fd97c28-d57f-df6a-52ef-d01bc50097d2/full/843,/0/default.jpg</v>
      </c>
      <c r="N3946" s="3">
        <v>0.4</v>
      </c>
      <c r="O3946" s="3">
        <v>2.5000000000000001E-2</v>
      </c>
      <c r="P3946" s="3">
        <v>0.375</v>
      </c>
      <c r="Q3946" s="3">
        <v>0.79255050420761097</v>
      </c>
    </row>
    <row r="3947" spans="1:17" x14ac:dyDescent="0.45">
      <c r="A3947" s="3">
        <v>34660</v>
      </c>
      <c r="B3947" t="b">
        <v>0</v>
      </c>
      <c r="C3947" t="b">
        <v>0</v>
      </c>
      <c r="D3947" s="3">
        <v>1906</v>
      </c>
      <c r="E3947" s="3">
        <v>1917</v>
      </c>
      <c r="F3947" t="s">
        <v>7127</v>
      </c>
      <c r="G3947" t="s">
        <v>7</v>
      </c>
      <c r="H3947" s="3">
        <v>29.878799999999998</v>
      </c>
      <c r="I3947" t="s">
        <v>4278</v>
      </c>
      <c r="J3947" t="s">
        <v>11683</v>
      </c>
      <c r="L3947" t="s">
        <v>7128</v>
      </c>
      <c r="M3947" t="str">
        <f>"https://www.artic.edu/iiif/2/"&amp;Table9[[#This Row],[Image ID]]&amp;"/full/843,/0/default.jpg"</f>
        <v>https://www.artic.edu/iiif/2/30783723-d400-3d07-a43b-5039ddd28889/full/843,/0/default.jpg</v>
      </c>
      <c r="N3947" s="3">
        <v>0.47499999999999998</v>
      </c>
      <c r="O3947" s="3">
        <v>0.1</v>
      </c>
      <c r="P3947" s="3">
        <v>0.375</v>
      </c>
      <c r="Q3947" s="3">
        <v>0.70648229122161799</v>
      </c>
    </row>
    <row r="3948" spans="1:17" x14ac:dyDescent="0.45">
      <c r="A3948" s="3">
        <v>7043</v>
      </c>
      <c r="B3948" t="b">
        <v>0</v>
      </c>
      <c r="C3948" t="b">
        <v>0</v>
      </c>
      <c r="D3948" s="3">
        <v>1956</v>
      </c>
      <c r="E3948" s="3">
        <v>1956</v>
      </c>
      <c r="F3948" t="s">
        <v>11</v>
      </c>
      <c r="G3948" t="s">
        <v>9461</v>
      </c>
      <c r="H3948" s="3">
        <v>11.821199999999999</v>
      </c>
      <c r="I3948" t="s">
        <v>9462</v>
      </c>
      <c r="J3948" t="s">
        <v>11145</v>
      </c>
      <c r="L3948" t="s">
        <v>9463</v>
      </c>
      <c r="M3948" t="str">
        <f>"https://www.artic.edu/iiif/2/"&amp;Table9[[#This Row],[Image ID]]&amp;"/full/843,/0/default.jpg"</f>
        <v>https://www.artic.edu/iiif/2/34f72642-c237-be96-b395-89276e26f5e5/full/843,/0/default.jpg</v>
      </c>
      <c r="N3948" s="3">
        <v>0.5</v>
      </c>
      <c r="O3948" s="3">
        <v>0.125</v>
      </c>
      <c r="P3948" s="3">
        <v>0.375</v>
      </c>
      <c r="Q3948" s="3">
        <v>0.75051379203796298</v>
      </c>
    </row>
    <row r="3949" spans="1:17" x14ac:dyDescent="0.45">
      <c r="A3949" s="3">
        <v>184999</v>
      </c>
      <c r="B3949" t="b">
        <v>0</v>
      </c>
      <c r="C3949" t="b">
        <v>0</v>
      </c>
      <c r="D3949" s="3">
        <v>1644</v>
      </c>
      <c r="E3949" s="3">
        <v>1911</v>
      </c>
      <c r="F3949" t="s">
        <v>4944</v>
      </c>
      <c r="G3949" t="s">
        <v>448</v>
      </c>
      <c r="H3949" s="3">
        <v>13.6607</v>
      </c>
      <c r="I3949" t="s">
        <v>4945</v>
      </c>
      <c r="J3949" t="s">
        <v>11831</v>
      </c>
      <c r="K3949" s="5" t="s">
        <v>130</v>
      </c>
      <c r="L3949" t="s">
        <v>4946</v>
      </c>
      <c r="M3949" t="str">
        <f>"https://www.artic.edu/iiif/2/"&amp;Table9[[#This Row],[Image ID]]&amp;"/full/843,/0/default.jpg"</f>
        <v>https://www.artic.edu/iiif/2/3a580f19-8529-453c-9d27-383534a43410/full/843,/0/default.jpg</v>
      </c>
      <c r="N3949" s="3">
        <v>0.5</v>
      </c>
      <c r="O3949" s="3">
        <v>0.125</v>
      </c>
      <c r="P3949" s="3">
        <v>0.375</v>
      </c>
      <c r="Q3949" s="3">
        <v>0.70038044452667203</v>
      </c>
    </row>
    <row r="3950" spans="1:17" x14ac:dyDescent="0.45">
      <c r="A3950" s="3">
        <v>80562</v>
      </c>
      <c r="B3950" t="b">
        <v>0</v>
      </c>
      <c r="C3950" t="b">
        <v>0</v>
      </c>
      <c r="D3950" s="3">
        <v>1885</v>
      </c>
      <c r="E3950" s="3">
        <v>1890</v>
      </c>
      <c r="F3950" t="s">
        <v>10021</v>
      </c>
      <c r="G3950" t="s">
        <v>7</v>
      </c>
      <c r="H3950" s="3">
        <v>17.197600000000001</v>
      </c>
      <c r="I3950" t="s">
        <v>14591</v>
      </c>
      <c r="J3950" t="s">
        <v>12325</v>
      </c>
      <c r="K3950" s="5" t="s">
        <v>115</v>
      </c>
      <c r="L3950" t="s">
        <v>10022</v>
      </c>
      <c r="M3950" t="str">
        <f>"https://www.artic.edu/iiif/2/"&amp;Table9[[#This Row],[Image ID]]&amp;"/full/843,/0/default.jpg"</f>
        <v>https://www.artic.edu/iiif/2/5c4dcaf1-f6b8-356e-33df-9a8a25e2f507/full/843,/0/default.jpg</v>
      </c>
      <c r="N3950" s="3">
        <v>0.52500000000000002</v>
      </c>
      <c r="O3950" s="3">
        <v>0.15</v>
      </c>
      <c r="P3950" s="3">
        <v>0.375</v>
      </c>
      <c r="Q3950" s="3">
        <v>0.62570858001708896</v>
      </c>
    </row>
    <row r="3951" spans="1:17" x14ac:dyDescent="0.45">
      <c r="A3951" s="3">
        <v>79047</v>
      </c>
      <c r="B3951" t="b">
        <v>0</v>
      </c>
      <c r="C3951" t="b">
        <v>0</v>
      </c>
      <c r="D3951" s="3">
        <v>1920</v>
      </c>
      <c r="E3951" s="3">
        <v>1929</v>
      </c>
      <c r="F3951" t="s">
        <v>9878</v>
      </c>
      <c r="G3951" t="s">
        <v>642</v>
      </c>
      <c r="H3951" s="3">
        <v>28.8552</v>
      </c>
      <c r="I3951" t="s">
        <v>16</v>
      </c>
      <c r="J3951" t="s">
        <v>13524</v>
      </c>
      <c r="L3951" t="s">
        <v>9879</v>
      </c>
      <c r="M3951" t="str">
        <f>"https://www.artic.edu/iiif/2/"&amp;Table9[[#This Row],[Image ID]]&amp;"/full/843,/0/default.jpg"</f>
        <v>https://www.artic.edu/iiif/2/b61bd0e7-cbc6-57d7-175a-d8e7443ca084/full/843,/0/default.jpg</v>
      </c>
      <c r="N3951" s="3">
        <v>0.45</v>
      </c>
      <c r="O3951" s="3">
        <v>7.4999999999999997E-2</v>
      </c>
      <c r="P3951" s="3">
        <v>0.375</v>
      </c>
      <c r="Q3951" s="3">
        <v>0.64302712678909302</v>
      </c>
    </row>
    <row r="3952" spans="1:17" x14ac:dyDescent="0.45">
      <c r="A3952" s="3">
        <v>90062</v>
      </c>
      <c r="B3952" t="b">
        <v>0</v>
      </c>
      <c r="C3952" t="b">
        <v>1</v>
      </c>
      <c r="D3952" s="3">
        <v>1895</v>
      </c>
      <c r="E3952" s="3">
        <v>1897</v>
      </c>
      <c r="F3952" t="s">
        <v>10502</v>
      </c>
      <c r="G3952" t="s">
        <v>7</v>
      </c>
      <c r="H3952" s="3">
        <v>38.2592</v>
      </c>
      <c r="I3952" t="s">
        <v>3167</v>
      </c>
      <c r="J3952" t="s">
        <v>13219</v>
      </c>
      <c r="L3952" t="s">
        <v>10503</v>
      </c>
      <c r="M3952" t="str">
        <f>"https://www.artic.edu/iiif/2/"&amp;Table9[[#This Row],[Image ID]]&amp;"/full/843,/0/default.jpg"</f>
        <v>https://www.artic.edu/iiif/2/9eb5693e-eeea-b2cd-a021-18628daf6182/full/843,/0/default.jpg</v>
      </c>
      <c r="N3952" s="3">
        <v>0.57499999999999996</v>
      </c>
      <c r="O3952" s="3">
        <v>0.2</v>
      </c>
      <c r="P3952" s="3">
        <v>0.37499999999999994</v>
      </c>
      <c r="Q3952" s="3">
        <v>0.62339287996292103</v>
      </c>
    </row>
    <row r="3953" spans="1:17" x14ac:dyDescent="0.45">
      <c r="A3953" s="3">
        <v>14774</v>
      </c>
      <c r="B3953" t="b">
        <v>0</v>
      </c>
      <c r="C3953" t="b">
        <v>0</v>
      </c>
      <c r="D3953" s="3">
        <v>1928</v>
      </c>
      <c r="E3953" s="3">
        <v>1947</v>
      </c>
      <c r="F3953" t="s">
        <v>3660</v>
      </c>
      <c r="G3953" t="s">
        <v>3661</v>
      </c>
      <c r="H3953" s="3">
        <v>13.040100000000001</v>
      </c>
      <c r="I3953" t="s">
        <v>1539</v>
      </c>
      <c r="J3953" t="s">
        <v>12174</v>
      </c>
      <c r="L3953" t="s">
        <v>3662</v>
      </c>
      <c r="M3953" t="str">
        <f>"https://www.artic.edu/iiif/2/"&amp;Table9[[#This Row],[Image ID]]&amp;"/full/843,/0/default.jpg"</f>
        <v>https://www.artic.edu/iiif/2/52260ddc-09e8-1378-fe5c-0484568a8694/full/843,/0/default.jpg</v>
      </c>
      <c r="N3953" s="3">
        <v>0.57499999999999996</v>
      </c>
      <c r="O3953" s="3">
        <v>0.2</v>
      </c>
      <c r="P3953" s="3">
        <v>0.37499999999999994</v>
      </c>
      <c r="Q3953" s="3">
        <v>0.563052058219909</v>
      </c>
    </row>
    <row r="3954" spans="1:17" x14ac:dyDescent="0.45">
      <c r="A3954" s="3">
        <v>65840</v>
      </c>
      <c r="B3954" t="b">
        <v>0</v>
      </c>
      <c r="C3954" t="b">
        <v>0</v>
      </c>
      <c r="D3954" s="3">
        <v>1917</v>
      </c>
      <c r="E3954" s="3">
        <v>1917</v>
      </c>
      <c r="F3954" t="s">
        <v>9052</v>
      </c>
      <c r="G3954" t="s">
        <v>9053</v>
      </c>
      <c r="H3954" s="3">
        <v>24.434699999999999</v>
      </c>
      <c r="I3954" t="s">
        <v>1423</v>
      </c>
      <c r="J3954" t="s">
        <v>12792</v>
      </c>
      <c r="L3954" t="s">
        <v>9054</v>
      </c>
      <c r="M3954" t="str">
        <f>"https://www.artic.edu/iiif/2/"&amp;Table9[[#This Row],[Image ID]]&amp;"/full/843,/0/default.jpg"</f>
        <v>https://www.artic.edu/iiif/2/7e81709d-580d-7184-6506-8710891fdcd6/full/843,/0/default.jpg</v>
      </c>
      <c r="N3954" s="3">
        <v>0.57499999999999996</v>
      </c>
      <c r="O3954" s="3">
        <v>0.2</v>
      </c>
      <c r="P3954" s="3">
        <v>0.37499999999999994</v>
      </c>
      <c r="Q3954" s="3">
        <v>0.62340325117111195</v>
      </c>
    </row>
    <row r="3955" spans="1:17" x14ac:dyDescent="0.45">
      <c r="A3955" s="3">
        <v>62317</v>
      </c>
      <c r="B3955" t="b">
        <v>0</v>
      </c>
      <c r="C3955" t="b">
        <v>0</v>
      </c>
      <c r="D3955" s="3">
        <v>1958</v>
      </c>
      <c r="E3955" s="3">
        <v>1958</v>
      </c>
      <c r="F3955" t="s">
        <v>8887</v>
      </c>
      <c r="G3955" t="s">
        <v>7</v>
      </c>
      <c r="H3955" s="3">
        <v>0</v>
      </c>
      <c r="I3955" t="s">
        <v>1</v>
      </c>
      <c r="J3955" t="s">
        <v>11632</v>
      </c>
      <c r="K3955" s="5" t="s">
        <v>2</v>
      </c>
      <c r="L3955" t="s">
        <v>8888</v>
      </c>
      <c r="M3955" t="str">
        <f>"https://www.artic.edu/iiif/2/"&amp;Table9[[#This Row],[Image ID]]&amp;"/full/843,/0/default.jpg"</f>
        <v>https://www.artic.edu/iiif/2/54f504e4-d6a4-075e-444b-d74ae24d27e7/full/843,/0/default.jpg</v>
      </c>
      <c r="N3955" s="3">
        <v>0.46500000000000002</v>
      </c>
      <c r="O3955" s="3">
        <v>9.2999999999999999E-2</v>
      </c>
      <c r="P3955" s="3">
        <v>0.372</v>
      </c>
      <c r="Q3955" s="3">
        <v>0.89674431085586503</v>
      </c>
    </row>
    <row r="3956" spans="1:17" x14ac:dyDescent="0.45">
      <c r="A3956" s="3">
        <v>127261</v>
      </c>
      <c r="B3956" t="b">
        <v>0</v>
      </c>
      <c r="C3956" t="b">
        <v>0</v>
      </c>
      <c r="D3956" s="3">
        <v>1935</v>
      </c>
      <c r="E3956" s="3">
        <v>1942</v>
      </c>
      <c r="F3956">
        <v>1900</v>
      </c>
      <c r="G3956" t="s">
        <v>2807</v>
      </c>
      <c r="H3956" s="3">
        <v>32.676900000000003</v>
      </c>
      <c r="I3956" t="s">
        <v>2796</v>
      </c>
      <c r="J3956" t="s">
        <v>12240</v>
      </c>
      <c r="L3956" t="s">
        <v>2808</v>
      </c>
      <c r="M3956" t="str">
        <f>"https://www.artic.edu/iiif/2/"&amp;Table9[[#This Row],[Image ID]]&amp;"/full/843,/0/default.jpg"</f>
        <v>https://www.artic.edu/iiif/2/5667be08-db77-2c96-05da-16810bee5058/full/843,/0/default.jpg</v>
      </c>
      <c r="N3956" s="3">
        <v>0.372</v>
      </c>
      <c r="O3956" s="3">
        <v>0</v>
      </c>
      <c r="P3956" s="3">
        <v>0.372</v>
      </c>
      <c r="Q3956" s="3">
        <v>0.73219031095504705</v>
      </c>
    </row>
    <row r="3957" spans="1:17" x14ac:dyDescent="0.45">
      <c r="A3957" s="3">
        <v>7276</v>
      </c>
      <c r="B3957" t="b">
        <v>0</v>
      </c>
      <c r="C3957" t="b">
        <v>1</v>
      </c>
      <c r="D3957" s="3">
        <v>1844</v>
      </c>
      <c r="E3957" s="3">
        <v>1879</v>
      </c>
      <c r="F3957" t="s">
        <v>2056</v>
      </c>
      <c r="G3957" t="s">
        <v>9575</v>
      </c>
      <c r="H3957" s="3">
        <v>33.8765</v>
      </c>
      <c r="I3957" t="s">
        <v>2438</v>
      </c>
      <c r="J3957" t="s">
        <v>11354</v>
      </c>
      <c r="L3957" t="s">
        <v>9576</v>
      </c>
      <c r="M3957" t="str">
        <f>"https://www.artic.edu/iiif/2/"&amp;Table9[[#This Row],[Image ID]]&amp;"/full/843,/0/default.jpg"</f>
        <v>https://www.artic.edu/iiif/2/1bd41fe5-f116-52eb-b9a5-afcbdd33bd80/full/843,/0/default.jpg</v>
      </c>
      <c r="N3957" s="3">
        <v>0.51200000000000001</v>
      </c>
      <c r="O3957" s="3">
        <v>0.14599999999999999</v>
      </c>
      <c r="P3957" s="3">
        <v>0.36599999999999999</v>
      </c>
      <c r="Q3957" s="3">
        <v>0.52846080064773504</v>
      </c>
    </row>
    <row r="3958" spans="1:17" x14ac:dyDescent="0.45">
      <c r="A3958" s="3">
        <v>14586</v>
      </c>
      <c r="B3958" t="b">
        <v>0</v>
      </c>
      <c r="C3958" t="b">
        <v>1</v>
      </c>
      <c r="D3958" s="3">
        <v>1888</v>
      </c>
      <c r="E3958" s="3">
        <v>1888</v>
      </c>
      <c r="F3958" t="s">
        <v>3396</v>
      </c>
      <c r="G3958" t="s">
        <v>7</v>
      </c>
      <c r="H3958" s="3">
        <v>38.145899999999997</v>
      </c>
      <c r="I3958" t="s">
        <v>768</v>
      </c>
      <c r="J3958" t="s">
        <v>11803</v>
      </c>
      <c r="K3958" s="5" t="s">
        <v>115</v>
      </c>
      <c r="L3958" t="s">
        <v>3397</v>
      </c>
      <c r="M3958" t="str">
        <f>"https://www.artic.edu/iiif/2/"&amp;Table9[[#This Row],[Image ID]]&amp;"/full/843,/0/default.jpg"</f>
        <v>https://www.artic.edu/iiif/2/9ea77636-76e9-9031-6b92-ff34512d7cbc/full/843,/0/default.jpg</v>
      </c>
      <c r="N3958" s="3">
        <v>0.439</v>
      </c>
      <c r="O3958" s="3">
        <v>7.2999999999999995E-2</v>
      </c>
      <c r="P3958" s="3">
        <v>0.36599999999999999</v>
      </c>
      <c r="Q3958" s="3">
        <v>0.55401802062988204</v>
      </c>
    </row>
    <row r="3959" spans="1:17" x14ac:dyDescent="0.45">
      <c r="A3959" s="3">
        <v>23297</v>
      </c>
      <c r="B3959" t="b">
        <v>0</v>
      </c>
      <c r="C3959" t="b">
        <v>1</v>
      </c>
      <c r="D3959" s="3">
        <v>1872</v>
      </c>
      <c r="E3959" s="3">
        <v>1882</v>
      </c>
      <c r="F3959" t="s">
        <v>6163</v>
      </c>
      <c r="G3959" t="s">
        <v>6164</v>
      </c>
      <c r="H3959" s="3">
        <v>32.108400000000003</v>
      </c>
      <c r="I3959" t="s">
        <v>4512</v>
      </c>
      <c r="J3959" t="s">
        <v>13653</v>
      </c>
      <c r="L3959" t="s">
        <v>6165</v>
      </c>
      <c r="M3959" t="str">
        <f>"https://www.artic.edu/iiif/2/"&amp;Table9[[#This Row],[Image ID]]&amp;"/full/843,/0/default.jpg"</f>
        <v>https://www.artic.edu/iiif/2/c0385132-ce77-8cc3-9ea3-6f1bf719f362/full/843,/0/default.jpg</v>
      </c>
      <c r="N3959" s="3">
        <v>0.48799999999999999</v>
      </c>
      <c r="O3959" s="3">
        <v>0.122</v>
      </c>
      <c r="P3959" s="3">
        <v>0.36599999999999999</v>
      </c>
      <c r="Q3959" s="3">
        <v>0.79904669523239102</v>
      </c>
    </row>
    <row r="3960" spans="1:17" x14ac:dyDescent="0.45">
      <c r="A3960" s="3">
        <v>114307</v>
      </c>
      <c r="B3960" t="b">
        <v>0</v>
      </c>
      <c r="C3960" t="b">
        <v>1</v>
      </c>
      <c r="D3960" s="3">
        <v>1730</v>
      </c>
      <c r="E3960" s="3">
        <v>1771</v>
      </c>
      <c r="F3960" t="s">
        <v>1572</v>
      </c>
      <c r="G3960" t="s">
        <v>1573</v>
      </c>
      <c r="H3960" s="3">
        <v>26.139900000000001</v>
      </c>
      <c r="I3960" t="s">
        <v>1574</v>
      </c>
      <c r="J3960" t="s">
        <v>14195</v>
      </c>
      <c r="L3960" t="s">
        <v>1575</v>
      </c>
      <c r="M3960" t="str">
        <f>"https://www.artic.edu/iiif/2/"&amp;Table9[[#This Row],[Image ID]]&amp;"/full/843,/0/default.jpg"</f>
        <v>https://www.artic.edu/iiif/2/e85fc4d1-d059-5cab-2ff8-4900e64dbb37/full/843,/0/default.jpg</v>
      </c>
      <c r="N3960" s="3">
        <v>0.61</v>
      </c>
      <c r="O3960" s="3">
        <v>0.24399999999999999</v>
      </c>
      <c r="P3960" s="3">
        <v>0.36599999999999999</v>
      </c>
      <c r="Q3960" s="3">
        <v>0.56727570295333796</v>
      </c>
    </row>
    <row r="3961" spans="1:17" x14ac:dyDescent="0.45">
      <c r="A3961" s="3">
        <v>61398</v>
      </c>
      <c r="B3961" t="b">
        <v>0</v>
      </c>
      <c r="C3961" t="b">
        <v>0</v>
      </c>
      <c r="D3961" s="3">
        <v>1880</v>
      </c>
      <c r="E3961" s="3">
        <v>1925</v>
      </c>
      <c r="F3961" t="s">
        <v>8797</v>
      </c>
      <c r="G3961" t="s">
        <v>8798</v>
      </c>
      <c r="H3961" s="3">
        <v>42.294600000000003</v>
      </c>
      <c r="I3961" t="s">
        <v>14601</v>
      </c>
      <c r="J3961" t="s">
        <v>12886</v>
      </c>
      <c r="L3961" t="s">
        <v>8799</v>
      </c>
      <c r="M3961" t="str">
        <f>"https://www.artic.edu/iiif/2/"&amp;Table9[[#This Row],[Image ID]]&amp;"/full/843,/0/default.jpg"</f>
        <v>https://www.artic.edu/iiif/2/84aaa9fd-d738-7ef4-a2ed-5855e8d4d8dc/full/843,/0/default.jpg</v>
      </c>
      <c r="N3961" s="3">
        <v>0.439</v>
      </c>
      <c r="O3961" s="3">
        <v>7.2999999999999995E-2</v>
      </c>
      <c r="P3961" s="3">
        <v>0.36599999999999999</v>
      </c>
      <c r="Q3961" s="3">
        <v>0.681163549423217</v>
      </c>
    </row>
    <row r="3962" spans="1:17" x14ac:dyDescent="0.45">
      <c r="A3962" s="3">
        <v>15721</v>
      </c>
      <c r="B3962" t="b">
        <v>0</v>
      </c>
      <c r="C3962" t="b">
        <v>1</v>
      </c>
      <c r="D3962" s="3">
        <v>1790</v>
      </c>
      <c r="E3962" s="3">
        <v>1790</v>
      </c>
      <c r="F3962" t="s">
        <v>4110</v>
      </c>
      <c r="G3962" t="s">
        <v>75</v>
      </c>
      <c r="H3962" s="3">
        <v>31.028500000000001</v>
      </c>
      <c r="I3962" t="s">
        <v>4108</v>
      </c>
      <c r="J3962" t="s">
        <v>13328</v>
      </c>
      <c r="L3962" t="s">
        <v>4111</v>
      </c>
      <c r="M3962" t="str">
        <f>"https://www.artic.edu/iiif/2/"&amp;Table9[[#This Row],[Image ID]]&amp;"/full/843,/0/default.jpg"</f>
        <v>https://www.artic.edu/iiif/2/a6f8dc26-bb9f-5b58-a102-e2cabd6b97cf/full/843,/0/default.jpg</v>
      </c>
      <c r="N3962" s="3">
        <v>0.70699999999999996</v>
      </c>
      <c r="O3962" s="3">
        <v>0.34100000000000003</v>
      </c>
      <c r="P3962" s="3">
        <v>0.36599999999999994</v>
      </c>
      <c r="Q3962" s="3">
        <v>0.52546411752700795</v>
      </c>
    </row>
    <row r="3963" spans="1:17" x14ac:dyDescent="0.45">
      <c r="A3963" s="3">
        <v>76624</v>
      </c>
      <c r="B3963" t="b">
        <v>0</v>
      </c>
      <c r="C3963" t="b">
        <v>0</v>
      </c>
      <c r="D3963" s="3">
        <v>1990</v>
      </c>
      <c r="E3963" s="3">
        <v>1990</v>
      </c>
      <c r="F3963" t="s">
        <v>9789</v>
      </c>
      <c r="G3963" t="s">
        <v>9790</v>
      </c>
      <c r="H3963" s="3">
        <v>10.5739</v>
      </c>
      <c r="I3963" t="s">
        <v>340</v>
      </c>
      <c r="J3963" t="s">
        <v>13449</v>
      </c>
      <c r="L3963" t="s">
        <v>9791</v>
      </c>
      <c r="M3963" t="str">
        <f>"https://www.artic.edu/iiif/2/"&amp;Table9[[#This Row],[Image ID]]&amp;"/full/843,/0/default.jpg"</f>
        <v>https://www.artic.edu/iiif/2/afda4b46-88bf-810e-41db-ad4ed1f41b4a/full/843,/0/default.jpg</v>
      </c>
      <c r="N3963" s="3">
        <v>0.46300000000000002</v>
      </c>
      <c r="O3963" s="3">
        <v>9.8000000000000004E-2</v>
      </c>
      <c r="P3963" s="3">
        <v>0.36499999999999999</v>
      </c>
      <c r="Q3963" s="3">
        <v>0.70640951395034701</v>
      </c>
    </row>
    <row r="3964" spans="1:17" x14ac:dyDescent="0.45">
      <c r="A3964" s="3">
        <v>64463</v>
      </c>
      <c r="B3964" t="b">
        <v>0</v>
      </c>
      <c r="C3964" t="b">
        <v>0</v>
      </c>
      <c r="D3964" s="3">
        <v>1909</v>
      </c>
      <c r="E3964" s="3">
        <v>1909</v>
      </c>
      <c r="F3964" t="s">
        <v>8985</v>
      </c>
      <c r="G3964" t="s">
        <v>7</v>
      </c>
      <c r="H3964" s="3">
        <v>24.144600000000001</v>
      </c>
      <c r="I3964" t="s">
        <v>8986</v>
      </c>
      <c r="J3964" t="s">
        <v>13589</v>
      </c>
      <c r="K3964" s="5" t="s">
        <v>9</v>
      </c>
      <c r="L3964" t="s">
        <v>8987</v>
      </c>
      <c r="M3964" t="str">
        <f>"https://www.artic.edu/iiif/2/"&amp;Table9[[#This Row],[Image ID]]&amp;"/full/843,/0/default.jpg"</f>
        <v>https://www.artic.edu/iiif/2/bb63a340-8c0f-3412-9342-ef6784e3d6b6/full/843,/0/default.jpg</v>
      </c>
      <c r="N3964" s="3">
        <v>0.58499999999999996</v>
      </c>
      <c r="O3964" s="3">
        <v>0.22</v>
      </c>
      <c r="P3964" s="3">
        <v>0.36499999999999999</v>
      </c>
      <c r="Q3964" s="3">
        <v>0.51165324449539096</v>
      </c>
    </row>
    <row r="3965" spans="1:17" x14ac:dyDescent="0.45">
      <c r="A3965" s="3">
        <v>12001</v>
      </c>
      <c r="B3965" t="b">
        <v>0</v>
      </c>
      <c r="C3965" t="b">
        <v>0</v>
      </c>
      <c r="D3965" s="3">
        <v>1960</v>
      </c>
      <c r="E3965" s="3">
        <v>1960</v>
      </c>
      <c r="F3965" t="s">
        <v>2603</v>
      </c>
      <c r="G3965" t="s">
        <v>2604</v>
      </c>
      <c r="H3965" s="3">
        <v>37.151499999999999</v>
      </c>
      <c r="I3965" t="s">
        <v>2605</v>
      </c>
      <c r="J3965" t="s">
        <v>13256</v>
      </c>
      <c r="L3965" t="s">
        <v>2606</v>
      </c>
      <c r="M3965" t="str">
        <f>"https://www.artic.edu/iiif/2/"&amp;Table9[[#This Row],[Image ID]]&amp;"/full/843,/0/default.jpg"</f>
        <v>https://www.artic.edu/iiif/2/a218ffae-1a4e-2ff4-97b8-ab6e6d91728d/full/843,/0/default.jpg</v>
      </c>
      <c r="N3965" s="3">
        <v>0.432</v>
      </c>
      <c r="O3965" s="3">
        <v>6.8000000000000005E-2</v>
      </c>
      <c r="P3965" s="3">
        <v>0.36399999999999999</v>
      </c>
      <c r="Q3965" s="3">
        <v>0.54383647441864003</v>
      </c>
    </row>
    <row r="3966" spans="1:17" x14ac:dyDescent="0.45">
      <c r="A3966" s="3">
        <v>27936</v>
      </c>
      <c r="B3966" t="b">
        <v>0</v>
      </c>
      <c r="C3966" t="b">
        <v>0</v>
      </c>
      <c r="D3966" s="3">
        <v>1920</v>
      </c>
      <c r="E3966" s="3">
        <v>1924</v>
      </c>
      <c r="F3966" t="s">
        <v>1397</v>
      </c>
      <c r="G3966" t="s">
        <v>75</v>
      </c>
      <c r="H3966" s="3">
        <v>18.302199999999999</v>
      </c>
      <c r="I3966" t="s">
        <v>14560</v>
      </c>
      <c r="J3966" t="s">
        <v>13442</v>
      </c>
      <c r="L3966" t="s">
        <v>6751</v>
      </c>
      <c r="M3966" t="str">
        <f>"https://www.artic.edu/iiif/2/"&amp;Table9[[#This Row],[Image ID]]&amp;"/full/843,/0/default.jpg"</f>
        <v>https://www.artic.edu/iiif/2/afa38424-ea2d-87ea-1b98-97afb17bec1b/full/843,/0/default.jpg</v>
      </c>
      <c r="N3966" s="3">
        <v>0.42899999999999999</v>
      </c>
      <c r="O3966" s="3">
        <v>7.0999999999999994E-2</v>
      </c>
      <c r="P3966" s="3">
        <v>0.35799999999999998</v>
      </c>
      <c r="Q3966" s="3">
        <v>0.69934606552124001</v>
      </c>
    </row>
    <row r="3967" spans="1:17" x14ac:dyDescent="0.45">
      <c r="A3967" s="3">
        <v>103452</v>
      </c>
      <c r="B3967" t="b">
        <v>0</v>
      </c>
      <c r="C3967" t="b">
        <v>0</v>
      </c>
      <c r="D3967" s="3">
        <v>1982</v>
      </c>
      <c r="E3967" s="3">
        <v>1983</v>
      </c>
      <c r="F3967" t="s">
        <v>331</v>
      </c>
      <c r="G3967" t="s">
        <v>141</v>
      </c>
      <c r="H3967" s="3">
        <v>42.073700000000002</v>
      </c>
      <c r="I3967" t="s">
        <v>332</v>
      </c>
      <c r="J3967" t="s">
        <v>11634</v>
      </c>
      <c r="L3967" t="s">
        <v>333</v>
      </c>
      <c r="M3967" t="str">
        <f>"https://www.artic.edu/iiif/2/"&amp;Table9[[#This Row],[Image ID]]&amp;"/full/843,/0/default.jpg"</f>
        <v>https://www.artic.edu/iiif/2/2d3b2405-4fa2-1e8d-0434-d0de8a3a5846/full/843,/0/default.jpg</v>
      </c>
      <c r="N3967" s="3">
        <v>0.40500000000000003</v>
      </c>
      <c r="O3967" s="3">
        <v>4.8000000000000001E-2</v>
      </c>
      <c r="P3967" s="3">
        <v>0.35700000000000004</v>
      </c>
      <c r="Q3967" s="3">
        <v>0.65209376811981201</v>
      </c>
    </row>
    <row r="3968" spans="1:17" x14ac:dyDescent="0.45">
      <c r="A3968" s="3">
        <v>105206</v>
      </c>
      <c r="B3968" t="b">
        <v>0</v>
      </c>
      <c r="C3968" t="b">
        <v>0</v>
      </c>
      <c r="D3968" s="3">
        <v>1985</v>
      </c>
      <c r="E3968" s="3">
        <v>1985</v>
      </c>
      <c r="F3968" t="s">
        <v>485</v>
      </c>
      <c r="G3968" t="s">
        <v>486</v>
      </c>
      <c r="H3968" s="3">
        <v>35.115200000000002</v>
      </c>
      <c r="I3968" t="s">
        <v>487</v>
      </c>
      <c r="J3968" t="s">
        <v>12359</v>
      </c>
      <c r="L3968" t="s">
        <v>488</v>
      </c>
      <c r="M3968" t="str">
        <f>"https://www.artic.edu/iiif/2/"&amp;Table9[[#This Row],[Image ID]]&amp;"/full/843,/0/default.jpg"</f>
        <v>https://www.artic.edu/iiif/2/5ed1b95b-0e0b-bb54-389c-c0493a27f4df/full/843,/0/default.jpg</v>
      </c>
      <c r="N3968" s="3">
        <v>0.47599999999999998</v>
      </c>
      <c r="O3968" s="3">
        <v>0.11899999999999999</v>
      </c>
      <c r="P3968" s="3">
        <v>0.35699999999999998</v>
      </c>
      <c r="Q3968" s="3">
        <v>0.86525887250900202</v>
      </c>
    </row>
    <row r="3969" spans="1:17" x14ac:dyDescent="0.45">
      <c r="A3969" s="3">
        <v>114670</v>
      </c>
      <c r="B3969" t="b">
        <v>0</v>
      </c>
      <c r="C3969" t="b">
        <v>1</v>
      </c>
      <c r="D3969" s="3">
        <v>1800</v>
      </c>
      <c r="E3969" s="3">
        <v>1820</v>
      </c>
      <c r="F3969" t="s">
        <v>1690</v>
      </c>
      <c r="G3969" t="s">
        <v>1691</v>
      </c>
      <c r="H3969" s="3">
        <v>21.8948</v>
      </c>
      <c r="I3969" t="s">
        <v>1692</v>
      </c>
      <c r="J3969" t="s">
        <v>14172</v>
      </c>
      <c r="L3969" t="s">
        <v>1693</v>
      </c>
      <c r="M3969" t="str">
        <f>"https://www.artic.edu/iiif/2/"&amp;Table9[[#This Row],[Image ID]]&amp;"/full/843,/0/default.jpg"</f>
        <v>https://www.artic.edu/iiif/2/e6e75529-e1d4-3fc0-b8fe-6118fa7c026d/full/843,/0/default.jpg</v>
      </c>
      <c r="N3969" s="3">
        <v>0.4</v>
      </c>
      <c r="O3969" s="3">
        <v>0.05</v>
      </c>
      <c r="P3969" s="3">
        <v>0.35000000000000003</v>
      </c>
      <c r="Q3969" s="3">
        <v>0.65855455398559504</v>
      </c>
    </row>
    <row r="3970" spans="1:17" x14ac:dyDescent="0.45">
      <c r="A3970" s="3">
        <v>74069</v>
      </c>
      <c r="B3970" t="b">
        <v>0</v>
      </c>
      <c r="C3970" t="b">
        <v>0</v>
      </c>
      <c r="D3970" s="3">
        <v>1862</v>
      </c>
      <c r="E3970" s="3">
        <v>1872</v>
      </c>
      <c r="F3970" t="s">
        <v>9671</v>
      </c>
      <c r="G3970" t="s">
        <v>24</v>
      </c>
      <c r="H3970" s="3">
        <v>27.129000000000001</v>
      </c>
      <c r="I3970" t="s">
        <v>9672</v>
      </c>
      <c r="J3970" t="s">
        <v>12029</v>
      </c>
      <c r="L3970" t="s">
        <v>9673</v>
      </c>
      <c r="M3970" t="str">
        <f>"https://www.artic.edu/iiif/2/"&amp;Table9[[#This Row],[Image ID]]&amp;"/full/843,/0/default.jpg"</f>
        <v>https://www.artic.edu/iiif/2/47c40896-6a2b-aaba-666f-c969202a47c4/full/843,/0/default.jpg</v>
      </c>
      <c r="N3970" s="3">
        <v>0.65</v>
      </c>
      <c r="O3970" s="3">
        <v>0.3</v>
      </c>
      <c r="P3970" s="3">
        <v>0.35000000000000003</v>
      </c>
      <c r="Q3970" s="3">
        <v>0.49471795558929399</v>
      </c>
    </row>
    <row r="3971" spans="1:17" x14ac:dyDescent="0.45">
      <c r="A3971" s="3">
        <v>152747</v>
      </c>
      <c r="B3971" t="b">
        <v>0</v>
      </c>
      <c r="C3971" t="b">
        <v>1</v>
      </c>
      <c r="D3971" s="3">
        <v>1877</v>
      </c>
      <c r="E3971" s="3">
        <v>1877</v>
      </c>
      <c r="F3971" t="s">
        <v>3908</v>
      </c>
      <c r="G3971" t="s">
        <v>7</v>
      </c>
      <c r="H3971" s="3">
        <v>27.1661</v>
      </c>
      <c r="I3971" t="s">
        <v>139</v>
      </c>
      <c r="J3971" t="s">
        <v>11698</v>
      </c>
      <c r="L3971" t="s">
        <v>3909</v>
      </c>
      <c r="M3971" t="str">
        <f>"https://www.artic.edu/iiif/2/"&amp;Table9[[#This Row],[Image ID]]&amp;"/full/843,/0/default.jpg"</f>
        <v>https://www.artic.edu/iiif/2/3192ae4d-ffca-fe91-af12-2ca681f43e13/full/843,/0/default.jpg</v>
      </c>
      <c r="N3971" s="3">
        <v>0.57499999999999996</v>
      </c>
      <c r="O3971" s="3">
        <v>0.22500000000000001</v>
      </c>
      <c r="P3971" s="3">
        <v>0.35</v>
      </c>
      <c r="Q3971" s="3">
        <v>0.42945790290832497</v>
      </c>
    </row>
    <row r="3972" spans="1:17" x14ac:dyDescent="0.45">
      <c r="A3972" s="3">
        <v>83391</v>
      </c>
      <c r="B3972" t="b">
        <v>0</v>
      </c>
      <c r="C3972" t="b">
        <v>1</v>
      </c>
      <c r="D3972" s="3">
        <v>1776</v>
      </c>
      <c r="E3972" s="3">
        <v>1827</v>
      </c>
      <c r="F3972" t="s">
        <v>10222</v>
      </c>
      <c r="G3972" t="s">
        <v>10223</v>
      </c>
      <c r="H3972" s="3">
        <v>31.644600000000001</v>
      </c>
      <c r="I3972" t="s">
        <v>1266</v>
      </c>
      <c r="J3972" t="s">
        <v>13467</v>
      </c>
      <c r="L3972" t="s">
        <v>10224</v>
      </c>
      <c r="M3972" t="str">
        <f>"https://www.artic.edu/iiif/2/"&amp;Table9[[#This Row],[Image ID]]&amp;"/full/843,/0/default.jpg"</f>
        <v>https://www.artic.edu/iiif/2/b1108b2c-2443-44be-09a0-b21454e5f770/full/843,/0/default.jpg</v>
      </c>
      <c r="N3972" s="3">
        <v>0.5</v>
      </c>
      <c r="O3972" s="3">
        <v>0.15</v>
      </c>
      <c r="P3972" s="3">
        <v>0.35</v>
      </c>
      <c r="Q3972" s="3">
        <v>0.74502927064895597</v>
      </c>
    </row>
    <row r="3973" spans="1:17" x14ac:dyDescent="0.45">
      <c r="A3973" s="3">
        <v>25862</v>
      </c>
      <c r="B3973" t="b">
        <v>0</v>
      </c>
      <c r="C3973" t="b">
        <v>1</v>
      </c>
      <c r="D3973" s="3">
        <v>1903</v>
      </c>
      <c r="E3973" s="3">
        <v>1903</v>
      </c>
      <c r="F3973" t="s">
        <v>6649</v>
      </c>
      <c r="G3973" t="s">
        <v>7</v>
      </c>
      <c r="H3973" s="3">
        <v>28.8233</v>
      </c>
      <c r="I3973" t="s">
        <v>1277</v>
      </c>
      <c r="J3973" t="s">
        <v>13913</v>
      </c>
      <c r="L3973" t="s">
        <v>6650</v>
      </c>
      <c r="M3973" t="str">
        <f>"https://www.artic.edu/iiif/2/"&amp;Table9[[#This Row],[Image ID]]&amp;"/full/843,/0/default.jpg"</f>
        <v>https://www.artic.edu/iiif/2/d5abb02d-d273-6f31-c628-a1cf41423943/full/843,/0/default.jpg</v>
      </c>
      <c r="N3973" s="3">
        <v>0.47499999999999998</v>
      </c>
      <c r="O3973" s="3">
        <v>0.125</v>
      </c>
      <c r="P3973" s="3">
        <v>0.35</v>
      </c>
      <c r="Q3973" s="3">
        <v>0.55227649211883501</v>
      </c>
    </row>
    <row r="3974" spans="1:17" x14ac:dyDescent="0.45">
      <c r="A3974" s="3">
        <v>217453</v>
      </c>
      <c r="B3974" t="b">
        <v>0</v>
      </c>
      <c r="C3974" t="b">
        <v>0</v>
      </c>
      <c r="D3974" s="3">
        <v>1902</v>
      </c>
      <c r="E3974" s="3">
        <v>1966</v>
      </c>
      <c r="F3974" t="s">
        <v>11</v>
      </c>
      <c r="G3974" t="s">
        <v>5699</v>
      </c>
      <c r="H3974" s="3">
        <v>43.155900000000003</v>
      </c>
      <c r="I3974" t="s">
        <v>2403</v>
      </c>
      <c r="J3974" t="s">
        <v>11624</v>
      </c>
      <c r="L3974" t="s">
        <v>5700</v>
      </c>
      <c r="M3974" t="str">
        <f>"https://www.artic.edu/iiif/2/"&amp;Table9[[#This Row],[Image ID]]&amp;"/full/843,/0/default.jpg"</f>
        <v>https://www.artic.edu/iiif/2/2c7dd7c8-10de-9e87-16c8-da771ae58e34/full/843,/0/default.jpg</v>
      </c>
      <c r="N3974" s="3">
        <v>0.47499999999999998</v>
      </c>
      <c r="O3974" s="3">
        <v>0.125</v>
      </c>
      <c r="P3974" s="3">
        <v>0.35</v>
      </c>
      <c r="Q3974" s="3">
        <v>0.66753816604614202</v>
      </c>
    </row>
    <row r="3975" spans="1:17" x14ac:dyDescent="0.45">
      <c r="A3975" s="3">
        <v>113498</v>
      </c>
      <c r="B3975" t="b">
        <v>0</v>
      </c>
      <c r="C3975" t="b">
        <v>0</v>
      </c>
      <c r="D3975" s="3">
        <v>1915</v>
      </c>
      <c r="E3975" s="3">
        <v>1915</v>
      </c>
      <c r="F3975" t="s">
        <v>1454</v>
      </c>
      <c r="G3975" t="s">
        <v>1455</v>
      </c>
      <c r="H3975" s="3">
        <v>27.872399999999999</v>
      </c>
      <c r="I3975" t="s">
        <v>949</v>
      </c>
      <c r="J3975" t="s">
        <v>11833</v>
      </c>
      <c r="L3975" t="s">
        <v>1456</v>
      </c>
      <c r="M3975" t="str">
        <f>"https://www.artic.edu/iiif/2/"&amp;Table9[[#This Row],[Image ID]]&amp;"/full/843,/0/default.jpg"</f>
        <v>https://www.artic.edu/iiif/2/3a9b6c81-8acc-9dd2-91ed-19852a46c0e3/full/843,/0/default.jpg</v>
      </c>
      <c r="N3975" s="3">
        <v>0.625</v>
      </c>
      <c r="O3975" s="3">
        <v>0.27500000000000002</v>
      </c>
      <c r="P3975" s="3">
        <v>0.35</v>
      </c>
      <c r="Q3975" s="3">
        <v>0.647139132022857</v>
      </c>
    </row>
    <row r="3976" spans="1:17" x14ac:dyDescent="0.45">
      <c r="A3976" s="3">
        <v>82418</v>
      </c>
      <c r="B3976" t="b">
        <v>0</v>
      </c>
      <c r="C3976" t="b">
        <v>0</v>
      </c>
      <c r="D3976" s="3">
        <v>1918</v>
      </c>
      <c r="E3976" s="3">
        <v>1918</v>
      </c>
      <c r="F3976" t="s">
        <v>1397</v>
      </c>
      <c r="G3976" t="s">
        <v>7</v>
      </c>
      <c r="H3976" s="3">
        <v>0</v>
      </c>
      <c r="I3976" t="s">
        <v>4865</v>
      </c>
      <c r="J3976" t="s">
        <v>12785</v>
      </c>
      <c r="L3976" t="s">
        <v>10178</v>
      </c>
      <c r="M3976" t="str">
        <f>"https://www.artic.edu/iiif/2/"&amp;Table9[[#This Row],[Image ID]]&amp;"/full/843,/0/default.jpg"</f>
        <v>https://www.artic.edu/iiif/2/7dc26746-4025-40ae-f682-4a43084d1100/full/843,/0/default.jpg</v>
      </c>
      <c r="N3976" s="3">
        <v>0.45</v>
      </c>
      <c r="O3976" s="3">
        <v>0.1</v>
      </c>
      <c r="P3976" s="3">
        <v>0.35</v>
      </c>
      <c r="Q3976" s="3">
        <v>0.74402064085006703</v>
      </c>
    </row>
    <row r="3977" spans="1:17" x14ac:dyDescent="0.45">
      <c r="A3977" s="3">
        <v>146994</v>
      </c>
      <c r="B3977" t="b">
        <v>0</v>
      </c>
      <c r="C3977" t="b">
        <v>0</v>
      </c>
      <c r="D3977" s="3">
        <v>1989</v>
      </c>
      <c r="E3977" s="3">
        <v>1989</v>
      </c>
      <c r="F3977" t="s">
        <v>3551</v>
      </c>
      <c r="G3977" t="s">
        <v>7</v>
      </c>
      <c r="H3977" s="3">
        <v>24.842099999999999</v>
      </c>
      <c r="I3977" t="s">
        <v>52</v>
      </c>
      <c r="J3977" t="s">
        <v>11074</v>
      </c>
      <c r="L3977" t="s">
        <v>3552</v>
      </c>
      <c r="M3977" t="str">
        <f>"https://www.artic.edu/iiif/2/"&amp;Table9[[#This Row],[Image ID]]&amp;"/full/843,/0/default.jpg"</f>
        <v>https://www.artic.edu/iiif/2/b6647a72-7dd9-6ebe-779c-bec46e0901d8/full/843,/0/default.jpg</v>
      </c>
      <c r="N3977" s="3">
        <v>0.47499999999999998</v>
      </c>
      <c r="O3977" s="3">
        <v>0.125</v>
      </c>
      <c r="P3977" s="3">
        <v>0.35</v>
      </c>
      <c r="Q3977" s="3">
        <v>0.71269029378890902</v>
      </c>
    </row>
    <row r="3978" spans="1:17" x14ac:dyDescent="0.45">
      <c r="A3978" s="3">
        <v>64371</v>
      </c>
      <c r="B3978" t="b">
        <v>0</v>
      </c>
      <c r="C3978" t="b">
        <v>0</v>
      </c>
      <c r="D3978" s="3">
        <v>1939</v>
      </c>
      <c r="E3978" s="3">
        <v>1945</v>
      </c>
      <c r="F3978" t="s">
        <v>8974</v>
      </c>
      <c r="G3978" t="s">
        <v>8975</v>
      </c>
      <c r="H3978" s="3">
        <v>34.981000000000002</v>
      </c>
      <c r="I3978" t="s">
        <v>5143</v>
      </c>
      <c r="J3978" t="s">
        <v>11884</v>
      </c>
      <c r="L3978" t="s">
        <v>8976</v>
      </c>
      <c r="M3978" t="str">
        <f>"https://www.artic.edu/iiif/2/"&amp;Table9[[#This Row],[Image ID]]&amp;"/full/843,/0/default.jpg"</f>
        <v>https://www.artic.edu/iiif/2/b98fbe80-6285-12d6-d3a5-e9146ad2ac09/full/843,/0/default.jpg</v>
      </c>
      <c r="N3978" s="3">
        <v>0.47499999999999998</v>
      </c>
      <c r="O3978" s="3">
        <v>0.125</v>
      </c>
      <c r="P3978" s="3">
        <v>0.35</v>
      </c>
      <c r="Q3978" s="3">
        <v>0.68508315086364702</v>
      </c>
    </row>
    <row r="3979" spans="1:17" x14ac:dyDescent="0.45">
      <c r="A3979" s="3">
        <v>133862</v>
      </c>
      <c r="B3979" t="b">
        <v>0</v>
      </c>
      <c r="C3979" t="b">
        <v>0</v>
      </c>
      <c r="D3979" s="3">
        <v>1891</v>
      </c>
      <c r="E3979" s="3">
        <v>1891</v>
      </c>
      <c r="F3979" t="s">
        <v>14713</v>
      </c>
      <c r="G3979" t="s">
        <v>7</v>
      </c>
      <c r="H3979" s="3">
        <v>32.944299999999998</v>
      </c>
      <c r="I3979" t="s">
        <v>128</v>
      </c>
      <c r="J3979" t="s">
        <v>14074</v>
      </c>
      <c r="K3979" s="5" t="s">
        <v>3078</v>
      </c>
      <c r="L3979" t="s">
        <v>3079</v>
      </c>
      <c r="M3979" t="str">
        <f>"https://www.artic.edu/iiif/2/"&amp;Table9[[#This Row],[Image ID]]&amp;"/full/843,/0/default.jpg"</f>
        <v>https://www.artic.edu/iiif/2/e0d8104e-eaf0-0bbc-748d-ecc8d190c4cf/full/843,/0/default.jpg</v>
      </c>
      <c r="N3979" s="3">
        <v>0.45</v>
      </c>
      <c r="O3979" s="3">
        <v>0.1</v>
      </c>
      <c r="P3979" s="3">
        <v>0.35</v>
      </c>
      <c r="Q3979" s="3">
        <v>0.66650372743606501</v>
      </c>
    </row>
    <row r="3980" spans="1:17" x14ac:dyDescent="0.45">
      <c r="A3980" s="3">
        <v>16834</v>
      </c>
      <c r="B3980" t="b">
        <v>0</v>
      </c>
      <c r="C3980" t="b">
        <v>1</v>
      </c>
      <c r="D3980" s="3">
        <v>1894</v>
      </c>
      <c r="E3980" s="3">
        <v>1894</v>
      </c>
      <c r="F3980" t="s">
        <v>4610</v>
      </c>
      <c r="G3980" t="s">
        <v>4611</v>
      </c>
      <c r="H3980" s="3">
        <v>9.3294999999999995</v>
      </c>
      <c r="I3980" t="s">
        <v>1337</v>
      </c>
      <c r="J3980" t="s">
        <v>12331</v>
      </c>
      <c r="L3980" t="s">
        <v>4612</v>
      </c>
      <c r="M3980" t="str">
        <f>"https://www.artic.edu/iiif/2/"&amp;Table9[[#This Row],[Image ID]]&amp;"/full/843,/0/default.jpg"</f>
        <v>https://www.artic.edu/iiif/2/5ca8e39e-8cf3-b0e1-a4a2-b54444954de3/full/843,/0/default.jpg</v>
      </c>
      <c r="N3980" s="3">
        <v>0.51200000000000001</v>
      </c>
      <c r="O3980" s="3">
        <v>0.16300000000000001</v>
      </c>
      <c r="P3980" s="3">
        <v>0.34899999999999998</v>
      </c>
      <c r="Q3980" s="3">
        <v>0.53128802776336603</v>
      </c>
    </row>
    <row r="3981" spans="1:17" x14ac:dyDescent="0.45">
      <c r="A3981" s="3">
        <v>114554</v>
      </c>
      <c r="B3981" t="b">
        <v>0</v>
      </c>
      <c r="C3981" t="b">
        <v>1</v>
      </c>
      <c r="D3981" s="3">
        <v>1740</v>
      </c>
      <c r="E3981" s="3">
        <v>1750</v>
      </c>
      <c r="F3981" t="s">
        <v>1673</v>
      </c>
      <c r="G3981" t="s">
        <v>1674</v>
      </c>
      <c r="H3981" s="3">
        <v>20.4176</v>
      </c>
      <c r="I3981" t="s">
        <v>1296</v>
      </c>
      <c r="J3981" t="s">
        <v>12633</v>
      </c>
      <c r="L3981" t="s">
        <v>1675</v>
      </c>
      <c r="M3981" t="str">
        <f>"https://www.artic.edu/iiif/2/"&amp;Table9[[#This Row],[Image ID]]&amp;"/full/843,/0/default.jpg"</f>
        <v>https://www.artic.edu/iiif/2/71bb1ae6-2f3b-d63f-2746-2b6edb9a54d4/full/843,/0/default.jpg</v>
      </c>
      <c r="N3981" s="3">
        <v>0.65900000000000003</v>
      </c>
      <c r="O3981" s="3">
        <v>0.317</v>
      </c>
      <c r="P3981" s="3">
        <v>0.34200000000000003</v>
      </c>
      <c r="Q3981" s="3">
        <v>0.57033789157867398</v>
      </c>
    </row>
    <row r="3982" spans="1:17" x14ac:dyDescent="0.45">
      <c r="A3982" s="3">
        <v>15893</v>
      </c>
      <c r="B3982" t="b">
        <v>0</v>
      </c>
      <c r="C3982" t="b">
        <v>0</v>
      </c>
      <c r="D3982" s="3">
        <v>1896</v>
      </c>
      <c r="E3982" s="3">
        <v>1933</v>
      </c>
      <c r="F3982" t="s">
        <v>4172</v>
      </c>
      <c r="G3982" t="s">
        <v>1283</v>
      </c>
      <c r="H3982" s="3">
        <v>44.4392</v>
      </c>
      <c r="I3982" t="s">
        <v>2062</v>
      </c>
      <c r="J3982" t="s">
        <v>12885</v>
      </c>
      <c r="L3982" t="s">
        <v>4173</v>
      </c>
      <c r="M3982" t="str">
        <f>"https://www.artic.edu/iiif/2/"&amp;Table9[[#This Row],[Image ID]]&amp;"/full/843,/0/default.jpg"</f>
        <v>https://www.artic.edu/iiif/2/849f26ca-6f9c-42b2-c1a4-585d3f7863b6/full/843,/0/default.jpg</v>
      </c>
      <c r="N3982" s="3">
        <v>0.53700000000000003</v>
      </c>
      <c r="O3982" s="3">
        <v>0.19500000000000001</v>
      </c>
      <c r="P3982" s="3">
        <v>0.34200000000000003</v>
      </c>
      <c r="Q3982" s="3">
        <v>0.63658797740936202</v>
      </c>
    </row>
    <row r="3983" spans="1:17" x14ac:dyDescent="0.45">
      <c r="A3983" s="3">
        <v>115200</v>
      </c>
      <c r="B3983" t="b">
        <v>0</v>
      </c>
      <c r="C3983" t="b">
        <v>1</v>
      </c>
      <c r="D3983" s="3">
        <v>1843</v>
      </c>
      <c r="E3983" s="3">
        <v>1843</v>
      </c>
      <c r="F3983" t="s">
        <v>1843</v>
      </c>
      <c r="G3983" t="s">
        <v>1837</v>
      </c>
      <c r="H3983" s="3">
        <v>18.437999999999999</v>
      </c>
      <c r="I3983" t="s">
        <v>1555</v>
      </c>
      <c r="J3983" t="s">
        <v>11010</v>
      </c>
      <c r="L3983" t="s">
        <v>1844</v>
      </c>
      <c r="M3983" t="str">
        <f>"https://www.artic.edu/iiif/2/"&amp;Table9[[#This Row],[Image ID]]&amp;"/full/843,/0/default.jpg"</f>
        <v>https://www.artic.edu/iiif/2/45c9ad04-e0a8-0e85-5985-b524ad6f9d69/full/843,/0/default.jpg</v>
      </c>
      <c r="N3983" s="3">
        <v>0.73199999999999998</v>
      </c>
      <c r="O3983" s="3">
        <v>0.39</v>
      </c>
      <c r="P3983" s="3">
        <v>0.34199999999999997</v>
      </c>
      <c r="Q3983" s="3">
        <v>0.43797326087951599</v>
      </c>
    </row>
    <row r="3984" spans="1:17" x14ac:dyDescent="0.45">
      <c r="A3984" s="3">
        <v>117256</v>
      </c>
      <c r="B3984" t="b">
        <v>0</v>
      </c>
      <c r="C3984" t="b">
        <v>0</v>
      </c>
      <c r="D3984" s="3">
        <v>1959</v>
      </c>
      <c r="E3984" s="3">
        <v>1959</v>
      </c>
      <c r="F3984" t="s">
        <v>11</v>
      </c>
      <c r="G3984" t="s">
        <v>2268</v>
      </c>
      <c r="H3984" s="3">
        <v>49.606200000000001</v>
      </c>
      <c r="I3984" t="s">
        <v>252</v>
      </c>
      <c r="J3984" t="s">
        <v>13299</v>
      </c>
      <c r="L3984" t="s">
        <v>2269</v>
      </c>
      <c r="M3984" t="str">
        <f>"https://www.artic.edu/iiif/2/"&amp;Table9[[#This Row],[Image ID]]&amp;"/full/843,/0/default.jpg"</f>
        <v>https://www.artic.edu/iiif/2/a4db604f-3c38-e566-ecfe-1c894fc9e4b8/full/843,/0/default.jpg</v>
      </c>
      <c r="N3984" s="3">
        <v>0.41499999999999998</v>
      </c>
      <c r="O3984" s="3">
        <v>7.2999999999999995E-2</v>
      </c>
      <c r="P3984" s="3">
        <v>0.34199999999999997</v>
      </c>
      <c r="Q3984" s="3">
        <v>0.63944005966186501</v>
      </c>
    </row>
    <row r="3985" spans="1:17" x14ac:dyDescent="0.45">
      <c r="A3985" s="3">
        <v>115613</v>
      </c>
      <c r="B3985" t="b">
        <v>0</v>
      </c>
      <c r="C3985" t="b">
        <v>0</v>
      </c>
      <c r="D3985" s="3">
        <v>1870</v>
      </c>
      <c r="E3985" s="3">
        <v>1919</v>
      </c>
      <c r="F3985" t="s">
        <v>2033</v>
      </c>
      <c r="G3985" t="s">
        <v>2034</v>
      </c>
      <c r="H3985" s="3">
        <v>28.0746</v>
      </c>
      <c r="I3985" t="s">
        <v>2035</v>
      </c>
      <c r="J3985" t="s">
        <v>12816</v>
      </c>
      <c r="L3985" t="s">
        <v>2036</v>
      </c>
      <c r="M3985" t="str">
        <f>"https://www.artic.edu/iiif/2/"&amp;Table9[[#This Row],[Image ID]]&amp;"/full/843,/0/default.jpg"</f>
        <v>https://www.artic.edu/iiif/2/8034442b-db09-b8cd-64bf-d320a2066fc8/full/843,/0/default.jpg</v>
      </c>
      <c r="N3985" s="3">
        <v>0.56100000000000005</v>
      </c>
      <c r="O3985" s="3">
        <v>0.22</v>
      </c>
      <c r="P3985" s="3">
        <v>0.34100000000000008</v>
      </c>
      <c r="Q3985" s="3">
        <v>0.50342243909835804</v>
      </c>
    </row>
    <row r="3986" spans="1:17" x14ac:dyDescent="0.45">
      <c r="A3986" s="3">
        <v>76910</v>
      </c>
      <c r="B3986" t="b">
        <v>0</v>
      </c>
      <c r="C3986" t="b">
        <v>0</v>
      </c>
      <c r="D3986" s="3">
        <v>1950</v>
      </c>
      <c r="E3986" s="3">
        <v>1950</v>
      </c>
      <c r="F3986" t="s">
        <v>9809</v>
      </c>
      <c r="G3986" t="s">
        <v>7</v>
      </c>
      <c r="H3986" s="3">
        <v>54.164999999999999</v>
      </c>
      <c r="I3986" t="s">
        <v>266</v>
      </c>
      <c r="J3986" t="s">
        <v>6669</v>
      </c>
      <c r="L3986" t="s">
        <v>9810</v>
      </c>
      <c r="M3986" t="str">
        <f>"https://www.artic.edu/iiif/2/"&amp;Table9[[#This Row],[Image ID]]&amp;"/full/843,/0/default.jpg"</f>
        <v>https://www.artic.edu/iiif/2/ea477dec-6862-82f7-b907-b5d16a02897c/full/843,/0/default.jpg</v>
      </c>
      <c r="N3986" s="3">
        <v>0.46300000000000002</v>
      </c>
      <c r="O3986" s="3">
        <v>0.122</v>
      </c>
      <c r="P3986" s="3">
        <v>0.34100000000000003</v>
      </c>
      <c r="Q3986" s="3">
        <v>0.68885928392410201</v>
      </c>
    </row>
    <row r="3987" spans="1:17" x14ac:dyDescent="0.45">
      <c r="A3987" s="3">
        <v>14601</v>
      </c>
      <c r="B3987" t="b">
        <v>0</v>
      </c>
      <c r="C3987" t="b">
        <v>1</v>
      </c>
      <c r="D3987" s="3">
        <v>1882</v>
      </c>
      <c r="E3987" s="3">
        <v>1882</v>
      </c>
      <c r="F3987" t="s">
        <v>3428</v>
      </c>
      <c r="G3987" t="s">
        <v>3429</v>
      </c>
      <c r="H3987" s="3">
        <v>20.3171</v>
      </c>
      <c r="I3987" t="s">
        <v>3430</v>
      </c>
      <c r="J3987" t="s">
        <v>11542</v>
      </c>
      <c r="L3987" t="s">
        <v>3431</v>
      </c>
      <c r="M3987" t="str">
        <f>"https://www.artic.edu/iiif/2/"&amp;Table9[[#This Row],[Image ID]]&amp;"/full/843,/0/default.jpg"</f>
        <v>https://www.artic.edu/iiif/2/27534645-d513-edeb-786b-c0c4cf47cc78/full/843,/0/default.jpg</v>
      </c>
      <c r="N3987" s="3">
        <v>0.51200000000000001</v>
      </c>
      <c r="O3987" s="3">
        <v>0.17100000000000001</v>
      </c>
      <c r="P3987" s="3">
        <v>0.34099999999999997</v>
      </c>
      <c r="Q3987" s="3">
        <v>0.64980757236480702</v>
      </c>
    </row>
    <row r="3988" spans="1:17" x14ac:dyDescent="0.45">
      <c r="A3988" s="3">
        <v>9</v>
      </c>
      <c r="B3988" t="b">
        <v>0</v>
      </c>
      <c r="C3988" t="b">
        <v>1</v>
      </c>
      <c r="D3988" s="3">
        <v>1869</v>
      </c>
      <c r="E3988" s="3">
        <v>1869</v>
      </c>
      <c r="F3988" t="s">
        <v>10490</v>
      </c>
      <c r="G3988" t="s">
        <v>7</v>
      </c>
      <c r="H3988" s="3">
        <v>41.741199999999999</v>
      </c>
      <c r="I3988" t="s">
        <v>10491</v>
      </c>
      <c r="J3988" t="s">
        <v>13514</v>
      </c>
      <c r="L3988" t="s">
        <v>10492</v>
      </c>
      <c r="M3988" t="str">
        <f>"https://www.artic.edu/iiif/2/"&amp;Table9[[#This Row],[Image ID]]&amp;"/full/843,/0/default.jpg"</f>
        <v>https://www.artic.edu/iiif/2/b55d836c-ee20-59f8-1f0c-a95e09905361/full/843,/0/default.jpg</v>
      </c>
      <c r="N3988" s="3">
        <v>0.41899999999999998</v>
      </c>
      <c r="O3988" s="3">
        <v>9.2999999999999999E-2</v>
      </c>
      <c r="P3988" s="3">
        <v>0.32599999999999996</v>
      </c>
      <c r="Q3988" s="3">
        <v>0.62303876876830999</v>
      </c>
    </row>
    <row r="3989" spans="1:17" x14ac:dyDescent="0.45">
      <c r="A3989" s="3">
        <v>115193</v>
      </c>
      <c r="B3989" t="b">
        <v>0</v>
      </c>
      <c r="C3989" t="b">
        <v>1</v>
      </c>
      <c r="D3989" s="3">
        <v>1843</v>
      </c>
      <c r="E3989" s="3">
        <v>1843</v>
      </c>
      <c r="F3989" t="s">
        <v>1831</v>
      </c>
      <c r="G3989" t="s">
        <v>1832</v>
      </c>
      <c r="H3989" s="3">
        <v>16.409600000000001</v>
      </c>
      <c r="I3989" t="s">
        <v>1555</v>
      </c>
      <c r="J3989" t="s">
        <v>11010</v>
      </c>
      <c r="L3989" t="s">
        <v>1833</v>
      </c>
      <c r="M3989" t="str">
        <f>"https://www.artic.edu/iiif/2/"&amp;Table9[[#This Row],[Image ID]]&amp;"/full/843,/0/default.jpg"</f>
        <v>https://www.artic.edu/iiif/2/02dc6011-96e5-8d4a-1a34-e28180e1bf0f/full/843,/0/default.jpg</v>
      </c>
      <c r="N3989" s="3">
        <v>0.67500000000000004</v>
      </c>
      <c r="O3989" s="3">
        <v>0.35</v>
      </c>
      <c r="P3989" s="3">
        <v>0.32500000000000007</v>
      </c>
      <c r="Q3989" s="3">
        <v>0.56560379266738803</v>
      </c>
    </row>
    <row r="3990" spans="1:17" x14ac:dyDescent="0.45">
      <c r="A3990" s="3">
        <v>250450</v>
      </c>
      <c r="B3990" t="b">
        <v>0</v>
      </c>
      <c r="C3990" t="b">
        <v>1</v>
      </c>
      <c r="D3990" s="3">
        <v>1844</v>
      </c>
      <c r="E3990" s="3">
        <v>1845</v>
      </c>
      <c r="F3990" t="s">
        <v>6471</v>
      </c>
      <c r="G3990" t="s">
        <v>6472</v>
      </c>
      <c r="H3990" s="3">
        <v>31.566199999999998</v>
      </c>
      <c r="I3990" t="s">
        <v>1262</v>
      </c>
      <c r="J3990" t="s">
        <v>6474</v>
      </c>
      <c r="L3990" t="s">
        <v>6473</v>
      </c>
      <c r="M3990" t="str">
        <f>"https://www.artic.edu/iiif/2/"&amp;Table9[[#This Row],[Image ID]]&amp;"/full/843,/0/default.jpg"</f>
        <v>https://www.artic.edu/iiif/2/0b7a4670-30f1-1232-b53c-bddf1ebf3e8a/full/843,/0/default.jpg</v>
      </c>
      <c r="N3990" s="3">
        <v>0.45</v>
      </c>
      <c r="O3990" s="3">
        <v>0.125</v>
      </c>
      <c r="P3990" s="3">
        <v>0.32500000000000001</v>
      </c>
      <c r="Q3990" s="3">
        <v>0.48103022575378401</v>
      </c>
    </row>
    <row r="3991" spans="1:17" x14ac:dyDescent="0.45">
      <c r="A3991" s="3">
        <v>29385</v>
      </c>
      <c r="B3991" t="b">
        <v>0</v>
      </c>
      <c r="C3991" t="b">
        <v>1</v>
      </c>
      <c r="D3991" s="3">
        <v>1822</v>
      </c>
      <c r="E3991" s="3">
        <v>1842</v>
      </c>
      <c r="F3991" t="s">
        <v>6910</v>
      </c>
      <c r="G3991" t="s">
        <v>6911</v>
      </c>
      <c r="H3991" s="3">
        <v>29.6966</v>
      </c>
      <c r="I3991" t="s">
        <v>868</v>
      </c>
      <c r="J3991" t="s">
        <v>12334</v>
      </c>
      <c r="L3991" t="s">
        <v>6912</v>
      </c>
      <c r="M3991" t="str">
        <f>"https://www.artic.edu/iiif/2/"&amp;Table9[[#This Row],[Image ID]]&amp;"/full/843,/0/default.jpg"</f>
        <v>https://www.artic.edu/iiif/2/5cd5edc1-be1a-486c-9210-468da7668939/full/843,/0/default.jpg</v>
      </c>
      <c r="N3991" s="3">
        <v>0.75</v>
      </c>
      <c r="O3991" s="3">
        <v>0.42499999999999999</v>
      </c>
      <c r="P3991" s="3">
        <v>0.32500000000000001</v>
      </c>
      <c r="Q3991" s="3">
        <v>0.46628379821777299</v>
      </c>
    </row>
    <row r="3992" spans="1:17" x14ac:dyDescent="0.45">
      <c r="A3992" s="3">
        <v>891</v>
      </c>
      <c r="B3992" t="b">
        <v>0</v>
      </c>
      <c r="C3992" t="b">
        <v>1</v>
      </c>
      <c r="D3992" s="3">
        <v>1855</v>
      </c>
      <c r="E3992" s="3">
        <v>1865</v>
      </c>
      <c r="F3992" t="s">
        <v>10449</v>
      </c>
      <c r="G3992" t="s">
        <v>7</v>
      </c>
      <c r="H3992" s="3">
        <v>21.788699999999999</v>
      </c>
      <c r="I3992" t="s">
        <v>14595</v>
      </c>
      <c r="J3992" t="s">
        <v>14378</v>
      </c>
      <c r="L3992" t="s">
        <v>10450</v>
      </c>
      <c r="M3992" t="str">
        <f>"https://www.artic.edu/iiif/2/"&amp;Table9[[#This Row],[Image ID]]&amp;"/full/843,/0/default.jpg"</f>
        <v>https://www.artic.edu/iiif/2/f4d85da1-5c80-3c7b-38cc-bf324d6ce670/full/843,/0/default.jpg</v>
      </c>
      <c r="N3992" s="3">
        <v>0.65</v>
      </c>
      <c r="O3992" s="3">
        <v>0.32500000000000001</v>
      </c>
      <c r="P3992" s="3">
        <v>0.32500000000000001</v>
      </c>
      <c r="Q3992" s="3">
        <v>0.50161957740783603</v>
      </c>
    </row>
    <row r="3993" spans="1:17" x14ac:dyDescent="0.45">
      <c r="A3993" s="3">
        <v>37054</v>
      </c>
      <c r="B3993" t="b">
        <v>0</v>
      </c>
      <c r="C3993" t="b">
        <v>0</v>
      </c>
      <c r="D3993" s="3">
        <v>1965</v>
      </c>
      <c r="E3993" s="3">
        <v>1965</v>
      </c>
      <c r="F3993" t="s">
        <v>7260</v>
      </c>
      <c r="G3993" t="s">
        <v>7261</v>
      </c>
      <c r="H3993" s="3">
        <v>29.042899999999999</v>
      </c>
      <c r="I3993" t="s">
        <v>7262</v>
      </c>
      <c r="J3993" t="s">
        <v>11614</v>
      </c>
      <c r="L3993" t="s">
        <v>7263</v>
      </c>
      <c r="M3993" t="str">
        <f>"https://www.artic.edu/iiif/2/"&amp;Table9[[#This Row],[Image ID]]&amp;"/full/843,/0/default.jpg"</f>
        <v>https://www.artic.edu/iiif/2/2b9f3908-70b2-a05c-dc6d-22b3a8fb6111/full/843,/0/default.jpg</v>
      </c>
      <c r="N3993" s="3">
        <v>0.45</v>
      </c>
      <c r="O3993" s="3">
        <v>0.125</v>
      </c>
      <c r="P3993" s="3">
        <v>0.32500000000000001</v>
      </c>
      <c r="Q3993" s="3">
        <v>0.62811619043350198</v>
      </c>
    </row>
    <row r="3994" spans="1:17" x14ac:dyDescent="0.45">
      <c r="A3994" s="3">
        <v>50290</v>
      </c>
      <c r="B3994" t="b">
        <v>0</v>
      </c>
      <c r="C3994" t="b">
        <v>0</v>
      </c>
      <c r="D3994" s="3">
        <v>1918</v>
      </c>
      <c r="E3994" s="3">
        <v>1976</v>
      </c>
      <c r="F3994" t="s">
        <v>8087</v>
      </c>
      <c r="G3994" t="s">
        <v>8088</v>
      </c>
      <c r="H3994" s="3">
        <v>30.6465</v>
      </c>
      <c r="I3994" t="s">
        <v>5973</v>
      </c>
      <c r="J3994" t="s">
        <v>11984</v>
      </c>
      <c r="L3994" t="s">
        <v>8089</v>
      </c>
      <c r="M3994" t="str">
        <f>"https://www.artic.edu/iiif/2/"&amp;Table9[[#This Row],[Image ID]]&amp;"/full/843,/0/default.jpg"</f>
        <v>https://www.artic.edu/iiif/2/4420ea12-f9db-c78b-abed-2e858913cc66/full/843,/0/default.jpg</v>
      </c>
      <c r="N3994" s="3">
        <v>0.52500000000000002</v>
      </c>
      <c r="O3994" s="3">
        <v>0.2</v>
      </c>
      <c r="P3994" s="3">
        <v>0.32500000000000001</v>
      </c>
      <c r="Q3994" s="3">
        <v>0.87067526578903198</v>
      </c>
    </row>
    <row r="3995" spans="1:17" x14ac:dyDescent="0.45">
      <c r="A3995" s="3">
        <v>66221</v>
      </c>
      <c r="B3995" t="b">
        <v>0</v>
      </c>
      <c r="C3995" t="b">
        <v>0</v>
      </c>
      <c r="D3995" s="3">
        <v>1945</v>
      </c>
      <c r="E3995" s="3">
        <v>1955</v>
      </c>
      <c r="F3995" t="s">
        <v>9231</v>
      </c>
      <c r="G3995" t="s">
        <v>9232</v>
      </c>
      <c r="H3995" s="3">
        <v>20.4297</v>
      </c>
      <c r="I3995" t="s">
        <v>60</v>
      </c>
      <c r="J3995" t="s">
        <v>12167</v>
      </c>
      <c r="L3995" t="s">
        <v>9233</v>
      </c>
      <c r="M3995" t="str">
        <f>"https://www.artic.edu/iiif/2/"&amp;Table9[[#This Row],[Image ID]]&amp;"/full/843,/0/default.jpg"</f>
        <v>https://www.artic.edu/iiif/2/51cd17ff-e3c6-1aa3-51da-8a9fa1b94c19/full/843,/0/default.jpg</v>
      </c>
      <c r="N3995" s="3">
        <v>0.375</v>
      </c>
      <c r="O3995" s="3">
        <v>0.05</v>
      </c>
      <c r="P3995" s="3">
        <v>0.32500000000000001</v>
      </c>
      <c r="Q3995" s="3">
        <v>0.62407457828521695</v>
      </c>
    </row>
    <row r="3996" spans="1:17" x14ac:dyDescent="0.45">
      <c r="A3996" s="3">
        <v>59435</v>
      </c>
      <c r="B3996" t="b">
        <v>0</v>
      </c>
      <c r="C3996" t="b">
        <v>0</v>
      </c>
      <c r="D3996" s="3">
        <v>1948</v>
      </c>
      <c r="E3996" s="3">
        <v>1948</v>
      </c>
      <c r="F3996" t="s">
        <v>8560</v>
      </c>
      <c r="G3996" t="s">
        <v>8561</v>
      </c>
      <c r="H3996" s="3">
        <v>27.1313</v>
      </c>
      <c r="I3996" t="s">
        <v>2317</v>
      </c>
      <c r="J3996" t="s">
        <v>12779</v>
      </c>
      <c r="K3996" s="5" t="s">
        <v>45</v>
      </c>
      <c r="L3996" t="s">
        <v>8562</v>
      </c>
      <c r="M3996" t="str">
        <f>"https://www.artic.edu/iiif/2/"&amp;Table9[[#This Row],[Image ID]]&amp;"/full/843,/0/default.jpg"</f>
        <v>https://www.artic.edu/iiif/2/7daa0e2b-91a5-e9a6-50a5-f073e9e47279/full/843,/0/default.jpg</v>
      </c>
      <c r="N3996" s="3">
        <v>0.4</v>
      </c>
      <c r="O3996" s="3">
        <v>7.4999999999999997E-2</v>
      </c>
      <c r="P3996" s="3">
        <v>0.32500000000000001</v>
      </c>
      <c r="Q3996" s="3">
        <v>0.503082275390625</v>
      </c>
    </row>
    <row r="3997" spans="1:17" x14ac:dyDescent="0.45">
      <c r="A3997" s="3">
        <v>55587</v>
      </c>
      <c r="B3997" t="b">
        <v>0</v>
      </c>
      <c r="C3997" t="b">
        <v>0</v>
      </c>
      <c r="D3997" s="3">
        <v>1978</v>
      </c>
      <c r="E3997" s="3">
        <v>1978</v>
      </c>
      <c r="F3997" t="s">
        <v>8345</v>
      </c>
      <c r="G3997" t="s">
        <v>8346</v>
      </c>
      <c r="H3997" s="3">
        <v>14.5023</v>
      </c>
      <c r="I3997" t="s">
        <v>8347</v>
      </c>
      <c r="J3997" t="s">
        <v>13079</v>
      </c>
      <c r="L3997" t="s">
        <v>8348</v>
      </c>
      <c r="M3997" t="str">
        <f>"https://www.artic.edu/iiif/2/"&amp;Table9[[#This Row],[Image ID]]&amp;"/full/843,/0/default.jpg"</f>
        <v>https://www.artic.edu/iiif/2/94e4d78a-6812-a6e3-0f9e-510143d05d67/full/843,/0/default.jpg</v>
      </c>
      <c r="N3997" s="3">
        <v>0.375</v>
      </c>
      <c r="O3997" s="3">
        <v>0.05</v>
      </c>
      <c r="P3997" s="3">
        <v>0.32500000000000001</v>
      </c>
      <c r="Q3997" s="3">
        <v>0.69248473644256503</v>
      </c>
    </row>
    <row r="3998" spans="1:17" x14ac:dyDescent="0.45">
      <c r="A3998" s="3">
        <v>27976</v>
      </c>
      <c r="B3998" t="b">
        <v>0</v>
      </c>
      <c r="C3998" t="b">
        <v>0</v>
      </c>
      <c r="D3998" s="3">
        <v>1944</v>
      </c>
      <c r="E3998" s="3">
        <v>1967</v>
      </c>
      <c r="F3998" t="s">
        <v>5445</v>
      </c>
      <c r="G3998" t="s">
        <v>6766</v>
      </c>
      <c r="H3998" s="3">
        <v>11.959199999999999</v>
      </c>
      <c r="I3998" t="s">
        <v>1281</v>
      </c>
      <c r="J3998" t="s">
        <v>13691</v>
      </c>
      <c r="L3998" t="s">
        <v>6767</v>
      </c>
      <c r="M3998" t="str">
        <f>"https://www.artic.edu/iiif/2/"&amp;Table9[[#This Row],[Image ID]]&amp;"/full/843,/0/default.jpg"</f>
        <v>https://www.artic.edu/iiif/2/c419b756-6cfe-59b1-766d-7ab86b00156b/full/843,/0/default.jpg</v>
      </c>
      <c r="N3998" s="3">
        <v>0.4</v>
      </c>
      <c r="O3998" s="3">
        <v>7.4999999999999997E-2</v>
      </c>
      <c r="P3998" s="3">
        <v>0.32500000000000001</v>
      </c>
      <c r="Q3998" s="3">
        <v>0.71467745304107599</v>
      </c>
    </row>
    <row r="3999" spans="1:17" x14ac:dyDescent="0.45">
      <c r="A3999" s="3">
        <v>20348</v>
      </c>
      <c r="B3999" t="b">
        <v>0</v>
      </c>
      <c r="C3999" t="b">
        <v>0</v>
      </c>
      <c r="D3999" s="3">
        <v>1892</v>
      </c>
      <c r="E3999" s="3">
        <v>1895</v>
      </c>
      <c r="F3999" t="s">
        <v>5375</v>
      </c>
      <c r="G3999" t="s">
        <v>5376</v>
      </c>
      <c r="H3999" s="3">
        <v>32.654499999999999</v>
      </c>
      <c r="I3999" t="s">
        <v>14637</v>
      </c>
      <c r="J3999" t="s">
        <v>13869</v>
      </c>
      <c r="L3999" t="s">
        <v>5377</v>
      </c>
      <c r="M3999" t="str">
        <f>"https://www.artic.edu/iiif/2/"&amp;Table9[[#This Row],[Image ID]]&amp;"/full/843,/0/default.jpg"</f>
        <v>https://www.artic.edu/iiif/2/d2a655ad-9646-7666-c7be-8c711103521a/full/843,/0/default.jpg</v>
      </c>
      <c r="N3999" s="3">
        <v>0.375</v>
      </c>
      <c r="O3999" s="3">
        <v>0.05</v>
      </c>
      <c r="P3999" s="3">
        <v>0.32500000000000001</v>
      </c>
      <c r="Q3999" s="3">
        <v>0.62408065795898404</v>
      </c>
    </row>
    <row r="4000" spans="1:17" x14ac:dyDescent="0.45">
      <c r="A4000" s="3">
        <v>84258</v>
      </c>
      <c r="B4000" t="b">
        <v>0</v>
      </c>
      <c r="C4000" t="b">
        <v>0</v>
      </c>
      <c r="D4000" s="3">
        <v>1919</v>
      </c>
      <c r="E4000" s="3">
        <v>1919</v>
      </c>
      <c r="F4000" t="s">
        <v>1397</v>
      </c>
      <c r="G4000" t="s">
        <v>10285</v>
      </c>
      <c r="H4000" s="3">
        <v>40.777200000000001</v>
      </c>
      <c r="I4000" t="s">
        <v>200</v>
      </c>
      <c r="J4000" t="s">
        <v>14508</v>
      </c>
      <c r="L4000" t="s">
        <v>10286</v>
      </c>
      <c r="M4000" t="str">
        <f>"https://www.artic.edu/iiif/2/"&amp;Table9[[#This Row],[Image ID]]&amp;"/full/843,/0/default.jpg"</f>
        <v>https://www.artic.edu/iiif/2/fe0be58f-40c3-db52-73cd-c06c835d55e3/full/843,/0/default.jpg</v>
      </c>
      <c r="N4000" s="3">
        <v>0.5</v>
      </c>
      <c r="O4000" s="3">
        <v>0.17499999999999999</v>
      </c>
      <c r="P4000" s="3">
        <v>0.32500000000000001</v>
      </c>
      <c r="Q4000" s="3">
        <v>0.750269055366516</v>
      </c>
    </row>
    <row r="4001" spans="1:17" x14ac:dyDescent="0.45">
      <c r="A4001" s="3">
        <v>62735</v>
      </c>
      <c r="B4001" t="b">
        <v>0</v>
      </c>
      <c r="C4001" t="b">
        <v>1</v>
      </c>
      <c r="D4001" s="3">
        <v>1894</v>
      </c>
      <c r="E4001" s="3">
        <v>1903</v>
      </c>
      <c r="F4001" t="s">
        <v>8915</v>
      </c>
      <c r="G4001" t="s">
        <v>8916</v>
      </c>
      <c r="H4001" s="3">
        <v>47.225999999999999</v>
      </c>
      <c r="I4001" t="s">
        <v>872</v>
      </c>
      <c r="J4001" t="s">
        <v>14255</v>
      </c>
      <c r="L4001" t="s">
        <v>8917</v>
      </c>
      <c r="M4001" t="str">
        <f>"https://www.artic.edu/iiif/2/"&amp;Table9[[#This Row],[Image ID]]&amp;"/full/843,/0/default.jpg"</f>
        <v>https://www.artic.edu/iiif/2/ec366a5f-e152-b4eb-3822-6473f644a21b/full/843,/0/default.jpg</v>
      </c>
      <c r="N4001" s="3">
        <v>0.42499999999999999</v>
      </c>
      <c r="O4001" s="3">
        <v>0.1</v>
      </c>
      <c r="P4001" s="3">
        <v>0.32499999999999996</v>
      </c>
      <c r="Q4001" s="3">
        <v>0.69802886247634799</v>
      </c>
    </row>
    <row r="4002" spans="1:17" x14ac:dyDescent="0.45">
      <c r="A4002" s="3">
        <v>5352</v>
      </c>
      <c r="B4002" t="b">
        <v>0</v>
      </c>
      <c r="C4002" t="b">
        <v>0</v>
      </c>
      <c r="D4002" s="3">
        <v>1915</v>
      </c>
      <c r="E4002" s="3">
        <v>1925</v>
      </c>
      <c r="F4002" t="s">
        <v>8275</v>
      </c>
      <c r="G4002" t="s">
        <v>7</v>
      </c>
      <c r="H4002" s="3">
        <v>26.005600000000001</v>
      </c>
      <c r="I4002" t="s">
        <v>3190</v>
      </c>
      <c r="J4002" t="s">
        <v>12117</v>
      </c>
      <c r="L4002" t="s">
        <v>8276</v>
      </c>
      <c r="M4002" t="str">
        <f>"https://www.artic.edu/iiif/2/"&amp;Table9[[#This Row],[Image ID]]&amp;"/full/843,/0/default.jpg"</f>
        <v>https://www.artic.edu/iiif/2/4e966946-87b6-8ff1-554a-a928853c07e3/full/843,/0/default.jpg</v>
      </c>
      <c r="N4002" s="3">
        <v>0.42499999999999999</v>
      </c>
      <c r="O4002" s="3">
        <v>0.1</v>
      </c>
      <c r="P4002" s="3">
        <v>0.32499999999999996</v>
      </c>
      <c r="Q4002" s="3">
        <v>0.50575858354568404</v>
      </c>
    </row>
    <row r="4003" spans="1:17" x14ac:dyDescent="0.45">
      <c r="A4003" s="3">
        <v>114308</v>
      </c>
      <c r="B4003" t="b">
        <v>0</v>
      </c>
      <c r="C4003" t="b">
        <v>1</v>
      </c>
      <c r="D4003" s="3">
        <v>1730</v>
      </c>
      <c r="E4003" s="3">
        <v>1771</v>
      </c>
      <c r="F4003" t="s">
        <v>1576</v>
      </c>
      <c r="G4003" t="s">
        <v>1577</v>
      </c>
      <c r="H4003" s="3">
        <v>29.0185</v>
      </c>
      <c r="I4003" t="s">
        <v>1574</v>
      </c>
      <c r="J4003" t="s">
        <v>13201</v>
      </c>
      <c r="L4003" t="s">
        <v>1578</v>
      </c>
      <c r="M4003" t="str">
        <f>"https://www.artic.edu/iiif/2/"&amp;Table9[[#This Row],[Image ID]]&amp;"/full/843,/0/default.jpg"</f>
        <v>https://www.artic.edu/iiif/2/9dce2ff8-a7d4-2716-9dc4-d11970e0ac29/full/843,/0/default.jpg</v>
      </c>
      <c r="N4003" s="3">
        <v>0.46300000000000002</v>
      </c>
      <c r="O4003" s="3">
        <v>0.14599999999999999</v>
      </c>
      <c r="P4003" s="3">
        <v>0.31700000000000006</v>
      </c>
      <c r="Q4003" s="3">
        <v>0.46957606077194203</v>
      </c>
    </row>
    <row r="4004" spans="1:17" x14ac:dyDescent="0.45">
      <c r="A4004" s="3">
        <v>8983</v>
      </c>
      <c r="B4004" t="b">
        <v>0</v>
      </c>
      <c r="C4004" t="b">
        <v>1</v>
      </c>
      <c r="D4004" s="3">
        <v>1911</v>
      </c>
      <c r="E4004" s="3">
        <v>1911</v>
      </c>
      <c r="F4004" t="s">
        <v>10479</v>
      </c>
      <c r="G4004" t="s">
        <v>10480</v>
      </c>
      <c r="H4004" s="3">
        <v>64.921899999999994</v>
      </c>
      <c r="I4004" t="s">
        <v>2957</v>
      </c>
      <c r="J4004" t="s">
        <v>11097</v>
      </c>
      <c r="L4004" t="s">
        <v>10481</v>
      </c>
      <c r="M4004" t="str">
        <f>"https://www.artic.edu/iiif/2/"&amp;Table9[[#This Row],[Image ID]]&amp;"/full/843,/0/default.jpg"</f>
        <v>https://www.artic.edu/iiif/2/08da4ff3-3bf6-9bbd-230c-492382034f3d/full/843,/0/default.jpg</v>
      </c>
      <c r="N4004" s="3">
        <v>0.439</v>
      </c>
      <c r="O4004" s="3">
        <v>0.122</v>
      </c>
      <c r="P4004" s="3">
        <v>0.317</v>
      </c>
      <c r="Q4004" s="3">
        <v>0.63439601659774703</v>
      </c>
    </row>
    <row r="4005" spans="1:17" x14ac:dyDescent="0.45">
      <c r="A4005" s="3">
        <v>65845</v>
      </c>
      <c r="B4005" t="b">
        <v>0</v>
      </c>
      <c r="C4005" t="b">
        <v>1</v>
      </c>
      <c r="D4005" s="3">
        <v>1889</v>
      </c>
      <c r="E4005" s="3">
        <v>1889</v>
      </c>
      <c r="F4005" t="s">
        <v>9058</v>
      </c>
      <c r="G4005" t="s">
        <v>7</v>
      </c>
      <c r="H4005" s="3">
        <v>43.803800000000003</v>
      </c>
      <c r="I4005" t="s">
        <v>9059</v>
      </c>
      <c r="J4005" t="s">
        <v>13027</v>
      </c>
      <c r="L4005" t="s">
        <v>9060</v>
      </c>
      <c r="M4005" t="str">
        <f>"https://www.artic.edu/iiif/2/"&amp;Table9[[#This Row],[Image ID]]&amp;"/full/843,/0/default.jpg"</f>
        <v>https://www.artic.edu/iiif/2/901da649-8816-41da-07e2-6140dd52d67a/full/843,/0/default.jpg</v>
      </c>
      <c r="N4005" s="3">
        <v>0.48799999999999999</v>
      </c>
      <c r="O4005" s="3">
        <v>0.17100000000000001</v>
      </c>
      <c r="P4005" s="3">
        <v>0.31699999999999995</v>
      </c>
      <c r="Q4005" s="3">
        <v>0.45991632342338501</v>
      </c>
    </row>
    <row r="4006" spans="1:17" x14ac:dyDescent="0.45">
      <c r="A4006" s="3">
        <v>152724</v>
      </c>
      <c r="B4006" t="b">
        <v>0</v>
      </c>
      <c r="C4006" t="b">
        <v>1</v>
      </c>
      <c r="D4006" s="3">
        <v>1800</v>
      </c>
      <c r="E4006" s="3">
        <v>1800</v>
      </c>
      <c r="F4006" t="s">
        <v>3903</v>
      </c>
      <c r="G4006" t="s">
        <v>3904</v>
      </c>
      <c r="H4006" s="3">
        <v>28.628799999999998</v>
      </c>
      <c r="I4006" t="s">
        <v>3158</v>
      </c>
      <c r="J4006" t="s">
        <v>12607</v>
      </c>
      <c r="L4006" t="s">
        <v>3905</v>
      </c>
      <c r="M4006" t="str">
        <f>"https://www.artic.edu/iiif/2/"&amp;Table9[[#This Row],[Image ID]]&amp;"/full/843,/0/default.jpg"</f>
        <v>https://www.artic.edu/iiif/2/7014574c-264b-2916-60a7-6e2acfedf3b5/full/843,/0/default.jpg</v>
      </c>
      <c r="N4006" s="3">
        <v>0.57099999999999995</v>
      </c>
      <c r="O4006" s="3">
        <v>0.26200000000000001</v>
      </c>
      <c r="P4006" s="3">
        <v>0.30899999999999994</v>
      </c>
      <c r="Q4006" s="3">
        <v>0.50379681587219205</v>
      </c>
    </row>
    <row r="4007" spans="1:17" x14ac:dyDescent="0.45">
      <c r="A4007" s="3">
        <v>16424</v>
      </c>
      <c r="B4007" t="b">
        <v>0</v>
      </c>
      <c r="C4007" t="b">
        <v>0</v>
      </c>
      <c r="D4007" s="3">
        <v>1961</v>
      </c>
      <c r="E4007" s="3">
        <v>1961</v>
      </c>
      <c r="F4007" t="s">
        <v>4421</v>
      </c>
      <c r="G4007" t="s">
        <v>4422</v>
      </c>
      <c r="H4007" s="3">
        <v>28.873200000000001</v>
      </c>
      <c r="I4007" t="s">
        <v>150</v>
      </c>
      <c r="J4007" t="s">
        <v>12262</v>
      </c>
      <c r="L4007" t="s">
        <v>4423</v>
      </c>
      <c r="M4007" t="str">
        <f>"https://www.artic.edu/iiif/2/"&amp;Table9[[#This Row],[Image ID]]&amp;"/full/843,/0/default.jpg"</f>
        <v>https://www.artic.edu/iiif/2/57b61cd2-2005-1fbe-a70a-6f2f321084d1/full/843,/0/default.jpg</v>
      </c>
      <c r="N4007" s="3">
        <v>0.47599999999999998</v>
      </c>
      <c r="O4007" s="3">
        <v>0.16700000000000001</v>
      </c>
      <c r="P4007" s="3">
        <v>0.30899999999999994</v>
      </c>
      <c r="Q4007" s="3">
        <v>0.610798299312591</v>
      </c>
    </row>
    <row r="4008" spans="1:17" x14ac:dyDescent="0.45">
      <c r="A4008" s="3">
        <v>82031</v>
      </c>
      <c r="B4008" t="b">
        <v>0</v>
      </c>
      <c r="C4008" t="b">
        <v>0</v>
      </c>
      <c r="D4008" s="3">
        <v>1905</v>
      </c>
      <c r="E4008" s="3">
        <v>1940</v>
      </c>
      <c r="F4008" t="s">
        <v>10157</v>
      </c>
      <c r="G4008" t="s">
        <v>1502</v>
      </c>
      <c r="H4008" s="3">
        <v>13.734500000000001</v>
      </c>
      <c r="I4008" t="s">
        <v>2062</v>
      </c>
      <c r="J4008" t="s">
        <v>13242</v>
      </c>
      <c r="L4008" t="s">
        <v>10158</v>
      </c>
      <c r="M4008" t="str">
        <f>"https://www.artic.edu/iiif/2/"&amp;Table9[[#This Row],[Image ID]]&amp;"/full/843,/0/default.jpg"</f>
        <v>https://www.artic.edu/iiif/2/a0d316e5-ae90-ecde-68d8-67d78bfa5d3d/full/843,/0/default.jpg</v>
      </c>
      <c r="N4008" s="3">
        <v>0.52500000000000002</v>
      </c>
      <c r="O4008" s="3">
        <v>0.22</v>
      </c>
      <c r="P4008" s="3">
        <v>0.30500000000000005</v>
      </c>
      <c r="Q4008" s="3">
        <v>0.71377009153366</v>
      </c>
    </row>
    <row r="4009" spans="1:17" x14ac:dyDescent="0.45">
      <c r="A4009" s="3">
        <v>73647</v>
      </c>
      <c r="B4009" t="b">
        <v>0</v>
      </c>
      <c r="C4009" t="b">
        <v>0</v>
      </c>
      <c r="D4009" s="3">
        <v>1919</v>
      </c>
      <c r="E4009" s="3">
        <v>1919</v>
      </c>
      <c r="F4009" t="s">
        <v>9635</v>
      </c>
      <c r="G4009" t="s">
        <v>7</v>
      </c>
      <c r="H4009" s="3">
        <v>30.564299999999999</v>
      </c>
      <c r="I4009" t="s">
        <v>133</v>
      </c>
      <c r="J4009" t="s">
        <v>13456</v>
      </c>
      <c r="L4009" t="s">
        <v>9636</v>
      </c>
      <c r="M4009" t="str">
        <f>"https://www.artic.edu/iiif/2/"&amp;Table9[[#This Row],[Image ID]]&amp;"/full/843,/0/default.jpg"</f>
        <v>https://www.artic.edu/iiif/2/b0314562-cd95-4d6a-a17c-5fdcece143b4/full/843,/0/default.jpg</v>
      </c>
      <c r="N4009" s="3">
        <v>0.5</v>
      </c>
      <c r="O4009" s="3">
        <v>0.19500000000000001</v>
      </c>
      <c r="P4009" s="3">
        <v>0.30499999999999999</v>
      </c>
      <c r="Q4009" s="3">
        <v>0.69112920761108398</v>
      </c>
    </row>
    <row r="4010" spans="1:17" x14ac:dyDescent="0.45">
      <c r="A4010" s="3">
        <v>65908</v>
      </c>
      <c r="B4010" t="b">
        <v>0</v>
      </c>
      <c r="C4010" t="b">
        <v>0</v>
      </c>
      <c r="D4010" s="3">
        <v>1909</v>
      </c>
      <c r="E4010" s="3">
        <v>1909</v>
      </c>
      <c r="F4010" t="s">
        <v>9095</v>
      </c>
      <c r="G4010" t="s">
        <v>2611</v>
      </c>
      <c r="H4010" s="3">
        <v>21.559899999999999</v>
      </c>
      <c r="I4010" t="s">
        <v>1019</v>
      </c>
      <c r="J4010" t="s">
        <v>13114</v>
      </c>
      <c r="K4010" s="5" t="s">
        <v>45</v>
      </c>
      <c r="L4010" t="s">
        <v>9096</v>
      </c>
      <c r="M4010" t="str">
        <f>"https://www.artic.edu/iiif/2/"&amp;Table9[[#This Row],[Image ID]]&amp;"/full/843,/0/default.jpg"</f>
        <v>https://www.artic.edu/iiif/2/97314d3d-dc9b-fd8e-644e-eb5150f16721/full/843,/0/default.jpg</v>
      </c>
      <c r="N4010" s="3">
        <v>0.4</v>
      </c>
      <c r="O4010" s="3">
        <v>0.1</v>
      </c>
      <c r="P4010" s="3">
        <v>0.30000000000000004</v>
      </c>
      <c r="Q4010" s="3">
        <v>0.57313752174377397</v>
      </c>
    </row>
    <row r="4011" spans="1:17" x14ac:dyDescent="0.45">
      <c r="A4011" s="3">
        <v>107325</v>
      </c>
      <c r="B4011" t="b">
        <v>0</v>
      </c>
      <c r="C4011" t="b">
        <v>0</v>
      </c>
      <c r="D4011" s="3">
        <v>1954</v>
      </c>
      <c r="E4011" s="3">
        <v>1954</v>
      </c>
      <c r="F4011" t="s">
        <v>653</v>
      </c>
      <c r="G4011" t="s">
        <v>642</v>
      </c>
      <c r="H4011" s="3">
        <v>59.776000000000003</v>
      </c>
      <c r="I4011" t="s">
        <v>651</v>
      </c>
      <c r="J4011" t="s">
        <v>12731</v>
      </c>
      <c r="L4011" t="s">
        <v>654</v>
      </c>
      <c r="M4011" t="str">
        <f>"https://www.artic.edu/iiif/2/"&amp;Table9[[#This Row],[Image ID]]&amp;"/full/843,/0/default.jpg"</f>
        <v>https://www.artic.edu/iiif/2/798a7631-0f63-ab17-0ac3-ba6c4dc705f8/full/843,/0/default.jpg</v>
      </c>
      <c r="N4011" s="3">
        <v>0.5</v>
      </c>
      <c r="O4011" s="3">
        <v>0.2</v>
      </c>
      <c r="P4011" s="3">
        <v>0.3</v>
      </c>
      <c r="Q4011" s="3">
        <v>0.63944911956787098</v>
      </c>
    </row>
    <row r="4012" spans="1:17" x14ac:dyDescent="0.45">
      <c r="A4012" s="3">
        <v>35180</v>
      </c>
      <c r="B4012" t="b">
        <v>0</v>
      </c>
      <c r="C4012" t="b">
        <v>1</v>
      </c>
      <c r="D4012" s="3">
        <v>1660</v>
      </c>
      <c r="E4012" s="3">
        <v>1670</v>
      </c>
      <c r="F4012" t="s">
        <v>7158</v>
      </c>
      <c r="G4012" t="s">
        <v>7</v>
      </c>
      <c r="H4012" s="3">
        <v>0</v>
      </c>
      <c r="I4012" t="s">
        <v>14672</v>
      </c>
      <c r="J4012" t="s">
        <v>12191</v>
      </c>
      <c r="L4012" t="s">
        <v>7159</v>
      </c>
      <c r="M4012" t="str">
        <f>"https://www.artic.edu/iiif/2/"&amp;Table9[[#This Row],[Image ID]]&amp;"/full/843,/0/default.jpg"</f>
        <v>https://www.artic.edu/iiif/2/53957710-4a92-1028-4cbd-f38faaac5861/full/843,/0/default.jpg</v>
      </c>
      <c r="N4012" s="3">
        <v>0.53700000000000003</v>
      </c>
      <c r="O4012" s="3">
        <v>0.24399999999999999</v>
      </c>
      <c r="P4012" s="3">
        <v>0.29300000000000004</v>
      </c>
      <c r="Q4012" s="3">
        <v>0.41699787974357599</v>
      </c>
    </row>
    <row r="4013" spans="1:17" x14ac:dyDescent="0.45">
      <c r="A4013" s="3">
        <v>102098</v>
      </c>
      <c r="B4013" t="b">
        <v>0</v>
      </c>
      <c r="C4013" t="b">
        <v>1</v>
      </c>
      <c r="D4013" s="3">
        <v>1475</v>
      </c>
      <c r="E4013" s="3">
        <v>1500</v>
      </c>
      <c r="F4013" t="s">
        <v>226</v>
      </c>
      <c r="G4013" t="s">
        <v>227</v>
      </c>
      <c r="H4013" s="3">
        <v>57.682699999999997</v>
      </c>
      <c r="I4013" t="s">
        <v>16</v>
      </c>
      <c r="J4013" t="s">
        <v>12855</v>
      </c>
      <c r="L4013" t="s">
        <v>228</v>
      </c>
      <c r="M4013" t="str">
        <f>"https://www.artic.edu/iiif/2/"&amp;Table9[[#This Row],[Image ID]]&amp;"/full/843,/0/default.jpg"</f>
        <v>https://www.artic.edu/iiif/2/82b1ac6e-de4e-7e80-6bd8-e1f1bb0cb889/full/843,/0/default.jpg</v>
      </c>
      <c r="N4013" s="3">
        <v>0.375</v>
      </c>
      <c r="O4013" s="3">
        <v>0.1</v>
      </c>
      <c r="P4013" s="3">
        <v>0.27500000000000002</v>
      </c>
      <c r="Q4013" s="3">
        <v>0.70996618270874001</v>
      </c>
    </row>
    <row r="4014" spans="1:17" x14ac:dyDescent="0.45">
      <c r="A4014" s="3">
        <v>25854</v>
      </c>
      <c r="B4014" t="b">
        <v>0</v>
      </c>
      <c r="C4014" t="b">
        <v>1</v>
      </c>
      <c r="D4014" s="3">
        <v>1878</v>
      </c>
      <c r="E4014" s="3">
        <v>1891</v>
      </c>
      <c r="F4014" t="s">
        <v>6640</v>
      </c>
      <c r="G4014" t="s">
        <v>6641</v>
      </c>
      <c r="H4014" s="3">
        <v>15.948399999999999</v>
      </c>
      <c r="I4014" t="s">
        <v>1168</v>
      </c>
      <c r="J4014" t="s">
        <v>11769</v>
      </c>
      <c r="L4014" t="s">
        <v>6642</v>
      </c>
      <c r="M4014" t="str">
        <f>"https://www.artic.edu/iiif/2/"&amp;Table9[[#This Row],[Image ID]]&amp;"/full/843,/0/default.jpg"</f>
        <v>https://www.artic.edu/iiif/2/3d83b910-3db6-2a60-427c-46ef6db5789f/full/843,/0/default.jpg</v>
      </c>
      <c r="N4014" s="3">
        <v>0.47499999999999998</v>
      </c>
      <c r="O4014" s="3">
        <v>0.2</v>
      </c>
      <c r="P4014" s="3">
        <v>0.27499999999999997</v>
      </c>
      <c r="Q4014" s="3">
        <v>0.673034727573394</v>
      </c>
    </row>
    <row r="4015" spans="1:17" x14ac:dyDescent="0.45">
      <c r="A4015" s="3">
        <v>27959</v>
      </c>
      <c r="B4015" t="b">
        <v>0</v>
      </c>
      <c r="C4015" t="b">
        <v>0</v>
      </c>
      <c r="D4015" s="3">
        <v>1907</v>
      </c>
      <c r="E4015" s="3">
        <v>1917</v>
      </c>
      <c r="F4015" t="s">
        <v>6759</v>
      </c>
      <c r="G4015" t="s">
        <v>7</v>
      </c>
      <c r="H4015" s="3">
        <v>26.662800000000001</v>
      </c>
      <c r="I4015" t="s">
        <v>2437</v>
      </c>
      <c r="J4015" t="s">
        <v>12681</v>
      </c>
      <c r="L4015" t="s">
        <v>6760</v>
      </c>
      <c r="M4015" t="str">
        <f>"https://www.artic.edu/iiif/2/"&amp;Table9[[#This Row],[Image ID]]&amp;"/full/843,/0/default.jpg"</f>
        <v>https://www.artic.edu/iiif/2/758ea592-795a-8395-e148-c5f4bfd10b07/full/843,/0/default.jpg</v>
      </c>
      <c r="N4015" s="3">
        <v>0.35</v>
      </c>
      <c r="O4015" s="3">
        <v>7.4999999999999997E-2</v>
      </c>
      <c r="P4015" s="3">
        <v>0.27499999999999997</v>
      </c>
      <c r="Q4015" s="3">
        <v>0.66281300783157304</v>
      </c>
    </row>
    <row r="4016" spans="1:17" x14ac:dyDescent="0.45">
      <c r="A4016" s="3">
        <v>115769</v>
      </c>
      <c r="B4016" t="b">
        <v>0</v>
      </c>
      <c r="C4016" t="b">
        <v>1</v>
      </c>
      <c r="D4016" s="3">
        <v>1818</v>
      </c>
      <c r="E4016" s="3">
        <v>1818</v>
      </c>
      <c r="F4016" t="s">
        <v>2094</v>
      </c>
      <c r="G4016" t="s">
        <v>2095</v>
      </c>
      <c r="H4016" s="3">
        <v>37.206400000000002</v>
      </c>
      <c r="I4016" t="s">
        <v>2096</v>
      </c>
      <c r="J4016" t="s">
        <v>12907</v>
      </c>
      <c r="L4016" t="s">
        <v>2097</v>
      </c>
      <c r="M4016" t="str">
        <f>"https://www.artic.edu/iiif/2/"&amp;Table9[[#This Row],[Image ID]]&amp;"/full/843,/0/default.jpg"</f>
        <v>https://www.artic.edu/iiif/2/8637a3d5-330e-eba8-3464-a8206413097a/full/843,/0/default.jpg</v>
      </c>
      <c r="N4016" s="3">
        <v>0.48799999999999999</v>
      </c>
      <c r="O4016" s="3">
        <v>0.22</v>
      </c>
      <c r="P4016" s="3">
        <v>0.26800000000000002</v>
      </c>
      <c r="Q4016" s="3">
        <v>0.478489160537719</v>
      </c>
    </row>
    <row r="4017" spans="1:17" x14ac:dyDescent="0.45">
      <c r="A4017" s="3">
        <v>113692</v>
      </c>
      <c r="B4017" t="b">
        <v>0</v>
      </c>
      <c r="C4017" t="b">
        <v>0</v>
      </c>
      <c r="D4017" s="3">
        <v>1943</v>
      </c>
      <c r="E4017" s="3">
        <v>1945</v>
      </c>
      <c r="F4017" t="s">
        <v>562</v>
      </c>
      <c r="G4017" t="s">
        <v>1483</v>
      </c>
      <c r="H4017" s="3">
        <v>33.944099999999999</v>
      </c>
      <c r="I4017" t="s">
        <v>563</v>
      </c>
      <c r="J4017" t="s">
        <v>14271</v>
      </c>
      <c r="L4017" t="s">
        <v>1487</v>
      </c>
      <c r="M4017" t="str">
        <f>"https://www.artic.edu/iiif/2/"&amp;Table9[[#This Row],[Image ID]]&amp;"/full/843,/0/default.jpg"</f>
        <v>https://www.artic.edu/iiif/2/ed63f9c1-650d-acfe-6417-1b64e7bfc2dc/full/843,/0/default.jpg</v>
      </c>
      <c r="N4017" s="3">
        <v>0.39</v>
      </c>
      <c r="O4017" s="3">
        <v>0.122</v>
      </c>
      <c r="P4017" s="3">
        <v>0.26800000000000002</v>
      </c>
      <c r="Q4017" s="3">
        <v>0.66734820604324296</v>
      </c>
    </row>
    <row r="4018" spans="1:17" x14ac:dyDescent="0.45">
      <c r="A4018" s="3">
        <v>16879</v>
      </c>
      <c r="B4018" t="b">
        <v>0</v>
      </c>
      <c r="C4018" t="b">
        <v>0</v>
      </c>
      <c r="D4018" s="3">
        <v>1920</v>
      </c>
      <c r="E4018" s="3">
        <v>1951</v>
      </c>
      <c r="F4018" t="s">
        <v>4619</v>
      </c>
      <c r="G4018" t="s">
        <v>4620</v>
      </c>
      <c r="H4018" s="3">
        <v>34.593600000000002</v>
      </c>
      <c r="I4018" t="s">
        <v>4621</v>
      </c>
      <c r="J4018" t="s">
        <v>13183</v>
      </c>
      <c r="L4018" t="s">
        <v>4622</v>
      </c>
      <c r="M4018" t="str">
        <f>"https://www.artic.edu/iiif/2/"&amp;Table9[[#This Row],[Image ID]]&amp;"/full/843,/0/default.jpg"</f>
        <v>https://www.artic.edu/iiif/2/9c5cb5f6-78f4-60e8-579d-eeeba813f192/full/843,/0/default.jpg</v>
      </c>
      <c r="N4018" s="3">
        <v>0.375</v>
      </c>
      <c r="O4018" s="3">
        <v>0.125</v>
      </c>
      <c r="P4018" s="3">
        <v>0.25</v>
      </c>
      <c r="Q4018" s="3">
        <v>0.70942771434783902</v>
      </c>
    </row>
    <row r="4019" spans="1:17" x14ac:dyDescent="0.45">
      <c r="A4019" s="3">
        <v>111453</v>
      </c>
      <c r="B4019" t="b">
        <v>0</v>
      </c>
      <c r="C4019" t="b">
        <v>1</v>
      </c>
      <c r="D4019" s="3">
        <v>1515</v>
      </c>
      <c r="E4019" s="3">
        <v>1525</v>
      </c>
      <c r="F4019" t="s">
        <v>1109</v>
      </c>
      <c r="G4019" t="s">
        <v>75</v>
      </c>
      <c r="H4019" s="3">
        <v>26.2591</v>
      </c>
      <c r="I4019" t="s">
        <v>1110</v>
      </c>
      <c r="J4019" t="s">
        <v>14198</v>
      </c>
      <c r="L4019" t="s">
        <v>1111</v>
      </c>
      <c r="M4019" t="str">
        <f>"https://www.artic.edu/iiif/2/"&amp;Table9[[#This Row],[Image ID]]&amp;"/full/843,/0/default.jpg"</f>
        <v>https://www.artic.edu/iiif/2/e88a2253-69a0-425e-32d1-e9640111ef39/full/843,/0/default.jpg</v>
      </c>
      <c r="N4019" s="3">
        <v>0.53700000000000003</v>
      </c>
      <c r="O4019" s="3">
        <v>0.29299999999999998</v>
      </c>
      <c r="P4019" s="3">
        <v>0.24400000000000005</v>
      </c>
      <c r="Q4019" s="3">
        <v>0.52470314502715998</v>
      </c>
    </row>
    <row r="4020" spans="1:17" x14ac:dyDescent="0.45">
      <c r="A4020" s="3">
        <v>33769</v>
      </c>
      <c r="B4020" t="b">
        <v>0</v>
      </c>
      <c r="C4020" t="b">
        <v>0</v>
      </c>
      <c r="D4020" s="3">
        <v>1970</v>
      </c>
      <c r="E4020" s="3">
        <v>1970</v>
      </c>
      <c r="F4020" t="s">
        <v>7088</v>
      </c>
      <c r="G4020" t="s">
        <v>59</v>
      </c>
      <c r="H4020" s="3">
        <v>17.162500000000001</v>
      </c>
      <c r="I4020" t="s">
        <v>465</v>
      </c>
      <c r="J4020" t="s">
        <v>13010</v>
      </c>
      <c r="L4020" t="s">
        <v>7089</v>
      </c>
      <c r="M4020" t="str">
        <f>"https://www.artic.edu/iiif/2/"&amp;Table9[[#This Row],[Image ID]]&amp;"/full/843,/0/default.jpg"</f>
        <v>https://www.artic.edu/iiif/2/8eb4413a-1e72-5c3c-0393-604906e5a1f2/full/843,/0/default.jpg</v>
      </c>
      <c r="N4020" s="3">
        <v>0.34100000000000003</v>
      </c>
      <c r="O4020" s="3">
        <v>9.8000000000000004E-2</v>
      </c>
      <c r="P4020" s="3">
        <v>0.24300000000000002</v>
      </c>
      <c r="Q4020" s="3">
        <v>0.73860776424407903</v>
      </c>
    </row>
    <row r="4021" spans="1:17" x14ac:dyDescent="0.45">
      <c r="A4021" s="3">
        <v>4989</v>
      </c>
      <c r="B4021" t="b">
        <v>0</v>
      </c>
      <c r="C4021" t="b">
        <v>0</v>
      </c>
      <c r="D4021" s="3">
        <v>1896</v>
      </c>
      <c r="E4021" s="3">
        <v>1930</v>
      </c>
      <c r="F4021" t="s">
        <v>8080</v>
      </c>
      <c r="G4021" t="s">
        <v>8081</v>
      </c>
      <c r="H4021" s="3">
        <v>44.626199999999997</v>
      </c>
      <c r="I4021" t="s">
        <v>4681</v>
      </c>
      <c r="J4021" t="s">
        <v>13170</v>
      </c>
      <c r="L4021" t="s">
        <v>8082</v>
      </c>
      <c r="M4021" t="str">
        <f>"https://www.artic.edu/iiif/2/"&amp;Table9[[#This Row],[Image ID]]&amp;"/full/843,/0/default.jpg"</f>
        <v>https://www.artic.edu/iiif/2/9b751213-31cf-be53-ad2c-9330b41af470/full/843,/0/default.jpg</v>
      </c>
      <c r="N4021" s="3">
        <v>0.4</v>
      </c>
      <c r="O4021" s="3">
        <v>0.17499999999999999</v>
      </c>
      <c r="P4021" s="3">
        <v>0.22500000000000003</v>
      </c>
      <c r="Q4021" s="3">
        <v>0.55485922098159701</v>
      </c>
    </row>
    <row r="4022" spans="1:17" x14ac:dyDescent="0.45">
      <c r="A4022" s="3">
        <v>129675</v>
      </c>
      <c r="B4022" t="b">
        <v>0</v>
      </c>
      <c r="C4022" t="b">
        <v>0</v>
      </c>
      <c r="D4022" s="3">
        <v>1941</v>
      </c>
      <c r="E4022" s="3">
        <v>1941</v>
      </c>
      <c r="F4022" t="s">
        <v>2891</v>
      </c>
      <c r="G4022" t="s">
        <v>2892</v>
      </c>
      <c r="H4022" s="3">
        <v>25.156199999999998</v>
      </c>
      <c r="I4022" t="s">
        <v>14549</v>
      </c>
      <c r="J4022" t="s">
        <v>10990</v>
      </c>
      <c r="L4022" t="s">
        <v>2893</v>
      </c>
      <c r="M4022" t="str">
        <f>"https://www.artic.edu/iiif/2/"&amp;Table9[[#This Row],[Image ID]]&amp;"/full/843,/0/default.jpg"</f>
        <v>https://www.artic.edu/iiif/2/b938d4ea-1e11-4e80-a440-14d5c9816bc8/full/843,/0/default.jpg</v>
      </c>
      <c r="N4022" s="3">
        <v>0.95</v>
      </c>
      <c r="O4022" s="3">
        <v>0.1</v>
      </c>
      <c r="Q4022" s="3">
        <v>0.84246116876602095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Trent</dc:creator>
  <cp:lastModifiedBy>Trent</cp:lastModifiedBy>
  <dcterms:created xsi:type="dcterms:W3CDTF">2021-07-13T22:47:43Z</dcterms:created>
  <dcterms:modified xsi:type="dcterms:W3CDTF">2022-07-13T22:43:30Z</dcterms:modified>
</cp:coreProperties>
</file>